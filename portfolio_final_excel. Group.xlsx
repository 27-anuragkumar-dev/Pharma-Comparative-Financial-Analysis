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URAG\Downloads\"/>
    </mc:Choice>
  </mc:AlternateContent>
  <xr:revisionPtr revIDLastSave="0" documentId="8_{C2768E65-0A37-42D0-8830-C1676349568E}" xr6:coauthVersionLast="47" xr6:coauthVersionMax="47" xr10:uidLastSave="{00000000-0000-0000-0000-000000000000}"/>
  <bookViews>
    <workbookView xWindow="-108" yWindow="-108" windowWidth="23256" windowHeight="13176" tabRatio="500" firstSheet="3" activeTab="7" xr2:uid="{00000000-000D-0000-FFFF-FFFF00000000}"/>
  </bookViews>
  <sheets>
    <sheet name="Ratios" sheetId="1" r:id="rId1"/>
    <sheet name="Return" sheetId="2" r:id="rId2"/>
    <sheet name="Stock Statistics" sheetId="3" r:id="rId3"/>
    <sheet name="Dashboard_Data" sheetId="4" r:id="rId4"/>
    <sheet name="Return Long" sheetId="17" r:id="rId5"/>
    <sheet name="Portfolio 2 &amp; 3" sheetId="5" r:id="rId6"/>
    <sheet name="Portfolio 4-6" sheetId="6" r:id="rId7"/>
    <sheet name="Torrent Pharma" sheetId="7" r:id="rId8"/>
    <sheet name="Alkem Labs" sheetId="8" r:id="rId9"/>
    <sheet name="Abbott India" sheetId="9" r:id="rId10"/>
    <sheet name="Aurobindo Pharma Ltd" sheetId="10" r:id="rId11"/>
    <sheet name="Zydus Lifesciences Ltd" sheetId="11" r:id="rId12"/>
    <sheet name="Lupin" sheetId="12" r:id="rId13"/>
    <sheet name="Sun Pharmaceutical " sheetId="13" r:id="rId14"/>
    <sheet name="Dr Reddy" sheetId="14" r:id="rId15"/>
    <sheet name="Divis Laboratories" sheetId="15" r:id="rId16"/>
    <sheet name="Cipla" sheetId="16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L1213" i="2"/>
  <c r="O1213" i="2"/>
  <c r="R1213" i="2"/>
  <c r="S1213" i="2"/>
  <c r="L1214" i="2"/>
  <c r="O1214" i="2"/>
  <c r="R1214" i="2"/>
  <c r="S1214" i="2"/>
  <c r="L1215" i="2"/>
  <c r="O1215" i="2"/>
  <c r="S1215" i="2" s="1"/>
  <c r="R1215" i="2"/>
  <c r="L1216" i="2"/>
  <c r="O1216" i="2"/>
  <c r="R1216" i="2"/>
  <c r="S1216" i="2"/>
  <c r="L1217" i="2"/>
  <c r="O1217" i="2"/>
  <c r="S1217" i="2" s="1"/>
  <c r="R1217" i="2"/>
  <c r="L1218" i="2"/>
  <c r="O1218" i="2"/>
  <c r="R1218" i="2"/>
  <c r="S1218" i="2"/>
  <c r="L1219" i="2"/>
  <c r="O1219" i="2"/>
  <c r="R1219" i="2"/>
  <c r="S1219" i="2"/>
  <c r="L1220" i="2"/>
  <c r="R1220" i="2"/>
  <c r="L1221" i="2"/>
  <c r="R1221" i="2"/>
  <c r="O1211" i="2"/>
  <c r="R1212" i="2"/>
  <c r="A7261" i="17"/>
  <c r="A7260" i="17"/>
  <c r="A7259" i="17"/>
  <c r="A7258" i="17"/>
  <c r="A7257" i="17"/>
  <c r="A7256" i="17"/>
  <c r="A7255" i="17"/>
  <c r="A7254" i="17"/>
  <c r="A7253" i="17"/>
  <c r="A7252" i="17"/>
  <c r="A7251" i="17"/>
  <c r="A7250" i="17"/>
  <c r="A7249" i="17"/>
  <c r="A7248" i="17"/>
  <c r="A7247" i="17"/>
  <c r="A7246" i="17"/>
  <c r="A7245" i="17"/>
  <c r="A7244" i="17"/>
  <c r="A7243" i="17"/>
  <c r="A7242" i="17"/>
  <c r="A7241" i="17"/>
  <c r="A7240" i="17"/>
  <c r="A7239" i="17"/>
  <c r="A7238" i="17"/>
  <c r="A7237" i="17"/>
  <c r="A7236" i="17"/>
  <c r="A7235" i="17"/>
  <c r="A7234" i="17"/>
  <c r="A7233" i="17"/>
  <c r="A7232" i="17"/>
  <c r="A7231" i="17"/>
  <c r="A7230" i="17"/>
  <c r="A7229" i="17"/>
  <c r="A7228" i="17"/>
  <c r="A7227" i="17"/>
  <c r="A7226" i="17"/>
  <c r="A7225" i="17"/>
  <c r="A7224" i="17"/>
  <c r="A7223" i="17"/>
  <c r="A7222" i="17"/>
  <c r="A7221" i="17"/>
  <c r="A7220" i="17"/>
  <c r="A7219" i="17"/>
  <c r="A7218" i="17"/>
  <c r="A7217" i="17"/>
  <c r="A7216" i="17"/>
  <c r="A7215" i="17"/>
  <c r="A7214" i="17"/>
  <c r="A7213" i="17"/>
  <c r="A7212" i="17"/>
  <c r="A7211" i="17"/>
  <c r="A7210" i="17"/>
  <c r="A7209" i="17"/>
  <c r="A7208" i="17"/>
  <c r="A7207" i="17"/>
  <c r="A7206" i="17"/>
  <c r="A7205" i="17"/>
  <c r="A7204" i="17"/>
  <c r="A7203" i="17"/>
  <c r="A7202" i="17"/>
  <c r="A7201" i="17"/>
  <c r="A7200" i="17"/>
  <c r="A7199" i="17"/>
  <c r="A7198" i="17"/>
  <c r="A7197" i="17"/>
  <c r="A7196" i="17"/>
  <c r="A7195" i="17"/>
  <c r="A7194" i="17"/>
  <c r="A7193" i="17"/>
  <c r="A7192" i="17"/>
  <c r="A7191" i="17"/>
  <c r="A7190" i="17"/>
  <c r="A7189" i="17"/>
  <c r="A7188" i="17"/>
  <c r="A7187" i="17"/>
  <c r="A7186" i="17"/>
  <c r="A7185" i="17"/>
  <c r="A7184" i="17"/>
  <c r="A7183" i="17"/>
  <c r="A7182" i="17"/>
  <c r="A7181" i="17"/>
  <c r="A7180" i="17"/>
  <c r="A7179" i="17"/>
  <c r="A7178" i="17"/>
  <c r="A7177" i="17"/>
  <c r="A7176" i="17"/>
  <c r="A7175" i="17"/>
  <c r="A7174" i="17"/>
  <c r="A7173" i="17"/>
  <c r="A7172" i="17"/>
  <c r="A7171" i="17"/>
  <c r="A7170" i="17"/>
  <c r="A7169" i="17"/>
  <c r="A7168" i="17"/>
  <c r="A7167" i="17"/>
  <c r="A7166" i="17"/>
  <c r="A7165" i="17"/>
  <c r="A7164" i="17"/>
  <c r="A7163" i="17"/>
  <c r="A7162" i="17"/>
  <c r="A7161" i="17"/>
  <c r="A7160" i="17"/>
  <c r="A7159" i="17"/>
  <c r="A7158" i="17"/>
  <c r="A7157" i="17"/>
  <c r="A7156" i="17"/>
  <c r="A7155" i="17"/>
  <c r="A7154" i="17"/>
  <c r="A7153" i="17"/>
  <c r="A7152" i="17"/>
  <c r="A7151" i="17"/>
  <c r="A7150" i="17"/>
  <c r="A7149" i="17"/>
  <c r="A7148" i="17"/>
  <c r="A7147" i="17"/>
  <c r="A7146" i="17"/>
  <c r="A7145" i="17"/>
  <c r="A7144" i="17"/>
  <c r="A7143" i="17"/>
  <c r="A7142" i="17"/>
  <c r="A7141" i="17"/>
  <c r="A7140" i="17"/>
  <c r="A7139" i="17"/>
  <c r="A7138" i="17"/>
  <c r="A7137" i="17"/>
  <c r="A7136" i="17"/>
  <c r="A7135" i="17"/>
  <c r="A7134" i="17"/>
  <c r="A7133" i="17"/>
  <c r="A7132" i="17"/>
  <c r="A7131" i="17"/>
  <c r="A7130" i="17"/>
  <c r="A7129" i="17"/>
  <c r="A7128" i="17"/>
  <c r="A7127" i="17"/>
  <c r="A7126" i="17"/>
  <c r="A7125" i="17"/>
  <c r="A7124" i="17"/>
  <c r="A7123" i="17"/>
  <c r="A7122" i="17"/>
  <c r="A7121" i="17"/>
  <c r="A7120" i="17"/>
  <c r="A7119" i="17"/>
  <c r="A7118" i="17"/>
  <c r="A7117" i="17"/>
  <c r="A7116" i="17"/>
  <c r="A7115" i="17"/>
  <c r="A7114" i="17"/>
  <c r="A7113" i="17"/>
  <c r="A7112" i="17"/>
  <c r="A7111" i="17"/>
  <c r="A7110" i="17"/>
  <c r="A7109" i="17"/>
  <c r="A7108" i="17"/>
  <c r="A7107" i="17"/>
  <c r="A7106" i="17"/>
  <c r="A7105" i="17"/>
  <c r="A7104" i="17"/>
  <c r="A7103" i="17"/>
  <c r="A7102" i="17"/>
  <c r="A7101" i="17"/>
  <c r="A7100" i="17"/>
  <c r="A7099" i="17"/>
  <c r="A7098" i="17"/>
  <c r="A7097" i="17"/>
  <c r="A7096" i="17"/>
  <c r="A7095" i="17"/>
  <c r="A7094" i="17"/>
  <c r="A7093" i="17"/>
  <c r="A7092" i="17"/>
  <c r="A7091" i="17"/>
  <c r="A7090" i="17"/>
  <c r="A7089" i="17"/>
  <c r="A7088" i="17"/>
  <c r="A7087" i="17"/>
  <c r="A7086" i="17"/>
  <c r="A7085" i="17"/>
  <c r="A7084" i="17"/>
  <c r="A7083" i="17"/>
  <c r="A7082" i="17"/>
  <c r="A7081" i="17"/>
  <c r="A7080" i="17"/>
  <c r="A7079" i="17"/>
  <c r="A7078" i="17"/>
  <c r="A7077" i="17"/>
  <c r="A7076" i="17"/>
  <c r="A7075" i="17"/>
  <c r="A7074" i="17"/>
  <c r="A7073" i="17"/>
  <c r="A7072" i="17"/>
  <c r="A7071" i="17"/>
  <c r="A7070" i="17"/>
  <c r="A7069" i="17"/>
  <c r="A7068" i="17"/>
  <c r="A7067" i="17"/>
  <c r="A7066" i="17"/>
  <c r="A7065" i="17"/>
  <c r="A7064" i="17"/>
  <c r="A7063" i="17"/>
  <c r="A7062" i="17"/>
  <c r="A7061" i="17"/>
  <c r="A7060" i="17"/>
  <c r="A7059" i="17"/>
  <c r="A7058" i="17"/>
  <c r="A7057" i="17"/>
  <c r="A7056" i="17"/>
  <c r="A7055" i="17"/>
  <c r="A7054" i="17"/>
  <c r="A7053" i="17"/>
  <c r="A7052" i="17"/>
  <c r="A7051" i="17"/>
  <c r="A7050" i="17"/>
  <c r="A7049" i="17"/>
  <c r="A7048" i="17"/>
  <c r="A7047" i="17"/>
  <c r="A7046" i="17"/>
  <c r="A7045" i="17"/>
  <c r="A7044" i="17"/>
  <c r="A7043" i="17"/>
  <c r="A7042" i="17"/>
  <c r="A7041" i="17"/>
  <c r="A7040" i="17"/>
  <c r="A7039" i="17"/>
  <c r="A7038" i="17"/>
  <c r="A7037" i="17"/>
  <c r="A7036" i="17"/>
  <c r="A7035" i="17"/>
  <c r="A7034" i="17"/>
  <c r="A7033" i="17"/>
  <c r="A7032" i="17"/>
  <c r="A7031" i="17"/>
  <c r="A7030" i="17"/>
  <c r="A7029" i="17"/>
  <c r="A7028" i="17"/>
  <c r="A7027" i="17"/>
  <c r="A7026" i="17"/>
  <c r="A7025" i="17"/>
  <c r="A7024" i="17"/>
  <c r="A7023" i="17"/>
  <c r="A7022" i="17"/>
  <c r="A7021" i="17"/>
  <c r="A7020" i="17"/>
  <c r="A7019" i="17"/>
  <c r="A7018" i="17"/>
  <c r="A7017" i="17"/>
  <c r="A7016" i="17"/>
  <c r="A7015" i="17"/>
  <c r="A7014" i="17"/>
  <c r="A7013" i="17"/>
  <c r="A7012" i="17"/>
  <c r="A7011" i="17"/>
  <c r="A7010" i="17"/>
  <c r="A7009" i="17"/>
  <c r="A7008" i="17"/>
  <c r="A7007" i="17"/>
  <c r="A7006" i="17"/>
  <c r="A7005" i="17"/>
  <c r="A7004" i="17"/>
  <c r="A7003" i="17"/>
  <c r="A7002" i="17"/>
  <c r="A7001" i="17"/>
  <c r="A7000" i="17"/>
  <c r="A6999" i="17"/>
  <c r="A6998" i="17"/>
  <c r="A6997" i="17"/>
  <c r="A6996" i="17"/>
  <c r="A6995" i="17"/>
  <c r="A6994" i="17"/>
  <c r="A6993" i="17"/>
  <c r="A6992" i="17"/>
  <c r="A6991" i="17"/>
  <c r="A6990" i="17"/>
  <c r="A6989" i="17"/>
  <c r="A6988" i="17"/>
  <c r="A6987" i="17"/>
  <c r="A6986" i="17"/>
  <c r="A6985" i="17"/>
  <c r="A6984" i="17"/>
  <c r="A6983" i="17"/>
  <c r="A6982" i="17"/>
  <c r="A6981" i="17"/>
  <c r="A6980" i="17"/>
  <c r="A6979" i="17"/>
  <c r="A6978" i="17"/>
  <c r="A6977" i="17"/>
  <c r="A6976" i="17"/>
  <c r="A6975" i="17"/>
  <c r="A6974" i="17"/>
  <c r="A6973" i="17"/>
  <c r="A6972" i="17"/>
  <c r="A6971" i="17"/>
  <c r="A6970" i="17"/>
  <c r="A6969" i="17"/>
  <c r="A6968" i="17"/>
  <c r="A6967" i="17"/>
  <c r="A6966" i="17"/>
  <c r="A6965" i="17"/>
  <c r="A6964" i="17"/>
  <c r="A6963" i="17"/>
  <c r="A6962" i="17"/>
  <c r="A6961" i="17"/>
  <c r="A6960" i="17"/>
  <c r="A6959" i="17"/>
  <c r="A6958" i="17"/>
  <c r="A6957" i="17"/>
  <c r="A6956" i="17"/>
  <c r="A6955" i="17"/>
  <c r="A6954" i="17"/>
  <c r="A6953" i="17"/>
  <c r="A6952" i="17"/>
  <c r="A6951" i="17"/>
  <c r="A6950" i="17"/>
  <c r="A6949" i="17"/>
  <c r="A6948" i="17"/>
  <c r="A6947" i="17"/>
  <c r="A6946" i="17"/>
  <c r="A6945" i="17"/>
  <c r="A6944" i="17"/>
  <c r="A6943" i="17"/>
  <c r="A6942" i="17"/>
  <c r="A6941" i="17"/>
  <c r="A6940" i="17"/>
  <c r="A6939" i="17"/>
  <c r="A6938" i="17"/>
  <c r="A6937" i="17"/>
  <c r="A6936" i="17"/>
  <c r="A6935" i="17"/>
  <c r="A6934" i="17"/>
  <c r="A6933" i="17"/>
  <c r="A6932" i="17"/>
  <c r="A6931" i="17"/>
  <c r="A6930" i="17"/>
  <c r="A6929" i="17"/>
  <c r="A6928" i="17"/>
  <c r="A6927" i="17"/>
  <c r="A6926" i="17"/>
  <c r="A6925" i="17"/>
  <c r="A6924" i="17"/>
  <c r="A6923" i="17"/>
  <c r="A6922" i="17"/>
  <c r="A6921" i="17"/>
  <c r="A6920" i="17"/>
  <c r="A6919" i="17"/>
  <c r="A6918" i="17"/>
  <c r="A6917" i="17"/>
  <c r="A6916" i="17"/>
  <c r="A6915" i="17"/>
  <c r="A6914" i="17"/>
  <c r="A6913" i="17"/>
  <c r="A6912" i="17"/>
  <c r="A6911" i="17"/>
  <c r="A6910" i="17"/>
  <c r="A6909" i="17"/>
  <c r="A6908" i="17"/>
  <c r="A6907" i="17"/>
  <c r="A6906" i="17"/>
  <c r="A6905" i="17"/>
  <c r="A6904" i="17"/>
  <c r="A6903" i="17"/>
  <c r="A6902" i="17"/>
  <c r="A6901" i="17"/>
  <c r="A6900" i="17"/>
  <c r="A6899" i="17"/>
  <c r="A6898" i="17"/>
  <c r="A6897" i="17"/>
  <c r="A6896" i="17"/>
  <c r="A6895" i="17"/>
  <c r="A6894" i="17"/>
  <c r="A6893" i="17"/>
  <c r="A6892" i="17"/>
  <c r="A6891" i="17"/>
  <c r="A6890" i="17"/>
  <c r="A6889" i="17"/>
  <c r="A6888" i="17"/>
  <c r="A6887" i="17"/>
  <c r="A6886" i="17"/>
  <c r="A6885" i="17"/>
  <c r="A6884" i="17"/>
  <c r="A6883" i="17"/>
  <c r="A6882" i="17"/>
  <c r="A6881" i="17"/>
  <c r="A6880" i="17"/>
  <c r="A6879" i="17"/>
  <c r="A6878" i="17"/>
  <c r="A6877" i="17"/>
  <c r="A6876" i="17"/>
  <c r="A6875" i="17"/>
  <c r="A6874" i="17"/>
  <c r="A6873" i="17"/>
  <c r="A6872" i="17"/>
  <c r="A6871" i="17"/>
  <c r="A6870" i="17"/>
  <c r="A6869" i="17"/>
  <c r="A6868" i="17"/>
  <c r="A6867" i="17"/>
  <c r="A6866" i="17"/>
  <c r="A6865" i="17"/>
  <c r="A6864" i="17"/>
  <c r="A6863" i="17"/>
  <c r="A6862" i="17"/>
  <c r="A6861" i="17"/>
  <c r="A6860" i="17"/>
  <c r="A6859" i="17"/>
  <c r="A6858" i="17"/>
  <c r="A6857" i="17"/>
  <c r="A6856" i="17"/>
  <c r="A6855" i="17"/>
  <c r="A6854" i="17"/>
  <c r="A6853" i="17"/>
  <c r="A6852" i="17"/>
  <c r="A6851" i="17"/>
  <c r="A6850" i="17"/>
  <c r="A6849" i="17"/>
  <c r="A6848" i="17"/>
  <c r="A6847" i="17"/>
  <c r="A6846" i="17"/>
  <c r="A6845" i="17"/>
  <c r="A6844" i="17"/>
  <c r="A6843" i="17"/>
  <c r="A6842" i="17"/>
  <c r="A6841" i="17"/>
  <c r="A6840" i="17"/>
  <c r="A6839" i="17"/>
  <c r="A6838" i="17"/>
  <c r="A6837" i="17"/>
  <c r="A6836" i="17"/>
  <c r="A6835" i="17"/>
  <c r="A6834" i="17"/>
  <c r="A6833" i="17"/>
  <c r="A6832" i="17"/>
  <c r="A6831" i="17"/>
  <c r="A6830" i="17"/>
  <c r="A6829" i="17"/>
  <c r="A6828" i="17"/>
  <c r="A6827" i="17"/>
  <c r="A6826" i="17"/>
  <c r="A6825" i="17"/>
  <c r="A6824" i="17"/>
  <c r="A6823" i="17"/>
  <c r="A6822" i="17"/>
  <c r="A6821" i="17"/>
  <c r="A6820" i="17"/>
  <c r="A6819" i="17"/>
  <c r="A6818" i="17"/>
  <c r="A6817" i="17"/>
  <c r="A6816" i="17"/>
  <c r="A6815" i="17"/>
  <c r="A6814" i="17"/>
  <c r="A6813" i="17"/>
  <c r="A6812" i="17"/>
  <c r="A6811" i="17"/>
  <c r="A6810" i="17"/>
  <c r="A6809" i="17"/>
  <c r="A6808" i="17"/>
  <c r="A6807" i="17"/>
  <c r="A6806" i="17"/>
  <c r="A6805" i="17"/>
  <c r="A6804" i="17"/>
  <c r="A6803" i="17"/>
  <c r="A6802" i="17"/>
  <c r="A6801" i="17"/>
  <c r="A6800" i="17"/>
  <c r="A6799" i="17"/>
  <c r="A6798" i="17"/>
  <c r="A6797" i="17"/>
  <c r="A6796" i="17"/>
  <c r="A6795" i="17"/>
  <c r="A6794" i="17"/>
  <c r="A6793" i="17"/>
  <c r="A6792" i="17"/>
  <c r="A6791" i="17"/>
  <c r="A6790" i="17"/>
  <c r="A6789" i="17"/>
  <c r="A6788" i="17"/>
  <c r="A6787" i="17"/>
  <c r="A6786" i="17"/>
  <c r="A6785" i="17"/>
  <c r="A6784" i="17"/>
  <c r="A6783" i="17"/>
  <c r="A6782" i="17"/>
  <c r="A6781" i="17"/>
  <c r="A6780" i="17"/>
  <c r="A6779" i="17"/>
  <c r="A6778" i="17"/>
  <c r="A6777" i="17"/>
  <c r="A6776" i="17"/>
  <c r="A6775" i="17"/>
  <c r="A6774" i="17"/>
  <c r="A6773" i="17"/>
  <c r="A6772" i="17"/>
  <c r="A6771" i="17"/>
  <c r="A6770" i="17"/>
  <c r="A6769" i="17"/>
  <c r="A6768" i="17"/>
  <c r="A6767" i="17"/>
  <c r="A6766" i="17"/>
  <c r="A6765" i="17"/>
  <c r="A6764" i="17"/>
  <c r="A6763" i="17"/>
  <c r="A6762" i="17"/>
  <c r="A6761" i="17"/>
  <c r="A6760" i="17"/>
  <c r="A6759" i="17"/>
  <c r="A6758" i="17"/>
  <c r="A6757" i="17"/>
  <c r="A6756" i="17"/>
  <c r="A6755" i="17"/>
  <c r="A6754" i="17"/>
  <c r="A6753" i="17"/>
  <c r="A6752" i="17"/>
  <c r="A6751" i="17"/>
  <c r="A6750" i="17"/>
  <c r="A6749" i="17"/>
  <c r="A6748" i="17"/>
  <c r="A6747" i="17"/>
  <c r="A6746" i="17"/>
  <c r="A6745" i="17"/>
  <c r="A6744" i="17"/>
  <c r="A6743" i="17"/>
  <c r="A6742" i="17"/>
  <c r="A6741" i="17"/>
  <c r="A6740" i="17"/>
  <c r="A6739" i="17"/>
  <c r="A6738" i="17"/>
  <c r="A6737" i="17"/>
  <c r="A6736" i="17"/>
  <c r="A6735" i="17"/>
  <c r="A6734" i="17"/>
  <c r="A6733" i="17"/>
  <c r="A6732" i="17"/>
  <c r="A6731" i="17"/>
  <c r="A6730" i="17"/>
  <c r="A6729" i="17"/>
  <c r="A6728" i="17"/>
  <c r="A6727" i="17"/>
  <c r="A6726" i="17"/>
  <c r="A6725" i="17"/>
  <c r="A6724" i="17"/>
  <c r="A6723" i="17"/>
  <c r="A6722" i="17"/>
  <c r="A6721" i="17"/>
  <c r="A6720" i="17"/>
  <c r="A6719" i="17"/>
  <c r="A6718" i="17"/>
  <c r="A6717" i="17"/>
  <c r="A6716" i="17"/>
  <c r="A6715" i="17"/>
  <c r="A6714" i="17"/>
  <c r="A6713" i="17"/>
  <c r="A6712" i="17"/>
  <c r="A6711" i="17"/>
  <c r="A6710" i="17"/>
  <c r="A6709" i="17"/>
  <c r="A6708" i="17"/>
  <c r="A6707" i="17"/>
  <c r="A6706" i="17"/>
  <c r="A6705" i="17"/>
  <c r="A6704" i="17"/>
  <c r="A6703" i="17"/>
  <c r="A6702" i="17"/>
  <c r="A6701" i="17"/>
  <c r="A6700" i="17"/>
  <c r="A6699" i="17"/>
  <c r="A6698" i="17"/>
  <c r="A6697" i="17"/>
  <c r="A6696" i="17"/>
  <c r="A6695" i="17"/>
  <c r="A6694" i="17"/>
  <c r="A6693" i="17"/>
  <c r="A6692" i="17"/>
  <c r="A6691" i="17"/>
  <c r="A6690" i="17"/>
  <c r="A6689" i="17"/>
  <c r="A6688" i="17"/>
  <c r="A6687" i="17"/>
  <c r="A6686" i="17"/>
  <c r="A6685" i="17"/>
  <c r="A6684" i="17"/>
  <c r="A6683" i="17"/>
  <c r="A6682" i="17"/>
  <c r="A6681" i="17"/>
  <c r="A6680" i="17"/>
  <c r="A6679" i="17"/>
  <c r="A6678" i="17"/>
  <c r="A6677" i="17"/>
  <c r="A6676" i="17"/>
  <c r="A6675" i="17"/>
  <c r="A6674" i="17"/>
  <c r="A6673" i="17"/>
  <c r="A6672" i="17"/>
  <c r="A6671" i="17"/>
  <c r="A6670" i="17"/>
  <c r="A6669" i="17"/>
  <c r="A6668" i="17"/>
  <c r="A6667" i="17"/>
  <c r="A6666" i="17"/>
  <c r="A6665" i="17"/>
  <c r="A6664" i="17"/>
  <c r="A6663" i="17"/>
  <c r="A6662" i="17"/>
  <c r="A6661" i="17"/>
  <c r="A6660" i="17"/>
  <c r="A6659" i="17"/>
  <c r="A6658" i="17"/>
  <c r="A6657" i="17"/>
  <c r="A6656" i="17"/>
  <c r="A6655" i="17"/>
  <c r="A6654" i="17"/>
  <c r="A6653" i="17"/>
  <c r="A6652" i="17"/>
  <c r="A6651" i="17"/>
  <c r="A6650" i="17"/>
  <c r="A6649" i="17"/>
  <c r="A6648" i="17"/>
  <c r="A6647" i="17"/>
  <c r="A6646" i="17"/>
  <c r="A6645" i="17"/>
  <c r="A6644" i="17"/>
  <c r="A6643" i="17"/>
  <c r="A6642" i="17"/>
  <c r="A6641" i="17"/>
  <c r="A6640" i="17"/>
  <c r="A6639" i="17"/>
  <c r="A6638" i="17"/>
  <c r="A6637" i="17"/>
  <c r="A6636" i="17"/>
  <c r="A6635" i="17"/>
  <c r="A6634" i="17"/>
  <c r="A6633" i="17"/>
  <c r="A6632" i="17"/>
  <c r="A6631" i="17"/>
  <c r="A6630" i="17"/>
  <c r="A6629" i="17"/>
  <c r="A6628" i="17"/>
  <c r="A6627" i="17"/>
  <c r="A6626" i="17"/>
  <c r="A6625" i="17"/>
  <c r="A6624" i="17"/>
  <c r="A6623" i="17"/>
  <c r="A6622" i="17"/>
  <c r="A6621" i="17"/>
  <c r="A6620" i="17"/>
  <c r="A6619" i="17"/>
  <c r="A6618" i="17"/>
  <c r="A6617" i="17"/>
  <c r="A6616" i="17"/>
  <c r="A6615" i="17"/>
  <c r="A6614" i="17"/>
  <c r="A6613" i="17"/>
  <c r="A6612" i="17"/>
  <c r="A6611" i="17"/>
  <c r="A6610" i="17"/>
  <c r="A6609" i="17"/>
  <c r="A6608" i="17"/>
  <c r="A6607" i="17"/>
  <c r="A6606" i="17"/>
  <c r="A6605" i="17"/>
  <c r="A6604" i="17"/>
  <c r="A6603" i="17"/>
  <c r="A6602" i="17"/>
  <c r="A6601" i="17"/>
  <c r="A6600" i="17"/>
  <c r="A6599" i="17"/>
  <c r="A6598" i="17"/>
  <c r="A6597" i="17"/>
  <c r="A6596" i="17"/>
  <c r="A6595" i="17"/>
  <c r="A6594" i="17"/>
  <c r="A6593" i="17"/>
  <c r="A6592" i="17"/>
  <c r="A6591" i="17"/>
  <c r="A6590" i="17"/>
  <c r="A6589" i="17"/>
  <c r="A6588" i="17"/>
  <c r="A6587" i="17"/>
  <c r="A6586" i="17"/>
  <c r="A6585" i="17"/>
  <c r="A6584" i="17"/>
  <c r="A6583" i="17"/>
  <c r="A6582" i="17"/>
  <c r="A6581" i="17"/>
  <c r="A6580" i="17"/>
  <c r="A6579" i="17"/>
  <c r="A6578" i="17"/>
  <c r="A6577" i="17"/>
  <c r="A6576" i="17"/>
  <c r="A6575" i="17"/>
  <c r="A6574" i="17"/>
  <c r="A6573" i="17"/>
  <c r="A6572" i="17"/>
  <c r="A6571" i="17"/>
  <c r="A6570" i="17"/>
  <c r="A6569" i="17"/>
  <c r="A6568" i="17"/>
  <c r="A6567" i="17"/>
  <c r="A6566" i="17"/>
  <c r="A6565" i="17"/>
  <c r="A6564" i="17"/>
  <c r="A6563" i="17"/>
  <c r="A6562" i="17"/>
  <c r="A6561" i="17"/>
  <c r="A6560" i="17"/>
  <c r="A6559" i="17"/>
  <c r="A6558" i="17"/>
  <c r="A6557" i="17"/>
  <c r="A6556" i="17"/>
  <c r="A6555" i="17"/>
  <c r="A6554" i="17"/>
  <c r="A6553" i="17"/>
  <c r="A6552" i="17"/>
  <c r="A6551" i="17"/>
  <c r="A6550" i="17"/>
  <c r="A6549" i="17"/>
  <c r="A6548" i="17"/>
  <c r="A6547" i="17"/>
  <c r="A6546" i="17"/>
  <c r="A6545" i="17"/>
  <c r="A6544" i="17"/>
  <c r="A6543" i="17"/>
  <c r="A6542" i="17"/>
  <c r="A6541" i="17"/>
  <c r="A6540" i="17"/>
  <c r="A6539" i="17"/>
  <c r="A6538" i="17"/>
  <c r="A6537" i="17"/>
  <c r="A6536" i="17"/>
  <c r="A6535" i="17"/>
  <c r="A6534" i="17"/>
  <c r="A6533" i="17"/>
  <c r="A6532" i="17"/>
  <c r="A6531" i="17"/>
  <c r="A6530" i="17"/>
  <c r="A6529" i="17"/>
  <c r="A6528" i="17"/>
  <c r="A6527" i="17"/>
  <c r="A6526" i="17"/>
  <c r="A6525" i="17"/>
  <c r="A6524" i="17"/>
  <c r="A6523" i="17"/>
  <c r="A6522" i="17"/>
  <c r="A6521" i="17"/>
  <c r="A6520" i="17"/>
  <c r="A6519" i="17"/>
  <c r="A6518" i="17"/>
  <c r="A6517" i="17"/>
  <c r="A6516" i="17"/>
  <c r="A6515" i="17"/>
  <c r="A6514" i="17"/>
  <c r="A6513" i="17"/>
  <c r="A6512" i="17"/>
  <c r="A6511" i="17"/>
  <c r="A6510" i="17"/>
  <c r="A6509" i="17"/>
  <c r="A6508" i="17"/>
  <c r="A6507" i="17"/>
  <c r="A6506" i="17"/>
  <c r="A6505" i="17"/>
  <c r="A6504" i="17"/>
  <c r="A6503" i="17"/>
  <c r="A6502" i="17"/>
  <c r="A6501" i="17"/>
  <c r="A6500" i="17"/>
  <c r="A6499" i="17"/>
  <c r="A6498" i="17"/>
  <c r="A6497" i="17"/>
  <c r="A6496" i="17"/>
  <c r="A6495" i="17"/>
  <c r="A6494" i="17"/>
  <c r="A6493" i="17"/>
  <c r="A6492" i="17"/>
  <c r="A6491" i="17"/>
  <c r="A6490" i="17"/>
  <c r="A6489" i="17"/>
  <c r="A6488" i="17"/>
  <c r="A6487" i="17"/>
  <c r="A6486" i="17"/>
  <c r="A6485" i="17"/>
  <c r="A6484" i="17"/>
  <c r="A6483" i="17"/>
  <c r="A6482" i="17"/>
  <c r="A6481" i="17"/>
  <c r="A6480" i="17"/>
  <c r="A6479" i="17"/>
  <c r="A6478" i="17"/>
  <c r="A6477" i="17"/>
  <c r="A6476" i="17"/>
  <c r="A6475" i="17"/>
  <c r="A6474" i="17"/>
  <c r="A6473" i="17"/>
  <c r="A6472" i="17"/>
  <c r="A6471" i="17"/>
  <c r="A6470" i="17"/>
  <c r="A6469" i="17"/>
  <c r="A6468" i="17"/>
  <c r="A6467" i="17"/>
  <c r="A6466" i="17"/>
  <c r="A6465" i="17"/>
  <c r="A6464" i="17"/>
  <c r="A6463" i="17"/>
  <c r="A6462" i="17"/>
  <c r="A6461" i="17"/>
  <c r="A6460" i="17"/>
  <c r="A6459" i="17"/>
  <c r="A6458" i="17"/>
  <c r="A6457" i="17"/>
  <c r="A6456" i="17"/>
  <c r="A6455" i="17"/>
  <c r="A6454" i="17"/>
  <c r="A6453" i="17"/>
  <c r="A6452" i="17"/>
  <c r="A6451" i="17"/>
  <c r="A6450" i="17"/>
  <c r="A6449" i="17"/>
  <c r="A6448" i="17"/>
  <c r="A6447" i="17"/>
  <c r="A6446" i="17"/>
  <c r="A6445" i="17"/>
  <c r="A6444" i="17"/>
  <c r="A6443" i="17"/>
  <c r="A6442" i="17"/>
  <c r="A6441" i="17"/>
  <c r="A6440" i="17"/>
  <c r="A6439" i="17"/>
  <c r="A6438" i="17"/>
  <c r="A6437" i="17"/>
  <c r="A6436" i="17"/>
  <c r="A6435" i="17"/>
  <c r="A6434" i="17"/>
  <c r="A6433" i="17"/>
  <c r="A6432" i="17"/>
  <c r="A6431" i="17"/>
  <c r="A6430" i="17"/>
  <c r="A6429" i="17"/>
  <c r="A6428" i="17"/>
  <c r="A6427" i="17"/>
  <c r="A6426" i="17"/>
  <c r="A6425" i="17"/>
  <c r="A6424" i="17"/>
  <c r="A6423" i="17"/>
  <c r="A6422" i="17"/>
  <c r="A6421" i="17"/>
  <c r="A6420" i="17"/>
  <c r="A6419" i="17"/>
  <c r="A6418" i="17"/>
  <c r="A6417" i="17"/>
  <c r="A6416" i="17"/>
  <c r="A6415" i="17"/>
  <c r="A6414" i="17"/>
  <c r="A6413" i="17"/>
  <c r="A6412" i="17"/>
  <c r="A6411" i="17"/>
  <c r="A6410" i="17"/>
  <c r="A6409" i="17"/>
  <c r="A6408" i="17"/>
  <c r="A6407" i="17"/>
  <c r="A6406" i="17"/>
  <c r="A6405" i="17"/>
  <c r="A6404" i="17"/>
  <c r="A6403" i="17"/>
  <c r="A6402" i="17"/>
  <c r="A6401" i="17"/>
  <c r="A6400" i="17"/>
  <c r="A6399" i="17"/>
  <c r="A6398" i="17"/>
  <c r="A6397" i="17"/>
  <c r="A6396" i="17"/>
  <c r="A6395" i="17"/>
  <c r="A6394" i="17"/>
  <c r="A6393" i="17"/>
  <c r="A6392" i="17"/>
  <c r="A6391" i="17"/>
  <c r="A6390" i="17"/>
  <c r="A6389" i="17"/>
  <c r="A6388" i="17"/>
  <c r="A6387" i="17"/>
  <c r="A6386" i="17"/>
  <c r="A6385" i="17"/>
  <c r="A6384" i="17"/>
  <c r="A6383" i="17"/>
  <c r="A6382" i="17"/>
  <c r="A6381" i="17"/>
  <c r="A6380" i="17"/>
  <c r="A6379" i="17"/>
  <c r="A6378" i="17"/>
  <c r="A6377" i="17"/>
  <c r="A6376" i="17"/>
  <c r="A6375" i="17"/>
  <c r="A6374" i="17"/>
  <c r="A6373" i="17"/>
  <c r="A6372" i="17"/>
  <c r="A6371" i="17"/>
  <c r="A6370" i="17"/>
  <c r="A6369" i="17"/>
  <c r="A6368" i="17"/>
  <c r="A6367" i="17"/>
  <c r="A6366" i="17"/>
  <c r="A6365" i="17"/>
  <c r="A6364" i="17"/>
  <c r="A6363" i="17"/>
  <c r="A6362" i="17"/>
  <c r="A6361" i="17"/>
  <c r="A6360" i="17"/>
  <c r="A6359" i="17"/>
  <c r="A6358" i="17"/>
  <c r="A6357" i="17"/>
  <c r="A6356" i="17"/>
  <c r="A6355" i="17"/>
  <c r="A6354" i="17"/>
  <c r="A6353" i="17"/>
  <c r="A6352" i="17"/>
  <c r="A6351" i="17"/>
  <c r="A6350" i="17"/>
  <c r="A6349" i="17"/>
  <c r="A6348" i="17"/>
  <c r="A6347" i="17"/>
  <c r="A6346" i="17"/>
  <c r="A6345" i="17"/>
  <c r="A6344" i="17"/>
  <c r="A6343" i="17"/>
  <c r="A6342" i="17"/>
  <c r="A6341" i="17"/>
  <c r="A6340" i="17"/>
  <c r="A6339" i="17"/>
  <c r="A6338" i="17"/>
  <c r="A6337" i="17"/>
  <c r="A6336" i="17"/>
  <c r="A6335" i="17"/>
  <c r="A6334" i="17"/>
  <c r="A6333" i="17"/>
  <c r="A6332" i="17"/>
  <c r="A6331" i="17"/>
  <c r="A6330" i="17"/>
  <c r="A6329" i="17"/>
  <c r="A6328" i="17"/>
  <c r="A6327" i="17"/>
  <c r="A6326" i="17"/>
  <c r="A6325" i="17"/>
  <c r="A6324" i="17"/>
  <c r="A6323" i="17"/>
  <c r="A6322" i="17"/>
  <c r="A6321" i="17"/>
  <c r="A6320" i="17"/>
  <c r="A6319" i="17"/>
  <c r="A6318" i="17"/>
  <c r="A6317" i="17"/>
  <c r="A6316" i="17"/>
  <c r="A6315" i="17"/>
  <c r="A6314" i="17"/>
  <c r="A6313" i="17"/>
  <c r="A6312" i="17"/>
  <c r="A6311" i="17"/>
  <c r="A6310" i="17"/>
  <c r="A6309" i="17"/>
  <c r="A6308" i="17"/>
  <c r="A6307" i="17"/>
  <c r="A6306" i="17"/>
  <c r="A6305" i="17"/>
  <c r="A6304" i="17"/>
  <c r="A6303" i="17"/>
  <c r="A6302" i="17"/>
  <c r="A6301" i="17"/>
  <c r="A6300" i="17"/>
  <c r="A6299" i="17"/>
  <c r="A6298" i="17"/>
  <c r="A6297" i="17"/>
  <c r="A6296" i="17"/>
  <c r="A6295" i="17"/>
  <c r="A6294" i="17"/>
  <c r="A6293" i="17"/>
  <c r="A6292" i="17"/>
  <c r="A6291" i="17"/>
  <c r="A6290" i="17"/>
  <c r="A6289" i="17"/>
  <c r="A6288" i="17"/>
  <c r="A6287" i="17"/>
  <c r="A6286" i="17"/>
  <c r="A6285" i="17"/>
  <c r="A6284" i="17"/>
  <c r="A6283" i="17"/>
  <c r="A6282" i="17"/>
  <c r="A6281" i="17"/>
  <c r="A6280" i="17"/>
  <c r="A6279" i="17"/>
  <c r="A6278" i="17"/>
  <c r="A6277" i="17"/>
  <c r="A6276" i="17"/>
  <c r="A6275" i="17"/>
  <c r="A6274" i="17"/>
  <c r="A6273" i="17"/>
  <c r="A6272" i="17"/>
  <c r="A6271" i="17"/>
  <c r="A6270" i="17"/>
  <c r="A6269" i="17"/>
  <c r="A6268" i="17"/>
  <c r="A6267" i="17"/>
  <c r="A6266" i="17"/>
  <c r="A6265" i="17"/>
  <c r="A6264" i="17"/>
  <c r="A6263" i="17"/>
  <c r="A6262" i="17"/>
  <c r="A6261" i="17"/>
  <c r="A6260" i="17"/>
  <c r="A6259" i="17"/>
  <c r="A6258" i="17"/>
  <c r="A6257" i="17"/>
  <c r="A6256" i="17"/>
  <c r="A6255" i="17"/>
  <c r="A6254" i="17"/>
  <c r="A6253" i="17"/>
  <c r="A6252" i="17"/>
  <c r="A6251" i="17"/>
  <c r="A6250" i="17"/>
  <c r="A6249" i="17"/>
  <c r="A6248" i="17"/>
  <c r="A6247" i="17"/>
  <c r="A6246" i="17"/>
  <c r="A6245" i="17"/>
  <c r="A6244" i="17"/>
  <c r="A6243" i="17"/>
  <c r="A6242" i="17"/>
  <c r="A6241" i="17"/>
  <c r="A6240" i="17"/>
  <c r="A6239" i="17"/>
  <c r="A6238" i="17"/>
  <c r="A6237" i="17"/>
  <c r="A6236" i="17"/>
  <c r="A6235" i="17"/>
  <c r="A6234" i="17"/>
  <c r="A6233" i="17"/>
  <c r="A6232" i="17"/>
  <c r="A6231" i="17"/>
  <c r="A6230" i="17"/>
  <c r="A6229" i="17"/>
  <c r="A6228" i="17"/>
  <c r="A6227" i="17"/>
  <c r="A6226" i="17"/>
  <c r="A6225" i="17"/>
  <c r="A6224" i="17"/>
  <c r="A6223" i="17"/>
  <c r="A6222" i="17"/>
  <c r="A6221" i="17"/>
  <c r="A6220" i="17"/>
  <c r="A6219" i="17"/>
  <c r="A6218" i="17"/>
  <c r="A6217" i="17"/>
  <c r="A6216" i="17"/>
  <c r="A6215" i="17"/>
  <c r="A6214" i="17"/>
  <c r="A6213" i="17"/>
  <c r="A6212" i="17"/>
  <c r="A6211" i="17"/>
  <c r="A6210" i="17"/>
  <c r="A6209" i="17"/>
  <c r="A6208" i="17"/>
  <c r="A6207" i="17"/>
  <c r="A6206" i="17"/>
  <c r="A6205" i="17"/>
  <c r="A6204" i="17"/>
  <c r="A6203" i="17"/>
  <c r="A6202" i="17"/>
  <c r="A6201" i="17"/>
  <c r="A6200" i="17"/>
  <c r="A6199" i="17"/>
  <c r="A6198" i="17"/>
  <c r="A6197" i="17"/>
  <c r="A6196" i="17"/>
  <c r="A6195" i="17"/>
  <c r="A6194" i="17"/>
  <c r="A6193" i="17"/>
  <c r="A6192" i="17"/>
  <c r="A6191" i="17"/>
  <c r="A6190" i="17"/>
  <c r="A6189" i="17"/>
  <c r="A6188" i="17"/>
  <c r="A6187" i="17"/>
  <c r="A6186" i="17"/>
  <c r="A6185" i="17"/>
  <c r="A6184" i="17"/>
  <c r="A6183" i="17"/>
  <c r="A6182" i="17"/>
  <c r="A6181" i="17"/>
  <c r="A6180" i="17"/>
  <c r="A6179" i="17"/>
  <c r="A6178" i="17"/>
  <c r="A6177" i="17"/>
  <c r="A6176" i="17"/>
  <c r="A6175" i="17"/>
  <c r="A6174" i="17"/>
  <c r="A6173" i="17"/>
  <c r="A6172" i="17"/>
  <c r="A6171" i="17"/>
  <c r="A6170" i="17"/>
  <c r="A6169" i="17"/>
  <c r="A6168" i="17"/>
  <c r="A6167" i="17"/>
  <c r="A6166" i="17"/>
  <c r="A6165" i="17"/>
  <c r="A6164" i="17"/>
  <c r="A6163" i="17"/>
  <c r="A6162" i="17"/>
  <c r="A6161" i="17"/>
  <c r="A6160" i="17"/>
  <c r="A6159" i="17"/>
  <c r="A6158" i="17"/>
  <c r="A6157" i="17"/>
  <c r="A6156" i="17"/>
  <c r="A6155" i="17"/>
  <c r="A6154" i="17"/>
  <c r="A6153" i="17"/>
  <c r="A6152" i="17"/>
  <c r="A6151" i="17"/>
  <c r="A6150" i="17"/>
  <c r="A6149" i="17"/>
  <c r="A6148" i="17"/>
  <c r="A6147" i="17"/>
  <c r="A6146" i="17"/>
  <c r="A6145" i="17"/>
  <c r="A6144" i="17"/>
  <c r="A6143" i="17"/>
  <c r="A6142" i="17"/>
  <c r="A6141" i="17"/>
  <c r="A6140" i="17"/>
  <c r="A6139" i="17"/>
  <c r="A6138" i="17"/>
  <c r="A6137" i="17"/>
  <c r="A6136" i="17"/>
  <c r="A6135" i="17"/>
  <c r="A6134" i="17"/>
  <c r="A6133" i="17"/>
  <c r="A6132" i="17"/>
  <c r="A6131" i="17"/>
  <c r="A6130" i="17"/>
  <c r="A6129" i="17"/>
  <c r="A6128" i="17"/>
  <c r="A6127" i="17"/>
  <c r="A6126" i="17"/>
  <c r="A6125" i="17"/>
  <c r="A6124" i="17"/>
  <c r="A6123" i="17"/>
  <c r="A6122" i="17"/>
  <c r="A6121" i="17"/>
  <c r="A6120" i="17"/>
  <c r="A6119" i="17"/>
  <c r="A6118" i="17"/>
  <c r="A6117" i="17"/>
  <c r="A6116" i="17"/>
  <c r="A6115" i="17"/>
  <c r="A6114" i="17"/>
  <c r="A6113" i="17"/>
  <c r="A6112" i="17"/>
  <c r="A6111" i="17"/>
  <c r="A6110" i="17"/>
  <c r="A6109" i="17"/>
  <c r="A6108" i="17"/>
  <c r="A6107" i="17"/>
  <c r="A6106" i="17"/>
  <c r="A6105" i="17"/>
  <c r="A6104" i="17"/>
  <c r="A6103" i="17"/>
  <c r="A6102" i="17"/>
  <c r="A6101" i="17"/>
  <c r="A6100" i="17"/>
  <c r="A6099" i="17"/>
  <c r="A6098" i="17"/>
  <c r="A6097" i="17"/>
  <c r="A6096" i="17"/>
  <c r="A6095" i="17"/>
  <c r="A6094" i="17"/>
  <c r="A6093" i="17"/>
  <c r="A6092" i="17"/>
  <c r="A6091" i="17"/>
  <c r="A6090" i="17"/>
  <c r="A6089" i="17"/>
  <c r="A6088" i="17"/>
  <c r="A6087" i="17"/>
  <c r="A6086" i="17"/>
  <c r="A6085" i="17"/>
  <c r="A6084" i="17"/>
  <c r="A6083" i="17"/>
  <c r="A6082" i="17"/>
  <c r="A6081" i="17"/>
  <c r="A6080" i="17"/>
  <c r="A6079" i="17"/>
  <c r="A6078" i="17"/>
  <c r="A6077" i="17"/>
  <c r="A6076" i="17"/>
  <c r="A6075" i="17"/>
  <c r="A6074" i="17"/>
  <c r="A6073" i="17"/>
  <c r="A6072" i="17"/>
  <c r="A6071" i="17"/>
  <c r="A6070" i="17"/>
  <c r="A6069" i="17"/>
  <c r="A6068" i="17"/>
  <c r="A6067" i="17"/>
  <c r="A6066" i="17"/>
  <c r="A6065" i="17"/>
  <c r="A6064" i="17"/>
  <c r="A6063" i="17"/>
  <c r="A6062" i="17"/>
  <c r="A6061" i="17"/>
  <c r="A6060" i="17"/>
  <c r="A6059" i="17"/>
  <c r="A6058" i="17"/>
  <c r="A6057" i="17"/>
  <c r="A6056" i="17"/>
  <c r="A6055" i="17"/>
  <c r="A6054" i="17"/>
  <c r="A6053" i="17"/>
  <c r="A6052" i="17"/>
  <c r="A6051" i="17"/>
  <c r="A6050" i="17"/>
  <c r="A6049" i="17"/>
  <c r="A6048" i="17"/>
  <c r="A6047" i="17"/>
  <c r="A6046" i="17"/>
  <c r="A6045" i="17"/>
  <c r="A6044" i="17"/>
  <c r="A6043" i="17"/>
  <c r="A6042" i="17"/>
  <c r="A6041" i="17"/>
  <c r="A6040" i="17"/>
  <c r="A6039" i="17"/>
  <c r="A6038" i="17"/>
  <c r="A6037" i="17"/>
  <c r="A6036" i="17"/>
  <c r="A6035" i="17"/>
  <c r="A6034" i="17"/>
  <c r="A6033" i="17"/>
  <c r="A6032" i="17"/>
  <c r="A6031" i="17"/>
  <c r="A6030" i="17"/>
  <c r="A6029" i="17"/>
  <c r="A6028" i="17"/>
  <c r="A6027" i="17"/>
  <c r="A6026" i="17"/>
  <c r="A6025" i="17"/>
  <c r="A6024" i="17"/>
  <c r="A6023" i="17"/>
  <c r="A6022" i="17"/>
  <c r="A6021" i="17"/>
  <c r="A6020" i="17"/>
  <c r="A6019" i="17"/>
  <c r="A6018" i="17"/>
  <c r="A6017" i="17"/>
  <c r="A6016" i="17"/>
  <c r="A6015" i="17"/>
  <c r="A6014" i="17"/>
  <c r="A6013" i="17"/>
  <c r="A6012" i="17"/>
  <c r="A6011" i="17"/>
  <c r="A6010" i="17"/>
  <c r="A6009" i="17"/>
  <c r="A6008" i="17"/>
  <c r="A6007" i="17"/>
  <c r="A6006" i="17"/>
  <c r="A6005" i="17"/>
  <c r="A6004" i="17"/>
  <c r="A6003" i="17"/>
  <c r="A6002" i="17"/>
  <c r="A6001" i="17"/>
  <c r="A6000" i="17"/>
  <c r="A5999" i="17"/>
  <c r="A5998" i="17"/>
  <c r="A5997" i="17"/>
  <c r="A5996" i="17"/>
  <c r="A5995" i="17"/>
  <c r="A5994" i="17"/>
  <c r="A5993" i="17"/>
  <c r="A5992" i="17"/>
  <c r="A5991" i="17"/>
  <c r="A5990" i="17"/>
  <c r="A5989" i="17"/>
  <c r="A5988" i="17"/>
  <c r="A5987" i="17"/>
  <c r="A5986" i="17"/>
  <c r="A5985" i="17"/>
  <c r="A5984" i="17"/>
  <c r="A5983" i="17"/>
  <c r="A5982" i="17"/>
  <c r="A5981" i="17"/>
  <c r="A5980" i="17"/>
  <c r="A5979" i="17"/>
  <c r="A5978" i="17"/>
  <c r="A5977" i="17"/>
  <c r="A5976" i="17"/>
  <c r="A5975" i="17"/>
  <c r="A5974" i="17"/>
  <c r="A5973" i="17"/>
  <c r="A5972" i="17"/>
  <c r="A5971" i="17"/>
  <c r="A5970" i="17"/>
  <c r="A5969" i="17"/>
  <c r="A5968" i="17"/>
  <c r="A5967" i="17"/>
  <c r="A5966" i="17"/>
  <c r="A5965" i="17"/>
  <c r="A5964" i="17"/>
  <c r="A5963" i="17"/>
  <c r="A5962" i="17"/>
  <c r="A5961" i="17"/>
  <c r="A5960" i="17"/>
  <c r="A5959" i="17"/>
  <c r="A5958" i="17"/>
  <c r="A5957" i="17"/>
  <c r="A5956" i="17"/>
  <c r="A5955" i="17"/>
  <c r="A5954" i="17"/>
  <c r="A5953" i="17"/>
  <c r="A5952" i="17"/>
  <c r="A5951" i="17"/>
  <c r="A5950" i="17"/>
  <c r="A5949" i="17"/>
  <c r="A5948" i="17"/>
  <c r="A5947" i="17"/>
  <c r="A5946" i="17"/>
  <c r="A5945" i="17"/>
  <c r="A5944" i="17"/>
  <c r="A5943" i="17"/>
  <c r="A5942" i="17"/>
  <c r="A5941" i="17"/>
  <c r="A5940" i="17"/>
  <c r="A5939" i="17"/>
  <c r="A5938" i="17"/>
  <c r="A5937" i="17"/>
  <c r="A5936" i="17"/>
  <c r="A5935" i="17"/>
  <c r="A5934" i="17"/>
  <c r="A5933" i="17"/>
  <c r="A5932" i="17"/>
  <c r="A5931" i="17"/>
  <c r="A5930" i="17"/>
  <c r="A5929" i="17"/>
  <c r="A5928" i="17"/>
  <c r="A5927" i="17"/>
  <c r="A5926" i="17"/>
  <c r="A5925" i="17"/>
  <c r="A5924" i="17"/>
  <c r="A5923" i="17"/>
  <c r="A5922" i="17"/>
  <c r="A5921" i="17"/>
  <c r="A5920" i="17"/>
  <c r="A5919" i="17"/>
  <c r="A5918" i="17"/>
  <c r="A5917" i="17"/>
  <c r="A5916" i="17"/>
  <c r="A5915" i="17"/>
  <c r="A5914" i="17"/>
  <c r="A5913" i="17"/>
  <c r="A5912" i="17"/>
  <c r="A5911" i="17"/>
  <c r="A5910" i="17"/>
  <c r="A5909" i="17"/>
  <c r="A5908" i="17"/>
  <c r="A5907" i="17"/>
  <c r="A5906" i="17"/>
  <c r="A5905" i="17"/>
  <c r="A5904" i="17"/>
  <c r="A5903" i="17"/>
  <c r="A5902" i="17"/>
  <c r="A5901" i="17"/>
  <c r="A5900" i="17"/>
  <c r="A5899" i="17"/>
  <c r="A5898" i="17"/>
  <c r="A5897" i="17"/>
  <c r="A5896" i="17"/>
  <c r="A5895" i="17"/>
  <c r="A5894" i="17"/>
  <c r="A5893" i="17"/>
  <c r="A5892" i="17"/>
  <c r="A5891" i="17"/>
  <c r="A5890" i="17"/>
  <c r="A5889" i="17"/>
  <c r="A5888" i="17"/>
  <c r="A5887" i="17"/>
  <c r="A5886" i="17"/>
  <c r="A5885" i="17"/>
  <c r="A5884" i="17"/>
  <c r="A5883" i="17"/>
  <c r="A5882" i="17"/>
  <c r="A5881" i="17"/>
  <c r="A5880" i="17"/>
  <c r="A5879" i="17"/>
  <c r="A5878" i="17"/>
  <c r="A5877" i="17"/>
  <c r="A5876" i="17"/>
  <c r="A5875" i="17"/>
  <c r="A5874" i="17"/>
  <c r="A5873" i="17"/>
  <c r="A5872" i="17"/>
  <c r="A5871" i="17"/>
  <c r="A5870" i="17"/>
  <c r="A5869" i="17"/>
  <c r="A5868" i="17"/>
  <c r="A5867" i="17"/>
  <c r="A5866" i="17"/>
  <c r="A5865" i="17"/>
  <c r="A5864" i="17"/>
  <c r="A5863" i="17"/>
  <c r="A5862" i="17"/>
  <c r="A5861" i="17"/>
  <c r="A5860" i="17"/>
  <c r="A5859" i="17"/>
  <c r="A5858" i="17"/>
  <c r="A5857" i="17"/>
  <c r="A5856" i="17"/>
  <c r="A5855" i="17"/>
  <c r="A5854" i="17"/>
  <c r="A5853" i="17"/>
  <c r="A5852" i="17"/>
  <c r="A5851" i="17"/>
  <c r="A5850" i="17"/>
  <c r="A5849" i="17"/>
  <c r="A5848" i="17"/>
  <c r="A5847" i="17"/>
  <c r="A5846" i="17"/>
  <c r="A5845" i="17"/>
  <c r="A5844" i="17"/>
  <c r="A5843" i="17"/>
  <c r="A5842" i="17"/>
  <c r="A5841" i="17"/>
  <c r="A5840" i="17"/>
  <c r="A5839" i="17"/>
  <c r="A5838" i="17"/>
  <c r="A5837" i="17"/>
  <c r="A5836" i="17"/>
  <c r="A5835" i="17"/>
  <c r="A5834" i="17"/>
  <c r="A5833" i="17"/>
  <c r="A5832" i="17"/>
  <c r="A5831" i="17"/>
  <c r="A5830" i="17"/>
  <c r="A5829" i="17"/>
  <c r="A5828" i="17"/>
  <c r="A5827" i="17"/>
  <c r="A5826" i="17"/>
  <c r="A5825" i="17"/>
  <c r="A5824" i="17"/>
  <c r="A5823" i="17"/>
  <c r="A5822" i="17"/>
  <c r="A5821" i="17"/>
  <c r="A5820" i="17"/>
  <c r="A5819" i="17"/>
  <c r="A5818" i="17"/>
  <c r="A5817" i="17"/>
  <c r="A5816" i="17"/>
  <c r="A5815" i="17"/>
  <c r="A5814" i="17"/>
  <c r="A5813" i="17"/>
  <c r="A5812" i="17"/>
  <c r="A5811" i="17"/>
  <c r="A5810" i="17"/>
  <c r="A5809" i="17"/>
  <c r="A5808" i="17"/>
  <c r="A5807" i="17"/>
  <c r="A5806" i="17"/>
  <c r="A5805" i="17"/>
  <c r="A5804" i="17"/>
  <c r="A5803" i="17"/>
  <c r="A5802" i="17"/>
  <c r="A5801" i="17"/>
  <c r="A5800" i="17"/>
  <c r="A5799" i="17"/>
  <c r="A5798" i="17"/>
  <c r="A5797" i="17"/>
  <c r="A5796" i="17"/>
  <c r="A5795" i="17"/>
  <c r="A5794" i="17"/>
  <c r="A5793" i="17"/>
  <c r="A5792" i="17"/>
  <c r="A5791" i="17"/>
  <c r="A5790" i="17"/>
  <c r="A5789" i="17"/>
  <c r="A5788" i="17"/>
  <c r="A5787" i="17"/>
  <c r="A5786" i="17"/>
  <c r="A5785" i="17"/>
  <c r="A5784" i="17"/>
  <c r="A5783" i="17"/>
  <c r="A5782" i="17"/>
  <c r="A5781" i="17"/>
  <c r="A5780" i="17"/>
  <c r="A5779" i="17"/>
  <c r="A5778" i="17"/>
  <c r="A5777" i="17"/>
  <c r="A5776" i="17"/>
  <c r="A5775" i="17"/>
  <c r="A5774" i="17"/>
  <c r="A5773" i="17"/>
  <c r="A5772" i="17"/>
  <c r="A5771" i="17"/>
  <c r="A5770" i="17"/>
  <c r="A5769" i="17"/>
  <c r="A5768" i="17"/>
  <c r="A5767" i="17"/>
  <c r="A5766" i="17"/>
  <c r="A5765" i="17"/>
  <c r="A5764" i="17"/>
  <c r="A5763" i="17"/>
  <c r="A5762" i="17"/>
  <c r="A5761" i="17"/>
  <c r="A5760" i="17"/>
  <c r="A5759" i="17"/>
  <c r="A5758" i="17"/>
  <c r="A5757" i="17"/>
  <c r="A5756" i="17"/>
  <c r="A5755" i="17"/>
  <c r="A5754" i="17"/>
  <c r="A5753" i="17"/>
  <c r="A5752" i="17"/>
  <c r="A5751" i="17"/>
  <c r="A5750" i="17"/>
  <c r="A5749" i="17"/>
  <c r="A5748" i="17"/>
  <c r="A5747" i="17"/>
  <c r="A5746" i="17"/>
  <c r="A5745" i="17"/>
  <c r="A5744" i="17"/>
  <c r="A5743" i="17"/>
  <c r="A5742" i="17"/>
  <c r="A5741" i="17"/>
  <c r="A5740" i="17"/>
  <c r="A5739" i="17"/>
  <c r="A5738" i="17"/>
  <c r="A5737" i="17"/>
  <c r="A5736" i="17"/>
  <c r="A5735" i="17"/>
  <c r="A5734" i="17"/>
  <c r="A5733" i="17"/>
  <c r="A5732" i="17"/>
  <c r="A5731" i="17"/>
  <c r="A5730" i="17"/>
  <c r="A5729" i="17"/>
  <c r="A5728" i="17"/>
  <c r="A5727" i="17"/>
  <c r="A5726" i="17"/>
  <c r="A5725" i="17"/>
  <c r="A5724" i="17"/>
  <c r="A5723" i="17"/>
  <c r="A5722" i="17"/>
  <c r="A5721" i="17"/>
  <c r="A5720" i="17"/>
  <c r="A5719" i="17"/>
  <c r="A5718" i="17"/>
  <c r="A5717" i="17"/>
  <c r="A5716" i="17"/>
  <c r="A5715" i="17"/>
  <c r="A5714" i="17"/>
  <c r="A5713" i="17"/>
  <c r="A5712" i="17"/>
  <c r="A5711" i="17"/>
  <c r="A5710" i="17"/>
  <c r="A5709" i="17"/>
  <c r="A5708" i="17"/>
  <c r="A5707" i="17"/>
  <c r="A5706" i="17"/>
  <c r="A5705" i="17"/>
  <c r="A5704" i="17"/>
  <c r="A5703" i="17"/>
  <c r="A5702" i="17"/>
  <c r="A5701" i="17"/>
  <c r="A5700" i="17"/>
  <c r="A5699" i="17"/>
  <c r="A5698" i="17"/>
  <c r="A5697" i="17"/>
  <c r="A5696" i="17"/>
  <c r="A5695" i="17"/>
  <c r="A5694" i="17"/>
  <c r="A5693" i="17"/>
  <c r="A5692" i="17"/>
  <c r="A5691" i="17"/>
  <c r="A5690" i="17"/>
  <c r="A5689" i="17"/>
  <c r="A5688" i="17"/>
  <c r="A5687" i="17"/>
  <c r="A5686" i="17"/>
  <c r="A5685" i="17"/>
  <c r="A5684" i="17"/>
  <c r="A5683" i="17"/>
  <c r="A5682" i="17"/>
  <c r="A5681" i="17"/>
  <c r="A5680" i="17"/>
  <c r="A5679" i="17"/>
  <c r="A5678" i="17"/>
  <c r="A5677" i="17"/>
  <c r="A5676" i="17"/>
  <c r="A5675" i="17"/>
  <c r="A5674" i="17"/>
  <c r="A5673" i="17"/>
  <c r="A5672" i="17"/>
  <c r="A5671" i="17"/>
  <c r="A5670" i="17"/>
  <c r="A5669" i="17"/>
  <c r="A5668" i="17"/>
  <c r="A5667" i="17"/>
  <c r="A5666" i="17"/>
  <c r="A5665" i="17"/>
  <c r="A5664" i="17"/>
  <c r="A5663" i="17"/>
  <c r="A5662" i="17"/>
  <c r="A5661" i="17"/>
  <c r="A5660" i="17"/>
  <c r="A5659" i="17"/>
  <c r="A5658" i="17"/>
  <c r="A5657" i="17"/>
  <c r="A5656" i="17"/>
  <c r="A5655" i="17"/>
  <c r="A5654" i="17"/>
  <c r="A5653" i="17"/>
  <c r="A5652" i="17"/>
  <c r="A5651" i="17"/>
  <c r="A5650" i="17"/>
  <c r="A5649" i="17"/>
  <c r="A5648" i="17"/>
  <c r="A5647" i="17"/>
  <c r="A5646" i="17"/>
  <c r="A5645" i="17"/>
  <c r="A5644" i="17"/>
  <c r="A5643" i="17"/>
  <c r="A5642" i="17"/>
  <c r="A5641" i="17"/>
  <c r="A5640" i="17"/>
  <c r="A5639" i="17"/>
  <c r="A5638" i="17"/>
  <c r="A5637" i="17"/>
  <c r="A5636" i="17"/>
  <c r="A5635" i="17"/>
  <c r="A5634" i="17"/>
  <c r="A5633" i="17"/>
  <c r="A5632" i="17"/>
  <c r="A5631" i="17"/>
  <c r="A5630" i="17"/>
  <c r="A5629" i="17"/>
  <c r="A5628" i="17"/>
  <c r="A5627" i="17"/>
  <c r="A5626" i="17"/>
  <c r="A5625" i="17"/>
  <c r="A5624" i="17"/>
  <c r="A5623" i="17"/>
  <c r="A5622" i="17"/>
  <c r="A5621" i="17"/>
  <c r="A5620" i="17"/>
  <c r="A5619" i="17"/>
  <c r="A5618" i="17"/>
  <c r="A5617" i="17"/>
  <c r="A5616" i="17"/>
  <c r="A5615" i="17"/>
  <c r="A5614" i="17"/>
  <c r="A5613" i="17"/>
  <c r="A5612" i="17"/>
  <c r="A5611" i="17"/>
  <c r="A5610" i="17"/>
  <c r="A5609" i="17"/>
  <c r="A5608" i="17"/>
  <c r="A5607" i="17"/>
  <c r="A5606" i="17"/>
  <c r="A5605" i="17"/>
  <c r="A5604" i="17"/>
  <c r="A5603" i="17"/>
  <c r="A5602" i="17"/>
  <c r="A5601" i="17"/>
  <c r="A5600" i="17"/>
  <c r="A5599" i="17"/>
  <c r="A5598" i="17"/>
  <c r="A5597" i="17"/>
  <c r="A5596" i="17"/>
  <c r="A5595" i="17"/>
  <c r="A5594" i="17"/>
  <c r="A5593" i="17"/>
  <c r="A5592" i="17"/>
  <c r="A5591" i="17"/>
  <c r="A5590" i="17"/>
  <c r="A5589" i="17"/>
  <c r="A5588" i="17"/>
  <c r="A5587" i="17"/>
  <c r="A5586" i="17"/>
  <c r="A5585" i="17"/>
  <c r="A5584" i="17"/>
  <c r="A5583" i="17"/>
  <c r="A5582" i="17"/>
  <c r="A5581" i="17"/>
  <c r="A5580" i="17"/>
  <c r="A5579" i="17"/>
  <c r="A5578" i="17"/>
  <c r="A5577" i="17"/>
  <c r="A5576" i="17"/>
  <c r="A5575" i="17"/>
  <c r="A5574" i="17"/>
  <c r="A5573" i="17"/>
  <c r="A5572" i="17"/>
  <c r="A5571" i="17"/>
  <c r="A5570" i="17"/>
  <c r="A5569" i="17"/>
  <c r="A5568" i="17"/>
  <c r="A5567" i="17"/>
  <c r="A5566" i="17"/>
  <c r="A5565" i="17"/>
  <c r="A5564" i="17"/>
  <c r="A5563" i="17"/>
  <c r="A5562" i="17"/>
  <c r="A5561" i="17"/>
  <c r="A5560" i="17"/>
  <c r="A5559" i="17"/>
  <c r="A5558" i="17"/>
  <c r="A5557" i="17"/>
  <c r="A5556" i="17"/>
  <c r="A5555" i="17"/>
  <c r="A5554" i="17"/>
  <c r="A5553" i="17"/>
  <c r="A5552" i="17"/>
  <c r="A5551" i="17"/>
  <c r="A5550" i="17"/>
  <c r="A5549" i="17"/>
  <c r="A5548" i="17"/>
  <c r="A5547" i="17"/>
  <c r="A5546" i="17"/>
  <c r="A5545" i="17"/>
  <c r="A5544" i="17"/>
  <c r="A5543" i="17"/>
  <c r="A5542" i="17"/>
  <c r="A5541" i="17"/>
  <c r="A5540" i="17"/>
  <c r="A5539" i="17"/>
  <c r="A5538" i="17"/>
  <c r="A5537" i="17"/>
  <c r="A5536" i="17"/>
  <c r="A5535" i="17"/>
  <c r="A5534" i="17"/>
  <c r="A5533" i="17"/>
  <c r="A5532" i="17"/>
  <c r="A5531" i="17"/>
  <c r="A5530" i="17"/>
  <c r="A5529" i="17"/>
  <c r="A5528" i="17"/>
  <c r="A5527" i="17"/>
  <c r="A5526" i="17"/>
  <c r="A5525" i="17"/>
  <c r="A5524" i="17"/>
  <c r="A5523" i="17"/>
  <c r="A5522" i="17"/>
  <c r="A5521" i="17"/>
  <c r="A5520" i="17"/>
  <c r="A5519" i="17"/>
  <c r="A5518" i="17"/>
  <c r="A5517" i="17"/>
  <c r="A5516" i="17"/>
  <c r="A5515" i="17"/>
  <c r="A5514" i="17"/>
  <c r="A5513" i="17"/>
  <c r="A5512" i="17"/>
  <c r="A5511" i="17"/>
  <c r="A5510" i="17"/>
  <c r="A5509" i="17"/>
  <c r="A5508" i="17"/>
  <c r="A5507" i="17"/>
  <c r="A5506" i="17"/>
  <c r="A5505" i="17"/>
  <c r="A5504" i="17"/>
  <c r="A5503" i="17"/>
  <c r="A5502" i="17"/>
  <c r="A5501" i="17"/>
  <c r="A5500" i="17"/>
  <c r="A5499" i="17"/>
  <c r="A5498" i="17"/>
  <c r="A5497" i="17"/>
  <c r="A5496" i="17"/>
  <c r="A5495" i="17"/>
  <c r="A5494" i="17"/>
  <c r="A5493" i="17"/>
  <c r="A5492" i="17"/>
  <c r="A5491" i="17"/>
  <c r="A5490" i="17"/>
  <c r="A5489" i="17"/>
  <c r="A5488" i="17"/>
  <c r="A5487" i="17"/>
  <c r="A5486" i="17"/>
  <c r="A5485" i="17"/>
  <c r="A5484" i="17"/>
  <c r="A5483" i="17"/>
  <c r="A5482" i="17"/>
  <c r="A5481" i="17"/>
  <c r="A5480" i="17"/>
  <c r="A5479" i="17"/>
  <c r="A5478" i="17"/>
  <c r="A5477" i="17"/>
  <c r="A5476" i="17"/>
  <c r="A5475" i="17"/>
  <c r="A5474" i="17"/>
  <c r="A5473" i="17"/>
  <c r="A5472" i="17"/>
  <c r="A5471" i="17"/>
  <c r="A5470" i="17"/>
  <c r="A5469" i="17"/>
  <c r="A5468" i="17"/>
  <c r="A5467" i="17"/>
  <c r="A5466" i="17"/>
  <c r="A5465" i="17"/>
  <c r="A5464" i="17"/>
  <c r="A5463" i="17"/>
  <c r="A5462" i="17"/>
  <c r="A5461" i="17"/>
  <c r="A5460" i="17"/>
  <c r="A5459" i="17"/>
  <c r="A5458" i="17"/>
  <c r="A5457" i="17"/>
  <c r="A5456" i="17"/>
  <c r="A5455" i="17"/>
  <c r="A5454" i="17"/>
  <c r="A5453" i="17"/>
  <c r="A5452" i="17"/>
  <c r="A5451" i="17"/>
  <c r="A5450" i="17"/>
  <c r="A5449" i="17"/>
  <c r="A5448" i="17"/>
  <c r="A5447" i="17"/>
  <c r="A5446" i="17"/>
  <c r="A5445" i="17"/>
  <c r="A5444" i="17"/>
  <c r="A5443" i="17"/>
  <c r="A5442" i="17"/>
  <c r="A5441" i="17"/>
  <c r="A5440" i="17"/>
  <c r="A5439" i="17"/>
  <c r="A5438" i="17"/>
  <c r="A5437" i="17"/>
  <c r="A5436" i="17"/>
  <c r="A5435" i="17"/>
  <c r="A5434" i="17"/>
  <c r="A5433" i="17"/>
  <c r="A5432" i="17"/>
  <c r="A5431" i="17"/>
  <c r="A5430" i="17"/>
  <c r="A5429" i="17"/>
  <c r="A5428" i="17"/>
  <c r="A5427" i="17"/>
  <c r="A5426" i="17"/>
  <c r="A5425" i="17"/>
  <c r="A5424" i="17"/>
  <c r="A5423" i="17"/>
  <c r="A5422" i="17"/>
  <c r="A5421" i="17"/>
  <c r="A5420" i="17"/>
  <c r="A5419" i="17"/>
  <c r="A5418" i="17"/>
  <c r="A5417" i="17"/>
  <c r="A5416" i="17"/>
  <c r="A5415" i="17"/>
  <c r="A5414" i="17"/>
  <c r="A5413" i="17"/>
  <c r="A5412" i="17"/>
  <c r="A5411" i="17"/>
  <c r="A5410" i="17"/>
  <c r="A5409" i="17"/>
  <c r="A5408" i="17"/>
  <c r="A5407" i="17"/>
  <c r="A5406" i="17"/>
  <c r="A5405" i="17"/>
  <c r="A5404" i="17"/>
  <c r="A5403" i="17"/>
  <c r="A5402" i="17"/>
  <c r="A5401" i="17"/>
  <c r="A5400" i="17"/>
  <c r="A5399" i="17"/>
  <c r="A5398" i="17"/>
  <c r="A5397" i="17"/>
  <c r="A5396" i="17"/>
  <c r="A5395" i="17"/>
  <c r="A5394" i="17"/>
  <c r="A5393" i="17"/>
  <c r="A5392" i="17"/>
  <c r="A5391" i="17"/>
  <c r="A5390" i="17"/>
  <c r="A5389" i="17"/>
  <c r="A5388" i="17"/>
  <c r="A5387" i="17"/>
  <c r="A5386" i="17"/>
  <c r="A5385" i="17"/>
  <c r="A5384" i="17"/>
  <c r="A5383" i="17"/>
  <c r="A5382" i="17"/>
  <c r="A5381" i="17"/>
  <c r="A5380" i="17"/>
  <c r="A5379" i="17"/>
  <c r="A5378" i="17"/>
  <c r="A5377" i="17"/>
  <c r="A5376" i="17"/>
  <c r="A5375" i="17"/>
  <c r="A5374" i="17"/>
  <c r="A5373" i="17"/>
  <c r="A5372" i="17"/>
  <c r="A5371" i="17"/>
  <c r="A5370" i="17"/>
  <c r="A5369" i="17"/>
  <c r="A5368" i="17"/>
  <c r="A5367" i="17"/>
  <c r="A5366" i="17"/>
  <c r="A5365" i="17"/>
  <c r="A5364" i="17"/>
  <c r="A5363" i="17"/>
  <c r="A5362" i="17"/>
  <c r="A5361" i="17"/>
  <c r="A5360" i="17"/>
  <c r="A5359" i="17"/>
  <c r="A5358" i="17"/>
  <c r="A5357" i="17"/>
  <c r="A5356" i="17"/>
  <c r="A5355" i="17"/>
  <c r="A5354" i="17"/>
  <c r="A5353" i="17"/>
  <c r="A5352" i="17"/>
  <c r="A5351" i="17"/>
  <c r="A5350" i="17"/>
  <c r="A5349" i="17"/>
  <c r="A5348" i="17"/>
  <c r="A5347" i="17"/>
  <c r="A5346" i="17"/>
  <c r="A5345" i="17"/>
  <c r="A5344" i="17"/>
  <c r="A5343" i="17"/>
  <c r="A5342" i="17"/>
  <c r="A5341" i="17"/>
  <c r="A5340" i="17"/>
  <c r="A5339" i="17"/>
  <c r="A5338" i="17"/>
  <c r="A5337" i="17"/>
  <c r="A5336" i="17"/>
  <c r="A5335" i="17"/>
  <c r="A5334" i="17"/>
  <c r="A5333" i="17"/>
  <c r="A5332" i="17"/>
  <c r="A5331" i="17"/>
  <c r="A5330" i="17"/>
  <c r="A5329" i="17"/>
  <c r="A5328" i="17"/>
  <c r="A5327" i="17"/>
  <c r="A5326" i="17"/>
  <c r="A5325" i="17"/>
  <c r="A5324" i="17"/>
  <c r="A5323" i="17"/>
  <c r="A5322" i="17"/>
  <c r="A5321" i="17"/>
  <c r="A5320" i="17"/>
  <c r="A5319" i="17"/>
  <c r="A5318" i="17"/>
  <c r="A5317" i="17"/>
  <c r="A5316" i="17"/>
  <c r="A5315" i="17"/>
  <c r="A5314" i="17"/>
  <c r="A5313" i="17"/>
  <c r="A5312" i="17"/>
  <c r="A5311" i="17"/>
  <c r="A5310" i="17"/>
  <c r="A5309" i="17"/>
  <c r="A5308" i="17"/>
  <c r="A5307" i="17"/>
  <c r="A5306" i="17"/>
  <c r="A5305" i="17"/>
  <c r="A5304" i="17"/>
  <c r="A5303" i="17"/>
  <c r="A5302" i="17"/>
  <c r="A5301" i="17"/>
  <c r="A5300" i="17"/>
  <c r="A5299" i="17"/>
  <c r="A5298" i="17"/>
  <c r="A5297" i="17"/>
  <c r="A5296" i="17"/>
  <c r="A5295" i="17"/>
  <c r="A5294" i="17"/>
  <c r="A5293" i="17"/>
  <c r="A5292" i="17"/>
  <c r="A5291" i="17"/>
  <c r="A5290" i="17"/>
  <c r="A5289" i="17"/>
  <c r="A5288" i="17"/>
  <c r="A5287" i="17"/>
  <c r="A5286" i="17"/>
  <c r="A5285" i="17"/>
  <c r="A5284" i="17"/>
  <c r="A5283" i="17"/>
  <c r="A5282" i="17"/>
  <c r="A5281" i="17"/>
  <c r="A5280" i="17"/>
  <c r="A5279" i="17"/>
  <c r="A5278" i="17"/>
  <c r="A5277" i="17"/>
  <c r="A5276" i="17"/>
  <c r="A5275" i="17"/>
  <c r="A5274" i="17"/>
  <c r="A5273" i="17"/>
  <c r="A5272" i="17"/>
  <c r="A5271" i="17"/>
  <c r="A5270" i="17"/>
  <c r="A5269" i="17"/>
  <c r="A5268" i="17"/>
  <c r="A5267" i="17"/>
  <c r="A5266" i="17"/>
  <c r="A5265" i="17"/>
  <c r="A5264" i="17"/>
  <c r="A5263" i="17"/>
  <c r="A5262" i="17"/>
  <c r="A5261" i="17"/>
  <c r="A5260" i="17"/>
  <c r="A5259" i="17"/>
  <c r="A5258" i="17"/>
  <c r="A5257" i="17"/>
  <c r="A5256" i="17"/>
  <c r="A5255" i="17"/>
  <c r="A5254" i="17"/>
  <c r="A5253" i="17"/>
  <c r="A5252" i="17"/>
  <c r="A5251" i="17"/>
  <c r="A5250" i="17"/>
  <c r="A5249" i="17"/>
  <c r="A5248" i="17"/>
  <c r="A5247" i="17"/>
  <c r="A5246" i="17"/>
  <c r="A5245" i="17"/>
  <c r="A5244" i="17"/>
  <c r="A5243" i="17"/>
  <c r="A5242" i="17"/>
  <c r="A5241" i="17"/>
  <c r="A5240" i="17"/>
  <c r="A5239" i="17"/>
  <c r="A5238" i="17"/>
  <c r="A5237" i="17"/>
  <c r="A5236" i="17"/>
  <c r="A5235" i="17"/>
  <c r="A5234" i="17"/>
  <c r="A5233" i="17"/>
  <c r="A5232" i="17"/>
  <c r="A5231" i="17"/>
  <c r="A5230" i="17"/>
  <c r="A5229" i="17"/>
  <c r="A5228" i="17"/>
  <c r="A5227" i="17"/>
  <c r="A5226" i="17"/>
  <c r="A5225" i="17"/>
  <c r="A5224" i="17"/>
  <c r="A5223" i="17"/>
  <c r="A5222" i="17"/>
  <c r="A5221" i="17"/>
  <c r="A5220" i="17"/>
  <c r="A5219" i="17"/>
  <c r="A5218" i="17"/>
  <c r="A5217" i="17"/>
  <c r="A5216" i="17"/>
  <c r="A5215" i="17"/>
  <c r="A5214" i="17"/>
  <c r="A5213" i="17"/>
  <c r="A5212" i="17"/>
  <c r="A5211" i="17"/>
  <c r="A5210" i="17"/>
  <c r="A5209" i="17"/>
  <c r="A5208" i="17"/>
  <c r="A5207" i="17"/>
  <c r="A5206" i="17"/>
  <c r="A5205" i="17"/>
  <c r="A5204" i="17"/>
  <c r="A5203" i="17"/>
  <c r="A5202" i="17"/>
  <c r="A5201" i="17"/>
  <c r="A5200" i="17"/>
  <c r="A5199" i="17"/>
  <c r="A5198" i="17"/>
  <c r="A5197" i="17"/>
  <c r="A5196" i="17"/>
  <c r="A5195" i="17"/>
  <c r="A5194" i="17"/>
  <c r="A5193" i="17"/>
  <c r="A5192" i="17"/>
  <c r="A5191" i="17"/>
  <c r="A5190" i="17"/>
  <c r="A5189" i="17"/>
  <c r="A5188" i="17"/>
  <c r="A5187" i="17"/>
  <c r="A5186" i="17"/>
  <c r="A5185" i="17"/>
  <c r="A5184" i="17"/>
  <c r="A5183" i="17"/>
  <c r="A5182" i="17"/>
  <c r="A5181" i="17"/>
  <c r="A5180" i="17"/>
  <c r="A5179" i="17"/>
  <c r="A5178" i="17"/>
  <c r="A5177" i="17"/>
  <c r="A5176" i="17"/>
  <c r="A5175" i="17"/>
  <c r="A5174" i="17"/>
  <c r="A5173" i="17"/>
  <c r="A5172" i="17"/>
  <c r="A5171" i="17"/>
  <c r="A5170" i="17"/>
  <c r="A5169" i="17"/>
  <c r="A5168" i="17"/>
  <c r="A5167" i="17"/>
  <c r="A5166" i="17"/>
  <c r="A5165" i="17"/>
  <c r="A5164" i="17"/>
  <c r="A5163" i="17"/>
  <c r="A5162" i="17"/>
  <c r="A5161" i="17"/>
  <c r="A5160" i="17"/>
  <c r="A5159" i="17"/>
  <c r="A5158" i="17"/>
  <c r="A5157" i="17"/>
  <c r="A5156" i="17"/>
  <c r="A5155" i="17"/>
  <c r="A5154" i="17"/>
  <c r="A5153" i="17"/>
  <c r="A5152" i="17"/>
  <c r="A5151" i="17"/>
  <c r="A5150" i="17"/>
  <c r="A5149" i="17"/>
  <c r="A5148" i="17"/>
  <c r="A5147" i="17"/>
  <c r="A5146" i="17"/>
  <c r="A5145" i="17"/>
  <c r="A5144" i="17"/>
  <c r="A5143" i="17"/>
  <c r="A5142" i="17"/>
  <c r="A5141" i="17"/>
  <c r="A5140" i="17"/>
  <c r="A5139" i="17"/>
  <c r="A5138" i="17"/>
  <c r="A5137" i="17"/>
  <c r="A5136" i="17"/>
  <c r="A5135" i="17"/>
  <c r="A5134" i="17"/>
  <c r="A5133" i="17"/>
  <c r="A5132" i="17"/>
  <c r="A5131" i="17"/>
  <c r="A5130" i="17"/>
  <c r="A5129" i="17"/>
  <c r="A5128" i="17"/>
  <c r="A5127" i="17"/>
  <c r="A5126" i="17"/>
  <c r="A5125" i="17"/>
  <c r="A5124" i="17"/>
  <c r="A5123" i="17"/>
  <c r="A5122" i="17"/>
  <c r="A5121" i="17"/>
  <c r="A5120" i="17"/>
  <c r="A5119" i="17"/>
  <c r="A5118" i="17"/>
  <c r="A5117" i="17"/>
  <c r="A5116" i="17"/>
  <c r="A5115" i="17"/>
  <c r="A5114" i="17"/>
  <c r="A5113" i="17"/>
  <c r="A5112" i="17"/>
  <c r="A5111" i="17"/>
  <c r="A5110" i="17"/>
  <c r="A5109" i="17"/>
  <c r="A5108" i="17"/>
  <c r="A5107" i="17"/>
  <c r="A5106" i="17"/>
  <c r="A5105" i="17"/>
  <c r="A5104" i="17"/>
  <c r="A5103" i="17"/>
  <c r="A5102" i="17"/>
  <c r="A5101" i="17"/>
  <c r="A5100" i="17"/>
  <c r="A5099" i="17"/>
  <c r="A5098" i="17"/>
  <c r="A5097" i="17"/>
  <c r="A5096" i="17"/>
  <c r="A5095" i="17"/>
  <c r="A5094" i="17"/>
  <c r="A5093" i="17"/>
  <c r="A5092" i="17"/>
  <c r="A5091" i="17"/>
  <c r="A5090" i="17"/>
  <c r="A5089" i="17"/>
  <c r="A5088" i="17"/>
  <c r="A5087" i="17"/>
  <c r="A5086" i="17"/>
  <c r="A5085" i="17"/>
  <c r="A5084" i="17"/>
  <c r="A5083" i="17"/>
  <c r="A5082" i="17"/>
  <c r="A5081" i="17"/>
  <c r="A5080" i="17"/>
  <c r="A5079" i="17"/>
  <c r="A5078" i="17"/>
  <c r="A5077" i="17"/>
  <c r="A5076" i="17"/>
  <c r="A5075" i="17"/>
  <c r="A5074" i="17"/>
  <c r="A5073" i="17"/>
  <c r="A5072" i="17"/>
  <c r="A5071" i="17"/>
  <c r="A5070" i="17"/>
  <c r="A5069" i="17"/>
  <c r="A5068" i="17"/>
  <c r="A5067" i="17"/>
  <c r="A5066" i="17"/>
  <c r="A5065" i="17"/>
  <c r="A5064" i="17"/>
  <c r="A5063" i="17"/>
  <c r="A5062" i="17"/>
  <c r="A5061" i="17"/>
  <c r="A5060" i="17"/>
  <c r="A5059" i="17"/>
  <c r="A5058" i="17"/>
  <c r="A5057" i="17"/>
  <c r="A5056" i="17"/>
  <c r="A5055" i="17"/>
  <c r="A5054" i="17"/>
  <c r="A5053" i="17"/>
  <c r="A5052" i="17"/>
  <c r="A5051" i="17"/>
  <c r="A5050" i="17"/>
  <c r="A5049" i="17"/>
  <c r="A5048" i="17"/>
  <c r="A5047" i="17"/>
  <c r="A5046" i="17"/>
  <c r="A5045" i="17"/>
  <c r="A5044" i="17"/>
  <c r="A5043" i="17"/>
  <c r="A5042" i="17"/>
  <c r="A5041" i="17"/>
  <c r="A5040" i="17"/>
  <c r="A5039" i="17"/>
  <c r="A5038" i="17"/>
  <c r="A5037" i="17"/>
  <c r="A5036" i="17"/>
  <c r="A5035" i="17"/>
  <c r="A5034" i="17"/>
  <c r="A5033" i="17"/>
  <c r="A5032" i="17"/>
  <c r="A5031" i="17"/>
  <c r="A5030" i="17"/>
  <c r="A5029" i="17"/>
  <c r="A5028" i="17"/>
  <c r="A5027" i="17"/>
  <c r="A5026" i="17"/>
  <c r="A5025" i="17"/>
  <c r="A5024" i="17"/>
  <c r="A5023" i="17"/>
  <c r="A5022" i="17"/>
  <c r="A5021" i="17"/>
  <c r="A5020" i="17"/>
  <c r="A5019" i="17"/>
  <c r="A5018" i="17"/>
  <c r="A5017" i="17"/>
  <c r="A5016" i="17"/>
  <c r="A5015" i="17"/>
  <c r="A5014" i="17"/>
  <c r="A5013" i="17"/>
  <c r="A5012" i="17"/>
  <c r="A5011" i="17"/>
  <c r="A5010" i="17"/>
  <c r="A5009" i="17"/>
  <c r="A5008" i="17"/>
  <c r="A5007" i="17"/>
  <c r="A5006" i="17"/>
  <c r="A5005" i="17"/>
  <c r="A5004" i="17"/>
  <c r="A5003" i="17"/>
  <c r="A5002" i="17"/>
  <c r="A5001" i="17"/>
  <c r="A5000" i="17"/>
  <c r="A4999" i="17"/>
  <c r="A4998" i="17"/>
  <c r="A4997" i="17"/>
  <c r="A4996" i="17"/>
  <c r="A4995" i="17"/>
  <c r="A4994" i="17"/>
  <c r="A4993" i="17"/>
  <c r="A4992" i="17"/>
  <c r="A4991" i="17"/>
  <c r="A4990" i="17"/>
  <c r="A4989" i="17"/>
  <c r="A4988" i="17"/>
  <c r="A4987" i="17"/>
  <c r="A4986" i="17"/>
  <c r="A4985" i="17"/>
  <c r="A4984" i="17"/>
  <c r="A4983" i="17"/>
  <c r="A4982" i="17"/>
  <c r="A4981" i="17"/>
  <c r="A4980" i="17"/>
  <c r="A4979" i="17"/>
  <c r="A4978" i="17"/>
  <c r="A4977" i="17"/>
  <c r="A4976" i="17"/>
  <c r="A4975" i="17"/>
  <c r="A4974" i="17"/>
  <c r="A4973" i="17"/>
  <c r="A4972" i="17"/>
  <c r="A4971" i="17"/>
  <c r="A4970" i="17"/>
  <c r="A4969" i="17"/>
  <c r="A4968" i="17"/>
  <c r="A4967" i="17"/>
  <c r="A4966" i="17"/>
  <c r="A4965" i="17"/>
  <c r="A4964" i="17"/>
  <c r="A4963" i="17"/>
  <c r="A4962" i="17"/>
  <c r="A4961" i="17"/>
  <c r="A4960" i="17"/>
  <c r="A4959" i="17"/>
  <c r="A4958" i="17"/>
  <c r="A4957" i="17"/>
  <c r="A4956" i="17"/>
  <c r="A4955" i="17"/>
  <c r="A4954" i="17"/>
  <c r="A4953" i="17"/>
  <c r="A4952" i="17"/>
  <c r="A4951" i="17"/>
  <c r="A4950" i="17"/>
  <c r="A4949" i="17"/>
  <c r="A4948" i="17"/>
  <c r="A4947" i="17"/>
  <c r="A4946" i="17"/>
  <c r="A4945" i="17"/>
  <c r="A4944" i="17"/>
  <c r="A4943" i="17"/>
  <c r="A4942" i="17"/>
  <c r="A4941" i="17"/>
  <c r="A4940" i="17"/>
  <c r="A4939" i="17"/>
  <c r="A4938" i="17"/>
  <c r="A4937" i="17"/>
  <c r="A4936" i="17"/>
  <c r="A4935" i="17"/>
  <c r="A4934" i="17"/>
  <c r="A4933" i="17"/>
  <c r="A4932" i="17"/>
  <c r="A4931" i="17"/>
  <c r="A4930" i="17"/>
  <c r="A4929" i="17"/>
  <c r="A4928" i="17"/>
  <c r="A4927" i="17"/>
  <c r="A4926" i="17"/>
  <c r="A4925" i="17"/>
  <c r="A4924" i="17"/>
  <c r="A4923" i="17"/>
  <c r="A4922" i="17"/>
  <c r="A4921" i="17"/>
  <c r="A4920" i="17"/>
  <c r="A4919" i="17"/>
  <c r="A4918" i="17"/>
  <c r="A4917" i="17"/>
  <c r="A4916" i="17"/>
  <c r="A4915" i="17"/>
  <c r="A4914" i="17"/>
  <c r="A4913" i="17"/>
  <c r="A4912" i="17"/>
  <c r="A4911" i="17"/>
  <c r="A4910" i="17"/>
  <c r="A4909" i="17"/>
  <c r="A4908" i="17"/>
  <c r="A4907" i="17"/>
  <c r="A4906" i="17"/>
  <c r="A4905" i="17"/>
  <c r="A4904" i="17"/>
  <c r="A4903" i="17"/>
  <c r="A4902" i="17"/>
  <c r="A4901" i="17"/>
  <c r="A4900" i="17"/>
  <c r="A4899" i="17"/>
  <c r="A4898" i="17"/>
  <c r="A4897" i="17"/>
  <c r="A4896" i="17"/>
  <c r="A4895" i="17"/>
  <c r="A4894" i="17"/>
  <c r="A4893" i="17"/>
  <c r="A4892" i="17"/>
  <c r="A4891" i="17"/>
  <c r="A4890" i="17"/>
  <c r="A4889" i="17"/>
  <c r="A4888" i="17"/>
  <c r="A4887" i="17"/>
  <c r="A4886" i="17"/>
  <c r="A4885" i="17"/>
  <c r="A4884" i="17"/>
  <c r="A4883" i="17"/>
  <c r="A4882" i="17"/>
  <c r="A4881" i="17"/>
  <c r="A4880" i="17"/>
  <c r="A4879" i="17"/>
  <c r="A4878" i="17"/>
  <c r="A4877" i="17"/>
  <c r="A4876" i="17"/>
  <c r="A4875" i="17"/>
  <c r="A4874" i="17"/>
  <c r="A4873" i="17"/>
  <c r="A4872" i="17"/>
  <c r="A4871" i="17"/>
  <c r="A4870" i="17"/>
  <c r="A4869" i="17"/>
  <c r="A4868" i="17"/>
  <c r="A4867" i="17"/>
  <c r="A4866" i="17"/>
  <c r="A4865" i="17"/>
  <c r="A4864" i="17"/>
  <c r="A4863" i="17"/>
  <c r="A4862" i="17"/>
  <c r="A4861" i="17"/>
  <c r="A4860" i="17"/>
  <c r="A4859" i="17"/>
  <c r="A4858" i="17"/>
  <c r="A4857" i="17"/>
  <c r="A4856" i="17"/>
  <c r="A4855" i="17"/>
  <c r="A4854" i="17"/>
  <c r="A4853" i="17"/>
  <c r="A4852" i="17"/>
  <c r="A4851" i="17"/>
  <c r="A4850" i="17"/>
  <c r="A4849" i="17"/>
  <c r="A4848" i="17"/>
  <c r="A4847" i="17"/>
  <c r="A4846" i="17"/>
  <c r="A4845" i="17"/>
  <c r="A4844" i="17"/>
  <c r="A4843" i="17"/>
  <c r="A4842" i="17"/>
  <c r="A4841" i="17"/>
  <c r="A4840" i="17"/>
  <c r="A4839" i="17"/>
  <c r="A4838" i="17"/>
  <c r="A4837" i="17"/>
  <c r="A4836" i="17"/>
  <c r="A4835" i="17"/>
  <c r="A4834" i="17"/>
  <c r="A4833" i="17"/>
  <c r="A4832" i="17"/>
  <c r="A4831" i="17"/>
  <c r="A4830" i="17"/>
  <c r="A4829" i="17"/>
  <c r="A4828" i="17"/>
  <c r="A4827" i="17"/>
  <c r="A4826" i="17"/>
  <c r="A4825" i="17"/>
  <c r="A4824" i="17"/>
  <c r="A4823" i="17"/>
  <c r="A4822" i="17"/>
  <c r="A4821" i="17"/>
  <c r="A4820" i="17"/>
  <c r="A4819" i="17"/>
  <c r="A4818" i="17"/>
  <c r="A4817" i="17"/>
  <c r="A4816" i="17"/>
  <c r="A4815" i="17"/>
  <c r="A4814" i="17"/>
  <c r="A4813" i="17"/>
  <c r="A4812" i="17"/>
  <c r="A4811" i="17"/>
  <c r="A4810" i="17"/>
  <c r="A4809" i="17"/>
  <c r="A4808" i="17"/>
  <c r="A4807" i="17"/>
  <c r="A4806" i="17"/>
  <c r="A4805" i="17"/>
  <c r="A4804" i="17"/>
  <c r="A4803" i="17"/>
  <c r="A4802" i="17"/>
  <c r="A4801" i="17"/>
  <c r="A4800" i="17"/>
  <c r="A4799" i="17"/>
  <c r="A4798" i="17"/>
  <c r="A4797" i="17"/>
  <c r="A4796" i="17"/>
  <c r="A4795" i="17"/>
  <c r="A4794" i="17"/>
  <c r="A4793" i="17"/>
  <c r="A4792" i="17"/>
  <c r="A4791" i="17"/>
  <c r="A4790" i="17"/>
  <c r="A4789" i="17"/>
  <c r="A4788" i="17"/>
  <c r="A4787" i="17"/>
  <c r="A4786" i="17"/>
  <c r="A4785" i="17"/>
  <c r="A4784" i="17"/>
  <c r="A4783" i="17"/>
  <c r="A4782" i="17"/>
  <c r="A4781" i="17"/>
  <c r="A4780" i="17"/>
  <c r="A4779" i="17"/>
  <c r="A4778" i="17"/>
  <c r="A4777" i="17"/>
  <c r="A4776" i="17"/>
  <c r="A4775" i="17"/>
  <c r="A4774" i="17"/>
  <c r="A4773" i="17"/>
  <c r="A4772" i="17"/>
  <c r="A4771" i="17"/>
  <c r="A4770" i="17"/>
  <c r="A4769" i="17"/>
  <c r="A4768" i="17"/>
  <c r="A4767" i="17"/>
  <c r="A4766" i="17"/>
  <c r="A4765" i="17"/>
  <c r="A4764" i="17"/>
  <c r="A4763" i="17"/>
  <c r="A4762" i="17"/>
  <c r="A4761" i="17"/>
  <c r="A4760" i="17"/>
  <c r="A4759" i="17"/>
  <c r="A4758" i="17"/>
  <c r="A4757" i="17"/>
  <c r="A4756" i="17"/>
  <c r="A4755" i="17"/>
  <c r="A4754" i="17"/>
  <c r="A4753" i="17"/>
  <c r="A4752" i="17"/>
  <c r="A4751" i="17"/>
  <c r="A4750" i="17"/>
  <c r="A4749" i="17"/>
  <c r="A4748" i="17"/>
  <c r="A4747" i="17"/>
  <c r="A4746" i="17"/>
  <c r="A4745" i="17"/>
  <c r="A4744" i="17"/>
  <c r="A4743" i="17"/>
  <c r="A4742" i="17"/>
  <c r="A4741" i="17"/>
  <c r="A4740" i="17"/>
  <c r="A4739" i="17"/>
  <c r="A4738" i="17"/>
  <c r="A4737" i="17"/>
  <c r="A4736" i="17"/>
  <c r="A4735" i="17"/>
  <c r="A4734" i="17"/>
  <c r="A4733" i="17"/>
  <c r="A4732" i="17"/>
  <c r="A4731" i="17"/>
  <c r="A4730" i="17"/>
  <c r="A4729" i="17"/>
  <c r="A4728" i="17"/>
  <c r="A4727" i="17"/>
  <c r="A4726" i="17"/>
  <c r="A4725" i="17"/>
  <c r="A4724" i="17"/>
  <c r="A4723" i="17"/>
  <c r="A4722" i="17"/>
  <c r="A4721" i="17"/>
  <c r="A4720" i="17"/>
  <c r="A4719" i="17"/>
  <c r="A4718" i="17"/>
  <c r="A4717" i="17"/>
  <c r="A4716" i="17"/>
  <c r="A4715" i="17"/>
  <c r="A4714" i="17"/>
  <c r="A4713" i="17"/>
  <c r="A4712" i="17"/>
  <c r="A4711" i="17"/>
  <c r="A4710" i="17"/>
  <c r="A4709" i="17"/>
  <c r="A4708" i="17"/>
  <c r="A4707" i="17"/>
  <c r="A4706" i="17"/>
  <c r="A4705" i="17"/>
  <c r="A4704" i="17"/>
  <c r="A4703" i="17"/>
  <c r="A4702" i="17"/>
  <c r="A4701" i="17"/>
  <c r="A4700" i="17"/>
  <c r="A4699" i="17"/>
  <c r="A4698" i="17"/>
  <c r="A4697" i="17"/>
  <c r="A4696" i="17"/>
  <c r="A4695" i="17"/>
  <c r="A4694" i="17"/>
  <c r="A4693" i="17"/>
  <c r="A4692" i="17"/>
  <c r="A4691" i="17"/>
  <c r="A4690" i="17"/>
  <c r="A4689" i="17"/>
  <c r="A4688" i="17"/>
  <c r="A4687" i="17"/>
  <c r="A4686" i="17"/>
  <c r="A4685" i="17"/>
  <c r="A4684" i="17"/>
  <c r="A4683" i="17"/>
  <c r="A4682" i="17"/>
  <c r="A4681" i="17"/>
  <c r="A4680" i="17"/>
  <c r="A4679" i="17"/>
  <c r="A4678" i="17"/>
  <c r="A4677" i="17"/>
  <c r="A4676" i="17"/>
  <c r="A4675" i="17"/>
  <c r="A4674" i="17"/>
  <c r="A4673" i="17"/>
  <c r="A4672" i="17"/>
  <c r="A4671" i="17"/>
  <c r="A4670" i="17"/>
  <c r="A4669" i="17"/>
  <c r="A4668" i="17"/>
  <c r="A4667" i="17"/>
  <c r="A4666" i="17"/>
  <c r="A4665" i="17"/>
  <c r="A4664" i="17"/>
  <c r="A4663" i="17"/>
  <c r="A4662" i="17"/>
  <c r="A4661" i="17"/>
  <c r="A4660" i="17"/>
  <c r="A4659" i="17"/>
  <c r="A4658" i="17"/>
  <c r="A4657" i="17"/>
  <c r="A4656" i="17"/>
  <c r="A4655" i="17"/>
  <c r="A4654" i="17"/>
  <c r="A4653" i="17"/>
  <c r="A4652" i="17"/>
  <c r="A4651" i="17"/>
  <c r="A4650" i="17"/>
  <c r="A4649" i="17"/>
  <c r="A4648" i="17"/>
  <c r="A4647" i="17"/>
  <c r="A4646" i="17"/>
  <c r="A4645" i="17"/>
  <c r="A4644" i="17"/>
  <c r="A4643" i="17"/>
  <c r="A4642" i="17"/>
  <c r="A4641" i="17"/>
  <c r="A4640" i="17"/>
  <c r="A4639" i="17"/>
  <c r="A4638" i="17"/>
  <c r="A4637" i="17"/>
  <c r="A4636" i="17"/>
  <c r="A4635" i="17"/>
  <c r="A4634" i="17"/>
  <c r="A4633" i="17"/>
  <c r="A4632" i="17"/>
  <c r="A4631" i="17"/>
  <c r="A4630" i="17"/>
  <c r="A4629" i="17"/>
  <c r="A4628" i="17"/>
  <c r="A4627" i="17"/>
  <c r="A4626" i="17"/>
  <c r="A4625" i="17"/>
  <c r="A4624" i="17"/>
  <c r="A4623" i="17"/>
  <c r="A4622" i="17"/>
  <c r="A4621" i="17"/>
  <c r="A4620" i="17"/>
  <c r="A4619" i="17"/>
  <c r="A4618" i="17"/>
  <c r="A4617" i="17"/>
  <c r="A4616" i="17"/>
  <c r="A4615" i="17"/>
  <c r="A4614" i="17"/>
  <c r="A4613" i="17"/>
  <c r="A4612" i="17"/>
  <c r="A4611" i="17"/>
  <c r="A4610" i="17"/>
  <c r="A4609" i="17"/>
  <c r="A4608" i="17"/>
  <c r="A4607" i="17"/>
  <c r="A4606" i="17"/>
  <c r="A4605" i="17"/>
  <c r="A4604" i="17"/>
  <c r="A4603" i="17"/>
  <c r="A4602" i="17"/>
  <c r="A4601" i="17"/>
  <c r="A4600" i="17"/>
  <c r="A4599" i="17"/>
  <c r="A4598" i="17"/>
  <c r="A4597" i="17"/>
  <c r="A4596" i="17"/>
  <c r="A4595" i="17"/>
  <c r="A4594" i="17"/>
  <c r="A4593" i="17"/>
  <c r="A4592" i="17"/>
  <c r="A4591" i="17"/>
  <c r="A4590" i="17"/>
  <c r="A4589" i="17"/>
  <c r="A4588" i="17"/>
  <c r="A4587" i="17"/>
  <c r="A4586" i="17"/>
  <c r="A4585" i="17"/>
  <c r="A4584" i="17"/>
  <c r="A4583" i="17"/>
  <c r="A4582" i="17"/>
  <c r="A4581" i="17"/>
  <c r="A4580" i="17"/>
  <c r="A4579" i="17"/>
  <c r="A4578" i="17"/>
  <c r="A4577" i="17"/>
  <c r="A4576" i="17"/>
  <c r="A4575" i="17"/>
  <c r="A4574" i="17"/>
  <c r="A4573" i="17"/>
  <c r="A4572" i="17"/>
  <c r="A4571" i="17"/>
  <c r="A4570" i="17"/>
  <c r="A4569" i="17"/>
  <c r="A4568" i="17"/>
  <c r="A4567" i="17"/>
  <c r="A4566" i="17"/>
  <c r="A4565" i="17"/>
  <c r="A4564" i="17"/>
  <c r="A4563" i="17"/>
  <c r="A4562" i="17"/>
  <c r="A4561" i="17"/>
  <c r="A4560" i="17"/>
  <c r="A4559" i="17"/>
  <c r="A4558" i="17"/>
  <c r="A4557" i="17"/>
  <c r="A4556" i="17"/>
  <c r="A4555" i="17"/>
  <c r="A4554" i="17"/>
  <c r="A4553" i="17"/>
  <c r="A4552" i="17"/>
  <c r="A4551" i="17"/>
  <c r="A4550" i="17"/>
  <c r="A4549" i="17"/>
  <c r="A4548" i="17"/>
  <c r="A4547" i="17"/>
  <c r="A4546" i="17"/>
  <c r="A4545" i="17"/>
  <c r="A4544" i="17"/>
  <c r="A4543" i="17"/>
  <c r="A4542" i="17"/>
  <c r="A4541" i="17"/>
  <c r="A4540" i="17"/>
  <c r="A4539" i="17"/>
  <c r="A4538" i="17"/>
  <c r="A4537" i="17"/>
  <c r="A4536" i="17"/>
  <c r="A4535" i="17"/>
  <c r="A4534" i="17"/>
  <c r="A4533" i="17"/>
  <c r="A4532" i="17"/>
  <c r="A4531" i="17"/>
  <c r="A4530" i="17"/>
  <c r="A4529" i="17"/>
  <c r="A4528" i="17"/>
  <c r="A4527" i="17"/>
  <c r="A4526" i="17"/>
  <c r="A4525" i="17"/>
  <c r="A4524" i="17"/>
  <c r="A4523" i="17"/>
  <c r="A4522" i="17"/>
  <c r="A4521" i="17"/>
  <c r="A4520" i="17"/>
  <c r="A4519" i="17"/>
  <c r="A4518" i="17"/>
  <c r="A4517" i="17"/>
  <c r="A4516" i="17"/>
  <c r="A4515" i="17"/>
  <c r="A4514" i="17"/>
  <c r="A4513" i="17"/>
  <c r="A4512" i="17"/>
  <c r="A4511" i="17"/>
  <c r="A4510" i="17"/>
  <c r="A4509" i="17"/>
  <c r="A4508" i="17"/>
  <c r="A4507" i="17"/>
  <c r="A4506" i="17"/>
  <c r="A4505" i="17"/>
  <c r="A4504" i="17"/>
  <c r="A4503" i="17"/>
  <c r="A4502" i="17"/>
  <c r="A4501" i="17"/>
  <c r="A4500" i="17"/>
  <c r="A4499" i="17"/>
  <c r="A4498" i="17"/>
  <c r="A4497" i="17"/>
  <c r="A4496" i="17"/>
  <c r="A4495" i="17"/>
  <c r="A4494" i="17"/>
  <c r="A4493" i="17"/>
  <c r="A4492" i="17"/>
  <c r="A4491" i="17"/>
  <c r="A4490" i="17"/>
  <c r="A4489" i="17"/>
  <c r="A4488" i="17"/>
  <c r="A4487" i="17"/>
  <c r="A4486" i="17"/>
  <c r="A4485" i="17"/>
  <c r="A4484" i="17"/>
  <c r="A4483" i="17"/>
  <c r="A4482" i="17"/>
  <c r="A4481" i="17"/>
  <c r="A4480" i="17"/>
  <c r="A4479" i="17"/>
  <c r="A4478" i="17"/>
  <c r="A4477" i="17"/>
  <c r="A4476" i="17"/>
  <c r="A4475" i="17"/>
  <c r="A4474" i="17"/>
  <c r="A4473" i="17"/>
  <c r="A4472" i="17"/>
  <c r="A4471" i="17"/>
  <c r="A4470" i="17"/>
  <c r="A4469" i="17"/>
  <c r="A4468" i="17"/>
  <c r="A4467" i="17"/>
  <c r="A4466" i="17"/>
  <c r="A4465" i="17"/>
  <c r="A4464" i="17"/>
  <c r="A4463" i="17"/>
  <c r="A4462" i="17"/>
  <c r="A4461" i="17"/>
  <c r="A4460" i="17"/>
  <c r="A4459" i="17"/>
  <c r="A4458" i="17"/>
  <c r="A4457" i="17"/>
  <c r="A4456" i="17"/>
  <c r="A4455" i="17"/>
  <c r="A4454" i="17"/>
  <c r="A4453" i="17"/>
  <c r="A4452" i="17"/>
  <c r="A4451" i="17"/>
  <c r="A4450" i="17"/>
  <c r="A4449" i="17"/>
  <c r="A4448" i="17"/>
  <c r="A4447" i="17"/>
  <c r="A4446" i="17"/>
  <c r="A4445" i="17"/>
  <c r="A4444" i="17"/>
  <c r="A4443" i="17"/>
  <c r="A4442" i="17"/>
  <c r="A4441" i="17"/>
  <c r="A4440" i="17"/>
  <c r="A4439" i="17"/>
  <c r="A4438" i="17"/>
  <c r="A4437" i="17"/>
  <c r="A4436" i="17"/>
  <c r="A4435" i="17"/>
  <c r="A4434" i="17"/>
  <c r="A4433" i="17"/>
  <c r="A4432" i="17"/>
  <c r="A4431" i="17"/>
  <c r="A4430" i="17"/>
  <c r="A4429" i="17"/>
  <c r="A4428" i="17"/>
  <c r="A4427" i="17"/>
  <c r="A4426" i="17"/>
  <c r="A4425" i="17"/>
  <c r="A4424" i="17"/>
  <c r="A4423" i="17"/>
  <c r="A4422" i="17"/>
  <c r="A4421" i="17"/>
  <c r="A4420" i="17"/>
  <c r="A4419" i="17"/>
  <c r="A4418" i="17"/>
  <c r="A4417" i="17"/>
  <c r="A4416" i="17"/>
  <c r="A4415" i="17"/>
  <c r="A4414" i="17"/>
  <c r="A4413" i="17"/>
  <c r="A4412" i="17"/>
  <c r="A4411" i="17"/>
  <c r="A4410" i="17"/>
  <c r="A4409" i="17"/>
  <c r="A4408" i="17"/>
  <c r="A4407" i="17"/>
  <c r="A4406" i="17"/>
  <c r="A4405" i="17"/>
  <c r="A4404" i="17"/>
  <c r="A4403" i="17"/>
  <c r="A4402" i="17"/>
  <c r="A4401" i="17"/>
  <c r="A4400" i="17"/>
  <c r="A4399" i="17"/>
  <c r="A4398" i="17"/>
  <c r="A4397" i="17"/>
  <c r="A4396" i="17"/>
  <c r="A4395" i="17"/>
  <c r="A4394" i="17"/>
  <c r="A4393" i="17"/>
  <c r="A4392" i="17"/>
  <c r="A4391" i="17"/>
  <c r="A4390" i="17"/>
  <c r="A4389" i="17"/>
  <c r="A4388" i="17"/>
  <c r="A4387" i="17"/>
  <c r="A4386" i="17"/>
  <c r="A4385" i="17"/>
  <c r="A4384" i="17"/>
  <c r="A4383" i="17"/>
  <c r="A4382" i="17"/>
  <c r="A4381" i="17"/>
  <c r="A4380" i="17"/>
  <c r="A4379" i="17"/>
  <c r="A4378" i="17"/>
  <c r="A4377" i="17"/>
  <c r="A4376" i="17"/>
  <c r="A4375" i="17"/>
  <c r="A4374" i="17"/>
  <c r="A4373" i="17"/>
  <c r="A4372" i="17"/>
  <c r="A4371" i="17"/>
  <c r="A4370" i="17"/>
  <c r="A4369" i="17"/>
  <c r="A4368" i="17"/>
  <c r="A4367" i="17"/>
  <c r="A4366" i="17"/>
  <c r="A4365" i="17"/>
  <c r="A4364" i="17"/>
  <c r="A4363" i="17"/>
  <c r="A4362" i="17"/>
  <c r="A4361" i="17"/>
  <c r="A4360" i="17"/>
  <c r="A4359" i="17"/>
  <c r="A4358" i="17"/>
  <c r="A4357" i="17"/>
  <c r="A4356" i="17"/>
  <c r="A4355" i="17"/>
  <c r="A4354" i="17"/>
  <c r="A4353" i="17"/>
  <c r="A4352" i="17"/>
  <c r="A4351" i="17"/>
  <c r="A4350" i="17"/>
  <c r="A4349" i="17"/>
  <c r="A4348" i="17"/>
  <c r="A4347" i="17"/>
  <c r="A4346" i="17"/>
  <c r="A4345" i="17"/>
  <c r="A4344" i="17"/>
  <c r="A4343" i="17"/>
  <c r="A4342" i="17"/>
  <c r="A4341" i="17"/>
  <c r="A4340" i="17"/>
  <c r="A4339" i="17"/>
  <c r="A4338" i="17"/>
  <c r="A4337" i="17"/>
  <c r="A4336" i="17"/>
  <c r="A4335" i="17"/>
  <c r="A4334" i="17"/>
  <c r="A4333" i="17"/>
  <c r="A4332" i="17"/>
  <c r="A4331" i="17"/>
  <c r="A4330" i="17"/>
  <c r="A4329" i="17"/>
  <c r="A4328" i="17"/>
  <c r="A4327" i="17"/>
  <c r="A4326" i="17"/>
  <c r="A4325" i="17"/>
  <c r="A4324" i="17"/>
  <c r="A4323" i="17"/>
  <c r="A4322" i="17"/>
  <c r="A4321" i="17"/>
  <c r="A4320" i="17"/>
  <c r="A4319" i="17"/>
  <c r="A4318" i="17"/>
  <c r="A4317" i="17"/>
  <c r="A4316" i="17"/>
  <c r="A4315" i="17"/>
  <c r="A4314" i="17"/>
  <c r="A4313" i="17"/>
  <c r="A4312" i="17"/>
  <c r="A4311" i="17"/>
  <c r="A4310" i="17"/>
  <c r="A4309" i="17"/>
  <c r="A4308" i="17"/>
  <c r="A4307" i="17"/>
  <c r="A4306" i="17"/>
  <c r="A4305" i="17"/>
  <c r="A4304" i="17"/>
  <c r="A4303" i="17"/>
  <c r="A4302" i="17"/>
  <c r="A4301" i="17"/>
  <c r="A4300" i="17"/>
  <c r="A4299" i="17"/>
  <c r="A4298" i="17"/>
  <c r="A4297" i="17"/>
  <c r="A4296" i="17"/>
  <c r="A4295" i="17"/>
  <c r="A4294" i="17"/>
  <c r="A4293" i="17"/>
  <c r="A4292" i="17"/>
  <c r="A4291" i="17"/>
  <c r="A4290" i="17"/>
  <c r="A4289" i="17"/>
  <c r="A4288" i="17"/>
  <c r="A4287" i="17"/>
  <c r="A4286" i="17"/>
  <c r="A4285" i="17"/>
  <c r="A4284" i="17"/>
  <c r="A4283" i="17"/>
  <c r="A4282" i="17"/>
  <c r="A4281" i="17"/>
  <c r="A4280" i="17"/>
  <c r="A4279" i="17"/>
  <c r="A4278" i="17"/>
  <c r="A4277" i="17"/>
  <c r="A4276" i="17"/>
  <c r="A4275" i="17"/>
  <c r="A4274" i="17"/>
  <c r="A4273" i="17"/>
  <c r="A4272" i="17"/>
  <c r="A4271" i="17"/>
  <c r="A4270" i="17"/>
  <c r="A4269" i="17"/>
  <c r="A4268" i="17"/>
  <c r="A4267" i="17"/>
  <c r="A4266" i="17"/>
  <c r="A4265" i="17"/>
  <c r="A4264" i="17"/>
  <c r="A4263" i="17"/>
  <c r="A4262" i="17"/>
  <c r="A4261" i="17"/>
  <c r="A4260" i="17"/>
  <c r="A4259" i="17"/>
  <c r="A4258" i="17"/>
  <c r="A4257" i="17"/>
  <c r="A4256" i="17"/>
  <c r="A4255" i="17"/>
  <c r="A4254" i="17"/>
  <c r="A4253" i="17"/>
  <c r="A4252" i="17"/>
  <c r="A4251" i="17"/>
  <c r="A4250" i="17"/>
  <c r="A4249" i="17"/>
  <c r="A4248" i="17"/>
  <c r="A4247" i="17"/>
  <c r="A4246" i="17"/>
  <c r="A4245" i="17"/>
  <c r="A4244" i="17"/>
  <c r="A4243" i="17"/>
  <c r="A4242" i="17"/>
  <c r="A4241" i="17"/>
  <c r="A4240" i="17"/>
  <c r="A4239" i="17"/>
  <c r="A4238" i="17"/>
  <c r="A4237" i="17"/>
  <c r="A4236" i="17"/>
  <c r="A4235" i="17"/>
  <c r="A4234" i="17"/>
  <c r="A4233" i="17"/>
  <c r="A4232" i="17"/>
  <c r="A4231" i="17"/>
  <c r="A4230" i="17"/>
  <c r="A4229" i="17"/>
  <c r="A4228" i="17"/>
  <c r="A4227" i="17"/>
  <c r="A4226" i="17"/>
  <c r="A4225" i="17"/>
  <c r="A4224" i="17"/>
  <c r="A4223" i="17"/>
  <c r="A4222" i="17"/>
  <c r="A4221" i="17"/>
  <c r="A4220" i="17"/>
  <c r="A4219" i="17"/>
  <c r="A4218" i="17"/>
  <c r="A4217" i="17"/>
  <c r="A4216" i="17"/>
  <c r="A4215" i="17"/>
  <c r="A4214" i="17"/>
  <c r="A4213" i="17"/>
  <c r="A4212" i="17"/>
  <c r="A4211" i="17"/>
  <c r="A4210" i="17"/>
  <c r="A4209" i="17"/>
  <c r="A4208" i="17"/>
  <c r="A4207" i="17"/>
  <c r="A4206" i="17"/>
  <c r="A4205" i="17"/>
  <c r="A4204" i="17"/>
  <c r="A4203" i="17"/>
  <c r="A4202" i="17"/>
  <c r="A4201" i="17"/>
  <c r="A4200" i="17"/>
  <c r="A4199" i="17"/>
  <c r="A4198" i="17"/>
  <c r="A4197" i="17"/>
  <c r="A4196" i="17"/>
  <c r="A4195" i="17"/>
  <c r="A4194" i="17"/>
  <c r="A4193" i="17"/>
  <c r="A4192" i="17"/>
  <c r="A4191" i="17"/>
  <c r="A4190" i="17"/>
  <c r="A4189" i="17"/>
  <c r="A4188" i="17"/>
  <c r="A4187" i="17"/>
  <c r="A4186" i="17"/>
  <c r="A4185" i="17"/>
  <c r="A4184" i="17"/>
  <c r="A4183" i="17"/>
  <c r="A4182" i="17"/>
  <c r="A4181" i="17"/>
  <c r="A4180" i="17"/>
  <c r="A4179" i="17"/>
  <c r="A4178" i="17"/>
  <c r="A4177" i="17"/>
  <c r="A4176" i="17"/>
  <c r="A4175" i="17"/>
  <c r="A4174" i="17"/>
  <c r="A4173" i="17"/>
  <c r="A4172" i="17"/>
  <c r="A4171" i="17"/>
  <c r="A4170" i="17"/>
  <c r="A4169" i="17"/>
  <c r="A4168" i="17"/>
  <c r="A4167" i="17"/>
  <c r="A4166" i="17"/>
  <c r="A4165" i="17"/>
  <c r="A4164" i="17"/>
  <c r="A4163" i="17"/>
  <c r="A4162" i="17"/>
  <c r="A4161" i="17"/>
  <c r="A4160" i="17"/>
  <c r="A4159" i="17"/>
  <c r="A4158" i="17"/>
  <c r="A4157" i="17"/>
  <c r="A4156" i="17"/>
  <c r="A4155" i="17"/>
  <c r="A4154" i="17"/>
  <c r="A4153" i="17"/>
  <c r="A4152" i="17"/>
  <c r="A4151" i="17"/>
  <c r="A4150" i="17"/>
  <c r="A4149" i="17"/>
  <c r="A4148" i="17"/>
  <c r="A4147" i="17"/>
  <c r="A4146" i="17"/>
  <c r="A4145" i="17"/>
  <c r="A4144" i="17"/>
  <c r="A4143" i="17"/>
  <c r="A4142" i="17"/>
  <c r="A4141" i="17"/>
  <c r="A4140" i="17"/>
  <c r="A4139" i="17"/>
  <c r="A4138" i="17"/>
  <c r="A4137" i="17"/>
  <c r="A4136" i="17"/>
  <c r="A4135" i="17"/>
  <c r="A4134" i="17"/>
  <c r="A4133" i="17"/>
  <c r="A4132" i="17"/>
  <c r="A4131" i="17"/>
  <c r="A4130" i="17"/>
  <c r="A4129" i="17"/>
  <c r="A4128" i="17"/>
  <c r="A4127" i="17"/>
  <c r="A4126" i="17"/>
  <c r="A4125" i="17"/>
  <c r="A4124" i="17"/>
  <c r="A4123" i="17"/>
  <c r="A4122" i="17"/>
  <c r="A4121" i="17"/>
  <c r="A4120" i="17"/>
  <c r="A4119" i="17"/>
  <c r="A4118" i="17"/>
  <c r="A4117" i="17"/>
  <c r="A4116" i="17"/>
  <c r="A4115" i="17"/>
  <c r="A4114" i="17"/>
  <c r="A4113" i="17"/>
  <c r="A4112" i="17"/>
  <c r="A4111" i="17"/>
  <c r="A4110" i="17"/>
  <c r="A4109" i="17"/>
  <c r="A4108" i="17"/>
  <c r="A4107" i="17"/>
  <c r="A4106" i="17"/>
  <c r="A4105" i="17"/>
  <c r="A4104" i="17"/>
  <c r="A4103" i="17"/>
  <c r="A4102" i="17"/>
  <c r="A4101" i="17"/>
  <c r="A4100" i="17"/>
  <c r="A4099" i="17"/>
  <c r="A4098" i="17"/>
  <c r="A4097" i="17"/>
  <c r="A4096" i="17"/>
  <c r="A4095" i="17"/>
  <c r="A4094" i="17"/>
  <c r="A4093" i="17"/>
  <c r="A4092" i="17"/>
  <c r="A4091" i="17"/>
  <c r="A4090" i="17"/>
  <c r="A4089" i="17"/>
  <c r="A4088" i="17"/>
  <c r="A4087" i="17"/>
  <c r="A4086" i="17"/>
  <c r="A4085" i="17"/>
  <c r="A4084" i="17"/>
  <c r="A4083" i="17"/>
  <c r="A4082" i="17"/>
  <c r="A4081" i="17"/>
  <c r="A4080" i="17"/>
  <c r="A4079" i="17"/>
  <c r="A4078" i="17"/>
  <c r="A4077" i="17"/>
  <c r="A4076" i="17"/>
  <c r="A4075" i="17"/>
  <c r="A4074" i="17"/>
  <c r="A4073" i="17"/>
  <c r="A4072" i="17"/>
  <c r="A4071" i="17"/>
  <c r="A4070" i="17"/>
  <c r="A4069" i="17"/>
  <c r="A4068" i="17"/>
  <c r="A4067" i="17"/>
  <c r="A4066" i="17"/>
  <c r="A4065" i="17"/>
  <c r="A4064" i="17"/>
  <c r="A4063" i="17"/>
  <c r="A4062" i="17"/>
  <c r="A4061" i="17"/>
  <c r="A4060" i="17"/>
  <c r="A4059" i="17"/>
  <c r="A4058" i="17"/>
  <c r="A4057" i="17"/>
  <c r="A4056" i="17"/>
  <c r="A4055" i="17"/>
  <c r="A4054" i="17"/>
  <c r="A4053" i="17"/>
  <c r="A4052" i="17"/>
  <c r="A4051" i="17"/>
  <c r="A4050" i="17"/>
  <c r="A4049" i="17"/>
  <c r="A4048" i="17"/>
  <c r="A4047" i="17"/>
  <c r="A4046" i="17"/>
  <c r="A4045" i="17"/>
  <c r="A4044" i="17"/>
  <c r="A4043" i="17"/>
  <c r="A4042" i="17"/>
  <c r="A4041" i="17"/>
  <c r="A4040" i="17"/>
  <c r="A4039" i="17"/>
  <c r="A4038" i="17"/>
  <c r="A4037" i="17"/>
  <c r="A4036" i="17"/>
  <c r="A4035" i="17"/>
  <c r="A4034" i="17"/>
  <c r="A4033" i="17"/>
  <c r="A4032" i="17"/>
  <c r="A4031" i="17"/>
  <c r="A4030" i="17"/>
  <c r="A4029" i="17"/>
  <c r="A4028" i="17"/>
  <c r="A4027" i="17"/>
  <c r="A4026" i="17"/>
  <c r="A4025" i="17"/>
  <c r="A4024" i="17"/>
  <c r="A4023" i="17"/>
  <c r="A4022" i="17"/>
  <c r="A4021" i="17"/>
  <c r="A4020" i="17"/>
  <c r="A4019" i="17"/>
  <c r="A4018" i="17"/>
  <c r="A4017" i="17"/>
  <c r="A4016" i="17"/>
  <c r="A4015" i="17"/>
  <c r="A4014" i="17"/>
  <c r="A4013" i="17"/>
  <c r="A4012" i="17"/>
  <c r="A4011" i="17"/>
  <c r="A4010" i="17"/>
  <c r="A4009" i="17"/>
  <c r="A4008" i="17"/>
  <c r="A4007" i="17"/>
  <c r="A4006" i="17"/>
  <c r="A4005" i="17"/>
  <c r="A4004" i="17"/>
  <c r="A4003" i="17"/>
  <c r="A4002" i="17"/>
  <c r="A4001" i="17"/>
  <c r="A4000" i="17"/>
  <c r="A3999" i="17"/>
  <c r="A3998" i="17"/>
  <c r="A3997" i="17"/>
  <c r="A3996" i="17"/>
  <c r="A3995" i="17"/>
  <c r="A3994" i="17"/>
  <c r="A3993" i="17"/>
  <c r="A3992" i="17"/>
  <c r="A3991" i="17"/>
  <c r="A3990" i="17"/>
  <c r="A3989" i="17"/>
  <c r="A3988" i="17"/>
  <c r="A3987" i="17"/>
  <c r="A3986" i="17"/>
  <c r="A3985" i="17"/>
  <c r="A3984" i="17"/>
  <c r="A3983" i="17"/>
  <c r="A3982" i="17"/>
  <c r="A3981" i="17"/>
  <c r="A3980" i="17"/>
  <c r="A3979" i="17"/>
  <c r="A3978" i="17"/>
  <c r="A3977" i="17"/>
  <c r="A3976" i="17"/>
  <c r="A3975" i="17"/>
  <c r="A3974" i="17"/>
  <c r="A3973" i="17"/>
  <c r="A3972" i="17"/>
  <c r="A3971" i="17"/>
  <c r="A3970" i="17"/>
  <c r="A3969" i="17"/>
  <c r="A3968" i="17"/>
  <c r="A3967" i="17"/>
  <c r="A3966" i="17"/>
  <c r="A3965" i="17"/>
  <c r="A3964" i="17"/>
  <c r="A3963" i="17"/>
  <c r="A3962" i="17"/>
  <c r="A3961" i="17"/>
  <c r="A3960" i="17"/>
  <c r="A3959" i="17"/>
  <c r="A3958" i="17"/>
  <c r="A3957" i="17"/>
  <c r="A3956" i="17"/>
  <c r="A3955" i="17"/>
  <c r="A3954" i="17"/>
  <c r="A3953" i="17"/>
  <c r="A3952" i="17"/>
  <c r="A3951" i="17"/>
  <c r="A3950" i="17"/>
  <c r="A3949" i="17"/>
  <c r="A3948" i="17"/>
  <c r="A3947" i="17"/>
  <c r="A3946" i="17"/>
  <c r="A3945" i="17"/>
  <c r="A3944" i="17"/>
  <c r="A3943" i="17"/>
  <c r="A3942" i="17"/>
  <c r="A3941" i="17"/>
  <c r="A3940" i="17"/>
  <c r="A3939" i="17"/>
  <c r="A3938" i="17"/>
  <c r="A3937" i="17"/>
  <c r="A3936" i="17"/>
  <c r="A3935" i="17"/>
  <c r="A3934" i="17"/>
  <c r="A3933" i="17"/>
  <c r="A3932" i="17"/>
  <c r="A3931" i="17"/>
  <c r="A3930" i="17"/>
  <c r="A3929" i="17"/>
  <c r="A3928" i="17"/>
  <c r="A3927" i="17"/>
  <c r="A3926" i="17"/>
  <c r="A3925" i="17"/>
  <c r="A3924" i="17"/>
  <c r="A3923" i="17"/>
  <c r="A3922" i="17"/>
  <c r="A3921" i="17"/>
  <c r="A3920" i="17"/>
  <c r="A3919" i="17"/>
  <c r="A3918" i="17"/>
  <c r="A3917" i="17"/>
  <c r="A3916" i="17"/>
  <c r="A3915" i="17"/>
  <c r="A3914" i="17"/>
  <c r="A3913" i="17"/>
  <c r="A3912" i="17"/>
  <c r="A3911" i="17"/>
  <c r="A3910" i="17"/>
  <c r="A3909" i="17"/>
  <c r="A3908" i="17"/>
  <c r="A3907" i="17"/>
  <c r="A3906" i="17"/>
  <c r="A3905" i="17"/>
  <c r="A3904" i="17"/>
  <c r="A3903" i="17"/>
  <c r="A3902" i="17"/>
  <c r="A3901" i="17"/>
  <c r="A3900" i="17"/>
  <c r="A3899" i="17"/>
  <c r="A3898" i="17"/>
  <c r="A3897" i="17"/>
  <c r="A3896" i="17"/>
  <c r="A3895" i="17"/>
  <c r="A3894" i="17"/>
  <c r="A3893" i="17"/>
  <c r="A3892" i="17"/>
  <c r="A3891" i="17"/>
  <c r="A3890" i="17"/>
  <c r="A3889" i="17"/>
  <c r="A3888" i="17"/>
  <c r="A3887" i="17"/>
  <c r="A3886" i="17"/>
  <c r="A3885" i="17"/>
  <c r="A3884" i="17"/>
  <c r="A3883" i="17"/>
  <c r="A3882" i="17"/>
  <c r="A3881" i="17"/>
  <c r="A3880" i="17"/>
  <c r="A3879" i="17"/>
  <c r="A3878" i="17"/>
  <c r="A3877" i="17"/>
  <c r="A3876" i="17"/>
  <c r="A3875" i="17"/>
  <c r="A3874" i="17"/>
  <c r="A3873" i="17"/>
  <c r="A3872" i="17"/>
  <c r="A3871" i="17"/>
  <c r="A3870" i="17"/>
  <c r="A3869" i="17"/>
  <c r="A3868" i="17"/>
  <c r="A3867" i="17"/>
  <c r="A3866" i="17"/>
  <c r="A3865" i="17"/>
  <c r="A3864" i="17"/>
  <c r="A3863" i="17"/>
  <c r="A3862" i="17"/>
  <c r="A3861" i="17"/>
  <c r="A3860" i="17"/>
  <c r="A3859" i="17"/>
  <c r="A3858" i="17"/>
  <c r="A3857" i="17"/>
  <c r="A3856" i="17"/>
  <c r="A3855" i="17"/>
  <c r="A3854" i="17"/>
  <c r="A3853" i="17"/>
  <c r="A3852" i="17"/>
  <c r="A3851" i="17"/>
  <c r="A3850" i="17"/>
  <c r="A3849" i="17"/>
  <c r="A3848" i="17"/>
  <c r="A3847" i="17"/>
  <c r="A3846" i="17"/>
  <c r="A3845" i="17"/>
  <c r="A3844" i="17"/>
  <c r="A3843" i="17"/>
  <c r="A3842" i="17"/>
  <c r="A3841" i="17"/>
  <c r="A3840" i="17"/>
  <c r="A3839" i="17"/>
  <c r="A3838" i="17"/>
  <c r="A3837" i="17"/>
  <c r="A3836" i="17"/>
  <c r="A3835" i="17"/>
  <c r="A3834" i="17"/>
  <c r="A3833" i="17"/>
  <c r="A3832" i="17"/>
  <c r="A3831" i="17"/>
  <c r="A3830" i="17"/>
  <c r="A3829" i="17"/>
  <c r="A3828" i="17"/>
  <c r="A3827" i="17"/>
  <c r="A3826" i="17"/>
  <c r="A3825" i="17"/>
  <c r="A3824" i="17"/>
  <c r="A3823" i="17"/>
  <c r="A3822" i="17"/>
  <c r="A3821" i="17"/>
  <c r="A3820" i="17"/>
  <c r="A3819" i="17"/>
  <c r="A3818" i="17"/>
  <c r="A3817" i="17"/>
  <c r="A3816" i="17"/>
  <c r="A3815" i="17"/>
  <c r="A3814" i="17"/>
  <c r="A3813" i="17"/>
  <c r="A3812" i="17"/>
  <c r="A3811" i="17"/>
  <c r="A3810" i="17"/>
  <c r="A3809" i="17"/>
  <c r="A3808" i="17"/>
  <c r="A3807" i="17"/>
  <c r="A3806" i="17"/>
  <c r="A3805" i="17"/>
  <c r="A3804" i="17"/>
  <c r="A3803" i="17"/>
  <c r="A3802" i="17"/>
  <c r="A3801" i="17"/>
  <c r="A3800" i="17"/>
  <c r="A3799" i="17"/>
  <c r="A3798" i="17"/>
  <c r="A3797" i="17"/>
  <c r="A3796" i="17"/>
  <c r="A3795" i="17"/>
  <c r="A3794" i="17"/>
  <c r="A3793" i="17"/>
  <c r="A3792" i="17"/>
  <c r="A3791" i="17"/>
  <c r="A3790" i="17"/>
  <c r="A3789" i="17"/>
  <c r="A3788" i="17"/>
  <c r="A3787" i="17"/>
  <c r="A3786" i="17"/>
  <c r="A3785" i="17"/>
  <c r="A3784" i="17"/>
  <c r="A3783" i="17"/>
  <c r="A3782" i="17"/>
  <c r="A3781" i="17"/>
  <c r="A3780" i="17"/>
  <c r="A3779" i="17"/>
  <c r="A3778" i="17"/>
  <c r="A3777" i="17"/>
  <c r="A3776" i="17"/>
  <c r="A3775" i="17"/>
  <c r="A3774" i="17"/>
  <c r="A3773" i="17"/>
  <c r="A3772" i="17"/>
  <c r="A3771" i="17"/>
  <c r="A3770" i="17"/>
  <c r="A3769" i="17"/>
  <c r="A3768" i="17"/>
  <c r="A3767" i="17"/>
  <c r="A3766" i="17"/>
  <c r="A3765" i="17"/>
  <c r="A3764" i="17"/>
  <c r="A3763" i="17"/>
  <c r="A3762" i="17"/>
  <c r="A3761" i="17"/>
  <c r="A3760" i="17"/>
  <c r="A3759" i="17"/>
  <c r="A3758" i="17"/>
  <c r="A3757" i="17"/>
  <c r="A3756" i="17"/>
  <c r="A3755" i="17"/>
  <c r="A3754" i="17"/>
  <c r="A3753" i="17"/>
  <c r="A3752" i="17"/>
  <c r="A3751" i="17"/>
  <c r="A3750" i="17"/>
  <c r="A3749" i="17"/>
  <c r="A3748" i="17"/>
  <c r="A3747" i="17"/>
  <c r="A3746" i="17"/>
  <c r="A3745" i="17"/>
  <c r="A3744" i="17"/>
  <c r="A3743" i="17"/>
  <c r="A3742" i="17"/>
  <c r="A3741" i="17"/>
  <c r="A3740" i="17"/>
  <c r="A3739" i="17"/>
  <c r="A3738" i="17"/>
  <c r="A3737" i="17"/>
  <c r="A3736" i="17"/>
  <c r="A3735" i="17"/>
  <c r="A3734" i="17"/>
  <c r="A3733" i="17"/>
  <c r="A3732" i="17"/>
  <c r="A3731" i="17"/>
  <c r="A3730" i="17"/>
  <c r="A3729" i="17"/>
  <c r="A3728" i="17"/>
  <c r="A3727" i="17"/>
  <c r="A3726" i="17"/>
  <c r="A3725" i="17"/>
  <c r="A3724" i="17"/>
  <c r="A3723" i="17"/>
  <c r="A3722" i="17"/>
  <c r="A3721" i="17"/>
  <c r="A3720" i="17"/>
  <c r="A3719" i="17"/>
  <c r="A3718" i="17"/>
  <c r="A3717" i="17"/>
  <c r="A3716" i="17"/>
  <c r="A3715" i="17"/>
  <c r="A3714" i="17"/>
  <c r="A3713" i="17"/>
  <c r="A3712" i="17"/>
  <c r="A3711" i="17"/>
  <c r="A3710" i="17"/>
  <c r="A3709" i="17"/>
  <c r="A3708" i="17"/>
  <c r="A3707" i="17"/>
  <c r="A3706" i="17"/>
  <c r="A3705" i="17"/>
  <c r="A3704" i="17"/>
  <c r="A3703" i="17"/>
  <c r="A3702" i="17"/>
  <c r="A3701" i="17"/>
  <c r="A3700" i="17"/>
  <c r="A3699" i="17"/>
  <c r="A3698" i="17"/>
  <c r="A3697" i="17"/>
  <c r="A3696" i="17"/>
  <c r="A3695" i="17"/>
  <c r="A3694" i="17"/>
  <c r="A3693" i="17"/>
  <c r="A3692" i="17"/>
  <c r="A3691" i="17"/>
  <c r="A3690" i="17"/>
  <c r="A3689" i="17"/>
  <c r="A3688" i="17"/>
  <c r="A3687" i="17"/>
  <c r="A3686" i="17"/>
  <c r="A3685" i="17"/>
  <c r="A3684" i="17"/>
  <c r="A3683" i="17"/>
  <c r="A3682" i="17"/>
  <c r="A3681" i="17"/>
  <c r="A3680" i="17"/>
  <c r="A3679" i="17"/>
  <c r="A3678" i="17"/>
  <c r="A3677" i="17"/>
  <c r="A3676" i="17"/>
  <c r="A3675" i="17"/>
  <c r="A3674" i="17"/>
  <c r="A3673" i="17"/>
  <c r="A3672" i="17"/>
  <c r="A3671" i="17"/>
  <c r="A3670" i="17"/>
  <c r="A3669" i="17"/>
  <c r="A3668" i="17"/>
  <c r="A3667" i="17"/>
  <c r="A3666" i="17"/>
  <c r="A3665" i="17"/>
  <c r="A3664" i="17"/>
  <c r="A3663" i="17"/>
  <c r="A3662" i="17"/>
  <c r="A3661" i="17"/>
  <c r="A3660" i="17"/>
  <c r="A3659" i="17"/>
  <c r="A3658" i="17"/>
  <c r="A3657" i="17"/>
  <c r="A3656" i="17"/>
  <c r="A3655" i="17"/>
  <c r="A3654" i="17"/>
  <c r="A3653" i="17"/>
  <c r="A3652" i="17"/>
  <c r="A3651" i="17"/>
  <c r="A3650" i="17"/>
  <c r="A3649" i="17"/>
  <c r="A3648" i="17"/>
  <c r="A3647" i="17"/>
  <c r="A3646" i="17"/>
  <c r="A3645" i="17"/>
  <c r="A3644" i="17"/>
  <c r="A3643" i="17"/>
  <c r="A3642" i="17"/>
  <c r="A3641" i="17"/>
  <c r="A3640" i="17"/>
  <c r="A3639" i="17"/>
  <c r="A3638" i="17"/>
  <c r="A3637" i="17"/>
  <c r="A3636" i="17"/>
  <c r="A3635" i="17"/>
  <c r="A3634" i="17"/>
  <c r="A3633" i="17"/>
  <c r="A3632" i="17"/>
  <c r="A3631" i="17"/>
  <c r="A3630" i="17"/>
  <c r="A3629" i="17"/>
  <c r="A3628" i="17"/>
  <c r="A3627" i="17"/>
  <c r="A3626" i="17"/>
  <c r="A3625" i="17"/>
  <c r="A3624" i="17"/>
  <c r="A3623" i="17"/>
  <c r="A3622" i="17"/>
  <c r="A3621" i="17"/>
  <c r="A3620" i="17"/>
  <c r="A3619" i="17"/>
  <c r="A3618" i="17"/>
  <c r="A3617" i="17"/>
  <c r="A3616" i="17"/>
  <c r="A3615" i="17"/>
  <c r="A3614" i="17"/>
  <c r="A3613" i="17"/>
  <c r="A3612" i="17"/>
  <c r="A3611" i="17"/>
  <c r="A3610" i="17"/>
  <c r="A3609" i="17"/>
  <c r="A3608" i="17"/>
  <c r="A3607" i="17"/>
  <c r="A3606" i="17"/>
  <c r="A3605" i="17"/>
  <c r="A3604" i="17"/>
  <c r="A3603" i="17"/>
  <c r="A3602" i="17"/>
  <c r="A3601" i="17"/>
  <c r="A3600" i="17"/>
  <c r="A3599" i="17"/>
  <c r="A3598" i="17"/>
  <c r="A3597" i="17"/>
  <c r="A3596" i="17"/>
  <c r="A3595" i="17"/>
  <c r="A3594" i="17"/>
  <c r="A3593" i="17"/>
  <c r="A3592" i="17"/>
  <c r="A3591" i="17"/>
  <c r="A3590" i="17"/>
  <c r="A3589" i="17"/>
  <c r="A3588" i="17"/>
  <c r="A3587" i="17"/>
  <c r="A3586" i="17"/>
  <c r="A3585" i="17"/>
  <c r="A3584" i="17"/>
  <c r="A3583" i="17"/>
  <c r="A3582" i="17"/>
  <c r="A3581" i="17"/>
  <c r="A3580" i="17"/>
  <c r="A3579" i="17"/>
  <c r="A3578" i="17"/>
  <c r="A3577" i="17"/>
  <c r="A3576" i="17"/>
  <c r="A3575" i="17"/>
  <c r="A3574" i="17"/>
  <c r="A3573" i="17"/>
  <c r="A3572" i="17"/>
  <c r="A3571" i="17"/>
  <c r="A3570" i="17"/>
  <c r="A3569" i="17"/>
  <c r="A3568" i="17"/>
  <c r="A3567" i="17"/>
  <c r="A3566" i="17"/>
  <c r="A3565" i="17"/>
  <c r="A3564" i="17"/>
  <c r="A3563" i="17"/>
  <c r="A3562" i="17"/>
  <c r="A3561" i="17"/>
  <c r="A3560" i="17"/>
  <c r="A3559" i="17"/>
  <c r="A3558" i="17"/>
  <c r="A3557" i="17"/>
  <c r="A3556" i="17"/>
  <c r="A3555" i="17"/>
  <c r="A3554" i="17"/>
  <c r="A3553" i="17"/>
  <c r="A3552" i="17"/>
  <c r="A3551" i="17"/>
  <c r="A3550" i="17"/>
  <c r="A3549" i="17"/>
  <c r="A3548" i="17"/>
  <c r="A3547" i="17"/>
  <c r="A3546" i="17"/>
  <c r="A3545" i="17"/>
  <c r="A3544" i="17"/>
  <c r="A3543" i="17"/>
  <c r="A3542" i="17"/>
  <c r="A3541" i="17"/>
  <c r="A3540" i="17"/>
  <c r="A3539" i="17"/>
  <c r="A3538" i="17"/>
  <c r="A3537" i="17"/>
  <c r="A3536" i="17"/>
  <c r="A3535" i="17"/>
  <c r="A3534" i="17"/>
  <c r="A3533" i="17"/>
  <c r="A3532" i="17"/>
  <c r="A3531" i="17"/>
  <c r="A3530" i="17"/>
  <c r="A3529" i="17"/>
  <c r="A3528" i="17"/>
  <c r="A3527" i="17"/>
  <c r="A3526" i="17"/>
  <c r="A3525" i="17"/>
  <c r="A3524" i="17"/>
  <c r="A3523" i="17"/>
  <c r="A3522" i="17"/>
  <c r="A3521" i="17"/>
  <c r="A3520" i="17"/>
  <c r="A3519" i="17"/>
  <c r="A3518" i="17"/>
  <c r="A3517" i="17"/>
  <c r="A3516" i="17"/>
  <c r="A3515" i="17"/>
  <c r="A3514" i="17"/>
  <c r="A3513" i="17"/>
  <c r="A3512" i="17"/>
  <c r="A3511" i="17"/>
  <c r="A3510" i="17"/>
  <c r="A3509" i="17"/>
  <c r="A3508" i="17"/>
  <c r="A3507" i="17"/>
  <c r="A3506" i="17"/>
  <c r="A3505" i="17"/>
  <c r="A3504" i="17"/>
  <c r="A3503" i="17"/>
  <c r="A3502" i="17"/>
  <c r="A3501" i="17"/>
  <c r="A3500" i="17"/>
  <c r="A3499" i="17"/>
  <c r="A3498" i="17"/>
  <c r="A3497" i="17"/>
  <c r="A3496" i="17"/>
  <c r="A3495" i="17"/>
  <c r="A3494" i="17"/>
  <c r="A3493" i="17"/>
  <c r="A3492" i="17"/>
  <c r="A3491" i="17"/>
  <c r="A3490" i="17"/>
  <c r="A3489" i="17"/>
  <c r="A3488" i="17"/>
  <c r="A3487" i="17"/>
  <c r="A3486" i="17"/>
  <c r="A3485" i="17"/>
  <c r="A3484" i="17"/>
  <c r="A3483" i="17"/>
  <c r="A3482" i="17"/>
  <c r="A3481" i="17"/>
  <c r="A3480" i="17"/>
  <c r="A3479" i="17"/>
  <c r="A3478" i="17"/>
  <c r="A3477" i="17"/>
  <c r="A3476" i="17"/>
  <c r="A3475" i="17"/>
  <c r="A3474" i="17"/>
  <c r="A3473" i="17"/>
  <c r="A3472" i="17"/>
  <c r="A3471" i="17"/>
  <c r="A3470" i="17"/>
  <c r="A3469" i="17"/>
  <c r="A3468" i="17"/>
  <c r="A3467" i="17"/>
  <c r="A3466" i="17"/>
  <c r="A3465" i="17"/>
  <c r="A3464" i="17"/>
  <c r="A3463" i="17"/>
  <c r="A3462" i="17"/>
  <c r="A3461" i="17"/>
  <c r="A3460" i="17"/>
  <c r="A3459" i="17"/>
  <c r="A3458" i="17"/>
  <c r="A3457" i="17"/>
  <c r="A3456" i="17"/>
  <c r="A3455" i="17"/>
  <c r="A3454" i="17"/>
  <c r="A3453" i="17"/>
  <c r="A3452" i="17"/>
  <c r="A3451" i="17"/>
  <c r="A3450" i="17"/>
  <c r="A3449" i="17"/>
  <c r="A3448" i="17"/>
  <c r="A3447" i="17"/>
  <c r="A3446" i="17"/>
  <c r="A3445" i="17"/>
  <c r="A3444" i="17"/>
  <c r="A3443" i="17"/>
  <c r="A3442" i="17"/>
  <c r="A3441" i="17"/>
  <c r="A3440" i="17"/>
  <c r="A3439" i="17"/>
  <c r="A3438" i="17"/>
  <c r="A3437" i="17"/>
  <c r="A3436" i="17"/>
  <c r="A3435" i="17"/>
  <c r="A3434" i="17"/>
  <c r="A3433" i="17"/>
  <c r="A3432" i="17"/>
  <c r="A3431" i="17"/>
  <c r="A3430" i="17"/>
  <c r="A3429" i="17"/>
  <c r="A3428" i="17"/>
  <c r="A3427" i="17"/>
  <c r="A3426" i="17"/>
  <c r="A3425" i="17"/>
  <c r="A3424" i="17"/>
  <c r="A3423" i="17"/>
  <c r="A3422" i="17"/>
  <c r="A3421" i="17"/>
  <c r="A3420" i="17"/>
  <c r="A3419" i="17"/>
  <c r="A3418" i="17"/>
  <c r="A3417" i="17"/>
  <c r="A3416" i="17"/>
  <c r="A3415" i="17"/>
  <c r="A3414" i="17"/>
  <c r="A3413" i="17"/>
  <c r="A3412" i="17"/>
  <c r="A3411" i="17"/>
  <c r="A3410" i="17"/>
  <c r="A3409" i="17"/>
  <c r="A3408" i="17"/>
  <c r="A3407" i="17"/>
  <c r="A3406" i="17"/>
  <c r="A3405" i="17"/>
  <c r="A3404" i="17"/>
  <c r="A3403" i="17"/>
  <c r="A3402" i="17"/>
  <c r="A3401" i="17"/>
  <c r="A3400" i="17"/>
  <c r="A3399" i="17"/>
  <c r="A3398" i="17"/>
  <c r="A3397" i="17"/>
  <c r="A3396" i="17"/>
  <c r="A3395" i="17"/>
  <c r="A3394" i="17"/>
  <c r="A3393" i="17"/>
  <c r="A3392" i="17"/>
  <c r="A3391" i="17"/>
  <c r="A3390" i="17"/>
  <c r="A3389" i="17"/>
  <c r="A3388" i="17"/>
  <c r="A3387" i="17"/>
  <c r="A3386" i="17"/>
  <c r="A3385" i="17"/>
  <c r="A3384" i="17"/>
  <c r="A3383" i="17"/>
  <c r="A3382" i="17"/>
  <c r="A3381" i="17"/>
  <c r="A3380" i="17"/>
  <c r="A3379" i="17"/>
  <c r="A3378" i="17"/>
  <c r="A3377" i="17"/>
  <c r="A3376" i="17"/>
  <c r="A3375" i="17"/>
  <c r="A3374" i="17"/>
  <c r="A3373" i="17"/>
  <c r="A3372" i="17"/>
  <c r="A3371" i="17"/>
  <c r="A3370" i="17"/>
  <c r="A3369" i="17"/>
  <c r="A3368" i="17"/>
  <c r="A3367" i="17"/>
  <c r="A3366" i="17"/>
  <c r="A3365" i="17"/>
  <c r="A3364" i="17"/>
  <c r="A3363" i="17"/>
  <c r="A3362" i="17"/>
  <c r="A3361" i="17"/>
  <c r="A3360" i="17"/>
  <c r="A3359" i="17"/>
  <c r="A3358" i="17"/>
  <c r="A3357" i="17"/>
  <c r="A3356" i="17"/>
  <c r="A3355" i="17"/>
  <c r="A3354" i="17"/>
  <c r="A3353" i="17"/>
  <c r="A3352" i="17"/>
  <c r="A3351" i="17"/>
  <c r="A3350" i="17"/>
  <c r="A3349" i="17"/>
  <c r="A3348" i="17"/>
  <c r="A3347" i="17"/>
  <c r="A3346" i="17"/>
  <c r="A3345" i="17"/>
  <c r="A3344" i="17"/>
  <c r="A3343" i="17"/>
  <c r="A3342" i="17"/>
  <c r="A3341" i="17"/>
  <c r="A3340" i="17"/>
  <c r="A3339" i="17"/>
  <c r="A3338" i="17"/>
  <c r="A3337" i="17"/>
  <c r="A3336" i="17"/>
  <c r="A3335" i="17"/>
  <c r="A3334" i="17"/>
  <c r="A3333" i="17"/>
  <c r="A3332" i="17"/>
  <c r="A3331" i="17"/>
  <c r="A3330" i="17"/>
  <c r="A3329" i="17"/>
  <c r="A3328" i="17"/>
  <c r="A3327" i="17"/>
  <c r="A3326" i="17"/>
  <c r="A3325" i="17"/>
  <c r="A3324" i="17"/>
  <c r="A3323" i="17"/>
  <c r="A3322" i="17"/>
  <c r="A3321" i="17"/>
  <c r="A3320" i="17"/>
  <c r="A3319" i="17"/>
  <c r="A3318" i="17"/>
  <c r="A3317" i="17"/>
  <c r="A3316" i="17"/>
  <c r="A3315" i="17"/>
  <c r="A3314" i="17"/>
  <c r="A3313" i="17"/>
  <c r="A3312" i="17"/>
  <c r="A3311" i="17"/>
  <c r="A3310" i="17"/>
  <c r="A3309" i="17"/>
  <c r="A3308" i="17"/>
  <c r="A3307" i="17"/>
  <c r="A3306" i="17"/>
  <c r="A3305" i="17"/>
  <c r="A3304" i="17"/>
  <c r="A3303" i="17"/>
  <c r="A3302" i="17"/>
  <c r="A3301" i="17"/>
  <c r="A3300" i="17"/>
  <c r="A3299" i="17"/>
  <c r="A3298" i="17"/>
  <c r="A3297" i="17"/>
  <c r="A3296" i="17"/>
  <c r="A3295" i="17"/>
  <c r="A3294" i="17"/>
  <c r="A3293" i="17"/>
  <c r="A3292" i="17"/>
  <c r="A3291" i="17"/>
  <c r="A3290" i="17"/>
  <c r="A3289" i="17"/>
  <c r="A3288" i="17"/>
  <c r="A3287" i="17"/>
  <c r="A3286" i="17"/>
  <c r="A3285" i="17"/>
  <c r="A3284" i="17"/>
  <c r="A3283" i="17"/>
  <c r="A3282" i="17"/>
  <c r="A3281" i="17"/>
  <c r="A3280" i="17"/>
  <c r="A3279" i="17"/>
  <c r="A3278" i="17"/>
  <c r="A3277" i="17"/>
  <c r="A3276" i="17"/>
  <c r="A3275" i="17"/>
  <c r="A3274" i="17"/>
  <c r="A3273" i="17"/>
  <c r="A3272" i="17"/>
  <c r="A3271" i="17"/>
  <c r="A3270" i="17"/>
  <c r="A3269" i="17"/>
  <c r="A3268" i="17"/>
  <c r="A3267" i="17"/>
  <c r="A3266" i="17"/>
  <c r="A3265" i="17"/>
  <c r="A3264" i="17"/>
  <c r="A3263" i="17"/>
  <c r="A3262" i="17"/>
  <c r="A3261" i="17"/>
  <c r="A3260" i="17"/>
  <c r="A3259" i="17"/>
  <c r="A3258" i="17"/>
  <c r="A3257" i="17"/>
  <c r="A3256" i="17"/>
  <c r="A3255" i="17"/>
  <c r="A3254" i="17"/>
  <c r="A3253" i="17"/>
  <c r="A3252" i="17"/>
  <c r="A3251" i="17"/>
  <c r="A3250" i="17"/>
  <c r="A3249" i="17"/>
  <c r="A3248" i="17"/>
  <c r="A3247" i="17"/>
  <c r="A3246" i="17"/>
  <c r="A3245" i="17"/>
  <c r="A3244" i="17"/>
  <c r="A3243" i="17"/>
  <c r="A3242" i="17"/>
  <c r="A3241" i="17"/>
  <c r="A3240" i="17"/>
  <c r="A3239" i="17"/>
  <c r="A3238" i="17"/>
  <c r="A3237" i="17"/>
  <c r="A3236" i="17"/>
  <c r="A3235" i="17"/>
  <c r="A3234" i="17"/>
  <c r="A3233" i="17"/>
  <c r="A3232" i="17"/>
  <c r="A3231" i="17"/>
  <c r="A3230" i="17"/>
  <c r="A3229" i="17"/>
  <c r="A3228" i="17"/>
  <c r="A3227" i="17"/>
  <c r="A3226" i="17"/>
  <c r="A3225" i="17"/>
  <c r="A3224" i="17"/>
  <c r="A3223" i="17"/>
  <c r="A3222" i="17"/>
  <c r="A3221" i="17"/>
  <c r="A3220" i="17"/>
  <c r="A3219" i="17"/>
  <c r="A3218" i="17"/>
  <c r="A3217" i="17"/>
  <c r="A3216" i="17"/>
  <c r="A3215" i="17"/>
  <c r="A3214" i="17"/>
  <c r="A3213" i="17"/>
  <c r="A3212" i="17"/>
  <c r="A3211" i="17"/>
  <c r="A3210" i="17"/>
  <c r="A3209" i="17"/>
  <c r="A3208" i="17"/>
  <c r="A3207" i="17"/>
  <c r="A3206" i="17"/>
  <c r="A3205" i="17"/>
  <c r="A3204" i="17"/>
  <c r="A3203" i="17"/>
  <c r="A3202" i="17"/>
  <c r="A3201" i="17"/>
  <c r="A3200" i="17"/>
  <c r="A3199" i="17"/>
  <c r="A3198" i="17"/>
  <c r="A3197" i="17"/>
  <c r="A3196" i="17"/>
  <c r="A3195" i="17"/>
  <c r="A3194" i="17"/>
  <c r="A3193" i="17"/>
  <c r="A3192" i="17"/>
  <c r="A3191" i="17"/>
  <c r="A3190" i="17"/>
  <c r="A3189" i="17"/>
  <c r="A3188" i="17"/>
  <c r="A3187" i="17"/>
  <c r="A3186" i="17"/>
  <c r="A3185" i="17"/>
  <c r="A3184" i="17"/>
  <c r="A3183" i="17"/>
  <c r="A3182" i="17"/>
  <c r="A3181" i="17"/>
  <c r="A3180" i="17"/>
  <c r="A3179" i="17"/>
  <c r="A3178" i="17"/>
  <c r="A3177" i="17"/>
  <c r="A3176" i="17"/>
  <c r="A3175" i="17"/>
  <c r="A3174" i="17"/>
  <c r="A3173" i="17"/>
  <c r="A3172" i="17"/>
  <c r="A3171" i="17"/>
  <c r="A3170" i="17"/>
  <c r="A3169" i="17"/>
  <c r="A3168" i="17"/>
  <c r="A3167" i="17"/>
  <c r="A3166" i="17"/>
  <c r="A3165" i="17"/>
  <c r="A3164" i="17"/>
  <c r="A3163" i="17"/>
  <c r="A3162" i="17"/>
  <c r="A3161" i="17"/>
  <c r="A3160" i="17"/>
  <c r="A3159" i="17"/>
  <c r="A3158" i="17"/>
  <c r="A3157" i="17"/>
  <c r="A3156" i="17"/>
  <c r="A3155" i="17"/>
  <c r="A3154" i="17"/>
  <c r="A3153" i="17"/>
  <c r="A3152" i="17"/>
  <c r="A3151" i="17"/>
  <c r="A3150" i="17"/>
  <c r="A3149" i="17"/>
  <c r="A3148" i="17"/>
  <c r="A3147" i="17"/>
  <c r="A3146" i="17"/>
  <c r="A3145" i="17"/>
  <c r="A3144" i="17"/>
  <c r="A3143" i="17"/>
  <c r="A3142" i="17"/>
  <c r="A3141" i="17"/>
  <c r="A3140" i="17"/>
  <c r="A3139" i="17"/>
  <c r="A3138" i="17"/>
  <c r="A3137" i="17"/>
  <c r="A3136" i="17"/>
  <c r="A3135" i="17"/>
  <c r="A3134" i="17"/>
  <c r="A3133" i="17"/>
  <c r="A3132" i="17"/>
  <c r="C3131" i="17"/>
  <c r="A3131" i="17"/>
  <c r="A3130" i="17"/>
  <c r="A3129" i="17"/>
  <c r="A3128" i="17"/>
  <c r="A3127" i="17"/>
  <c r="A3126" i="17"/>
  <c r="A3125" i="17"/>
  <c r="A3124" i="17"/>
  <c r="A3123" i="17"/>
  <c r="A3122" i="17"/>
  <c r="A3121" i="17"/>
  <c r="A3120" i="17"/>
  <c r="A3119" i="17"/>
  <c r="A3118" i="17"/>
  <c r="A3117" i="17"/>
  <c r="A3116" i="17"/>
  <c r="A3115" i="17"/>
  <c r="A3114" i="17"/>
  <c r="A3113" i="17"/>
  <c r="A3112" i="17"/>
  <c r="A3111" i="17"/>
  <c r="A3110" i="17"/>
  <c r="A3109" i="17"/>
  <c r="A3108" i="17"/>
  <c r="A3107" i="17"/>
  <c r="A3106" i="17"/>
  <c r="A3105" i="17"/>
  <c r="A3104" i="17"/>
  <c r="A3103" i="17"/>
  <c r="A3102" i="17"/>
  <c r="A3101" i="17"/>
  <c r="A3100" i="17"/>
  <c r="A3099" i="17"/>
  <c r="A3098" i="17"/>
  <c r="A3097" i="17"/>
  <c r="A3096" i="17"/>
  <c r="A3095" i="17"/>
  <c r="A3094" i="17"/>
  <c r="A3093" i="17"/>
  <c r="A3092" i="17"/>
  <c r="A3091" i="17"/>
  <c r="A3090" i="17"/>
  <c r="A3089" i="17"/>
  <c r="A3088" i="17"/>
  <c r="A3087" i="17"/>
  <c r="A3086" i="17"/>
  <c r="A3085" i="17"/>
  <c r="A3084" i="17"/>
  <c r="A3083" i="17"/>
  <c r="A3082" i="17"/>
  <c r="A3081" i="17"/>
  <c r="A3080" i="17"/>
  <c r="A3079" i="17"/>
  <c r="A3078" i="17"/>
  <c r="A3077" i="17"/>
  <c r="A3076" i="17"/>
  <c r="A3075" i="17"/>
  <c r="A3074" i="17"/>
  <c r="A3073" i="17"/>
  <c r="A3072" i="17"/>
  <c r="A3071" i="17"/>
  <c r="A3070" i="17"/>
  <c r="A3069" i="17"/>
  <c r="A3068" i="17"/>
  <c r="A3067" i="17"/>
  <c r="A3066" i="17"/>
  <c r="A3065" i="17"/>
  <c r="A3064" i="17"/>
  <c r="A3063" i="17"/>
  <c r="A3062" i="17"/>
  <c r="A3061" i="17"/>
  <c r="A3060" i="17"/>
  <c r="A3059" i="17"/>
  <c r="A3058" i="17"/>
  <c r="A3057" i="17"/>
  <c r="A3056" i="17"/>
  <c r="A3055" i="17"/>
  <c r="A3054" i="17"/>
  <c r="A3053" i="17"/>
  <c r="A3052" i="17"/>
  <c r="A3051" i="17"/>
  <c r="A3050" i="17"/>
  <c r="A3049" i="17"/>
  <c r="A3048" i="17"/>
  <c r="A3047" i="17"/>
  <c r="A3046" i="17"/>
  <c r="A3045" i="17"/>
  <c r="A3044" i="17"/>
  <c r="A3043" i="17"/>
  <c r="A3042" i="17"/>
  <c r="A3041" i="17"/>
  <c r="A3040" i="17"/>
  <c r="A3039" i="17"/>
  <c r="A3038" i="17"/>
  <c r="A3037" i="17"/>
  <c r="A3036" i="17"/>
  <c r="A3035" i="17"/>
  <c r="A3034" i="17"/>
  <c r="A3033" i="17"/>
  <c r="A3032" i="17"/>
  <c r="A3031" i="17"/>
  <c r="A3030" i="17"/>
  <c r="A3029" i="17"/>
  <c r="A3028" i="17"/>
  <c r="A3027" i="17"/>
  <c r="A3026" i="17"/>
  <c r="A3025" i="17"/>
  <c r="A3024" i="17"/>
  <c r="A3023" i="17"/>
  <c r="A3022" i="17"/>
  <c r="A3021" i="17"/>
  <c r="A3020" i="17"/>
  <c r="A3019" i="17"/>
  <c r="A3018" i="17"/>
  <c r="A3017" i="17"/>
  <c r="A3016" i="17"/>
  <c r="A3015" i="17"/>
  <c r="A3014" i="17"/>
  <c r="A3013" i="17"/>
  <c r="A3012" i="17"/>
  <c r="A3011" i="17"/>
  <c r="A3010" i="17"/>
  <c r="A3009" i="17"/>
  <c r="A3008" i="17"/>
  <c r="A3007" i="17"/>
  <c r="A3006" i="17"/>
  <c r="A3005" i="17"/>
  <c r="A3004" i="17"/>
  <c r="A3003" i="17"/>
  <c r="A3002" i="17"/>
  <c r="A3001" i="17"/>
  <c r="A3000" i="17"/>
  <c r="A2999" i="17"/>
  <c r="A2998" i="17"/>
  <c r="A2997" i="17"/>
  <c r="A2996" i="17"/>
  <c r="A2995" i="17"/>
  <c r="A2994" i="17"/>
  <c r="A2993" i="17"/>
  <c r="A2992" i="17"/>
  <c r="A2991" i="17"/>
  <c r="A2990" i="17"/>
  <c r="A2989" i="17"/>
  <c r="A2988" i="17"/>
  <c r="A2987" i="17"/>
  <c r="A2986" i="17"/>
  <c r="A2985" i="17"/>
  <c r="A2984" i="17"/>
  <c r="A2983" i="17"/>
  <c r="A2982" i="17"/>
  <c r="A2981" i="17"/>
  <c r="A2980" i="17"/>
  <c r="A2979" i="17"/>
  <c r="A2978" i="17"/>
  <c r="A2977" i="17"/>
  <c r="A2976" i="17"/>
  <c r="A2975" i="17"/>
  <c r="A2974" i="17"/>
  <c r="A2973" i="17"/>
  <c r="A2972" i="17"/>
  <c r="A2971" i="17"/>
  <c r="A2970" i="17"/>
  <c r="A2969" i="17"/>
  <c r="A2968" i="17"/>
  <c r="A2967" i="17"/>
  <c r="A2966" i="17"/>
  <c r="A2965" i="17"/>
  <c r="A2964" i="17"/>
  <c r="A2963" i="17"/>
  <c r="A2962" i="17"/>
  <c r="A2961" i="17"/>
  <c r="A2960" i="17"/>
  <c r="A2959" i="17"/>
  <c r="A2958" i="17"/>
  <c r="A2957" i="17"/>
  <c r="A2956" i="17"/>
  <c r="A2955" i="17"/>
  <c r="A2954" i="17"/>
  <c r="A2953" i="17"/>
  <c r="A2952" i="17"/>
  <c r="A2951" i="17"/>
  <c r="A2950" i="17"/>
  <c r="A2949" i="17"/>
  <c r="A2948" i="17"/>
  <c r="A2947" i="17"/>
  <c r="A2946" i="17"/>
  <c r="A2945" i="17"/>
  <c r="A2944" i="17"/>
  <c r="A2943" i="17"/>
  <c r="A2942" i="17"/>
  <c r="A2941" i="17"/>
  <c r="A2940" i="17"/>
  <c r="A2939" i="17"/>
  <c r="A2938" i="17"/>
  <c r="A2937" i="17"/>
  <c r="A2936" i="17"/>
  <c r="A2935" i="17"/>
  <c r="A2934" i="17"/>
  <c r="A2933" i="17"/>
  <c r="A2932" i="17"/>
  <c r="A2931" i="17"/>
  <c r="A2930" i="17"/>
  <c r="A2929" i="17"/>
  <c r="A2928" i="17"/>
  <c r="A2927" i="17"/>
  <c r="A2926" i="17"/>
  <c r="A2925" i="17"/>
  <c r="A2924" i="17"/>
  <c r="A2923" i="17"/>
  <c r="A2922" i="17"/>
  <c r="A2921" i="17"/>
  <c r="A2920" i="17"/>
  <c r="A2919" i="17"/>
  <c r="A2918" i="17"/>
  <c r="A2917" i="17"/>
  <c r="A2916" i="17"/>
  <c r="A2915" i="17"/>
  <c r="A2914" i="17"/>
  <c r="A2913" i="17"/>
  <c r="A2912" i="17"/>
  <c r="A2911" i="17"/>
  <c r="A2910" i="17"/>
  <c r="A2909" i="17"/>
  <c r="A2908" i="17"/>
  <c r="A2907" i="17"/>
  <c r="A2906" i="17"/>
  <c r="A2905" i="17"/>
  <c r="A2904" i="17"/>
  <c r="A2903" i="17"/>
  <c r="A2902" i="17"/>
  <c r="A2901" i="17"/>
  <c r="A2900" i="17"/>
  <c r="A2899" i="17"/>
  <c r="A2898" i="17"/>
  <c r="A2897" i="17"/>
  <c r="A2896" i="17"/>
  <c r="A2895" i="17"/>
  <c r="A2894" i="17"/>
  <c r="A2893" i="17"/>
  <c r="A2892" i="17"/>
  <c r="A2891" i="17"/>
  <c r="A2890" i="17"/>
  <c r="A2889" i="17"/>
  <c r="A2888" i="17"/>
  <c r="A2887" i="17"/>
  <c r="A2886" i="17"/>
  <c r="A2885" i="17"/>
  <c r="A2884" i="17"/>
  <c r="A2883" i="17"/>
  <c r="A2882" i="17"/>
  <c r="A2881" i="17"/>
  <c r="A2880" i="17"/>
  <c r="A2879" i="17"/>
  <c r="A2878" i="17"/>
  <c r="A2877" i="17"/>
  <c r="A2876" i="17"/>
  <c r="A2875" i="17"/>
  <c r="A2874" i="17"/>
  <c r="A2873" i="17"/>
  <c r="A2872" i="17"/>
  <c r="A2871" i="17"/>
  <c r="A2870" i="17"/>
  <c r="A2869" i="17"/>
  <c r="A2868" i="17"/>
  <c r="A2867" i="17"/>
  <c r="A2866" i="17"/>
  <c r="A2865" i="17"/>
  <c r="A2864" i="17"/>
  <c r="A2863" i="17"/>
  <c r="A2862" i="17"/>
  <c r="A2861" i="17"/>
  <c r="A2860" i="17"/>
  <c r="A2859" i="17"/>
  <c r="A2858" i="17"/>
  <c r="A2857" i="17"/>
  <c r="A2856" i="17"/>
  <c r="A2855" i="17"/>
  <c r="A2854" i="17"/>
  <c r="A2853" i="17"/>
  <c r="A2852" i="17"/>
  <c r="A2851" i="17"/>
  <c r="A2850" i="17"/>
  <c r="A2849" i="17"/>
  <c r="A2848" i="17"/>
  <c r="A2847" i="17"/>
  <c r="A2846" i="17"/>
  <c r="A2845" i="17"/>
  <c r="A2844" i="17"/>
  <c r="A2843" i="17"/>
  <c r="A2842" i="17"/>
  <c r="A2841" i="17"/>
  <c r="A2840" i="17"/>
  <c r="A2839" i="17"/>
  <c r="A2838" i="17"/>
  <c r="A2837" i="17"/>
  <c r="A2836" i="17"/>
  <c r="A2835" i="17"/>
  <c r="A2834" i="17"/>
  <c r="A2833" i="17"/>
  <c r="A2832" i="17"/>
  <c r="A2831" i="17"/>
  <c r="A2830" i="17"/>
  <c r="A2829" i="17"/>
  <c r="A2828" i="17"/>
  <c r="A2827" i="17"/>
  <c r="A2826" i="17"/>
  <c r="A2825" i="17"/>
  <c r="A2824" i="17"/>
  <c r="A2823" i="17"/>
  <c r="A2822" i="17"/>
  <c r="A2821" i="17"/>
  <c r="A2820" i="17"/>
  <c r="A2819" i="17"/>
  <c r="A2818" i="17"/>
  <c r="A2817" i="17"/>
  <c r="A2816" i="17"/>
  <c r="A2815" i="17"/>
  <c r="A2814" i="17"/>
  <c r="A2813" i="17"/>
  <c r="A2812" i="17"/>
  <c r="A2811" i="17"/>
  <c r="A2810" i="17"/>
  <c r="A2809" i="17"/>
  <c r="A2808" i="17"/>
  <c r="A2807" i="17"/>
  <c r="A2806" i="17"/>
  <c r="A2805" i="17"/>
  <c r="A2804" i="17"/>
  <c r="A2803" i="17"/>
  <c r="A2802" i="17"/>
  <c r="A2801" i="17"/>
  <c r="A2800" i="17"/>
  <c r="A2799" i="17"/>
  <c r="A2798" i="17"/>
  <c r="A2797" i="17"/>
  <c r="A2796" i="17"/>
  <c r="A2795" i="17"/>
  <c r="A2794" i="17"/>
  <c r="A2793" i="17"/>
  <c r="A2792" i="17"/>
  <c r="A2791" i="17"/>
  <c r="A2790" i="17"/>
  <c r="A2789" i="17"/>
  <c r="A2788" i="17"/>
  <c r="A2787" i="17"/>
  <c r="A2786" i="17"/>
  <c r="A2785" i="17"/>
  <c r="A2784" i="17"/>
  <c r="A2783" i="17"/>
  <c r="A2782" i="17"/>
  <c r="A2781" i="17"/>
  <c r="A2780" i="17"/>
  <c r="A2779" i="17"/>
  <c r="A2778" i="17"/>
  <c r="A2777" i="17"/>
  <c r="A2776" i="17"/>
  <c r="A2775" i="17"/>
  <c r="A2774" i="17"/>
  <c r="A2773" i="17"/>
  <c r="A2772" i="17"/>
  <c r="A2771" i="17"/>
  <c r="A2770" i="17"/>
  <c r="A2769" i="17"/>
  <c r="A2768" i="17"/>
  <c r="A2767" i="17"/>
  <c r="A2766" i="17"/>
  <c r="A2765" i="17"/>
  <c r="A2764" i="17"/>
  <c r="A2763" i="17"/>
  <c r="A2762" i="17"/>
  <c r="A2761" i="17"/>
  <c r="A2760" i="17"/>
  <c r="A2759" i="17"/>
  <c r="A2758" i="17"/>
  <c r="A2757" i="17"/>
  <c r="A2756" i="17"/>
  <c r="A2755" i="17"/>
  <c r="A2754" i="17"/>
  <c r="A2753" i="17"/>
  <c r="A2752" i="17"/>
  <c r="A2751" i="17"/>
  <c r="A2750" i="17"/>
  <c r="A2749" i="17"/>
  <c r="A2748" i="17"/>
  <c r="A2747" i="17"/>
  <c r="A2746" i="17"/>
  <c r="A2745" i="17"/>
  <c r="A2744" i="17"/>
  <c r="A2743" i="17"/>
  <c r="A2742" i="17"/>
  <c r="A2741" i="17"/>
  <c r="A2740" i="17"/>
  <c r="A2739" i="17"/>
  <c r="A2738" i="17"/>
  <c r="A2737" i="17"/>
  <c r="A2736" i="17"/>
  <c r="A2735" i="17"/>
  <c r="A2734" i="17"/>
  <c r="A2733" i="17"/>
  <c r="A2732" i="17"/>
  <c r="A2731" i="17"/>
  <c r="A2730" i="17"/>
  <c r="A2729" i="17"/>
  <c r="A2728" i="17"/>
  <c r="A2727" i="17"/>
  <c r="A2726" i="17"/>
  <c r="A2725" i="17"/>
  <c r="A2724" i="17"/>
  <c r="A2723" i="17"/>
  <c r="A2722" i="17"/>
  <c r="A2721" i="17"/>
  <c r="A2720" i="17"/>
  <c r="A2719" i="17"/>
  <c r="A2718" i="17"/>
  <c r="A2717" i="17"/>
  <c r="A2716" i="17"/>
  <c r="A2715" i="17"/>
  <c r="A2714" i="17"/>
  <c r="A2713" i="17"/>
  <c r="A2712" i="17"/>
  <c r="A2711" i="17"/>
  <c r="A2710" i="17"/>
  <c r="A2709" i="17"/>
  <c r="A2708" i="17"/>
  <c r="A2707" i="17"/>
  <c r="A2706" i="17"/>
  <c r="A2705" i="17"/>
  <c r="A2704" i="17"/>
  <c r="A2703" i="17"/>
  <c r="A2702" i="17"/>
  <c r="A2701" i="17"/>
  <c r="A2700" i="17"/>
  <c r="A2699" i="17"/>
  <c r="A2698" i="17"/>
  <c r="A2697" i="17"/>
  <c r="A2696" i="17"/>
  <c r="A2695" i="17"/>
  <c r="A2694" i="17"/>
  <c r="A2693" i="17"/>
  <c r="A2692" i="17"/>
  <c r="A2691" i="17"/>
  <c r="A2690" i="17"/>
  <c r="A2689" i="17"/>
  <c r="A2688" i="17"/>
  <c r="A2687" i="17"/>
  <c r="A2686" i="17"/>
  <c r="A2685" i="17"/>
  <c r="A2684" i="17"/>
  <c r="A2683" i="17"/>
  <c r="A2682" i="17"/>
  <c r="A2681" i="17"/>
  <c r="A2680" i="17"/>
  <c r="A2679" i="17"/>
  <c r="A2678" i="17"/>
  <c r="A2677" i="17"/>
  <c r="A2676" i="17"/>
  <c r="A2675" i="17"/>
  <c r="A2674" i="17"/>
  <c r="A2673" i="17"/>
  <c r="A2672" i="17"/>
  <c r="A2671" i="17"/>
  <c r="A2670" i="17"/>
  <c r="A2669" i="17"/>
  <c r="A2668" i="17"/>
  <c r="A2667" i="17"/>
  <c r="A2666" i="17"/>
  <c r="A2665" i="17"/>
  <c r="A2664" i="17"/>
  <c r="A2663" i="17"/>
  <c r="A2662" i="17"/>
  <c r="A2661" i="17"/>
  <c r="A2660" i="17"/>
  <c r="A2659" i="17"/>
  <c r="A2658" i="17"/>
  <c r="A2657" i="17"/>
  <c r="A2656" i="17"/>
  <c r="A2655" i="17"/>
  <c r="A2654" i="17"/>
  <c r="A2653" i="17"/>
  <c r="A2652" i="17"/>
  <c r="A2651" i="17"/>
  <c r="A2650" i="17"/>
  <c r="A2649" i="17"/>
  <c r="A2648" i="17"/>
  <c r="A2647" i="17"/>
  <c r="A2646" i="17"/>
  <c r="A2645" i="17"/>
  <c r="A2644" i="17"/>
  <c r="A2643" i="17"/>
  <c r="A2642" i="17"/>
  <c r="A2641" i="17"/>
  <c r="A2640" i="17"/>
  <c r="A2639" i="17"/>
  <c r="A2638" i="17"/>
  <c r="A2637" i="17"/>
  <c r="A2636" i="17"/>
  <c r="A2635" i="17"/>
  <c r="A2634" i="17"/>
  <c r="A2633" i="17"/>
  <c r="A2632" i="17"/>
  <c r="A2631" i="17"/>
  <c r="A2630" i="17"/>
  <c r="A2629" i="17"/>
  <c r="A2628" i="17"/>
  <c r="A2627" i="17"/>
  <c r="A2626" i="17"/>
  <c r="A2625" i="17"/>
  <c r="A2624" i="17"/>
  <c r="A2623" i="17"/>
  <c r="A2622" i="17"/>
  <c r="A2621" i="17"/>
  <c r="A2620" i="17"/>
  <c r="A2619" i="17"/>
  <c r="A2618" i="17"/>
  <c r="A2617" i="17"/>
  <c r="A2616" i="17"/>
  <c r="A2615" i="17"/>
  <c r="A2614" i="17"/>
  <c r="A2613" i="17"/>
  <c r="A2612" i="17"/>
  <c r="A2611" i="17"/>
  <c r="A2610" i="17"/>
  <c r="A2609" i="17"/>
  <c r="A2608" i="17"/>
  <c r="A2607" i="17"/>
  <c r="A2606" i="17"/>
  <c r="A2605" i="17"/>
  <c r="A2604" i="17"/>
  <c r="A2603" i="17"/>
  <c r="A2602" i="17"/>
  <c r="A2601" i="17"/>
  <c r="A2600" i="17"/>
  <c r="A2599" i="17"/>
  <c r="A2598" i="17"/>
  <c r="A2597" i="17"/>
  <c r="A2596" i="17"/>
  <c r="A2595" i="17"/>
  <c r="A2594" i="17"/>
  <c r="A2593" i="17"/>
  <c r="A2592" i="17"/>
  <c r="A2591" i="17"/>
  <c r="A2590" i="17"/>
  <c r="A2589" i="17"/>
  <c r="A2588" i="17"/>
  <c r="A2587" i="17"/>
  <c r="A2586" i="17"/>
  <c r="A2585" i="17"/>
  <c r="A2584" i="17"/>
  <c r="A2583" i="17"/>
  <c r="A2582" i="17"/>
  <c r="A2581" i="17"/>
  <c r="A2580" i="17"/>
  <c r="A2579" i="17"/>
  <c r="A2578" i="17"/>
  <c r="A2577" i="17"/>
  <c r="A2576" i="17"/>
  <c r="A2575" i="17"/>
  <c r="A2574" i="17"/>
  <c r="A2573" i="17"/>
  <c r="A2572" i="17"/>
  <c r="A2571" i="17"/>
  <c r="A2570" i="17"/>
  <c r="A2569" i="17"/>
  <c r="A2568" i="17"/>
  <c r="A2567" i="17"/>
  <c r="A2566" i="17"/>
  <c r="A2565" i="17"/>
  <c r="A2564" i="17"/>
  <c r="A2563" i="17"/>
  <c r="A2562" i="17"/>
  <c r="A2561" i="17"/>
  <c r="A2560" i="17"/>
  <c r="A2559" i="17"/>
  <c r="A2558" i="17"/>
  <c r="A2557" i="17"/>
  <c r="A2556" i="17"/>
  <c r="A2555" i="17"/>
  <c r="A2554" i="17"/>
  <c r="A2553" i="17"/>
  <c r="A2552" i="17"/>
  <c r="A2551" i="17"/>
  <c r="A2550" i="17"/>
  <c r="A2549" i="17"/>
  <c r="A2548" i="17"/>
  <c r="A2547" i="17"/>
  <c r="A2546" i="17"/>
  <c r="A2545" i="17"/>
  <c r="A2544" i="17"/>
  <c r="A2543" i="17"/>
  <c r="A2542" i="17"/>
  <c r="A2541" i="17"/>
  <c r="A2540" i="17"/>
  <c r="A2539" i="17"/>
  <c r="A2538" i="17"/>
  <c r="A2537" i="17"/>
  <c r="A2536" i="17"/>
  <c r="A2535" i="17"/>
  <c r="A2534" i="17"/>
  <c r="A2533" i="17"/>
  <c r="A2532" i="17"/>
  <c r="A2531" i="17"/>
  <c r="A2530" i="17"/>
  <c r="A2529" i="17"/>
  <c r="A2528" i="17"/>
  <c r="A2527" i="17"/>
  <c r="A2526" i="17"/>
  <c r="A2525" i="17"/>
  <c r="A2524" i="17"/>
  <c r="A2523" i="17"/>
  <c r="A2522" i="17"/>
  <c r="A2521" i="17"/>
  <c r="A2520" i="17"/>
  <c r="A2519" i="17"/>
  <c r="A2518" i="17"/>
  <c r="A2517" i="17"/>
  <c r="A2516" i="17"/>
  <c r="A2515" i="17"/>
  <c r="A2514" i="17"/>
  <c r="A2513" i="17"/>
  <c r="A2512" i="17"/>
  <c r="A2511" i="17"/>
  <c r="A2510" i="17"/>
  <c r="A2509" i="17"/>
  <c r="A2508" i="17"/>
  <c r="A2507" i="17"/>
  <c r="A2506" i="17"/>
  <c r="A2505" i="17"/>
  <c r="A2504" i="17"/>
  <c r="A2503" i="17"/>
  <c r="A2502" i="17"/>
  <c r="A2501" i="17"/>
  <c r="A2500" i="17"/>
  <c r="A2499" i="17"/>
  <c r="A2498" i="17"/>
  <c r="A2497" i="17"/>
  <c r="A2496" i="17"/>
  <c r="A2495" i="17"/>
  <c r="A2494" i="17"/>
  <c r="A2493" i="17"/>
  <c r="A2492" i="17"/>
  <c r="A2491" i="17"/>
  <c r="A2490" i="17"/>
  <c r="A2489" i="17"/>
  <c r="A2488" i="17"/>
  <c r="A2487" i="17"/>
  <c r="A2486" i="17"/>
  <c r="A2485" i="17"/>
  <c r="A2484" i="17"/>
  <c r="A2483" i="17"/>
  <c r="A2482" i="17"/>
  <c r="A2481" i="17"/>
  <c r="A2480" i="17"/>
  <c r="A2479" i="17"/>
  <c r="A2478" i="17"/>
  <c r="A2477" i="17"/>
  <c r="A2476" i="17"/>
  <c r="A2475" i="17"/>
  <c r="A2474" i="17"/>
  <c r="A2473" i="17"/>
  <c r="A2472" i="17"/>
  <c r="A2471" i="17"/>
  <c r="A2470" i="17"/>
  <c r="A2469" i="17"/>
  <c r="A2468" i="17"/>
  <c r="A2467" i="17"/>
  <c r="A2466" i="17"/>
  <c r="A2465" i="17"/>
  <c r="A2464" i="17"/>
  <c r="A2463" i="17"/>
  <c r="A2462" i="17"/>
  <c r="A2461" i="17"/>
  <c r="A2460" i="17"/>
  <c r="A2459" i="17"/>
  <c r="A2458" i="17"/>
  <c r="A2457" i="17"/>
  <c r="A2456" i="17"/>
  <c r="A2455" i="17"/>
  <c r="A2454" i="17"/>
  <c r="A2453" i="17"/>
  <c r="A2452" i="17"/>
  <c r="A2451" i="17"/>
  <c r="A2450" i="17"/>
  <c r="A2449" i="17"/>
  <c r="A2448" i="17"/>
  <c r="A2447" i="17"/>
  <c r="A2446" i="17"/>
  <c r="A2445" i="17"/>
  <c r="A2444" i="17"/>
  <c r="A2443" i="17"/>
  <c r="A2442" i="17"/>
  <c r="A2441" i="17"/>
  <c r="A2440" i="17"/>
  <c r="A2439" i="17"/>
  <c r="A2438" i="17"/>
  <c r="A2437" i="17"/>
  <c r="A2436" i="17"/>
  <c r="A2435" i="17"/>
  <c r="A2434" i="17"/>
  <c r="A2433" i="17"/>
  <c r="A2432" i="17"/>
  <c r="A2431" i="17"/>
  <c r="A2430" i="17"/>
  <c r="A2429" i="17"/>
  <c r="A2428" i="17"/>
  <c r="A2427" i="17"/>
  <c r="A2426" i="17"/>
  <c r="A2425" i="17"/>
  <c r="A2424" i="17"/>
  <c r="A2423" i="17"/>
  <c r="A2422" i="17"/>
  <c r="A2421" i="17"/>
  <c r="A2420" i="17"/>
  <c r="A2419" i="17"/>
  <c r="A2418" i="17"/>
  <c r="A2417" i="17"/>
  <c r="A2416" i="17"/>
  <c r="A2415" i="17"/>
  <c r="A2414" i="17"/>
  <c r="A2413" i="17"/>
  <c r="A2412" i="17"/>
  <c r="A2411" i="17"/>
  <c r="A2410" i="17"/>
  <c r="A2409" i="17"/>
  <c r="A2408" i="17"/>
  <c r="A2407" i="17"/>
  <c r="A2406" i="17"/>
  <c r="A2405" i="17"/>
  <c r="A2404" i="17"/>
  <c r="A2403" i="17"/>
  <c r="A2402" i="17"/>
  <c r="A2401" i="17"/>
  <c r="A2400" i="17"/>
  <c r="A2399" i="17"/>
  <c r="A2398" i="17"/>
  <c r="A2397" i="17"/>
  <c r="A2396" i="17"/>
  <c r="A2395" i="17"/>
  <c r="A2394" i="17"/>
  <c r="A2393" i="17"/>
  <c r="A2392" i="17"/>
  <c r="A2391" i="17"/>
  <c r="A2390" i="17"/>
  <c r="A2389" i="17"/>
  <c r="A2388" i="17"/>
  <c r="A2387" i="17"/>
  <c r="A2386" i="17"/>
  <c r="A2385" i="17"/>
  <c r="A2384" i="17"/>
  <c r="A2383" i="17"/>
  <c r="A2382" i="17"/>
  <c r="A2381" i="17"/>
  <c r="A2380" i="17"/>
  <c r="A2379" i="17"/>
  <c r="A2378" i="17"/>
  <c r="A2377" i="17"/>
  <c r="A2376" i="17"/>
  <c r="A2375" i="17"/>
  <c r="A2374" i="17"/>
  <c r="A2373" i="17"/>
  <c r="A2372" i="17"/>
  <c r="A2371" i="17"/>
  <c r="A2370" i="17"/>
  <c r="A2369" i="17"/>
  <c r="A2368" i="17"/>
  <c r="A2367" i="17"/>
  <c r="A2366" i="17"/>
  <c r="A2365" i="17"/>
  <c r="A2364" i="17"/>
  <c r="A2363" i="17"/>
  <c r="A2362" i="17"/>
  <c r="A2361" i="17"/>
  <c r="A2360" i="17"/>
  <c r="A2359" i="17"/>
  <c r="A2358" i="17"/>
  <c r="A2357" i="17"/>
  <c r="A2356" i="17"/>
  <c r="A2355" i="17"/>
  <c r="A2354" i="17"/>
  <c r="A2353" i="17"/>
  <c r="A2352" i="17"/>
  <c r="A2351" i="17"/>
  <c r="A2350" i="17"/>
  <c r="A2349" i="17"/>
  <c r="A2348" i="17"/>
  <c r="A2347" i="17"/>
  <c r="A2346" i="17"/>
  <c r="A2345" i="17"/>
  <c r="A2344" i="17"/>
  <c r="A2343" i="17"/>
  <c r="A2342" i="17"/>
  <c r="A2341" i="17"/>
  <c r="A2340" i="17"/>
  <c r="A2339" i="17"/>
  <c r="A2338" i="17"/>
  <c r="A2337" i="17"/>
  <c r="A2336" i="17"/>
  <c r="A2335" i="17"/>
  <c r="A2334" i="17"/>
  <c r="A2333" i="17"/>
  <c r="A2332" i="17"/>
  <c r="A2331" i="17"/>
  <c r="A2330" i="17"/>
  <c r="A2329" i="17"/>
  <c r="A2328" i="17"/>
  <c r="A2327" i="17"/>
  <c r="A2326" i="17"/>
  <c r="A2325" i="17"/>
  <c r="A2324" i="17"/>
  <c r="A2323" i="17"/>
  <c r="A2322" i="17"/>
  <c r="A2321" i="17"/>
  <c r="A2320" i="17"/>
  <c r="A2319" i="17"/>
  <c r="A2318" i="17"/>
  <c r="A2317" i="17"/>
  <c r="A2316" i="17"/>
  <c r="A2315" i="17"/>
  <c r="A2314" i="17"/>
  <c r="A2313" i="17"/>
  <c r="A2312" i="17"/>
  <c r="A2311" i="17"/>
  <c r="A2310" i="17"/>
  <c r="A2309" i="17"/>
  <c r="A2308" i="17"/>
  <c r="A2307" i="17"/>
  <c r="A2306" i="17"/>
  <c r="A2305" i="17"/>
  <c r="A2304" i="17"/>
  <c r="A2303" i="17"/>
  <c r="A2302" i="17"/>
  <c r="A2301" i="17"/>
  <c r="A2300" i="17"/>
  <c r="A2299" i="17"/>
  <c r="A2298" i="17"/>
  <c r="A2297" i="17"/>
  <c r="A2296" i="17"/>
  <c r="A2295" i="17"/>
  <c r="A2294" i="17"/>
  <c r="A2293" i="17"/>
  <c r="A2292" i="17"/>
  <c r="A2291" i="17"/>
  <c r="A2290" i="17"/>
  <c r="A2289" i="17"/>
  <c r="A2288" i="17"/>
  <c r="A2287" i="17"/>
  <c r="A2286" i="17"/>
  <c r="A2285" i="17"/>
  <c r="A2284" i="17"/>
  <c r="A2283" i="17"/>
  <c r="A2282" i="17"/>
  <c r="A2281" i="17"/>
  <c r="A2280" i="17"/>
  <c r="A2279" i="17"/>
  <c r="A2278" i="17"/>
  <c r="A2277" i="17"/>
  <c r="A2276" i="17"/>
  <c r="A2275" i="17"/>
  <c r="A2274" i="17"/>
  <c r="A2273" i="17"/>
  <c r="A2272" i="17"/>
  <c r="A2271" i="17"/>
  <c r="A2270" i="17"/>
  <c r="A2269" i="17"/>
  <c r="A2268" i="17"/>
  <c r="A2267" i="17"/>
  <c r="A2266" i="17"/>
  <c r="A2265" i="17"/>
  <c r="A2264" i="17"/>
  <c r="A2263" i="17"/>
  <c r="A2262" i="17"/>
  <c r="A2261" i="17"/>
  <c r="A2260" i="17"/>
  <c r="A2259" i="17"/>
  <c r="A2258" i="17"/>
  <c r="A2257" i="17"/>
  <c r="A2256" i="17"/>
  <c r="A2255" i="17"/>
  <c r="A2254" i="17"/>
  <c r="A2253" i="17"/>
  <c r="A2252" i="17"/>
  <c r="A2251" i="17"/>
  <c r="A2250" i="17"/>
  <c r="A2249" i="17"/>
  <c r="A2248" i="17"/>
  <c r="A2247" i="17"/>
  <c r="A2246" i="17"/>
  <c r="A2245" i="17"/>
  <c r="A2244" i="17"/>
  <c r="A2243" i="17"/>
  <c r="A2242" i="17"/>
  <c r="A2241" i="17"/>
  <c r="A2240" i="17"/>
  <c r="A2239" i="17"/>
  <c r="A2238" i="17"/>
  <c r="A2237" i="17"/>
  <c r="A2236" i="17"/>
  <c r="A2235" i="17"/>
  <c r="A2234" i="17"/>
  <c r="A2233" i="17"/>
  <c r="A2232" i="17"/>
  <c r="A2231" i="17"/>
  <c r="A2230" i="17"/>
  <c r="A2229" i="17"/>
  <c r="A2228" i="17"/>
  <c r="A2227" i="17"/>
  <c r="A2226" i="17"/>
  <c r="A2225" i="17"/>
  <c r="A2224" i="17"/>
  <c r="A2223" i="17"/>
  <c r="A2222" i="17"/>
  <c r="A2221" i="17"/>
  <c r="A2220" i="17"/>
  <c r="A2219" i="17"/>
  <c r="A2218" i="17"/>
  <c r="A2217" i="17"/>
  <c r="A2216" i="17"/>
  <c r="A2215" i="17"/>
  <c r="A2214" i="17"/>
  <c r="A2213" i="17"/>
  <c r="A2212" i="17"/>
  <c r="A2211" i="17"/>
  <c r="A2210" i="17"/>
  <c r="A2209" i="17"/>
  <c r="A2208" i="17"/>
  <c r="A2207" i="17"/>
  <c r="A2206" i="17"/>
  <c r="A2205" i="17"/>
  <c r="A2204" i="17"/>
  <c r="A2203" i="17"/>
  <c r="A2202" i="17"/>
  <c r="A2201" i="17"/>
  <c r="A2200" i="17"/>
  <c r="A2199" i="17"/>
  <c r="A2198" i="17"/>
  <c r="A2197" i="17"/>
  <c r="A2196" i="17"/>
  <c r="A2195" i="17"/>
  <c r="A2194" i="17"/>
  <c r="A2193" i="17"/>
  <c r="A2192" i="17"/>
  <c r="A2191" i="17"/>
  <c r="A2190" i="17"/>
  <c r="A2189" i="17"/>
  <c r="A2188" i="17"/>
  <c r="A2187" i="17"/>
  <c r="A2186" i="17"/>
  <c r="A2185" i="17"/>
  <c r="A2184" i="17"/>
  <c r="A2183" i="17"/>
  <c r="A2182" i="17"/>
  <c r="A2181" i="17"/>
  <c r="A2180" i="17"/>
  <c r="A2179" i="17"/>
  <c r="A2178" i="17"/>
  <c r="A2177" i="17"/>
  <c r="A2176" i="17"/>
  <c r="A2175" i="17"/>
  <c r="A2174" i="17"/>
  <c r="A2173" i="17"/>
  <c r="A2172" i="17"/>
  <c r="A2171" i="17"/>
  <c r="A2170" i="17"/>
  <c r="A2169" i="17"/>
  <c r="A2168" i="17"/>
  <c r="A2167" i="17"/>
  <c r="A2166" i="17"/>
  <c r="A2165" i="17"/>
  <c r="A2164" i="17"/>
  <c r="A2163" i="17"/>
  <c r="A2162" i="17"/>
  <c r="A2161" i="17"/>
  <c r="A2160" i="17"/>
  <c r="A2159" i="17"/>
  <c r="A2158" i="17"/>
  <c r="A2157" i="17"/>
  <c r="A2156" i="17"/>
  <c r="A2155" i="17"/>
  <c r="A2154" i="17"/>
  <c r="A2153" i="17"/>
  <c r="A2152" i="17"/>
  <c r="A2151" i="17"/>
  <c r="A2150" i="17"/>
  <c r="A2149" i="17"/>
  <c r="A2148" i="17"/>
  <c r="A2147" i="17"/>
  <c r="A2146" i="17"/>
  <c r="A2145" i="17"/>
  <c r="A2144" i="17"/>
  <c r="A2143" i="17"/>
  <c r="A2142" i="17"/>
  <c r="A2141" i="17"/>
  <c r="A2140" i="17"/>
  <c r="A2139" i="17"/>
  <c r="A2138" i="17"/>
  <c r="A2137" i="17"/>
  <c r="A2136" i="17"/>
  <c r="A2135" i="17"/>
  <c r="A2134" i="17"/>
  <c r="A2133" i="17"/>
  <c r="A2132" i="17"/>
  <c r="A2131" i="17"/>
  <c r="A2130" i="17"/>
  <c r="A2129" i="17"/>
  <c r="A2128" i="17"/>
  <c r="A2127" i="17"/>
  <c r="A2126" i="17"/>
  <c r="A2125" i="17"/>
  <c r="A2124" i="17"/>
  <c r="A2123" i="17"/>
  <c r="A2122" i="17"/>
  <c r="A2121" i="17"/>
  <c r="A2120" i="17"/>
  <c r="A2119" i="17"/>
  <c r="A2118" i="17"/>
  <c r="A2117" i="17"/>
  <c r="A2116" i="17"/>
  <c r="A2115" i="17"/>
  <c r="A2114" i="17"/>
  <c r="A2113" i="17"/>
  <c r="A2112" i="17"/>
  <c r="A2111" i="17"/>
  <c r="A2110" i="17"/>
  <c r="A2109" i="17"/>
  <c r="A2108" i="17"/>
  <c r="A2107" i="17"/>
  <c r="A2106" i="17"/>
  <c r="A2105" i="17"/>
  <c r="A2104" i="17"/>
  <c r="A2103" i="17"/>
  <c r="A2102" i="17"/>
  <c r="A2101" i="17"/>
  <c r="A2100" i="17"/>
  <c r="A2099" i="17"/>
  <c r="A2098" i="17"/>
  <c r="A2097" i="17"/>
  <c r="A2096" i="17"/>
  <c r="A2095" i="17"/>
  <c r="A2094" i="17"/>
  <c r="A2093" i="17"/>
  <c r="A2092" i="17"/>
  <c r="A2091" i="17"/>
  <c r="A2090" i="17"/>
  <c r="A2089" i="17"/>
  <c r="A2088" i="17"/>
  <c r="A2087" i="17"/>
  <c r="A2086" i="17"/>
  <c r="A2085" i="17"/>
  <c r="A2084" i="17"/>
  <c r="A2083" i="17"/>
  <c r="A2082" i="17"/>
  <c r="A2081" i="17"/>
  <c r="A2080" i="17"/>
  <c r="A2079" i="17"/>
  <c r="A2078" i="17"/>
  <c r="A2077" i="17"/>
  <c r="A2076" i="17"/>
  <c r="A2075" i="17"/>
  <c r="A2074" i="17"/>
  <c r="A2073" i="17"/>
  <c r="A2072" i="17"/>
  <c r="A2071" i="17"/>
  <c r="A2070" i="17"/>
  <c r="A2069" i="17"/>
  <c r="A2068" i="17"/>
  <c r="A2067" i="17"/>
  <c r="A2066" i="17"/>
  <c r="A2065" i="17"/>
  <c r="A2064" i="17"/>
  <c r="A2063" i="17"/>
  <c r="A2062" i="17"/>
  <c r="A2061" i="17"/>
  <c r="A2060" i="17"/>
  <c r="A2059" i="17"/>
  <c r="A2058" i="17"/>
  <c r="A2057" i="17"/>
  <c r="A2056" i="17"/>
  <c r="A2055" i="17"/>
  <c r="A2054" i="17"/>
  <c r="A2053" i="17"/>
  <c r="A2052" i="17"/>
  <c r="A2051" i="17"/>
  <c r="A2050" i="17"/>
  <c r="A2049" i="17"/>
  <c r="A2048" i="17"/>
  <c r="A2047" i="17"/>
  <c r="A2046" i="17"/>
  <c r="A2045" i="17"/>
  <c r="A2044" i="17"/>
  <c r="A2043" i="17"/>
  <c r="A2042" i="17"/>
  <c r="A2041" i="17"/>
  <c r="A2040" i="17"/>
  <c r="A2039" i="17"/>
  <c r="A2038" i="17"/>
  <c r="A2037" i="17"/>
  <c r="A2036" i="17"/>
  <c r="A2035" i="17"/>
  <c r="A2034" i="17"/>
  <c r="A2033" i="17"/>
  <c r="A2032" i="17"/>
  <c r="A2031" i="17"/>
  <c r="A2030" i="17"/>
  <c r="A2029" i="17"/>
  <c r="A2028" i="17"/>
  <c r="A2027" i="17"/>
  <c r="A2026" i="17"/>
  <c r="A2025" i="17"/>
  <c r="A2024" i="17"/>
  <c r="A2023" i="17"/>
  <c r="A2022" i="17"/>
  <c r="A2021" i="17"/>
  <c r="A2020" i="17"/>
  <c r="A2019" i="17"/>
  <c r="A2018" i="17"/>
  <c r="A2017" i="17"/>
  <c r="A2016" i="17"/>
  <c r="A2015" i="17"/>
  <c r="A2014" i="17"/>
  <c r="A2013" i="17"/>
  <c r="A2012" i="17"/>
  <c r="A2011" i="17"/>
  <c r="A2010" i="17"/>
  <c r="A2009" i="17"/>
  <c r="A2008" i="17"/>
  <c r="A2007" i="17"/>
  <c r="A2006" i="17"/>
  <c r="A2005" i="17"/>
  <c r="A2004" i="17"/>
  <c r="A2003" i="17"/>
  <c r="A2002" i="17"/>
  <c r="A2001" i="17"/>
  <c r="A2000" i="17"/>
  <c r="A1999" i="17"/>
  <c r="A1998" i="17"/>
  <c r="A1997" i="17"/>
  <c r="A1996" i="17"/>
  <c r="A1995" i="17"/>
  <c r="A1994" i="17"/>
  <c r="A1993" i="17"/>
  <c r="A1992" i="17"/>
  <c r="A1991" i="17"/>
  <c r="A1990" i="17"/>
  <c r="A1989" i="17"/>
  <c r="A1988" i="17"/>
  <c r="A1987" i="17"/>
  <c r="A1986" i="17"/>
  <c r="A1985" i="17"/>
  <c r="A1984" i="17"/>
  <c r="A1983" i="17"/>
  <c r="A1982" i="17"/>
  <c r="A1981" i="17"/>
  <c r="A1980" i="17"/>
  <c r="A1979" i="17"/>
  <c r="A1978" i="17"/>
  <c r="A1977" i="17"/>
  <c r="A1976" i="17"/>
  <c r="A1975" i="17"/>
  <c r="A1974" i="17"/>
  <c r="A1973" i="17"/>
  <c r="A1972" i="17"/>
  <c r="A1971" i="17"/>
  <c r="A1970" i="17"/>
  <c r="A1969" i="17"/>
  <c r="A1968" i="17"/>
  <c r="A1967" i="17"/>
  <c r="A1966" i="17"/>
  <c r="A1965" i="17"/>
  <c r="A1964" i="17"/>
  <c r="A1963" i="17"/>
  <c r="A1962" i="17"/>
  <c r="A1961" i="17"/>
  <c r="A1960" i="17"/>
  <c r="A1959" i="17"/>
  <c r="A1958" i="17"/>
  <c r="A1957" i="17"/>
  <c r="A1956" i="17"/>
  <c r="A1955" i="17"/>
  <c r="A1954" i="17"/>
  <c r="A1953" i="17"/>
  <c r="A1952" i="17"/>
  <c r="A1951" i="17"/>
  <c r="A1950" i="17"/>
  <c r="A1949" i="17"/>
  <c r="A1948" i="17"/>
  <c r="A1947" i="17"/>
  <c r="A1946" i="17"/>
  <c r="A1945" i="17"/>
  <c r="A1944" i="17"/>
  <c r="A1943" i="17"/>
  <c r="A1942" i="17"/>
  <c r="A1941" i="17"/>
  <c r="A1940" i="17"/>
  <c r="A1939" i="17"/>
  <c r="A1938" i="17"/>
  <c r="A1937" i="17"/>
  <c r="A1936" i="17"/>
  <c r="A1935" i="17"/>
  <c r="A1934" i="17"/>
  <c r="A1933" i="17"/>
  <c r="A1932" i="17"/>
  <c r="A1931" i="17"/>
  <c r="A1930" i="17"/>
  <c r="A1929" i="17"/>
  <c r="A1928" i="17"/>
  <c r="A1927" i="17"/>
  <c r="A1926" i="17"/>
  <c r="A1925" i="17"/>
  <c r="A1924" i="17"/>
  <c r="A1923" i="17"/>
  <c r="A1922" i="17"/>
  <c r="A1921" i="17"/>
  <c r="A1920" i="17"/>
  <c r="A1919" i="17"/>
  <c r="A1918" i="17"/>
  <c r="A1917" i="17"/>
  <c r="A1916" i="17"/>
  <c r="A1915" i="17"/>
  <c r="A1914" i="17"/>
  <c r="A1913" i="17"/>
  <c r="A1912" i="17"/>
  <c r="A1911" i="17"/>
  <c r="A1910" i="17"/>
  <c r="A1909" i="17"/>
  <c r="A1908" i="17"/>
  <c r="A1907" i="17"/>
  <c r="A1906" i="17"/>
  <c r="A1905" i="17"/>
  <c r="A1904" i="17"/>
  <c r="A1903" i="17"/>
  <c r="A1902" i="17"/>
  <c r="A1901" i="17"/>
  <c r="A1900" i="17"/>
  <c r="A1899" i="17"/>
  <c r="A1898" i="17"/>
  <c r="A1897" i="17"/>
  <c r="A1896" i="17"/>
  <c r="A1895" i="17"/>
  <c r="A1894" i="17"/>
  <c r="A1893" i="17"/>
  <c r="A1892" i="17"/>
  <c r="A1891" i="17"/>
  <c r="A1890" i="17"/>
  <c r="A1889" i="17"/>
  <c r="A1888" i="17"/>
  <c r="A1887" i="17"/>
  <c r="A1886" i="17"/>
  <c r="A1885" i="17"/>
  <c r="A1884" i="17"/>
  <c r="A1883" i="17"/>
  <c r="A1882" i="17"/>
  <c r="A1881" i="17"/>
  <c r="A1880" i="17"/>
  <c r="A1879" i="17"/>
  <c r="A1878" i="17"/>
  <c r="A1877" i="17"/>
  <c r="A1876" i="17"/>
  <c r="A1875" i="17"/>
  <c r="A1874" i="17"/>
  <c r="A1873" i="17"/>
  <c r="A1872" i="17"/>
  <c r="A1871" i="17"/>
  <c r="A1870" i="17"/>
  <c r="A1869" i="17"/>
  <c r="A1868" i="17"/>
  <c r="A1867" i="17"/>
  <c r="A1866" i="17"/>
  <c r="A1865" i="17"/>
  <c r="A1864" i="17"/>
  <c r="A1863" i="17"/>
  <c r="A1862" i="17"/>
  <c r="A1861" i="17"/>
  <c r="A1860" i="17"/>
  <c r="A1859" i="17"/>
  <c r="A1858" i="17"/>
  <c r="A1857" i="17"/>
  <c r="A1856" i="17"/>
  <c r="A1855" i="17"/>
  <c r="A1854" i="17"/>
  <c r="A1853" i="17"/>
  <c r="A1852" i="17"/>
  <c r="A1851" i="17"/>
  <c r="A1850" i="17"/>
  <c r="A1849" i="17"/>
  <c r="A1848" i="17"/>
  <c r="A1847" i="17"/>
  <c r="A1846" i="17"/>
  <c r="A1845" i="17"/>
  <c r="A1844" i="17"/>
  <c r="A1843" i="17"/>
  <c r="A1842" i="17"/>
  <c r="A1841" i="17"/>
  <c r="A1840" i="17"/>
  <c r="A1839" i="17"/>
  <c r="A1838" i="17"/>
  <c r="A1837" i="17"/>
  <c r="A1836" i="17"/>
  <c r="A1835" i="17"/>
  <c r="A1834" i="17"/>
  <c r="A1833" i="17"/>
  <c r="A1832" i="17"/>
  <c r="A1831" i="17"/>
  <c r="A1830" i="17"/>
  <c r="A1829" i="17"/>
  <c r="A1828" i="17"/>
  <c r="A1827" i="17"/>
  <c r="A1826" i="17"/>
  <c r="A1825" i="17"/>
  <c r="A1824" i="17"/>
  <c r="A1823" i="17"/>
  <c r="A1822" i="17"/>
  <c r="A1821" i="17"/>
  <c r="A1820" i="17"/>
  <c r="A1819" i="17"/>
  <c r="A1818" i="17"/>
  <c r="A1817" i="17"/>
  <c r="A1816" i="17"/>
  <c r="A1815" i="17"/>
  <c r="A1814" i="17"/>
  <c r="A1813" i="17"/>
  <c r="A1812" i="17"/>
  <c r="A1811" i="17"/>
  <c r="A1810" i="17"/>
  <c r="A1809" i="17"/>
  <c r="A1808" i="17"/>
  <c r="A1807" i="17"/>
  <c r="A1806" i="17"/>
  <c r="A1805" i="17"/>
  <c r="A1804" i="17"/>
  <c r="A1803" i="17"/>
  <c r="A1802" i="17"/>
  <c r="A1801" i="17"/>
  <c r="A1800" i="17"/>
  <c r="A1799" i="17"/>
  <c r="A1798" i="17"/>
  <c r="A1797" i="17"/>
  <c r="A1796" i="17"/>
  <c r="A1795" i="17"/>
  <c r="A1794" i="17"/>
  <c r="A1793" i="17"/>
  <c r="A1792" i="17"/>
  <c r="A1791" i="17"/>
  <c r="A1790" i="17"/>
  <c r="A1789" i="17"/>
  <c r="A1788" i="17"/>
  <c r="A1787" i="17"/>
  <c r="A1786" i="17"/>
  <c r="A1785" i="17"/>
  <c r="A1784" i="17"/>
  <c r="A1783" i="17"/>
  <c r="A1782" i="17"/>
  <c r="A1781" i="17"/>
  <c r="A1780" i="17"/>
  <c r="A1779" i="17"/>
  <c r="A1778" i="17"/>
  <c r="A1777" i="17"/>
  <c r="A1776" i="17"/>
  <c r="A1775" i="17"/>
  <c r="A1774" i="17"/>
  <c r="A1773" i="17"/>
  <c r="A1772" i="17"/>
  <c r="A1771" i="17"/>
  <c r="A1770" i="17"/>
  <c r="A1769" i="17"/>
  <c r="A1768" i="17"/>
  <c r="A1767" i="17"/>
  <c r="A1766" i="17"/>
  <c r="A1765" i="17"/>
  <c r="A1764" i="17"/>
  <c r="A1763" i="17"/>
  <c r="A1762" i="17"/>
  <c r="A1761" i="17"/>
  <c r="A1760" i="17"/>
  <c r="A1759" i="17"/>
  <c r="A1758" i="17"/>
  <c r="A1757" i="17"/>
  <c r="A1756" i="17"/>
  <c r="A1755" i="17"/>
  <c r="A1754" i="17"/>
  <c r="A1753" i="17"/>
  <c r="A1752" i="17"/>
  <c r="A1751" i="17"/>
  <c r="A1750" i="17"/>
  <c r="A1749" i="17"/>
  <c r="A1748" i="17"/>
  <c r="A1747" i="17"/>
  <c r="A1746" i="17"/>
  <c r="A1745" i="17"/>
  <c r="A1744" i="17"/>
  <c r="A1743" i="17"/>
  <c r="A1742" i="17"/>
  <c r="A1741" i="17"/>
  <c r="A1740" i="17"/>
  <c r="A1739" i="17"/>
  <c r="A1738" i="17"/>
  <c r="A1737" i="17"/>
  <c r="A1736" i="17"/>
  <c r="A1735" i="17"/>
  <c r="A1734" i="17"/>
  <c r="A1733" i="17"/>
  <c r="A1732" i="17"/>
  <c r="A1731" i="17"/>
  <c r="A1730" i="17"/>
  <c r="A1729" i="17"/>
  <c r="A1728" i="17"/>
  <c r="A1727" i="17"/>
  <c r="A1726" i="17"/>
  <c r="A1725" i="17"/>
  <c r="A1724" i="17"/>
  <c r="A1723" i="17"/>
  <c r="A1722" i="17"/>
  <c r="A1721" i="17"/>
  <c r="A1720" i="17"/>
  <c r="A1719" i="17"/>
  <c r="A1718" i="17"/>
  <c r="A1717" i="17"/>
  <c r="A1716" i="17"/>
  <c r="A1715" i="17"/>
  <c r="A1714" i="17"/>
  <c r="A1713" i="17"/>
  <c r="A1712" i="17"/>
  <c r="A1711" i="17"/>
  <c r="A1710" i="17"/>
  <c r="A1709" i="17"/>
  <c r="A1708" i="17"/>
  <c r="A1707" i="17"/>
  <c r="A1706" i="17"/>
  <c r="A1705" i="17"/>
  <c r="A1704" i="17"/>
  <c r="A1703" i="17"/>
  <c r="A1702" i="17"/>
  <c r="A1701" i="17"/>
  <c r="A1700" i="17"/>
  <c r="A1699" i="17"/>
  <c r="A1698" i="17"/>
  <c r="A1697" i="17"/>
  <c r="A1696" i="17"/>
  <c r="A1695" i="17"/>
  <c r="A1694" i="17"/>
  <c r="A1693" i="17"/>
  <c r="A1692" i="17"/>
  <c r="A1691" i="17"/>
  <c r="A1690" i="17"/>
  <c r="A1689" i="17"/>
  <c r="A1688" i="17"/>
  <c r="A1687" i="17"/>
  <c r="A1686" i="17"/>
  <c r="A1685" i="17"/>
  <c r="A1684" i="17"/>
  <c r="A1683" i="17"/>
  <c r="A1682" i="17"/>
  <c r="A1681" i="17"/>
  <c r="A1680" i="17"/>
  <c r="A1679" i="17"/>
  <c r="A1678" i="17"/>
  <c r="A1677" i="17"/>
  <c r="A1676" i="17"/>
  <c r="A1675" i="17"/>
  <c r="A1674" i="17"/>
  <c r="A1673" i="17"/>
  <c r="A1672" i="17"/>
  <c r="A1671" i="17"/>
  <c r="A1670" i="17"/>
  <c r="A1669" i="17"/>
  <c r="A1668" i="17"/>
  <c r="A1667" i="17"/>
  <c r="A1666" i="17"/>
  <c r="A1665" i="17"/>
  <c r="A1664" i="17"/>
  <c r="A1663" i="17"/>
  <c r="A1662" i="17"/>
  <c r="A1661" i="17"/>
  <c r="A1660" i="17"/>
  <c r="A1659" i="17"/>
  <c r="A1658" i="17"/>
  <c r="A1657" i="17"/>
  <c r="A1656" i="17"/>
  <c r="A1655" i="17"/>
  <c r="A1654" i="17"/>
  <c r="A1653" i="17"/>
  <c r="A1652" i="17"/>
  <c r="A1651" i="17"/>
  <c r="A1650" i="17"/>
  <c r="A1649" i="17"/>
  <c r="A1648" i="17"/>
  <c r="A1647" i="17"/>
  <c r="A1646" i="17"/>
  <c r="A1645" i="17"/>
  <c r="A1644" i="17"/>
  <c r="A1643" i="17"/>
  <c r="A1642" i="17"/>
  <c r="A1641" i="17"/>
  <c r="A1640" i="17"/>
  <c r="A1639" i="17"/>
  <c r="A1638" i="17"/>
  <c r="A1637" i="17"/>
  <c r="A1636" i="17"/>
  <c r="A1635" i="17"/>
  <c r="A1634" i="17"/>
  <c r="A1633" i="17"/>
  <c r="A1632" i="17"/>
  <c r="A1631" i="17"/>
  <c r="A1630" i="17"/>
  <c r="A1629" i="17"/>
  <c r="A1628" i="17"/>
  <c r="A1627" i="17"/>
  <c r="A1626" i="17"/>
  <c r="A1625" i="17"/>
  <c r="A1624" i="17"/>
  <c r="A1623" i="17"/>
  <c r="A1622" i="17"/>
  <c r="A1621" i="17"/>
  <c r="A1620" i="17"/>
  <c r="A1619" i="17"/>
  <c r="A1618" i="17"/>
  <c r="A1617" i="17"/>
  <c r="A1616" i="17"/>
  <c r="A1615" i="17"/>
  <c r="A1614" i="17"/>
  <c r="A1613" i="17"/>
  <c r="A1612" i="17"/>
  <c r="A1611" i="17"/>
  <c r="A1610" i="17"/>
  <c r="A1609" i="17"/>
  <c r="A1608" i="17"/>
  <c r="A1607" i="17"/>
  <c r="A1606" i="17"/>
  <c r="A1605" i="17"/>
  <c r="A1604" i="17"/>
  <c r="A1603" i="17"/>
  <c r="A1602" i="17"/>
  <c r="A1601" i="17"/>
  <c r="A1600" i="17"/>
  <c r="A1599" i="17"/>
  <c r="A1598" i="17"/>
  <c r="A1597" i="17"/>
  <c r="A1596" i="17"/>
  <c r="A1595" i="17"/>
  <c r="A1594" i="17"/>
  <c r="A1593" i="17"/>
  <c r="A1592" i="17"/>
  <c r="A1591" i="17"/>
  <c r="A1590" i="17"/>
  <c r="A1589" i="17"/>
  <c r="A1588" i="17"/>
  <c r="A1587" i="17"/>
  <c r="A1586" i="17"/>
  <c r="A1585" i="17"/>
  <c r="A1584" i="17"/>
  <c r="A1583" i="17"/>
  <c r="A1582" i="17"/>
  <c r="A1581" i="17"/>
  <c r="A1580" i="17"/>
  <c r="A1579" i="17"/>
  <c r="A1578" i="17"/>
  <c r="A1577" i="17"/>
  <c r="A1576" i="17"/>
  <c r="A1575" i="17"/>
  <c r="A1574" i="17"/>
  <c r="A1573" i="17"/>
  <c r="A1572" i="17"/>
  <c r="A1571" i="17"/>
  <c r="A1570" i="17"/>
  <c r="A1569" i="17"/>
  <c r="A1568" i="17"/>
  <c r="A1567" i="17"/>
  <c r="A1566" i="17"/>
  <c r="A1565" i="17"/>
  <c r="A1564" i="17"/>
  <c r="A1563" i="17"/>
  <c r="A1562" i="17"/>
  <c r="A1561" i="17"/>
  <c r="A1560" i="17"/>
  <c r="A1559" i="17"/>
  <c r="A1558" i="17"/>
  <c r="A1557" i="17"/>
  <c r="A1556" i="17"/>
  <c r="A1555" i="17"/>
  <c r="A1554" i="17"/>
  <c r="A1553" i="17"/>
  <c r="A1552" i="17"/>
  <c r="A1551" i="17"/>
  <c r="A1550" i="17"/>
  <c r="A1549" i="17"/>
  <c r="A1548" i="17"/>
  <c r="A1547" i="17"/>
  <c r="A1546" i="17"/>
  <c r="A1545" i="17"/>
  <c r="A1544" i="17"/>
  <c r="A1543" i="17"/>
  <c r="A1542" i="17"/>
  <c r="A1541" i="17"/>
  <c r="A1540" i="17"/>
  <c r="A1539" i="17"/>
  <c r="A1538" i="17"/>
  <c r="A1537" i="17"/>
  <c r="A1536" i="17"/>
  <c r="A1535" i="17"/>
  <c r="A1534" i="17"/>
  <c r="A1533" i="17"/>
  <c r="A1532" i="17"/>
  <c r="A1531" i="17"/>
  <c r="A1530" i="17"/>
  <c r="A1529" i="17"/>
  <c r="A1528" i="17"/>
  <c r="A1527" i="17"/>
  <c r="A1526" i="17"/>
  <c r="A1525" i="17"/>
  <c r="A1524" i="17"/>
  <c r="A1523" i="17"/>
  <c r="A1522" i="17"/>
  <c r="A1521" i="17"/>
  <c r="A1520" i="17"/>
  <c r="A1519" i="17"/>
  <c r="A1518" i="17"/>
  <c r="A1517" i="17"/>
  <c r="A1516" i="17"/>
  <c r="A1515" i="17"/>
  <c r="A1514" i="17"/>
  <c r="A1513" i="17"/>
  <c r="A1512" i="17"/>
  <c r="A1511" i="17"/>
  <c r="A1510" i="17"/>
  <c r="A1509" i="17"/>
  <c r="A1508" i="17"/>
  <c r="A1507" i="17"/>
  <c r="A1506" i="17"/>
  <c r="A1505" i="17"/>
  <c r="A1504" i="17"/>
  <c r="A1503" i="17"/>
  <c r="A1502" i="17"/>
  <c r="A1501" i="17"/>
  <c r="A1500" i="17"/>
  <c r="A1499" i="17"/>
  <c r="A1498" i="17"/>
  <c r="A1497" i="17"/>
  <c r="A1496" i="17"/>
  <c r="A1495" i="17"/>
  <c r="A1494" i="17"/>
  <c r="A1493" i="17"/>
  <c r="A1492" i="17"/>
  <c r="A1491" i="17"/>
  <c r="A1490" i="17"/>
  <c r="A1489" i="17"/>
  <c r="A1488" i="17"/>
  <c r="A1487" i="17"/>
  <c r="A1486" i="17"/>
  <c r="A1485" i="17"/>
  <c r="A1484" i="17"/>
  <c r="A1483" i="17"/>
  <c r="A1482" i="17"/>
  <c r="A1481" i="17"/>
  <c r="A1480" i="17"/>
  <c r="A1479" i="17"/>
  <c r="A1478" i="17"/>
  <c r="A1477" i="17"/>
  <c r="A1476" i="17"/>
  <c r="A1475" i="17"/>
  <c r="A1474" i="17"/>
  <c r="A1473" i="17"/>
  <c r="A1472" i="17"/>
  <c r="A1471" i="17"/>
  <c r="A1470" i="17"/>
  <c r="A1469" i="17"/>
  <c r="A1468" i="17"/>
  <c r="A1467" i="17"/>
  <c r="A1466" i="17"/>
  <c r="A1465" i="17"/>
  <c r="A1464" i="17"/>
  <c r="A1463" i="17"/>
  <c r="A1462" i="17"/>
  <c r="A1461" i="17"/>
  <c r="A1460" i="17"/>
  <c r="A1459" i="17"/>
  <c r="A1458" i="17"/>
  <c r="A1457" i="17"/>
  <c r="A1456" i="17"/>
  <c r="A1455" i="17"/>
  <c r="A1454" i="17"/>
  <c r="A1453" i="17"/>
  <c r="A1452" i="17"/>
  <c r="A1451" i="17"/>
  <c r="A1450" i="17"/>
  <c r="A1449" i="17"/>
  <c r="A1448" i="17"/>
  <c r="A1447" i="17"/>
  <c r="A1446" i="17"/>
  <c r="A1445" i="17"/>
  <c r="A1444" i="17"/>
  <c r="A1443" i="17"/>
  <c r="A1442" i="17"/>
  <c r="A1441" i="17"/>
  <c r="A1440" i="17"/>
  <c r="A1439" i="17"/>
  <c r="A1438" i="17"/>
  <c r="A1437" i="17"/>
  <c r="A1436" i="17"/>
  <c r="A1435" i="17"/>
  <c r="A1434" i="17"/>
  <c r="A1433" i="17"/>
  <c r="A1432" i="17"/>
  <c r="A1431" i="17"/>
  <c r="A1430" i="17"/>
  <c r="A1429" i="17"/>
  <c r="A1428" i="17"/>
  <c r="A1427" i="17"/>
  <c r="A1426" i="17"/>
  <c r="A1425" i="17"/>
  <c r="A1424" i="17"/>
  <c r="A1423" i="17"/>
  <c r="A1422" i="17"/>
  <c r="A1421" i="17"/>
  <c r="A1420" i="17"/>
  <c r="A1419" i="17"/>
  <c r="A1418" i="17"/>
  <c r="A1417" i="17"/>
  <c r="A1416" i="17"/>
  <c r="A1415" i="17"/>
  <c r="A1414" i="17"/>
  <c r="A1413" i="17"/>
  <c r="A1412" i="17"/>
  <c r="A1411" i="17"/>
  <c r="A1410" i="17"/>
  <c r="A1409" i="17"/>
  <c r="A1408" i="17"/>
  <c r="A1407" i="17"/>
  <c r="A1406" i="17"/>
  <c r="A1405" i="17"/>
  <c r="A1404" i="17"/>
  <c r="A1403" i="17"/>
  <c r="A1402" i="17"/>
  <c r="A1401" i="17"/>
  <c r="A1400" i="17"/>
  <c r="A1399" i="17"/>
  <c r="A1398" i="17"/>
  <c r="A1397" i="17"/>
  <c r="A1396" i="17"/>
  <c r="A1395" i="17"/>
  <c r="A1394" i="17"/>
  <c r="A1393" i="17"/>
  <c r="A1392" i="17"/>
  <c r="A1391" i="17"/>
  <c r="A1390" i="17"/>
  <c r="A1389" i="17"/>
  <c r="A1388" i="17"/>
  <c r="A1387" i="17"/>
  <c r="A1386" i="17"/>
  <c r="A1385" i="17"/>
  <c r="A1384" i="17"/>
  <c r="A1383" i="17"/>
  <c r="A1382" i="17"/>
  <c r="A1381" i="17"/>
  <c r="A1380" i="17"/>
  <c r="A1379" i="17"/>
  <c r="A1378" i="17"/>
  <c r="A1377" i="17"/>
  <c r="A1376" i="17"/>
  <c r="A1375" i="17"/>
  <c r="A1374" i="17"/>
  <c r="A1373" i="17"/>
  <c r="A1372" i="17"/>
  <c r="A1371" i="17"/>
  <c r="A1370" i="17"/>
  <c r="A1369" i="17"/>
  <c r="A1368" i="17"/>
  <c r="A1367" i="17"/>
  <c r="A1366" i="17"/>
  <c r="A1365" i="17"/>
  <c r="A1364" i="17"/>
  <c r="A1363" i="17"/>
  <c r="A1362" i="17"/>
  <c r="A1361" i="17"/>
  <c r="A1360" i="17"/>
  <c r="A1359" i="17"/>
  <c r="A1358" i="17"/>
  <c r="A1357" i="17"/>
  <c r="A1356" i="17"/>
  <c r="A1355" i="17"/>
  <c r="A1354" i="17"/>
  <c r="A1353" i="17"/>
  <c r="A1352" i="17"/>
  <c r="A1351" i="17"/>
  <c r="A1350" i="17"/>
  <c r="A1349" i="17"/>
  <c r="A1348" i="17"/>
  <c r="A1347" i="17"/>
  <c r="A1346" i="17"/>
  <c r="A1345" i="17"/>
  <c r="A1344" i="17"/>
  <c r="A1343" i="17"/>
  <c r="A1342" i="17"/>
  <c r="A1341" i="17"/>
  <c r="A1340" i="17"/>
  <c r="A1339" i="17"/>
  <c r="A1338" i="17"/>
  <c r="A1337" i="17"/>
  <c r="A1336" i="17"/>
  <c r="A1335" i="17"/>
  <c r="A1334" i="17"/>
  <c r="A1333" i="17"/>
  <c r="A1332" i="17"/>
  <c r="A1331" i="17"/>
  <c r="A1330" i="17"/>
  <c r="A1329" i="17"/>
  <c r="A1328" i="17"/>
  <c r="A1327" i="17"/>
  <c r="A1326" i="17"/>
  <c r="A1325" i="17"/>
  <c r="A1324" i="17"/>
  <c r="A1323" i="17"/>
  <c r="A1322" i="17"/>
  <c r="A1321" i="17"/>
  <c r="A1320" i="17"/>
  <c r="A1319" i="17"/>
  <c r="A1318" i="17"/>
  <c r="A1317" i="17"/>
  <c r="A1316" i="17"/>
  <c r="A1315" i="17"/>
  <c r="A1314" i="17"/>
  <c r="A1313" i="17"/>
  <c r="A1312" i="17"/>
  <c r="A1311" i="17"/>
  <c r="A1310" i="17"/>
  <c r="A1309" i="17"/>
  <c r="A1308" i="17"/>
  <c r="A1307" i="17"/>
  <c r="A1306" i="17"/>
  <c r="A1305" i="17"/>
  <c r="A1304" i="17"/>
  <c r="A1303" i="17"/>
  <c r="A1302" i="17"/>
  <c r="A1301" i="17"/>
  <c r="A1300" i="17"/>
  <c r="A1299" i="17"/>
  <c r="A1298" i="17"/>
  <c r="A1297" i="17"/>
  <c r="A1296" i="17"/>
  <c r="A1295" i="17"/>
  <c r="A1294" i="17"/>
  <c r="A1293" i="17"/>
  <c r="A1292" i="17"/>
  <c r="A1291" i="17"/>
  <c r="A1290" i="17"/>
  <c r="A1289" i="17"/>
  <c r="A1288" i="17"/>
  <c r="A1287" i="17"/>
  <c r="A1286" i="17"/>
  <c r="A1285" i="17"/>
  <c r="A1284" i="17"/>
  <c r="A1283" i="17"/>
  <c r="A1282" i="17"/>
  <c r="A1281" i="17"/>
  <c r="A1280" i="17"/>
  <c r="A1279" i="17"/>
  <c r="A1278" i="17"/>
  <c r="A1277" i="17"/>
  <c r="A1276" i="17"/>
  <c r="A1275" i="17"/>
  <c r="A1274" i="17"/>
  <c r="A1273" i="17"/>
  <c r="A1272" i="17"/>
  <c r="A1271" i="17"/>
  <c r="A1270" i="17"/>
  <c r="A1269" i="17"/>
  <c r="A1268" i="17"/>
  <c r="A1267" i="17"/>
  <c r="A1266" i="17"/>
  <c r="A1265" i="17"/>
  <c r="A1264" i="17"/>
  <c r="A1263" i="17"/>
  <c r="A1262" i="17"/>
  <c r="A1261" i="17"/>
  <c r="A1260" i="17"/>
  <c r="A1259" i="17"/>
  <c r="A1258" i="17"/>
  <c r="A1257" i="17"/>
  <c r="A1256" i="17"/>
  <c r="A1255" i="17"/>
  <c r="A1254" i="17"/>
  <c r="A1253" i="17"/>
  <c r="A1252" i="17"/>
  <c r="A1251" i="17"/>
  <c r="A1250" i="17"/>
  <c r="A1249" i="17"/>
  <c r="A1248" i="17"/>
  <c r="A1247" i="17"/>
  <c r="A1246" i="17"/>
  <c r="A1245" i="17"/>
  <c r="A1244" i="17"/>
  <c r="A1243" i="17"/>
  <c r="A1242" i="17"/>
  <c r="A1241" i="17"/>
  <c r="A1240" i="17"/>
  <c r="A1239" i="17"/>
  <c r="A1238" i="17"/>
  <c r="A1237" i="17"/>
  <c r="A1236" i="17"/>
  <c r="A1235" i="17"/>
  <c r="A1234" i="17"/>
  <c r="A1233" i="17"/>
  <c r="A1232" i="17"/>
  <c r="A1231" i="17"/>
  <c r="A1230" i="17"/>
  <c r="A1229" i="17"/>
  <c r="A1228" i="17"/>
  <c r="A1227" i="17"/>
  <c r="A1226" i="17"/>
  <c r="A1225" i="17"/>
  <c r="A1224" i="17"/>
  <c r="A1223" i="17"/>
  <c r="A1222" i="17"/>
  <c r="A1221" i="17"/>
  <c r="A1220" i="17"/>
  <c r="A1219" i="17"/>
  <c r="A1218" i="17"/>
  <c r="A1217" i="17"/>
  <c r="A1216" i="17"/>
  <c r="A1215" i="17"/>
  <c r="A1214" i="17"/>
  <c r="A1213" i="17"/>
  <c r="A1212" i="17"/>
  <c r="A1211" i="17"/>
  <c r="A1210" i="17"/>
  <c r="A1209" i="17"/>
  <c r="A1208" i="17"/>
  <c r="A1207" i="17"/>
  <c r="A1206" i="17"/>
  <c r="A1205" i="17"/>
  <c r="A1204" i="17"/>
  <c r="A1203" i="17"/>
  <c r="A1202" i="17"/>
  <c r="A1201" i="17"/>
  <c r="A1200" i="17"/>
  <c r="A1199" i="17"/>
  <c r="A1198" i="17"/>
  <c r="A1197" i="17"/>
  <c r="A1196" i="17"/>
  <c r="A1195" i="17"/>
  <c r="A1194" i="17"/>
  <c r="A1193" i="17"/>
  <c r="A1192" i="17"/>
  <c r="A1191" i="17"/>
  <c r="A1190" i="17"/>
  <c r="A1189" i="17"/>
  <c r="A1188" i="17"/>
  <c r="A1187" i="17"/>
  <c r="A1186" i="17"/>
  <c r="A1185" i="17"/>
  <c r="A1184" i="17"/>
  <c r="A1183" i="17"/>
  <c r="A1182" i="17"/>
  <c r="A1181" i="17"/>
  <c r="A1180" i="17"/>
  <c r="A1179" i="17"/>
  <c r="A1178" i="17"/>
  <c r="A1177" i="17"/>
  <c r="A1176" i="17"/>
  <c r="A1175" i="17"/>
  <c r="A1174" i="17"/>
  <c r="A1173" i="17"/>
  <c r="A1172" i="17"/>
  <c r="A1171" i="17"/>
  <c r="A1170" i="17"/>
  <c r="A1169" i="17"/>
  <c r="A1168" i="17"/>
  <c r="A1167" i="17"/>
  <c r="A1166" i="17"/>
  <c r="A1165" i="17"/>
  <c r="A1164" i="17"/>
  <c r="A1163" i="17"/>
  <c r="A1162" i="17"/>
  <c r="A1161" i="17"/>
  <c r="A1160" i="17"/>
  <c r="A1159" i="17"/>
  <c r="A1158" i="17"/>
  <c r="A1157" i="17"/>
  <c r="A1156" i="17"/>
  <c r="A1155" i="17"/>
  <c r="A1154" i="17"/>
  <c r="A1153" i="17"/>
  <c r="A1152" i="17"/>
  <c r="A1151" i="17"/>
  <c r="A1150" i="17"/>
  <c r="A1149" i="17"/>
  <c r="A1148" i="17"/>
  <c r="A1147" i="17"/>
  <c r="A1146" i="17"/>
  <c r="A1145" i="17"/>
  <c r="A1144" i="17"/>
  <c r="A1143" i="17"/>
  <c r="A1142" i="17"/>
  <c r="A1141" i="17"/>
  <c r="A1140" i="17"/>
  <c r="A1139" i="17"/>
  <c r="A1138" i="17"/>
  <c r="A1137" i="17"/>
  <c r="A1136" i="17"/>
  <c r="A1135" i="17"/>
  <c r="A1134" i="17"/>
  <c r="A1133" i="17"/>
  <c r="A1132" i="17"/>
  <c r="A1131" i="17"/>
  <c r="A1130" i="17"/>
  <c r="A1129" i="17"/>
  <c r="A1128" i="17"/>
  <c r="A1127" i="17"/>
  <c r="A1126" i="17"/>
  <c r="A1125" i="17"/>
  <c r="A1124" i="17"/>
  <c r="A1123" i="17"/>
  <c r="A1122" i="17"/>
  <c r="A1121" i="17"/>
  <c r="A1120" i="17"/>
  <c r="A1119" i="17"/>
  <c r="A1118" i="17"/>
  <c r="A1117" i="17"/>
  <c r="A1116" i="17"/>
  <c r="A1115" i="17"/>
  <c r="A1114" i="17"/>
  <c r="A1113" i="17"/>
  <c r="A1112" i="17"/>
  <c r="A1111" i="17"/>
  <c r="A1110" i="17"/>
  <c r="A1109" i="17"/>
  <c r="A1108" i="17"/>
  <c r="A1107" i="17"/>
  <c r="A1106" i="17"/>
  <c r="A1105" i="17"/>
  <c r="A1104" i="17"/>
  <c r="A1103" i="17"/>
  <c r="A1102" i="17"/>
  <c r="A1101" i="17"/>
  <c r="A1100" i="17"/>
  <c r="A1099" i="17"/>
  <c r="A1098" i="17"/>
  <c r="A1097" i="17"/>
  <c r="A1096" i="17"/>
  <c r="A1095" i="17"/>
  <c r="A1094" i="17"/>
  <c r="A1093" i="17"/>
  <c r="A1092" i="17"/>
  <c r="A1091" i="17"/>
  <c r="A1090" i="17"/>
  <c r="A1089" i="17"/>
  <c r="A1088" i="17"/>
  <c r="A1087" i="17"/>
  <c r="A1086" i="17"/>
  <c r="A1085" i="17"/>
  <c r="A1084" i="17"/>
  <c r="A1083" i="17"/>
  <c r="A1082" i="17"/>
  <c r="A1081" i="17"/>
  <c r="A1080" i="17"/>
  <c r="A1079" i="17"/>
  <c r="A1078" i="17"/>
  <c r="A1077" i="17"/>
  <c r="A1076" i="17"/>
  <c r="A1075" i="17"/>
  <c r="A1074" i="17"/>
  <c r="A1073" i="17"/>
  <c r="A1072" i="17"/>
  <c r="A1071" i="17"/>
  <c r="A1070" i="17"/>
  <c r="A1069" i="17"/>
  <c r="A1068" i="17"/>
  <c r="A1067" i="17"/>
  <c r="A1066" i="17"/>
  <c r="A1065" i="17"/>
  <c r="A1064" i="17"/>
  <c r="A1063" i="17"/>
  <c r="A1062" i="17"/>
  <c r="A1061" i="17"/>
  <c r="A1060" i="17"/>
  <c r="A1059" i="17"/>
  <c r="A1058" i="17"/>
  <c r="A1057" i="17"/>
  <c r="A1056" i="17"/>
  <c r="A1055" i="17"/>
  <c r="A1054" i="17"/>
  <c r="A1053" i="17"/>
  <c r="A1052" i="17"/>
  <c r="A1051" i="17"/>
  <c r="A1050" i="17"/>
  <c r="A1049" i="17"/>
  <c r="A1048" i="17"/>
  <c r="A1047" i="17"/>
  <c r="A1046" i="17"/>
  <c r="A1045" i="17"/>
  <c r="A1044" i="17"/>
  <c r="A1043" i="17"/>
  <c r="A1042" i="17"/>
  <c r="A1041" i="17"/>
  <c r="A1040" i="17"/>
  <c r="A1039" i="17"/>
  <c r="A1038" i="17"/>
  <c r="A1037" i="17"/>
  <c r="A1036" i="17"/>
  <c r="A1035" i="17"/>
  <c r="A1034" i="17"/>
  <c r="A1033" i="17"/>
  <c r="A1032" i="17"/>
  <c r="A1031" i="17"/>
  <c r="A1030" i="17"/>
  <c r="A1029" i="17"/>
  <c r="A1028" i="17"/>
  <c r="A1027" i="17"/>
  <c r="A1026" i="17"/>
  <c r="A1025" i="17"/>
  <c r="A1024" i="17"/>
  <c r="A1023" i="17"/>
  <c r="A1022" i="17"/>
  <c r="A1021" i="17"/>
  <c r="A1020" i="17"/>
  <c r="A1019" i="17"/>
  <c r="A1018" i="17"/>
  <c r="A1017" i="17"/>
  <c r="A1016" i="17"/>
  <c r="A1015" i="17"/>
  <c r="A1014" i="17"/>
  <c r="A1013" i="17"/>
  <c r="A1012" i="17"/>
  <c r="A1011" i="17"/>
  <c r="A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H11" i="6"/>
  <c r="E11" i="6"/>
  <c r="B11" i="6"/>
  <c r="B33" i="5"/>
  <c r="E28" i="5"/>
  <c r="J12" i="5"/>
  <c r="C11" i="5"/>
  <c r="B11" i="5"/>
  <c r="D8" i="5"/>
  <c r="K34" i="3"/>
  <c r="K33" i="3"/>
  <c r="J33" i="3"/>
  <c r="K32" i="3"/>
  <c r="J32" i="3"/>
  <c r="I32" i="3"/>
  <c r="K31" i="3"/>
  <c r="J31" i="3"/>
  <c r="I31" i="3"/>
  <c r="H31" i="3"/>
  <c r="K30" i="3"/>
  <c r="J30" i="3"/>
  <c r="I30" i="3"/>
  <c r="H30" i="3"/>
  <c r="G30" i="3"/>
  <c r="K29" i="3"/>
  <c r="J29" i="3"/>
  <c r="I29" i="3"/>
  <c r="H29" i="3"/>
  <c r="G29" i="3"/>
  <c r="F29" i="3"/>
  <c r="K28" i="3"/>
  <c r="J28" i="3"/>
  <c r="I28" i="3"/>
  <c r="H28" i="3"/>
  <c r="G28" i="3"/>
  <c r="F28" i="3"/>
  <c r="E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19" i="3"/>
  <c r="K18" i="3"/>
  <c r="J18" i="3"/>
  <c r="K17" i="3"/>
  <c r="J17" i="3"/>
  <c r="I17" i="3"/>
  <c r="K16" i="3"/>
  <c r="J16" i="3"/>
  <c r="I16" i="3"/>
  <c r="H16" i="3"/>
  <c r="K15" i="3"/>
  <c r="J15" i="3"/>
  <c r="I15" i="3"/>
  <c r="H15" i="3"/>
  <c r="G15" i="3"/>
  <c r="K14" i="3"/>
  <c r="J14" i="3"/>
  <c r="I14" i="3"/>
  <c r="H14" i="3"/>
  <c r="G14" i="3"/>
  <c r="F14" i="3"/>
  <c r="AA13" i="3"/>
  <c r="Z13" i="3"/>
  <c r="O13" i="3"/>
  <c r="K13" i="3"/>
  <c r="J13" i="3"/>
  <c r="I13" i="3"/>
  <c r="H13" i="3"/>
  <c r="G13" i="3"/>
  <c r="F13" i="3"/>
  <c r="E13" i="3"/>
  <c r="AA12" i="3"/>
  <c r="Z12" i="3"/>
  <c r="O12" i="3"/>
  <c r="K12" i="3"/>
  <c r="J12" i="3"/>
  <c r="I12" i="3"/>
  <c r="H12" i="3"/>
  <c r="G12" i="3"/>
  <c r="F12" i="3"/>
  <c r="E12" i="3"/>
  <c r="D12" i="3"/>
  <c r="K11" i="3"/>
  <c r="J11" i="3"/>
  <c r="I11" i="3"/>
  <c r="H11" i="3"/>
  <c r="G11" i="3"/>
  <c r="F11" i="3"/>
  <c r="E11" i="3"/>
  <c r="D11" i="3"/>
  <c r="C11" i="3"/>
  <c r="K4" i="3"/>
  <c r="K5" i="3" s="1"/>
  <c r="J4" i="3"/>
  <c r="J5" i="3" s="1"/>
  <c r="I4" i="3"/>
  <c r="I5" i="3" s="1"/>
  <c r="H4" i="3"/>
  <c r="H5" i="3" s="1"/>
  <c r="G4" i="3"/>
  <c r="G5" i="3" s="1"/>
  <c r="F4" i="3"/>
  <c r="F5" i="3" s="1"/>
  <c r="E4" i="3"/>
  <c r="E5" i="3" s="1"/>
  <c r="D4" i="3"/>
  <c r="D5" i="3" s="1"/>
  <c r="C4" i="3"/>
  <c r="C5" i="3" s="1"/>
  <c r="B4" i="3"/>
  <c r="B5" i="3" s="1"/>
  <c r="K2" i="3"/>
  <c r="K3" i="3" s="1"/>
  <c r="J2" i="3"/>
  <c r="J3" i="3" s="1"/>
  <c r="I2" i="3"/>
  <c r="I3" i="3" s="1"/>
  <c r="H2" i="3"/>
  <c r="H3" i="3" s="1"/>
  <c r="G2" i="3"/>
  <c r="G3" i="3" s="1"/>
  <c r="F2" i="3"/>
  <c r="F3" i="3" s="1"/>
  <c r="E2" i="3"/>
  <c r="E3" i="3" s="1"/>
  <c r="D2" i="3"/>
  <c r="D3" i="3" s="1"/>
  <c r="C2" i="3"/>
  <c r="C3" i="3" s="1"/>
  <c r="B2" i="3"/>
  <c r="B3" i="3" s="1"/>
  <c r="G51" i="1"/>
  <c r="C7" i="5" s="1"/>
  <c r="F51" i="1"/>
  <c r="B7" i="5" s="1"/>
  <c r="E51" i="1"/>
  <c r="D7" i="5" s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C8" i="5" s="1"/>
  <c r="F46" i="1"/>
  <c r="B8" i="5" s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C9" i="5" s="1"/>
  <c r="F41" i="1"/>
  <c r="B9" i="5" s="1"/>
  <c r="E41" i="1"/>
  <c r="D9" i="5" s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C10" i="5" s="1"/>
  <c r="F36" i="1"/>
  <c r="B10" i="5" s="1"/>
  <c r="E36" i="1"/>
  <c r="D10" i="5" s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11" i="5" s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C12" i="5" s="1"/>
  <c r="F26" i="1"/>
  <c r="B12" i="5" s="1"/>
  <c r="E26" i="1"/>
  <c r="D12" i="5" s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C15" i="5" s="1"/>
  <c r="F21" i="1"/>
  <c r="B15" i="5" s="1"/>
  <c r="E21" i="1"/>
  <c r="D15" i="5" s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C16" i="5" s="1"/>
  <c r="F16" i="1"/>
  <c r="B16" i="5" s="1"/>
  <c r="E16" i="1"/>
  <c r="D16" i="5" s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C13" i="5" s="1"/>
  <c r="F11" i="1"/>
  <c r="B13" i="5" s="1"/>
  <c r="E11" i="1"/>
  <c r="D13" i="5" s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C14" i="5" s="1"/>
  <c r="F6" i="1"/>
  <c r="B14" i="5" s="1"/>
  <c r="E6" i="1"/>
  <c r="D14" i="5" s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  <c r="R1211" i="2"/>
  <c r="C3631" i="17" s="1"/>
  <c r="P1211" i="2"/>
  <c r="C7261" i="17" s="1"/>
  <c r="L1211" i="2"/>
  <c r="C1211" i="17" s="1"/>
  <c r="R1210" i="2"/>
  <c r="C3630" i="17" s="1"/>
  <c r="P1210" i="2"/>
  <c r="C7260" i="17" s="1"/>
  <c r="O1210" i="2"/>
  <c r="C6050" i="17" s="1"/>
  <c r="L1210" i="2"/>
  <c r="C1210" i="17" s="1"/>
  <c r="R1209" i="2"/>
  <c r="C3629" i="17" s="1"/>
  <c r="P1209" i="2"/>
  <c r="C7259" i="17" s="1"/>
  <c r="O1209" i="2"/>
  <c r="L1209" i="2"/>
  <c r="C1209" i="17" s="1"/>
  <c r="R1208" i="2"/>
  <c r="C3628" i="17" s="1"/>
  <c r="P1208" i="2"/>
  <c r="C7258" i="17" s="1"/>
  <c r="O1208" i="2"/>
  <c r="C6048" i="17" s="1"/>
  <c r="L1208" i="2"/>
  <c r="C1208" i="17" s="1"/>
  <c r="R1207" i="2"/>
  <c r="C3627" i="17" s="1"/>
  <c r="P1207" i="2"/>
  <c r="C7257" i="17" s="1"/>
  <c r="O1207" i="2"/>
  <c r="L1207" i="2"/>
  <c r="C1207" i="17" s="1"/>
  <c r="R1206" i="2"/>
  <c r="C3626" i="17" s="1"/>
  <c r="P1206" i="2"/>
  <c r="C7256" i="17" s="1"/>
  <c r="O1206" i="2"/>
  <c r="C6046" i="17" s="1"/>
  <c r="L1206" i="2"/>
  <c r="C1206" i="17" s="1"/>
  <c r="R1205" i="2"/>
  <c r="C3625" i="17" s="1"/>
  <c r="P1205" i="2"/>
  <c r="C7255" i="17" s="1"/>
  <c r="O1205" i="2"/>
  <c r="L1205" i="2"/>
  <c r="C1205" i="17" s="1"/>
  <c r="R1204" i="2"/>
  <c r="C3624" i="17" s="1"/>
  <c r="P1204" i="2"/>
  <c r="C7254" i="17" s="1"/>
  <c r="O1204" i="2"/>
  <c r="C6044" i="17" s="1"/>
  <c r="L1204" i="2"/>
  <c r="C1204" i="17" s="1"/>
  <c r="R1203" i="2"/>
  <c r="C3623" i="17" s="1"/>
  <c r="P1203" i="2"/>
  <c r="C7253" i="17" s="1"/>
  <c r="O1203" i="2"/>
  <c r="L1203" i="2"/>
  <c r="C1203" i="17" s="1"/>
  <c r="R1202" i="2"/>
  <c r="C3622" i="17" s="1"/>
  <c r="P1202" i="2"/>
  <c r="C7252" i="17" s="1"/>
  <c r="O1202" i="2"/>
  <c r="C6042" i="17" s="1"/>
  <c r="L1202" i="2"/>
  <c r="C1202" i="17" s="1"/>
  <c r="R1201" i="2"/>
  <c r="C3621" i="17" s="1"/>
  <c r="P1201" i="2"/>
  <c r="C7251" i="17" s="1"/>
  <c r="O1201" i="2"/>
  <c r="L1201" i="2"/>
  <c r="C1201" i="17" s="1"/>
  <c r="R1200" i="2"/>
  <c r="C3620" i="17" s="1"/>
  <c r="P1200" i="2"/>
  <c r="C7250" i="17" s="1"/>
  <c r="O1200" i="2"/>
  <c r="L1200" i="2"/>
  <c r="C1200" i="17" s="1"/>
  <c r="R1199" i="2"/>
  <c r="C3619" i="17" s="1"/>
  <c r="P1199" i="2"/>
  <c r="C7249" i="17" s="1"/>
  <c r="O1199" i="2"/>
  <c r="L1199" i="2"/>
  <c r="C1199" i="17" s="1"/>
  <c r="R1198" i="2"/>
  <c r="C3618" i="17" s="1"/>
  <c r="P1198" i="2"/>
  <c r="C7248" i="17" s="1"/>
  <c r="O1198" i="2"/>
  <c r="L1198" i="2"/>
  <c r="C1198" i="17" s="1"/>
  <c r="R1197" i="2"/>
  <c r="C3617" i="17" s="1"/>
  <c r="P1197" i="2"/>
  <c r="C7247" i="17" s="1"/>
  <c r="O1197" i="2"/>
  <c r="L1197" i="2"/>
  <c r="C1197" i="17" s="1"/>
  <c r="R1196" i="2"/>
  <c r="C3616" i="17" s="1"/>
  <c r="P1196" i="2"/>
  <c r="C7246" i="17" s="1"/>
  <c r="O1196" i="2"/>
  <c r="L1196" i="2"/>
  <c r="C1196" i="17" s="1"/>
  <c r="R1195" i="2"/>
  <c r="C3615" i="17" s="1"/>
  <c r="P1195" i="2"/>
  <c r="C7245" i="17" s="1"/>
  <c r="O1195" i="2"/>
  <c r="L1195" i="2"/>
  <c r="C1195" i="17" s="1"/>
  <c r="R1194" i="2"/>
  <c r="C3614" i="17" s="1"/>
  <c r="P1194" i="2"/>
  <c r="C7244" i="17" s="1"/>
  <c r="O1194" i="2"/>
  <c r="L1194" i="2"/>
  <c r="C1194" i="17" s="1"/>
  <c r="R1193" i="2"/>
  <c r="C3613" i="17" s="1"/>
  <c r="P1193" i="2"/>
  <c r="C7243" i="17" s="1"/>
  <c r="O1193" i="2"/>
  <c r="L1193" i="2"/>
  <c r="C1193" i="17" s="1"/>
  <c r="R1192" i="2"/>
  <c r="C3612" i="17" s="1"/>
  <c r="P1192" i="2"/>
  <c r="O1192" i="2"/>
  <c r="C6032" i="17" s="1"/>
  <c r="L1192" i="2"/>
  <c r="C1192" i="17" s="1"/>
  <c r="R1191" i="2"/>
  <c r="C3611" i="17" s="1"/>
  <c r="P1191" i="2"/>
  <c r="C7241" i="17" s="1"/>
  <c r="O1191" i="2"/>
  <c r="L1191" i="2"/>
  <c r="C1191" i="17" s="1"/>
  <c r="R1190" i="2"/>
  <c r="C3610" i="17" s="1"/>
  <c r="P1190" i="2"/>
  <c r="C7240" i="17" s="1"/>
  <c r="O1190" i="2"/>
  <c r="L1190" i="2"/>
  <c r="C1190" i="17" s="1"/>
  <c r="R1189" i="2"/>
  <c r="C3609" i="17" s="1"/>
  <c r="P1189" i="2"/>
  <c r="C7239" i="17" s="1"/>
  <c r="O1189" i="2"/>
  <c r="L1189" i="2"/>
  <c r="C1189" i="17" s="1"/>
  <c r="R1188" i="2"/>
  <c r="C3608" i="17" s="1"/>
  <c r="P1188" i="2"/>
  <c r="O1188" i="2"/>
  <c r="C6028" i="17" s="1"/>
  <c r="L1188" i="2"/>
  <c r="C1188" i="17" s="1"/>
  <c r="R1187" i="2"/>
  <c r="C3607" i="17" s="1"/>
  <c r="P1187" i="2"/>
  <c r="C7237" i="17" s="1"/>
  <c r="O1187" i="2"/>
  <c r="L1187" i="2"/>
  <c r="C1187" i="17" s="1"/>
  <c r="R1186" i="2"/>
  <c r="C3606" i="17" s="1"/>
  <c r="P1186" i="2"/>
  <c r="C7236" i="17" s="1"/>
  <c r="O1186" i="2"/>
  <c r="L1186" i="2"/>
  <c r="C1186" i="17" s="1"/>
  <c r="R1185" i="2"/>
  <c r="C3605" i="17" s="1"/>
  <c r="P1185" i="2"/>
  <c r="C7235" i="17" s="1"/>
  <c r="O1185" i="2"/>
  <c r="L1185" i="2"/>
  <c r="C1185" i="17" s="1"/>
  <c r="R1184" i="2"/>
  <c r="C3604" i="17" s="1"/>
  <c r="P1184" i="2"/>
  <c r="C7234" i="17" s="1"/>
  <c r="O1184" i="2"/>
  <c r="C6024" i="17" s="1"/>
  <c r="L1184" i="2"/>
  <c r="C1184" i="17" s="1"/>
  <c r="R1183" i="2"/>
  <c r="C3603" i="17" s="1"/>
  <c r="P1183" i="2"/>
  <c r="C7233" i="17" s="1"/>
  <c r="O1183" i="2"/>
  <c r="L1183" i="2"/>
  <c r="C1183" i="17" s="1"/>
  <c r="R1182" i="2"/>
  <c r="C3602" i="17" s="1"/>
  <c r="P1182" i="2"/>
  <c r="C7232" i="17" s="1"/>
  <c r="O1182" i="2"/>
  <c r="C6022" i="17" s="1"/>
  <c r="L1182" i="2"/>
  <c r="C1182" i="17" s="1"/>
  <c r="R1181" i="2"/>
  <c r="C3601" i="17" s="1"/>
  <c r="P1181" i="2"/>
  <c r="C7231" i="17" s="1"/>
  <c r="O1181" i="2"/>
  <c r="L1181" i="2"/>
  <c r="C1181" i="17" s="1"/>
  <c r="R1180" i="2"/>
  <c r="C3600" i="17" s="1"/>
  <c r="P1180" i="2"/>
  <c r="C7230" i="17" s="1"/>
  <c r="O1180" i="2"/>
  <c r="C6020" i="17" s="1"/>
  <c r="L1180" i="2"/>
  <c r="C1180" i="17" s="1"/>
  <c r="R1179" i="2"/>
  <c r="C3599" i="17" s="1"/>
  <c r="P1179" i="2"/>
  <c r="C7229" i="17" s="1"/>
  <c r="O1179" i="2"/>
  <c r="L1179" i="2"/>
  <c r="C1179" i="17" s="1"/>
  <c r="R1178" i="2"/>
  <c r="C3598" i="17" s="1"/>
  <c r="P1178" i="2"/>
  <c r="C7228" i="17" s="1"/>
  <c r="O1178" i="2"/>
  <c r="C6018" i="17" s="1"/>
  <c r="L1178" i="2"/>
  <c r="C1178" i="17" s="1"/>
  <c r="R1177" i="2"/>
  <c r="C3597" i="17" s="1"/>
  <c r="P1177" i="2"/>
  <c r="C7227" i="17" s="1"/>
  <c r="O1177" i="2"/>
  <c r="L1177" i="2"/>
  <c r="C1177" i="17" s="1"/>
  <c r="R1176" i="2"/>
  <c r="C3596" i="17" s="1"/>
  <c r="P1176" i="2"/>
  <c r="C7226" i="17" s="1"/>
  <c r="O1176" i="2"/>
  <c r="L1176" i="2"/>
  <c r="C1176" i="17" s="1"/>
  <c r="R1175" i="2"/>
  <c r="C3595" i="17" s="1"/>
  <c r="P1175" i="2"/>
  <c r="C7225" i="17" s="1"/>
  <c r="O1175" i="2"/>
  <c r="L1175" i="2"/>
  <c r="C1175" i="17" s="1"/>
  <c r="R1174" i="2"/>
  <c r="C3594" i="17" s="1"/>
  <c r="P1174" i="2"/>
  <c r="C7224" i="17" s="1"/>
  <c r="O1174" i="2"/>
  <c r="C6014" i="17" s="1"/>
  <c r="L1174" i="2"/>
  <c r="C1174" i="17" s="1"/>
  <c r="R1173" i="2"/>
  <c r="C3593" i="17" s="1"/>
  <c r="P1173" i="2"/>
  <c r="C7223" i="17" s="1"/>
  <c r="O1173" i="2"/>
  <c r="L1173" i="2"/>
  <c r="C1173" i="17" s="1"/>
  <c r="R1172" i="2"/>
  <c r="C3592" i="17" s="1"/>
  <c r="P1172" i="2"/>
  <c r="C7222" i="17" s="1"/>
  <c r="O1172" i="2"/>
  <c r="L1172" i="2"/>
  <c r="C1172" i="17" s="1"/>
  <c r="R1171" i="2"/>
  <c r="C3591" i="17" s="1"/>
  <c r="P1171" i="2"/>
  <c r="C7221" i="17" s="1"/>
  <c r="O1171" i="2"/>
  <c r="L1171" i="2"/>
  <c r="C1171" i="17" s="1"/>
  <c r="R1170" i="2"/>
  <c r="C3590" i="17" s="1"/>
  <c r="P1170" i="2"/>
  <c r="C7220" i="17" s="1"/>
  <c r="O1170" i="2"/>
  <c r="C6010" i="17" s="1"/>
  <c r="L1170" i="2"/>
  <c r="C1170" i="17" s="1"/>
  <c r="R1169" i="2"/>
  <c r="C3589" i="17" s="1"/>
  <c r="P1169" i="2"/>
  <c r="C7219" i="17" s="1"/>
  <c r="O1169" i="2"/>
  <c r="L1169" i="2"/>
  <c r="C1169" i="17" s="1"/>
  <c r="R1168" i="2"/>
  <c r="C3588" i="17" s="1"/>
  <c r="P1168" i="2"/>
  <c r="O1168" i="2"/>
  <c r="C6008" i="17" s="1"/>
  <c r="L1168" i="2"/>
  <c r="C1168" i="17" s="1"/>
  <c r="R1167" i="2"/>
  <c r="C3587" i="17" s="1"/>
  <c r="P1167" i="2"/>
  <c r="C7217" i="17" s="1"/>
  <c r="O1167" i="2"/>
  <c r="L1167" i="2"/>
  <c r="C1167" i="17" s="1"/>
  <c r="R1166" i="2"/>
  <c r="C3586" i="17" s="1"/>
  <c r="P1166" i="2"/>
  <c r="C7216" i="17" s="1"/>
  <c r="O1166" i="2"/>
  <c r="L1166" i="2"/>
  <c r="C1166" i="17" s="1"/>
  <c r="R1165" i="2"/>
  <c r="C3585" i="17" s="1"/>
  <c r="P1165" i="2"/>
  <c r="C7215" i="17" s="1"/>
  <c r="O1165" i="2"/>
  <c r="L1165" i="2"/>
  <c r="C1165" i="17" s="1"/>
  <c r="R1164" i="2"/>
  <c r="C3584" i="17" s="1"/>
  <c r="P1164" i="2"/>
  <c r="O1164" i="2"/>
  <c r="C6004" i="17" s="1"/>
  <c r="L1164" i="2"/>
  <c r="C1164" i="17" s="1"/>
  <c r="R1163" i="2"/>
  <c r="C3583" i="17" s="1"/>
  <c r="P1163" i="2"/>
  <c r="C7213" i="17" s="1"/>
  <c r="O1163" i="2"/>
  <c r="L1163" i="2"/>
  <c r="C1163" i="17" s="1"/>
  <c r="R1162" i="2"/>
  <c r="C3582" i="17" s="1"/>
  <c r="P1162" i="2"/>
  <c r="C7212" i="17" s="1"/>
  <c r="O1162" i="2"/>
  <c r="L1162" i="2"/>
  <c r="C1162" i="17" s="1"/>
  <c r="R1161" i="2"/>
  <c r="C3581" i="17" s="1"/>
  <c r="P1161" i="2"/>
  <c r="C7211" i="17" s="1"/>
  <c r="O1161" i="2"/>
  <c r="L1161" i="2"/>
  <c r="C1161" i="17" s="1"/>
  <c r="R1160" i="2"/>
  <c r="C3580" i="17" s="1"/>
  <c r="P1160" i="2"/>
  <c r="C7210" i="17" s="1"/>
  <c r="O1160" i="2"/>
  <c r="C6000" i="17" s="1"/>
  <c r="L1160" i="2"/>
  <c r="C1160" i="17" s="1"/>
  <c r="R1159" i="2"/>
  <c r="C3579" i="17" s="1"/>
  <c r="P1159" i="2"/>
  <c r="C7209" i="17" s="1"/>
  <c r="O1159" i="2"/>
  <c r="L1159" i="2"/>
  <c r="C1159" i="17" s="1"/>
  <c r="R1158" i="2"/>
  <c r="C3578" i="17" s="1"/>
  <c r="P1158" i="2"/>
  <c r="C7208" i="17" s="1"/>
  <c r="O1158" i="2"/>
  <c r="C5998" i="17" s="1"/>
  <c r="L1158" i="2"/>
  <c r="C1158" i="17" s="1"/>
  <c r="R1157" i="2"/>
  <c r="C3577" i="17" s="1"/>
  <c r="P1157" i="2"/>
  <c r="C7207" i="17" s="1"/>
  <c r="O1157" i="2"/>
  <c r="L1157" i="2"/>
  <c r="C1157" i="17" s="1"/>
  <c r="R1156" i="2"/>
  <c r="C3576" i="17" s="1"/>
  <c r="P1156" i="2"/>
  <c r="C7206" i="17" s="1"/>
  <c r="O1156" i="2"/>
  <c r="C5996" i="17" s="1"/>
  <c r="L1156" i="2"/>
  <c r="C1156" i="17" s="1"/>
  <c r="R1155" i="2"/>
  <c r="C3575" i="17" s="1"/>
  <c r="P1155" i="2"/>
  <c r="C7205" i="17" s="1"/>
  <c r="O1155" i="2"/>
  <c r="L1155" i="2"/>
  <c r="C1155" i="17" s="1"/>
  <c r="R1154" i="2"/>
  <c r="C3574" i="17" s="1"/>
  <c r="P1154" i="2"/>
  <c r="C7204" i="17" s="1"/>
  <c r="O1154" i="2"/>
  <c r="C5994" i="17" s="1"/>
  <c r="L1154" i="2"/>
  <c r="C1154" i="17" s="1"/>
  <c r="R1153" i="2"/>
  <c r="C3573" i="17" s="1"/>
  <c r="P1153" i="2"/>
  <c r="C7203" i="17" s="1"/>
  <c r="O1153" i="2"/>
  <c r="L1153" i="2"/>
  <c r="C1153" i="17" s="1"/>
  <c r="R1152" i="2"/>
  <c r="C3572" i="17" s="1"/>
  <c r="P1152" i="2"/>
  <c r="C7202" i="17" s="1"/>
  <c r="O1152" i="2"/>
  <c r="L1152" i="2"/>
  <c r="C1152" i="17" s="1"/>
  <c r="R1151" i="2"/>
  <c r="C3571" i="17" s="1"/>
  <c r="P1151" i="2"/>
  <c r="C7201" i="17" s="1"/>
  <c r="O1151" i="2"/>
  <c r="L1151" i="2"/>
  <c r="C1151" i="17" s="1"/>
  <c r="R1150" i="2"/>
  <c r="C3570" i="17" s="1"/>
  <c r="P1150" i="2"/>
  <c r="C7200" i="17" s="1"/>
  <c r="O1150" i="2"/>
  <c r="C5990" i="17" s="1"/>
  <c r="L1150" i="2"/>
  <c r="C1150" i="17" s="1"/>
  <c r="R1149" i="2"/>
  <c r="C3569" i="17" s="1"/>
  <c r="P1149" i="2"/>
  <c r="C7199" i="17" s="1"/>
  <c r="O1149" i="2"/>
  <c r="L1149" i="2"/>
  <c r="C1149" i="17" s="1"/>
  <c r="R1148" i="2"/>
  <c r="C3568" i="17" s="1"/>
  <c r="P1148" i="2"/>
  <c r="C7198" i="17" s="1"/>
  <c r="O1148" i="2"/>
  <c r="L1148" i="2"/>
  <c r="C1148" i="17" s="1"/>
  <c r="R1147" i="2"/>
  <c r="C3567" i="17" s="1"/>
  <c r="P1147" i="2"/>
  <c r="C7197" i="17" s="1"/>
  <c r="O1147" i="2"/>
  <c r="L1147" i="2"/>
  <c r="C1147" i="17" s="1"/>
  <c r="R1146" i="2"/>
  <c r="C3566" i="17" s="1"/>
  <c r="P1146" i="2"/>
  <c r="C7196" i="17" s="1"/>
  <c r="O1146" i="2"/>
  <c r="C5986" i="17" s="1"/>
  <c r="L1146" i="2"/>
  <c r="C1146" i="17" s="1"/>
  <c r="R1145" i="2"/>
  <c r="C3565" i="17" s="1"/>
  <c r="P1145" i="2"/>
  <c r="C7195" i="17" s="1"/>
  <c r="O1145" i="2"/>
  <c r="L1145" i="2"/>
  <c r="C1145" i="17" s="1"/>
  <c r="R1144" i="2"/>
  <c r="C3564" i="17" s="1"/>
  <c r="P1144" i="2"/>
  <c r="O1144" i="2"/>
  <c r="C5984" i="17" s="1"/>
  <c r="L1144" i="2"/>
  <c r="C1144" i="17" s="1"/>
  <c r="R1143" i="2"/>
  <c r="C3563" i="17" s="1"/>
  <c r="P1143" i="2"/>
  <c r="C7193" i="17" s="1"/>
  <c r="O1143" i="2"/>
  <c r="L1143" i="2"/>
  <c r="C1143" i="17" s="1"/>
  <c r="R1142" i="2"/>
  <c r="C3562" i="17" s="1"/>
  <c r="P1142" i="2"/>
  <c r="C7192" i="17" s="1"/>
  <c r="O1142" i="2"/>
  <c r="L1142" i="2"/>
  <c r="C1142" i="17" s="1"/>
  <c r="R1141" i="2"/>
  <c r="C3561" i="17" s="1"/>
  <c r="P1141" i="2"/>
  <c r="C7191" i="17" s="1"/>
  <c r="O1141" i="2"/>
  <c r="L1141" i="2"/>
  <c r="C1141" i="17" s="1"/>
  <c r="R1140" i="2"/>
  <c r="C3560" i="17" s="1"/>
  <c r="P1140" i="2"/>
  <c r="O1140" i="2"/>
  <c r="C5980" i="17" s="1"/>
  <c r="L1140" i="2"/>
  <c r="C1140" i="17" s="1"/>
  <c r="R1139" i="2"/>
  <c r="C3559" i="17" s="1"/>
  <c r="P1139" i="2"/>
  <c r="C7189" i="17" s="1"/>
  <c r="O1139" i="2"/>
  <c r="L1139" i="2"/>
  <c r="C1139" i="17" s="1"/>
  <c r="R1138" i="2"/>
  <c r="C3558" i="17" s="1"/>
  <c r="P1138" i="2"/>
  <c r="C7188" i="17" s="1"/>
  <c r="O1138" i="2"/>
  <c r="L1138" i="2"/>
  <c r="C1138" i="17" s="1"/>
  <c r="R1137" i="2"/>
  <c r="C3557" i="17" s="1"/>
  <c r="P1137" i="2"/>
  <c r="C7187" i="17" s="1"/>
  <c r="O1137" i="2"/>
  <c r="L1137" i="2"/>
  <c r="C1137" i="17" s="1"/>
  <c r="R1136" i="2"/>
  <c r="C3556" i="17" s="1"/>
  <c r="P1136" i="2"/>
  <c r="C7186" i="17" s="1"/>
  <c r="O1136" i="2"/>
  <c r="C5976" i="17" s="1"/>
  <c r="L1136" i="2"/>
  <c r="C1136" i="17" s="1"/>
  <c r="R1135" i="2"/>
  <c r="C3555" i="17" s="1"/>
  <c r="P1135" i="2"/>
  <c r="C7185" i="17" s="1"/>
  <c r="O1135" i="2"/>
  <c r="L1135" i="2"/>
  <c r="C1135" i="17" s="1"/>
  <c r="R1134" i="2"/>
  <c r="C3554" i="17" s="1"/>
  <c r="P1134" i="2"/>
  <c r="C7184" i="17" s="1"/>
  <c r="O1134" i="2"/>
  <c r="C5974" i="17" s="1"/>
  <c r="L1134" i="2"/>
  <c r="C1134" i="17" s="1"/>
  <c r="R1133" i="2"/>
  <c r="C3553" i="17" s="1"/>
  <c r="P1133" i="2"/>
  <c r="C7183" i="17" s="1"/>
  <c r="O1133" i="2"/>
  <c r="L1133" i="2"/>
  <c r="C1133" i="17" s="1"/>
  <c r="R1132" i="2"/>
  <c r="C3552" i="17" s="1"/>
  <c r="P1132" i="2"/>
  <c r="C7182" i="17" s="1"/>
  <c r="O1132" i="2"/>
  <c r="C5972" i="17" s="1"/>
  <c r="L1132" i="2"/>
  <c r="C1132" i="17" s="1"/>
  <c r="R1131" i="2"/>
  <c r="C3551" i="17" s="1"/>
  <c r="P1131" i="2"/>
  <c r="C7181" i="17" s="1"/>
  <c r="O1131" i="2"/>
  <c r="L1131" i="2"/>
  <c r="C1131" i="17" s="1"/>
  <c r="R1130" i="2"/>
  <c r="C3550" i="17" s="1"/>
  <c r="P1130" i="2"/>
  <c r="C7180" i="17" s="1"/>
  <c r="O1130" i="2"/>
  <c r="C5970" i="17" s="1"/>
  <c r="L1130" i="2"/>
  <c r="C1130" i="17" s="1"/>
  <c r="R1129" i="2"/>
  <c r="C3549" i="17" s="1"/>
  <c r="P1129" i="2"/>
  <c r="C7179" i="17" s="1"/>
  <c r="O1129" i="2"/>
  <c r="L1129" i="2"/>
  <c r="C1129" i="17" s="1"/>
  <c r="R1128" i="2"/>
  <c r="C3548" i="17" s="1"/>
  <c r="P1128" i="2"/>
  <c r="C7178" i="17" s="1"/>
  <c r="O1128" i="2"/>
  <c r="L1128" i="2"/>
  <c r="C1128" i="17" s="1"/>
  <c r="R1127" i="2"/>
  <c r="C3547" i="17" s="1"/>
  <c r="P1127" i="2"/>
  <c r="C7177" i="17" s="1"/>
  <c r="O1127" i="2"/>
  <c r="L1127" i="2"/>
  <c r="C1127" i="17" s="1"/>
  <c r="R1126" i="2"/>
  <c r="C3546" i="17" s="1"/>
  <c r="P1126" i="2"/>
  <c r="C7176" i="17" s="1"/>
  <c r="O1126" i="2"/>
  <c r="C5966" i="17" s="1"/>
  <c r="L1126" i="2"/>
  <c r="C1126" i="17" s="1"/>
  <c r="R1125" i="2"/>
  <c r="C3545" i="17" s="1"/>
  <c r="P1125" i="2"/>
  <c r="C7175" i="17" s="1"/>
  <c r="O1125" i="2"/>
  <c r="L1125" i="2"/>
  <c r="C1125" i="17" s="1"/>
  <c r="R1124" i="2"/>
  <c r="C3544" i="17" s="1"/>
  <c r="P1124" i="2"/>
  <c r="C7174" i="17" s="1"/>
  <c r="O1124" i="2"/>
  <c r="L1124" i="2"/>
  <c r="C1124" i="17" s="1"/>
  <c r="R1123" i="2"/>
  <c r="C3543" i="17" s="1"/>
  <c r="P1123" i="2"/>
  <c r="C7173" i="17" s="1"/>
  <c r="O1123" i="2"/>
  <c r="L1123" i="2"/>
  <c r="C1123" i="17" s="1"/>
  <c r="R1122" i="2"/>
  <c r="C3542" i="17" s="1"/>
  <c r="P1122" i="2"/>
  <c r="C7172" i="17" s="1"/>
  <c r="O1122" i="2"/>
  <c r="C5962" i="17" s="1"/>
  <c r="L1122" i="2"/>
  <c r="C1122" i="17" s="1"/>
  <c r="R1121" i="2"/>
  <c r="C3541" i="17" s="1"/>
  <c r="P1121" i="2"/>
  <c r="C7171" i="17" s="1"/>
  <c r="O1121" i="2"/>
  <c r="L1121" i="2"/>
  <c r="C1121" i="17" s="1"/>
  <c r="R1120" i="2"/>
  <c r="C3540" i="17" s="1"/>
  <c r="P1120" i="2"/>
  <c r="O1120" i="2"/>
  <c r="C5960" i="17" s="1"/>
  <c r="L1120" i="2"/>
  <c r="C1120" i="17" s="1"/>
  <c r="R1119" i="2"/>
  <c r="C3539" i="17" s="1"/>
  <c r="P1119" i="2"/>
  <c r="C7169" i="17" s="1"/>
  <c r="O1119" i="2"/>
  <c r="L1119" i="2"/>
  <c r="C1119" i="17" s="1"/>
  <c r="R1118" i="2"/>
  <c r="C3538" i="17" s="1"/>
  <c r="P1118" i="2"/>
  <c r="C7168" i="17" s="1"/>
  <c r="O1118" i="2"/>
  <c r="L1118" i="2"/>
  <c r="C1118" i="17" s="1"/>
  <c r="R1117" i="2"/>
  <c r="C3537" i="17" s="1"/>
  <c r="P1117" i="2"/>
  <c r="C7167" i="17" s="1"/>
  <c r="O1117" i="2"/>
  <c r="L1117" i="2"/>
  <c r="C1117" i="17" s="1"/>
  <c r="R1116" i="2"/>
  <c r="C3536" i="17" s="1"/>
  <c r="P1116" i="2"/>
  <c r="O1116" i="2"/>
  <c r="C5956" i="17" s="1"/>
  <c r="L1116" i="2"/>
  <c r="C1116" i="17" s="1"/>
  <c r="R1115" i="2"/>
  <c r="C3535" i="17" s="1"/>
  <c r="P1115" i="2"/>
  <c r="C7165" i="17" s="1"/>
  <c r="O1115" i="2"/>
  <c r="L1115" i="2"/>
  <c r="C1115" i="17" s="1"/>
  <c r="R1114" i="2"/>
  <c r="C3534" i="17" s="1"/>
  <c r="P1114" i="2"/>
  <c r="C7164" i="17" s="1"/>
  <c r="O1114" i="2"/>
  <c r="L1114" i="2"/>
  <c r="C1114" i="17" s="1"/>
  <c r="R1113" i="2"/>
  <c r="C3533" i="17" s="1"/>
  <c r="P1113" i="2"/>
  <c r="C7163" i="17" s="1"/>
  <c r="O1113" i="2"/>
  <c r="L1113" i="2"/>
  <c r="C1113" i="17" s="1"/>
  <c r="R1112" i="2"/>
  <c r="C3532" i="17" s="1"/>
  <c r="P1112" i="2"/>
  <c r="C7162" i="17" s="1"/>
  <c r="O1112" i="2"/>
  <c r="C5952" i="17" s="1"/>
  <c r="L1112" i="2"/>
  <c r="C1112" i="17" s="1"/>
  <c r="R1111" i="2"/>
  <c r="C3531" i="17" s="1"/>
  <c r="P1111" i="2"/>
  <c r="C7161" i="17" s="1"/>
  <c r="O1111" i="2"/>
  <c r="L1111" i="2"/>
  <c r="C1111" i="17" s="1"/>
  <c r="R1110" i="2"/>
  <c r="C3530" i="17" s="1"/>
  <c r="P1110" i="2"/>
  <c r="C7160" i="17" s="1"/>
  <c r="O1110" i="2"/>
  <c r="C5950" i="17" s="1"/>
  <c r="L1110" i="2"/>
  <c r="C1110" i="17" s="1"/>
  <c r="R1109" i="2"/>
  <c r="C3529" i="17" s="1"/>
  <c r="P1109" i="2"/>
  <c r="C7159" i="17" s="1"/>
  <c r="O1109" i="2"/>
  <c r="L1109" i="2"/>
  <c r="C1109" i="17" s="1"/>
  <c r="R1108" i="2"/>
  <c r="C3528" i="17" s="1"/>
  <c r="P1108" i="2"/>
  <c r="C7158" i="17" s="1"/>
  <c r="O1108" i="2"/>
  <c r="C5948" i="17" s="1"/>
  <c r="L1108" i="2"/>
  <c r="C1108" i="17" s="1"/>
  <c r="R1107" i="2"/>
  <c r="C3527" i="17" s="1"/>
  <c r="P1107" i="2"/>
  <c r="C7157" i="17" s="1"/>
  <c r="O1107" i="2"/>
  <c r="L1107" i="2"/>
  <c r="C1107" i="17" s="1"/>
  <c r="R1106" i="2"/>
  <c r="C3526" i="17" s="1"/>
  <c r="P1106" i="2"/>
  <c r="C7156" i="17" s="1"/>
  <c r="O1106" i="2"/>
  <c r="C5946" i="17" s="1"/>
  <c r="L1106" i="2"/>
  <c r="C1106" i="17" s="1"/>
  <c r="R1105" i="2"/>
  <c r="C3525" i="17" s="1"/>
  <c r="P1105" i="2"/>
  <c r="C7155" i="17" s="1"/>
  <c r="O1105" i="2"/>
  <c r="L1105" i="2"/>
  <c r="C1105" i="17" s="1"/>
  <c r="R1104" i="2"/>
  <c r="C3524" i="17" s="1"/>
  <c r="P1104" i="2"/>
  <c r="C7154" i="17" s="1"/>
  <c r="O1104" i="2"/>
  <c r="L1104" i="2"/>
  <c r="C1104" i="17" s="1"/>
  <c r="R1103" i="2"/>
  <c r="C3523" i="17" s="1"/>
  <c r="P1103" i="2"/>
  <c r="C7153" i="17" s="1"/>
  <c r="O1103" i="2"/>
  <c r="L1103" i="2"/>
  <c r="C1103" i="17" s="1"/>
  <c r="R1102" i="2"/>
  <c r="C3522" i="17" s="1"/>
  <c r="P1102" i="2"/>
  <c r="C7152" i="17" s="1"/>
  <c r="O1102" i="2"/>
  <c r="C5942" i="17" s="1"/>
  <c r="L1102" i="2"/>
  <c r="C1102" i="17" s="1"/>
  <c r="R1101" i="2"/>
  <c r="C3521" i="17" s="1"/>
  <c r="P1101" i="2"/>
  <c r="C7151" i="17" s="1"/>
  <c r="O1101" i="2"/>
  <c r="L1101" i="2"/>
  <c r="C1101" i="17" s="1"/>
  <c r="R1100" i="2"/>
  <c r="C3520" i="17" s="1"/>
  <c r="P1100" i="2"/>
  <c r="C7150" i="17" s="1"/>
  <c r="O1100" i="2"/>
  <c r="L1100" i="2"/>
  <c r="C1100" i="17" s="1"/>
  <c r="R1099" i="2"/>
  <c r="C3519" i="17" s="1"/>
  <c r="P1099" i="2"/>
  <c r="C7149" i="17" s="1"/>
  <c r="O1099" i="2"/>
  <c r="L1099" i="2"/>
  <c r="C1099" i="17" s="1"/>
  <c r="R1098" i="2"/>
  <c r="C3518" i="17" s="1"/>
  <c r="P1098" i="2"/>
  <c r="C7148" i="17" s="1"/>
  <c r="O1098" i="2"/>
  <c r="C5938" i="17" s="1"/>
  <c r="L1098" i="2"/>
  <c r="C1098" i="17" s="1"/>
  <c r="R1097" i="2"/>
  <c r="C3517" i="17" s="1"/>
  <c r="P1097" i="2"/>
  <c r="C7147" i="17" s="1"/>
  <c r="O1097" i="2"/>
  <c r="L1097" i="2"/>
  <c r="C1097" i="17" s="1"/>
  <c r="R1096" i="2"/>
  <c r="C3516" i="17" s="1"/>
  <c r="P1096" i="2"/>
  <c r="O1096" i="2"/>
  <c r="C5936" i="17" s="1"/>
  <c r="L1096" i="2"/>
  <c r="C1096" i="17" s="1"/>
  <c r="R1095" i="2"/>
  <c r="C3515" i="17" s="1"/>
  <c r="P1095" i="2"/>
  <c r="C7145" i="17" s="1"/>
  <c r="O1095" i="2"/>
  <c r="L1095" i="2"/>
  <c r="C1095" i="17" s="1"/>
  <c r="R1094" i="2"/>
  <c r="C3514" i="17" s="1"/>
  <c r="P1094" i="2"/>
  <c r="C7144" i="17" s="1"/>
  <c r="O1094" i="2"/>
  <c r="L1094" i="2"/>
  <c r="C1094" i="17" s="1"/>
  <c r="R1093" i="2"/>
  <c r="C3513" i="17" s="1"/>
  <c r="P1093" i="2"/>
  <c r="C7143" i="17" s="1"/>
  <c r="O1093" i="2"/>
  <c r="L1093" i="2"/>
  <c r="C1093" i="17" s="1"/>
  <c r="R1092" i="2"/>
  <c r="C3512" i="17" s="1"/>
  <c r="P1092" i="2"/>
  <c r="O1092" i="2"/>
  <c r="C5932" i="17" s="1"/>
  <c r="L1092" i="2"/>
  <c r="C1092" i="17" s="1"/>
  <c r="R1091" i="2"/>
  <c r="C3511" i="17" s="1"/>
  <c r="P1091" i="2"/>
  <c r="C7141" i="17" s="1"/>
  <c r="O1091" i="2"/>
  <c r="L1091" i="2"/>
  <c r="C1091" i="17" s="1"/>
  <c r="R1090" i="2"/>
  <c r="C3510" i="17" s="1"/>
  <c r="P1090" i="2"/>
  <c r="C7140" i="17" s="1"/>
  <c r="O1090" i="2"/>
  <c r="L1090" i="2"/>
  <c r="C1090" i="17" s="1"/>
  <c r="R1089" i="2"/>
  <c r="C3509" i="17" s="1"/>
  <c r="P1089" i="2"/>
  <c r="C7139" i="17" s="1"/>
  <c r="O1089" i="2"/>
  <c r="L1089" i="2"/>
  <c r="C1089" i="17" s="1"/>
  <c r="R1088" i="2"/>
  <c r="C3508" i="17" s="1"/>
  <c r="P1088" i="2"/>
  <c r="C7138" i="17" s="1"/>
  <c r="O1088" i="2"/>
  <c r="C5928" i="17" s="1"/>
  <c r="L1088" i="2"/>
  <c r="C1088" i="17" s="1"/>
  <c r="R1087" i="2"/>
  <c r="C3507" i="17" s="1"/>
  <c r="P1087" i="2"/>
  <c r="C7137" i="17" s="1"/>
  <c r="O1087" i="2"/>
  <c r="L1087" i="2"/>
  <c r="C1087" i="17" s="1"/>
  <c r="R1086" i="2"/>
  <c r="C3506" i="17" s="1"/>
  <c r="P1086" i="2"/>
  <c r="C7136" i="17" s="1"/>
  <c r="O1086" i="2"/>
  <c r="C5926" i="17" s="1"/>
  <c r="L1086" i="2"/>
  <c r="C1086" i="17" s="1"/>
  <c r="R1085" i="2"/>
  <c r="C3505" i="17" s="1"/>
  <c r="P1085" i="2"/>
  <c r="C7135" i="17" s="1"/>
  <c r="O1085" i="2"/>
  <c r="L1085" i="2"/>
  <c r="C1085" i="17" s="1"/>
  <c r="R1084" i="2"/>
  <c r="C3504" i="17" s="1"/>
  <c r="P1084" i="2"/>
  <c r="C7134" i="17" s="1"/>
  <c r="O1084" i="2"/>
  <c r="C5924" i="17" s="1"/>
  <c r="L1084" i="2"/>
  <c r="C1084" i="17" s="1"/>
  <c r="R1083" i="2"/>
  <c r="C3503" i="17" s="1"/>
  <c r="P1083" i="2"/>
  <c r="C7133" i="17" s="1"/>
  <c r="O1083" i="2"/>
  <c r="L1083" i="2"/>
  <c r="C1083" i="17" s="1"/>
  <c r="R1082" i="2"/>
  <c r="C3502" i="17" s="1"/>
  <c r="P1082" i="2"/>
  <c r="C7132" i="17" s="1"/>
  <c r="O1082" i="2"/>
  <c r="C5922" i="17" s="1"/>
  <c r="L1082" i="2"/>
  <c r="C1082" i="17" s="1"/>
  <c r="R1081" i="2"/>
  <c r="C3501" i="17" s="1"/>
  <c r="P1081" i="2"/>
  <c r="C7131" i="17" s="1"/>
  <c r="O1081" i="2"/>
  <c r="L1081" i="2"/>
  <c r="C1081" i="17" s="1"/>
  <c r="R1080" i="2"/>
  <c r="C3500" i="17" s="1"/>
  <c r="P1080" i="2"/>
  <c r="C7130" i="17" s="1"/>
  <c r="O1080" i="2"/>
  <c r="L1080" i="2"/>
  <c r="C1080" i="17" s="1"/>
  <c r="R1079" i="2"/>
  <c r="C3499" i="17" s="1"/>
  <c r="P1079" i="2"/>
  <c r="C7129" i="17" s="1"/>
  <c r="O1079" i="2"/>
  <c r="L1079" i="2"/>
  <c r="C1079" i="17" s="1"/>
  <c r="R1078" i="2"/>
  <c r="C3498" i="17" s="1"/>
  <c r="P1078" i="2"/>
  <c r="C7128" i="17" s="1"/>
  <c r="O1078" i="2"/>
  <c r="C5918" i="17" s="1"/>
  <c r="L1078" i="2"/>
  <c r="C1078" i="17" s="1"/>
  <c r="R1077" i="2"/>
  <c r="C3497" i="17" s="1"/>
  <c r="P1077" i="2"/>
  <c r="C7127" i="17" s="1"/>
  <c r="O1077" i="2"/>
  <c r="L1077" i="2"/>
  <c r="C1077" i="17" s="1"/>
  <c r="R1076" i="2"/>
  <c r="C3496" i="17" s="1"/>
  <c r="P1076" i="2"/>
  <c r="C7126" i="17" s="1"/>
  <c r="O1076" i="2"/>
  <c r="L1076" i="2"/>
  <c r="C1076" i="17" s="1"/>
  <c r="R1075" i="2"/>
  <c r="C3495" i="17" s="1"/>
  <c r="P1075" i="2"/>
  <c r="C7125" i="17" s="1"/>
  <c r="O1075" i="2"/>
  <c r="L1075" i="2"/>
  <c r="C1075" i="17" s="1"/>
  <c r="R1074" i="2"/>
  <c r="C3494" i="17" s="1"/>
  <c r="P1074" i="2"/>
  <c r="C7124" i="17" s="1"/>
  <c r="O1074" i="2"/>
  <c r="C5914" i="17" s="1"/>
  <c r="L1074" i="2"/>
  <c r="C1074" i="17" s="1"/>
  <c r="R1073" i="2"/>
  <c r="C3493" i="17" s="1"/>
  <c r="P1073" i="2"/>
  <c r="C7123" i="17" s="1"/>
  <c r="O1073" i="2"/>
  <c r="L1073" i="2"/>
  <c r="C1073" i="17" s="1"/>
  <c r="R1072" i="2"/>
  <c r="C3492" i="17" s="1"/>
  <c r="P1072" i="2"/>
  <c r="O1072" i="2"/>
  <c r="C5912" i="17" s="1"/>
  <c r="L1072" i="2"/>
  <c r="C1072" i="17" s="1"/>
  <c r="R1071" i="2"/>
  <c r="C3491" i="17" s="1"/>
  <c r="P1071" i="2"/>
  <c r="C7121" i="17" s="1"/>
  <c r="O1071" i="2"/>
  <c r="L1071" i="2"/>
  <c r="C1071" i="17" s="1"/>
  <c r="R1070" i="2"/>
  <c r="C3490" i="17" s="1"/>
  <c r="P1070" i="2"/>
  <c r="C7120" i="17" s="1"/>
  <c r="O1070" i="2"/>
  <c r="L1070" i="2"/>
  <c r="C1070" i="17" s="1"/>
  <c r="R1069" i="2"/>
  <c r="C3489" i="17" s="1"/>
  <c r="P1069" i="2"/>
  <c r="C7119" i="17" s="1"/>
  <c r="O1069" i="2"/>
  <c r="L1069" i="2"/>
  <c r="C1069" i="17" s="1"/>
  <c r="R1068" i="2"/>
  <c r="C3488" i="17" s="1"/>
  <c r="P1068" i="2"/>
  <c r="O1068" i="2"/>
  <c r="C5908" i="17" s="1"/>
  <c r="L1068" i="2"/>
  <c r="C1068" i="17" s="1"/>
  <c r="R1067" i="2"/>
  <c r="C3487" i="17" s="1"/>
  <c r="P1067" i="2"/>
  <c r="C7117" i="17" s="1"/>
  <c r="O1067" i="2"/>
  <c r="L1067" i="2"/>
  <c r="C1067" i="17" s="1"/>
  <c r="R1066" i="2"/>
  <c r="C3486" i="17" s="1"/>
  <c r="P1066" i="2"/>
  <c r="C7116" i="17" s="1"/>
  <c r="O1066" i="2"/>
  <c r="L1066" i="2"/>
  <c r="C1066" i="17" s="1"/>
  <c r="R1065" i="2"/>
  <c r="C3485" i="17" s="1"/>
  <c r="P1065" i="2"/>
  <c r="C7115" i="17" s="1"/>
  <c r="O1065" i="2"/>
  <c r="L1065" i="2"/>
  <c r="C1065" i="17" s="1"/>
  <c r="R1064" i="2"/>
  <c r="C3484" i="17" s="1"/>
  <c r="P1064" i="2"/>
  <c r="C7114" i="17" s="1"/>
  <c r="O1064" i="2"/>
  <c r="C5904" i="17" s="1"/>
  <c r="L1064" i="2"/>
  <c r="C1064" i="17" s="1"/>
  <c r="R1063" i="2"/>
  <c r="C3483" i="17" s="1"/>
  <c r="P1063" i="2"/>
  <c r="C7113" i="17" s="1"/>
  <c r="O1063" i="2"/>
  <c r="L1063" i="2"/>
  <c r="C1063" i="17" s="1"/>
  <c r="R1062" i="2"/>
  <c r="C3482" i="17" s="1"/>
  <c r="P1062" i="2"/>
  <c r="C7112" i="17" s="1"/>
  <c r="O1062" i="2"/>
  <c r="C5902" i="17" s="1"/>
  <c r="L1062" i="2"/>
  <c r="C1062" i="17" s="1"/>
  <c r="R1061" i="2"/>
  <c r="C3481" i="17" s="1"/>
  <c r="P1061" i="2"/>
  <c r="C7111" i="17" s="1"/>
  <c r="O1061" i="2"/>
  <c r="L1061" i="2"/>
  <c r="C1061" i="17" s="1"/>
  <c r="R1060" i="2"/>
  <c r="C3480" i="17" s="1"/>
  <c r="P1060" i="2"/>
  <c r="C7110" i="17" s="1"/>
  <c r="O1060" i="2"/>
  <c r="C5900" i="17" s="1"/>
  <c r="L1060" i="2"/>
  <c r="C1060" i="17" s="1"/>
  <c r="R1059" i="2"/>
  <c r="C3479" i="17" s="1"/>
  <c r="P1059" i="2"/>
  <c r="C7109" i="17" s="1"/>
  <c r="O1059" i="2"/>
  <c r="L1059" i="2"/>
  <c r="C1059" i="17" s="1"/>
  <c r="R1058" i="2"/>
  <c r="C3478" i="17" s="1"/>
  <c r="P1058" i="2"/>
  <c r="C7108" i="17" s="1"/>
  <c r="O1058" i="2"/>
  <c r="C5898" i="17" s="1"/>
  <c r="L1058" i="2"/>
  <c r="C1058" i="17" s="1"/>
  <c r="R1057" i="2"/>
  <c r="C3477" i="17" s="1"/>
  <c r="P1057" i="2"/>
  <c r="C7107" i="17" s="1"/>
  <c r="O1057" i="2"/>
  <c r="L1057" i="2"/>
  <c r="C1057" i="17" s="1"/>
  <c r="R1056" i="2"/>
  <c r="C3476" i="17" s="1"/>
  <c r="P1056" i="2"/>
  <c r="C7106" i="17" s="1"/>
  <c r="O1056" i="2"/>
  <c r="L1056" i="2"/>
  <c r="C1056" i="17" s="1"/>
  <c r="R1055" i="2"/>
  <c r="C3475" i="17" s="1"/>
  <c r="P1055" i="2"/>
  <c r="C7105" i="17" s="1"/>
  <c r="O1055" i="2"/>
  <c r="L1055" i="2"/>
  <c r="C1055" i="17" s="1"/>
  <c r="R1054" i="2"/>
  <c r="C3474" i="17" s="1"/>
  <c r="P1054" i="2"/>
  <c r="C7104" i="17" s="1"/>
  <c r="O1054" i="2"/>
  <c r="C5894" i="17" s="1"/>
  <c r="L1054" i="2"/>
  <c r="C1054" i="17" s="1"/>
  <c r="R1053" i="2"/>
  <c r="C3473" i="17" s="1"/>
  <c r="P1053" i="2"/>
  <c r="C7103" i="17" s="1"/>
  <c r="O1053" i="2"/>
  <c r="L1053" i="2"/>
  <c r="C1053" i="17" s="1"/>
  <c r="R1052" i="2"/>
  <c r="C3472" i="17" s="1"/>
  <c r="P1052" i="2"/>
  <c r="C7102" i="17" s="1"/>
  <c r="O1052" i="2"/>
  <c r="L1052" i="2"/>
  <c r="C1052" i="17" s="1"/>
  <c r="R1051" i="2"/>
  <c r="C3471" i="17" s="1"/>
  <c r="P1051" i="2"/>
  <c r="C7101" i="17" s="1"/>
  <c r="O1051" i="2"/>
  <c r="L1051" i="2"/>
  <c r="C1051" i="17" s="1"/>
  <c r="R1050" i="2"/>
  <c r="C3470" i="17" s="1"/>
  <c r="P1050" i="2"/>
  <c r="C7100" i="17" s="1"/>
  <c r="O1050" i="2"/>
  <c r="C5890" i="17" s="1"/>
  <c r="L1050" i="2"/>
  <c r="C1050" i="17" s="1"/>
  <c r="R1049" i="2"/>
  <c r="C3469" i="17" s="1"/>
  <c r="P1049" i="2"/>
  <c r="C7099" i="17" s="1"/>
  <c r="O1049" i="2"/>
  <c r="L1049" i="2"/>
  <c r="C1049" i="17" s="1"/>
  <c r="R1048" i="2"/>
  <c r="C3468" i="17" s="1"/>
  <c r="P1048" i="2"/>
  <c r="O1048" i="2"/>
  <c r="C5888" i="17" s="1"/>
  <c r="L1048" i="2"/>
  <c r="C1048" i="17" s="1"/>
  <c r="R1047" i="2"/>
  <c r="C3467" i="17" s="1"/>
  <c r="P1047" i="2"/>
  <c r="C7097" i="17" s="1"/>
  <c r="O1047" i="2"/>
  <c r="L1047" i="2"/>
  <c r="C1047" i="17" s="1"/>
  <c r="R1046" i="2"/>
  <c r="C3466" i="17" s="1"/>
  <c r="P1046" i="2"/>
  <c r="C7096" i="17" s="1"/>
  <c r="O1046" i="2"/>
  <c r="L1046" i="2"/>
  <c r="C1046" i="17" s="1"/>
  <c r="R1045" i="2"/>
  <c r="C3465" i="17" s="1"/>
  <c r="P1045" i="2"/>
  <c r="C7095" i="17" s="1"/>
  <c r="O1045" i="2"/>
  <c r="L1045" i="2"/>
  <c r="C1045" i="17" s="1"/>
  <c r="R1044" i="2"/>
  <c r="C3464" i="17" s="1"/>
  <c r="P1044" i="2"/>
  <c r="O1044" i="2"/>
  <c r="C5884" i="17" s="1"/>
  <c r="L1044" i="2"/>
  <c r="C1044" i="17" s="1"/>
  <c r="R1043" i="2"/>
  <c r="C3463" i="17" s="1"/>
  <c r="P1043" i="2"/>
  <c r="C7093" i="17" s="1"/>
  <c r="O1043" i="2"/>
  <c r="L1043" i="2"/>
  <c r="C1043" i="17" s="1"/>
  <c r="R1042" i="2"/>
  <c r="C3462" i="17" s="1"/>
  <c r="P1042" i="2"/>
  <c r="C7092" i="17" s="1"/>
  <c r="O1042" i="2"/>
  <c r="L1042" i="2"/>
  <c r="C1042" i="17" s="1"/>
  <c r="R1041" i="2"/>
  <c r="C3461" i="17" s="1"/>
  <c r="P1041" i="2"/>
  <c r="C7091" i="17" s="1"/>
  <c r="O1041" i="2"/>
  <c r="L1041" i="2"/>
  <c r="C1041" i="17" s="1"/>
  <c r="R1040" i="2"/>
  <c r="C3460" i="17" s="1"/>
  <c r="P1040" i="2"/>
  <c r="C7090" i="17" s="1"/>
  <c r="O1040" i="2"/>
  <c r="C5880" i="17" s="1"/>
  <c r="L1040" i="2"/>
  <c r="C1040" i="17" s="1"/>
  <c r="R1039" i="2"/>
  <c r="C3459" i="17" s="1"/>
  <c r="P1039" i="2"/>
  <c r="C7089" i="17" s="1"/>
  <c r="O1039" i="2"/>
  <c r="L1039" i="2"/>
  <c r="C1039" i="17" s="1"/>
  <c r="R1038" i="2"/>
  <c r="C3458" i="17" s="1"/>
  <c r="P1038" i="2"/>
  <c r="C7088" i="17" s="1"/>
  <c r="O1038" i="2"/>
  <c r="C5878" i="17" s="1"/>
  <c r="L1038" i="2"/>
  <c r="C1038" i="17" s="1"/>
  <c r="R1037" i="2"/>
  <c r="C3457" i="17" s="1"/>
  <c r="P1037" i="2"/>
  <c r="C7087" i="17" s="1"/>
  <c r="O1037" i="2"/>
  <c r="L1037" i="2"/>
  <c r="C1037" i="17" s="1"/>
  <c r="R1036" i="2"/>
  <c r="C3456" i="17" s="1"/>
  <c r="P1036" i="2"/>
  <c r="C7086" i="17" s="1"/>
  <c r="O1036" i="2"/>
  <c r="C5876" i="17" s="1"/>
  <c r="L1036" i="2"/>
  <c r="C1036" i="17" s="1"/>
  <c r="R1035" i="2"/>
  <c r="C3455" i="17" s="1"/>
  <c r="P1035" i="2"/>
  <c r="C7085" i="17" s="1"/>
  <c r="O1035" i="2"/>
  <c r="L1035" i="2"/>
  <c r="C1035" i="17" s="1"/>
  <c r="R1034" i="2"/>
  <c r="C3454" i="17" s="1"/>
  <c r="P1034" i="2"/>
  <c r="C7084" i="17" s="1"/>
  <c r="O1034" i="2"/>
  <c r="C5874" i="17" s="1"/>
  <c r="L1034" i="2"/>
  <c r="C1034" i="17" s="1"/>
  <c r="R1033" i="2"/>
  <c r="C3453" i="17" s="1"/>
  <c r="P1033" i="2"/>
  <c r="C7083" i="17" s="1"/>
  <c r="O1033" i="2"/>
  <c r="L1033" i="2"/>
  <c r="C1033" i="17" s="1"/>
  <c r="R1032" i="2"/>
  <c r="C3452" i="17" s="1"/>
  <c r="P1032" i="2"/>
  <c r="C7082" i="17" s="1"/>
  <c r="O1032" i="2"/>
  <c r="L1032" i="2"/>
  <c r="C1032" i="17" s="1"/>
  <c r="R1031" i="2"/>
  <c r="C3451" i="17" s="1"/>
  <c r="P1031" i="2"/>
  <c r="C7081" i="17" s="1"/>
  <c r="O1031" i="2"/>
  <c r="L1031" i="2"/>
  <c r="C1031" i="17" s="1"/>
  <c r="R1030" i="2"/>
  <c r="C3450" i="17" s="1"/>
  <c r="P1030" i="2"/>
  <c r="C7080" i="17" s="1"/>
  <c r="O1030" i="2"/>
  <c r="C5870" i="17" s="1"/>
  <c r="L1030" i="2"/>
  <c r="C1030" i="17" s="1"/>
  <c r="R1029" i="2"/>
  <c r="C3449" i="17" s="1"/>
  <c r="P1029" i="2"/>
  <c r="C7079" i="17" s="1"/>
  <c r="O1029" i="2"/>
  <c r="L1029" i="2"/>
  <c r="C1029" i="17" s="1"/>
  <c r="R1028" i="2"/>
  <c r="C3448" i="17" s="1"/>
  <c r="P1028" i="2"/>
  <c r="C7078" i="17" s="1"/>
  <c r="O1028" i="2"/>
  <c r="L1028" i="2"/>
  <c r="C1028" i="17" s="1"/>
  <c r="R1027" i="2"/>
  <c r="C3447" i="17" s="1"/>
  <c r="P1027" i="2"/>
  <c r="C7077" i="17" s="1"/>
  <c r="O1027" i="2"/>
  <c r="L1027" i="2"/>
  <c r="C1027" i="17" s="1"/>
  <c r="R1026" i="2"/>
  <c r="C3446" i="17" s="1"/>
  <c r="P1026" i="2"/>
  <c r="C7076" i="17" s="1"/>
  <c r="O1026" i="2"/>
  <c r="C5866" i="17" s="1"/>
  <c r="L1026" i="2"/>
  <c r="C1026" i="17" s="1"/>
  <c r="R1025" i="2"/>
  <c r="C3445" i="17" s="1"/>
  <c r="P1025" i="2"/>
  <c r="C7075" i="17" s="1"/>
  <c r="O1025" i="2"/>
  <c r="L1025" i="2"/>
  <c r="C1025" i="17" s="1"/>
  <c r="R1024" i="2"/>
  <c r="C3444" i="17" s="1"/>
  <c r="P1024" i="2"/>
  <c r="C7074" i="17" s="1"/>
  <c r="O1024" i="2"/>
  <c r="C5864" i="17" s="1"/>
  <c r="L1024" i="2"/>
  <c r="C1024" i="17" s="1"/>
  <c r="R1023" i="2"/>
  <c r="C3443" i="17" s="1"/>
  <c r="P1023" i="2"/>
  <c r="C7073" i="17" s="1"/>
  <c r="O1023" i="2"/>
  <c r="L1023" i="2"/>
  <c r="C1023" i="17" s="1"/>
  <c r="R1022" i="2"/>
  <c r="C3442" i="17" s="1"/>
  <c r="P1022" i="2"/>
  <c r="C7072" i="17" s="1"/>
  <c r="O1022" i="2"/>
  <c r="L1022" i="2"/>
  <c r="C1022" i="17" s="1"/>
  <c r="R1021" i="2"/>
  <c r="C3441" i="17" s="1"/>
  <c r="P1021" i="2"/>
  <c r="C7071" i="17" s="1"/>
  <c r="O1021" i="2"/>
  <c r="L1021" i="2"/>
  <c r="C1021" i="17" s="1"/>
  <c r="R1020" i="2"/>
  <c r="C3440" i="17" s="1"/>
  <c r="P1020" i="2"/>
  <c r="O1020" i="2"/>
  <c r="C5860" i="17" s="1"/>
  <c r="L1020" i="2"/>
  <c r="C1020" i="17" s="1"/>
  <c r="R1019" i="2"/>
  <c r="C3439" i="17" s="1"/>
  <c r="P1019" i="2"/>
  <c r="C7069" i="17" s="1"/>
  <c r="O1019" i="2"/>
  <c r="L1019" i="2"/>
  <c r="C1019" i="17" s="1"/>
  <c r="R1018" i="2"/>
  <c r="C3438" i="17" s="1"/>
  <c r="P1018" i="2"/>
  <c r="C7068" i="17" s="1"/>
  <c r="O1018" i="2"/>
  <c r="L1018" i="2"/>
  <c r="C1018" i="17" s="1"/>
  <c r="R1017" i="2"/>
  <c r="C3437" i="17" s="1"/>
  <c r="P1017" i="2"/>
  <c r="C7067" i="17" s="1"/>
  <c r="O1017" i="2"/>
  <c r="L1017" i="2"/>
  <c r="C1017" i="17" s="1"/>
  <c r="R1016" i="2"/>
  <c r="C3436" i="17" s="1"/>
  <c r="P1016" i="2"/>
  <c r="C7066" i="17" s="1"/>
  <c r="O1016" i="2"/>
  <c r="C5856" i="17" s="1"/>
  <c r="L1016" i="2"/>
  <c r="C1016" i="17" s="1"/>
  <c r="R1015" i="2"/>
  <c r="C3435" i="17" s="1"/>
  <c r="P1015" i="2"/>
  <c r="C7065" i="17" s="1"/>
  <c r="O1015" i="2"/>
  <c r="L1015" i="2"/>
  <c r="C1015" i="17" s="1"/>
  <c r="R1014" i="2"/>
  <c r="C3434" i="17" s="1"/>
  <c r="P1014" i="2"/>
  <c r="C7064" i="17" s="1"/>
  <c r="O1014" i="2"/>
  <c r="C5854" i="17" s="1"/>
  <c r="L1014" i="2"/>
  <c r="C1014" i="17" s="1"/>
  <c r="R1013" i="2"/>
  <c r="C3433" i="17" s="1"/>
  <c r="P1013" i="2"/>
  <c r="C7063" i="17" s="1"/>
  <c r="O1013" i="2"/>
  <c r="L1013" i="2"/>
  <c r="C1013" i="17" s="1"/>
  <c r="R1012" i="2"/>
  <c r="C3432" i="17" s="1"/>
  <c r="P1012" i="2"/>
  <c r="C7062" i="17" s="1"/>
  <c r="O1012" i="2"/>
  <c r="C5852" i="17" s="1"/>
  <c r="L1012" i="2"/>
  <c r="C1012" i="17" s="1"/>
  <c r="R1011" i="2"/>
  <c r="C3431" i="17" s="1"/>
  <c r="P1011" i="2"/>
  <c r="C7061" i="17" s="1"/>
  <c r="O1011" i="2"/>
  <c r="L1011" i="2"/>
  <c r="C1011" i="17" s="1"/>
  <c r="R1010" i="2"/>
  <c r="C3430" i="17" s="1"/>
  <c r="P1010" i="2"/>
  <c r="C7060" i="17" s="1"/>
  <c r="O1010" i="2"/>
  <c r="C5850" i="17" s="1"/>
  <c r="L1010" i="2"/>
  <c r="C1010" i="17" s="1"/>
  <c r="R1009" i="2"/>
  <c r="C3429" i="17" s="1"/>
  <c r="P1009" i="2"/>
  <c r="C7059" i="17" s="1"/>
  <c r="O1009" i="2"/>
  <c r="L1009" i="2"/>
  <c r="C1009" i="17" s="1"/>
  <c r="R1008" i="2"/>
  <c r="C3428" i="17" s="1"/>
  <c r="P1008" i="2"/>
  <c r="C7058" i="17" s="1"/>
  <c r="O1008" i="2"/>
  <c r="L1008" i="2"/>
  <c r="C1008" i="17" s="1"/>
  <c r="R1007" i="2"/>
  <c r="C3427" i="17" s="1"/>
  <c r="P1007" i="2"/>
  <c r="C7057" i="17" s="1"/>
  <c r="O1007" i="2"/>
  <c r="L1007" i="2"/>
  <c r="C1007" i="17" s="1"/>
  <c r="R1006" i="2"/>
  <c r="C3426" i="17" s="1"/>
  <c r="P1006" i="2"/>
  <c r="C7056" i="17" s="1"/>
  <c r="O1006" i="2"/>
  <c r="L1006" i="2"/>
  <c r="C1006" i="17" s="1"/>
  <c r="R1005" i="2"/>
  <c r="C3425" i="17" s="1"/>
  <c r="P1005" i="2"/>
  <c r="C7055" i="17" s="1"/>
  <c r="O1005" i="2"/>
  <c r="L1005" i="2"/>
  <c r="C1005" i="17" s="1"/>
  <c r="R1004" i="2"/>
  <c r="C3424" i="17" s="1"/>
  <c r="P1004" i="2"/>
  <c r="C7054" i="17" s="1"/>
  <c r="O1004" i="2"/>
  <c r="L1004" i="2"/>
  <c r="C1004" i="17" s="1"/>
  <c r="R1003" i="2"/>
  <c r="C3423" i="17" s="1"/>
  <c r="P1003" i="2"/>
  <c r="C7053" i="17" s="1"/>
  <c r="O1003" i="2"/>
  <c r="L1003" i="2"/>
  <c r="C1003" i="17" s="1"/>
  <c r="R1002" i="2"/>
  <c r="C3422" i="17" s="1"/>
  <c r="P1002" i="2"/>
  <c r="C7052" i="17" s="1"/>
  <c r="O1002" i="2"/>
  <c r="C5842" i="17" s="1"/>
  <c r="L1002" i="2"/>
  <c r="C1002" i="17" s="1"/>
  <c r="R1001" i="2"/>
  <c r="C3421" i="17" s="1"/>
  <c r="P1001" i="2"/>
  <c r="C7051" i="17" s="1"/>
  <c r="O1001" i="2"/>
  <c r="L1001" i="2"/>
  <c r="C1001" i="17" s="1"/>
  <c r="R1000" i="2"/>
  <c r="C3420" i="17" s="1"/>
  <c r="P1000" i="2"/>
  <c r="C7050" i="17" s="1"/>
  <c r="O1000" i="2"/>
  <c r="C5840" i="17" s="1"/>
  <c r="L1000" i="2"/>
  <c r="C1000" i="17" s="1"/>
  <c r="R999" i="2"/>
  <c r="C3419" i="17" s="1"/>
  <c r="P999" i="2"/>
  <c r="C7049" i="17" s="1"/>
  <c r="O999" i="2"/>
  <c r="L999" i="2"/>
  <c r="C999" i="17" s="1"/>
  <c r="R998" i="2"/>
  <c r="C3418" i="17" s="1"/>
  <c r="P998" i="2"/>
  <c r="C7048" i="17" s="1"/>
  <c r="O998" i="2"/>
  <c r="L998" i="2"/>
  <c r="C998" i="17" s="1"/>
  <c r="R997" i="2"/>
  <c r="C3417" i="17" s="1"/>
  <c r="P997" i="2"/>
  <c r="C7047" i="17" s="1"/>
  <c r="O997" i="2"/>
  <c r="L997" i="2"/>
  <c r="C997" i="17" s="1"/>
  <c r="R996" i="2"/>
  <c r="C3416" i="17" s="1"/>
  <c r="P996" i="2"/>
  <c r="O996" i="2"/>
  <c r="C5836" i="17" s="1"/>
  <c r="L996" i="2"/>
  <c r="C996" i="17" s="1"/>
  <c r="R995" i="2"/>
  <c r="C3415" i="17" s="1"/>
  <c r="P995" i="2"/>
  <c r="C7045" i="17" s="1"/>
  <c r="O995" i="2"/>
  <c r="L995" i="2"/>
  <c r="C995" i="17" s="1"/>
  <c r="R994" i="2"/>
  <c r="C3414" i="17" s="1"/>
  <c r="P994" i="2"/>
  <c r="C7044" i="17" s="1"/>
  <c r="O994" i="2"/>
  <c r="L994" i="2"/>
  <c r="C994" i="17" s="1"/>
  <c r="R993" i="2"/>
  <c r="C3413" i="17" s="1"/>
  <c r="P993" i="2"/>
  <c r="C7043" i="17" s="1"/>
  <c r="O993" i="2"/>
  <c r="L993" i="2"/>
  <c r="C993" i="17" s="1"/>
  <c r="R992" i="2"/>
  <c r="C3412" i="17" s="1"/>
  <c r="P992" i="2"/>
  <c r="C7042" i="17" s="1"/>
  <c r="O992" i="2"/>
  <c r="C5832" i="17" s="1"/>
  <c r="L992" i="2"/>
  <c r="C992" i="17" s="1"/>
  <c r="R991" i="2"/>
  <c r="C3411" i="17" s="1"/>
  <c r="P991" i="2"/>
  <c r="C7041" i="17" s="1"/>
  <c r="O991" i="2"/>
  <c r="L991" i="2"/>
  <c r="C991" i="17" s="1"/>
  <c r="R990" i="2"/>
  <c r="C3410" i="17" s="1"/>
  <c r="P990" i="2"/>
  <c r="C7040" i="17" s="1"/>
  <c r="O990" i="2"/>
  <c r="C5830" i="17" s="1"/>
  <c r="L990" i="2"/>
  <c r="C990" i="17" s="1"/>
  <c r="R989" i="2"/>
  <c r="C3409" i="17" s="1"/>
  <c r="P989" i="2"/>
  <c r="C7039" i="17" s="1"/>
  <c r="O989" i="2"/>
  <c r="L989" i="2"/>
  <c r="C989" i="17" s="1"/>
  <c r="R988" i="2"/>
  <c r="C3408" i="17" s="1"/>
  <c r="P988" i="2"/>
  <c r="C7038" i="17" s="1"/>
  <c r="O988" i="2"/>
  <c r="C5828" i="17" s="1"/>
  <c r="L988" i="2"/>
  <c r="C988" i="17" s="1"/>
  <c r="R987" i="2"/>
  <c r="C3407" i="17" s="1"/>
  <c r="P987" i="2"/>
  <c r="C7037" i="17" s="1"/>
  <c r="O987" i="2"/>
  <c r="L987" i="2"/>
  <c r="C987" i="17" s="1"/>
  <c r="R986" i="2"/>
  <c r="C3406" i="17" s="1"/>
  <c r="P986" i="2"/>
  <c r="O986" i="2"/>
  <c r="C5826" i="17" s="1"/>
  <c r="L986" i="2"/>
  <c r="C986" i="17" s="1"/>
  <c r="R985" i="2"/>
  <c r="C3405" i="17" s="1"/>
  <c r="P985" i="2"/>
  <c r="C7035" i="17" s="1"/>
  <c r="O985" i="2"/>
  <c r="L985" i="2"/>
  <c r="C985" i="17" s="1"/>
  <c r="R984" i="2"/>
  <c r="C3404" i="17" s="1"/>
  <c r="P984" i="2"/>
  <c r="C7034" i="17" s="1"/>
  <c r="O984" i="2"/>
  <c r="L984" i="2"/>
  <c r="C984" i="17" s="1"/>
  <c r="R983" i="2"/>
  <c r="C3403" i="17" s="1"/>
  <c r="P983" i="2"/>
  <c r="C7033" i="17" s="1"/>
  <c r="O983" i="2"/>
  <c r="L983" i="2"/>
  <c r="C983" i="17" s="1"/>
  <c r="R982" i="2"/>
  <c r="C3402" i="17" s="1"/>
  <c r="P982" i="2"/>
  <c r="C7032" i="17" s="1"/>
  <c r="O982" i="2"/>
  <c r="C5822" i="17" s="1"/>
  <c r="L982" i="2"/>
  <c r="C982" i="17" s="1"/>
  <c r="R981" i="2"/>
  <c r="C3401" i="17" s="1"/>
  <c r="P981" i="2"/>
  <c r="C7031" i="17" s="1"/>
  <c r="O981" i="2"/>
  <c r="L981" i="2"/>
  <c r="C981" i="17" s="1"/>
  <c r="R980" i="2"/>
  <c r="C3400" i="17" s="1"/>
  <c r="P980" i="2"/>
  <c r="C7030" i="17" s="1"/>
  <c r="O980" i="2"/>
  <c r="L980" i="2"/>
  <c r="C980" i="17" s="1"/>
  <c r="R979" i="2"/>
  <c r="C3399" i="17" s="1"/>
  <c r="P979" i="2"/>
  <c r="C7029" i="17" s="1"/>
  <c r="O979" i="2"/>
  <c r="L979" i="2"/>
  <c r="C979" i="17" s="1"/>
  <c r="R978" i="2"/>
  <c r="C3398" i="17" s="1"/>
  <c r="P978" i="2"/>
  <c r="C7028" i="17" s="1"/>
  <c r="O978" i="2"/>
  <c r="C5818" i="17" s="1"/>
  <c r="L978" i="2"/>
  <c r="C978" i="17" s="1"/>
  <c r="R977" i="2"/>
  <c r="C3397" i="17" s="1"/>
  <c r="P977" i="2"/>
  <c r="C7027" i="17" s="1"/>
  <c r="O977" i="2"/>
  <c r="L977" i="2"/>
  <c r="C977" i="17" s="1"/>
  <c r="R976" i="2"/>
  <c r="C3396" i="17" s="1"/>
  <c r="P976" i="2"/>
  <c r="C7026" i="17" s="1"/>
  <c r="O976" i="2"/>
  <c r="C5816" i="17" s="1"/>
  <c r="L976" i="2"/>
  <c r="C976" i="17" s="1"/>
  <c r="R975" i="2"/>
  <c r="C3395" i="17" s="1"/>
  <c r="P975" i="2"/>
  <c r="C7025" i="17" s="1"/>
  <c r="O975" i="2"/>
  <c r="L975" i="2"/>
  <c r="C975" i="17" s="1"/>
  <c r="R974" i="2"/>
  <c r="C3394" i="17" s="1"/>
  <c r="P974" i="2"/>
  <c r="C7024" i="17" s="1"/>
  <c r="O974" i="2"/>
  <c r="L974" i="2"/>
  <c r="C974" i="17" s="1"/>
  <c r="R973" i="2"/>
  <c r="C3393" i="17" s="1"/>
  <c r="P973" i="2"/>
  <c r="C7023" i="17" s="1"/>
  <c r="O973" i="2"/>
  <c r="L973" i="2"/>
  <c r="C973" i="17" s="1"/>
  <c r="R972" i="2"/>
  <c r="C3392" i="17" s="1"/>
  <c r="P972" i="2"/>
  <c r="C7022" i="17" s="1"/>
  <c r="O972" i="2"/>
  <c r="C5812" i="17" s="1"/>
  <c r="L972" i="2"/>
  <c r="C972" i="17" s="1"/>
  <c r="R971" i="2"/>
  <c r="C3391" i="17" s="1"/>
  <c r="P971" i="2"/>
  <c r="C7021" i="17" s="1"/>
  <c r="O971" i="2"/>
  <c r="L971" i="2"/>
  <c r="C971" i="17" s="1"/>
  <c r="R970" i="2"/>
  <c r="C3390" i="17" s="1"/>
  <c r="P970" i="2"/>
  <c r="C7020" i="17" s="1"/>
  <c r="O970" i="2"/>
  <c r="L970" i="2"/>
  <c r="C970" i="17" s="1"/>
  <c r="R969" i="2"/>
  <c r="C3389" i="17" s="1"/>
  <c r="P969" i="2"/>
  <c r="C7019" i="17" s="1"/>
  <c r="O969" i="2"/>
  <c r="L969" i="2"/>
  <c r="C969" i="17" s="1"/>
  <c r="R968" i="2"/>
  <c r="C3388" i="17" s="1"/>
  <c r="P968" i="2"/>
  <c r="C7018" i="17" s="1"/>
  <c r="O968" i="2"/>
  <c r="C5808" i="17" s="1"/>
  <c r="L968" i="2"/>
  <c r="C968" i="17" s="1"/>
  <c r="R967" i="2"/>
  <c r="C3387" i="17" s="1"/>
  <c r="P967" i="2"/>
  <c r="C7017" i="17" s="1"/>
  <c r="O967" i="2"/>
  <c r="L967" i="2"/>
  <c r="C967" i="17" s="1"/>
  <c r="R966" i="2"/>
  <c r="C3386" i="17" s="1"/>
  <c r="P966" i="2"/>
  <c r="C7016" i="17" s="1"/>
  <c r="O966" i="2"/>
  <c r="C5806" i="17" s="1"/>
  <c r="L966" i="2"/>
  <c r="C966" i="17" s="1"/>
  <c r="R965" i="2"/>
  <c r="C3385" i="17" s="1"/>
  <c r="P965" i="2"/>
  <c r="C7015" i="17" s="1"/>
  <c r="O965" i="2"/>
  <c r="L965" i="2"/>
  <c r="C965" i="17" s="1"/>
  <c r="R964" i="2"/>
  <c r="C3384" i="17" s="1"/>
  <c r="P964" i="2"/>
  <c r="C7014" i="17" s="1"/>
  <c r="O964" i="2"/>
  <c r="L964" i="2"/>
  <c r="C964" i="17" s="1"/>
  <c r="R963" i="2"/>
  <c r="C3383" i="17" s="1"/>
  <c r="P963" i="2"/>
  <c r="C7013" i="17" s="1"/>
  <c r="O963" i="2"/>
  <c r="L963" i="2"/>
  <c r="C963" i="17" s="1"/>
  <c r="R962" i="2"/>
  <c r="C3382" i="17" s="1"/>
  <c r="P962" i="2"/>
  <c r="O962" i="2"/>
  <c r="C5802" i="17" s="1"/>
  <c r="L962" i="2"/>
  <c r="C962" i="17" s="1"/>
  <c r="R961" i="2"/>
  <c r="C3381" i="17" s="1"/>
  <c r="P961" i="2"/>
  <c r="C7011" i="17" s="1"/>
  <c r="O961" i="2"/>
  <c r="L961" i="2"/>
  <c r="C961" i="17" s="1"/>
  <c r="R960" i="2"/>
  <c r="C3380" i="17" s="1"/>
  <c r="P960" i="2"/>
  <c r="C7010" i="17" s="1"/>
  <c r="O960" i="2"/>
  <c r="L960" i="2"/>
  <c r="C960" i="17" s="1"/>
  <c r="R959" i="2"/>
  <c r="C3379" i="17" s="1"/>
  <c r="P959" i="2"/>
  <c r="C7009" i="17" s="1"/>
  <c r="O959" i="2"/>
  <c r="L959" i="2"/>
  <c r="C959" i="17" s="1"/>
  <c r="R958" i="2"/>
  <c r="C3378" i="17" s="1"/>
  <c r="P958" i="2"/>
  <c r="C7008" i="17" s="1"/>
  <c r="O958" i="2"/>
  <c r="C5798" i="17" s="1"/>
  <c r="L958" i="2"/>
  <c r="C958" i="17" s="1"/>
  <c r="R957" i="2"/>
  <c r="C3377" i="17" s="1"/>
  <c r="P957" i="2"/>
  <c r="C7007" i="17" s="1"/>
  <c r="O957" i="2"/>
  <c r="L957" i="2"/>
  <c r="C957" i="17" s="1"/>
  <c r="R956" i="2"/>
  <c r="C3376" i="17" s="1"/>
  <c r="P956" i="2"/>
  <c r="C7006" i="17" s="1"/>
  <c r="O956" i="2"/>
  <c r="L956" i="2"/>
  <c r="C956" i="17" s="1"/>
  <c r="R955" i="2"/>
  <c r="C3375" i="17" s="1"/>
  <c r="P955" i="2"/>
  <c r="C7005" i="17" s="1"/>
  <c r="O955" i="2"/>
  <c r="L955" i="2"/>
  <c r="C955" i="17" s="1"/>
  <c r="R954" i="2"/>
  <c r="C3374" i="17" s="1"/>
  <c r="P954" i="2"/>
  <c r="C7004" i="17" s="1"/>
  <c r="O954" i="2"/>
  <c r="C5794" i="17" s="1"/>
  <c r="L954" i="2"/>
  <c r="C954" i="17" s="1"/>
  <c r="R953" i="2"/>
  <c r="C3373" i="17" s="1"/>
  <c r="P953" i="2"/>
  <c r="C7003" i="17" s="1"/>
  <c r="O953" i="2"/>
  <c r="L953" i="2"/>
  <c r="C953" i="17" s="1"/>
  <c r="R952" i="2"/>
  <c r="C3372" i="17" s="1"/>
  <c r="P952" i="2"/>
  <c r="C7002" i="17" s="1"/>
  <c r="O952" i="2"/>
  <c r="C5792" i="17" s="1"/>
  <c r="L952" i="2"/>
  <c r="C952" i="17" s="1"/>
  <c r="R951" i="2"/>
  <c r="C3371" i="17" s="1"/>
  <c r="P951" i="2"/>
  <c r="C7001" i="17" s="1"/>
  <c r="O951" i="2"/>
  <c r="L951" i="2"/>
  <c r="C951" i="17" s="1"/>
  <c r="R950" i="2"/>
  <c r="C3370" i="17" s="1"/>
  <c r="P950" i="2"/>
  <c r="C7000" i="17" s="1"/>
  <c r="O950" i="2"/>
  <c r="L950" i="2"/>
  <c r="C950" i="17" s="1"/>
  <c r="R949" i="2"/>
  <c r="C3369" i="17" s="1"/>
  <c r="P949" i="2"/>
  <c r="C6999" i="17" s="1"/>
  <c r="O949" i="2"/>
  <c r="L949" i="2"/>
  <c r="C949" i="17" s="1"/>
  <c r="R948" i="2"/>
  <c r="C3368" i="17" s="1"/>
  <c r="P948" i="2"/>
  <c r="O948" i="2"/>
  <c r="C5788" i="17" s="1"/>
  <c r="L948" i="2"/>
  <c r="C948" i="17" s="1"/>
  <c r="R947" i="2"/>
  <c r="C3367" i="17" s="1"/>
  <c r="P947" i="2"/>
  <c r="C6997" i="17" s="1"/>
  <c r="O947" i="2"/>
  <c r="L947" i="2"/>
  <c r="C947" i="17" s="1"/>
  <c r="R946" i="2"/>
  <c r="C3366" i="17" s="1"/>
  <c r="P946" i="2"/>
  <c r="C6996" i="17" s="1"/>
  <c r="O946" i="2"/>
  <c r="L946" i="2"/>
  <c r="C946" i="17" s="1"/>
  <c r="R945" i="2"/>
  <c r="C3365" i="17" s="1"/>
  <c r="P945" i="2"/>
  <c r="C6995" i="17" s="1"/>
  <c r="O945" i="2"/>
  <c r="L945" i="2"/>
  <c r="C945" i="17" s="1"/>
  <c r="R944" i="2"/>
  <c r="C3364" i="17" s="1"/>
  <c r="P944" i="2"/>
  <c r="C6994" i="17" s="1"/>
  <c r="O944" i="2"/>
  <c r="C5784" i="17" s="1"/>
  <c r="L944" i="2"/>
  <c r="C944" i="17" s="1"/>
  <c r="R943" i="2"/>
  <c r="C3363" i="17" s="1"/>
  <c r="P943" i="2"/>
  <c r="C6993" i="17" s="1"/>
  <c r="O943" i="2"/>
  <c r="L943" i="2"/>
  <c r="C943" i="17" s="1"/>
  <c r="R942" i="2"/>
  <c r="C3362" i="17" s="1"/>
  <c r="P942" i="2"/>
  <c r="C6992" i="17" s="1"/>
  <c r="O942" i="2"/>
  <c r="C5782" i="17" s="1"/>
  <c r="L942" i="2"/>
  <c r="C942" i="17" s="1"/>
  <c r="R941" i="2"/>
  <c r="C3361" i="17" s="1"/>
  <c r="P941" i="2"/>
  <c r="C6991" i="17" s="1"/>
  <c r="O941" i="2"/>
  <c r="L941" i="2"/>
  <c r="C941" i="17" s="1"/>
  <c r="R940" i="2"/>
  <c r="C3360" i="17" s="1"/>
  <c r="P940" i="2"/>
  <c r="C6990" i="17" s="1"/>
  <c r="O940" i="2"/>
  <c r="C5780" i="17" s="1"/>
  <c r="L940" i="2"/>
  <c r="C940" i="17" s="1"/>
  <c r="R939" i="2"/>
  <c r="C3359" i="17" s="1"/>
  <c r="P939" i="2"/>
  <c r="C6989" i="17" s="1"/>
  <c r="O939" i="2"/>
  <c r="L939" i="2"/>
  <c r="C939" i="17" s="1"/>
  <c r="R938" i="2"/>
  <c r="C3358" i="17" s="1"/>
  <c r="P938" i="2"/>
  <c r="C6988" i="17" s="1"/>
  <c r="O938" i="2"/>
  <c r="C5778" i="17" s="1"/>
  <c r="L938" i="2"/>
  <c r="C938" i="17" s="1"/>
  <c r="R937" i="2"/>
  <c r="C3357" i="17" s="1"/>
  <c r="P937" i="2"/>
  <c r="C6987" i="17" s="1"/>
  <c r="O937" i="2"/>
  <c r="L937" i="2"/>
  <c r="C937" i="17" s="1"/>
  <c r="R936" i="2"/>
  <c r="C3356" i="17" s="1"/>
  <c r="P936" i="2"/>
  <c r="C6986" i="17" s="1"/>
  <c r="O936" i="2"/>
  <c r="L936" i="2"/>
  <c r="C936" i="17" s="1"/>
  <c r="R935" i="2"/>
  <c r="C3355" i="17" s="1"/>
  <c r="P935" i="2"/>
  <c r="C6985" i="17" s="1"/>
  <c r="O935" i="2"/>
  <c r="L935" i="2"/>
  <c r="C935" i="17" s="1"/>
  <c r="R934" i="2"/>
  <c r="C3354" i="17" s="1"/>
  <c r="P934" i="2"/>
  <c r="C6984" i="17" s="1"/>
  <c r="O934" i="2"/>
  <c r="L934" i="2"/>
  <c r="C934" i="17" s="1"/>
  <c r="R933" i="2"/>
  <c r="C3353" i="17" s="1"/>
  <c r="P933" i="2"/>
  <c r="C6983" i="17" s="1"/>
  <c r="O933" i="2"/>
  <c r="L933" i="2"/>
  <c r="C933" i="17" s="1"/>
  <c r="R932" i="2"/>
  <c r="C3352" i="17" s="1"/>
  <c r="P932" i="2"/>
  <c r="C6982" i="17" s="1"/>
  <c r="O932" i="2"/>
  <c r="L932" i="2"/>
  <c r="C932" i="17" s="1"/>
  <c r="R931" i="2"/>
  <c r="C3351" i="17" s="1"/>
  <c r="P931" i="2"/>
  <c r="C6981" i="17" s="1"/>
  <c r="O931" i="2"/>
  <c r="L931" i="2"/>
  <c r="C931" i="17" s="1"/>
  <c r="R930" i="2"/>
  <c r="C3350" i="17" s="1"/>
  <c r="P930" i="2"/>
  <c r="C6980" i="17" s="1"/>
  <c r="O930" i="2"/>
  <c r="C5770" i="17" s="1"/>
  <c r="L930" i="2"/>
  <c r="C930" i="17" s="1"/>
  <c r="R929" i="2"/>
  <c r="C3349" i="17" s="1"/>
  <c r="P929" i="2"/>
  <c r="C6979" i="17" s="1"/>
  <c r="O929" i="2"/>
  <c r="L929" i="2"/>
  <c r="C929" i="17" s="1"/>
  <c r="R928" i="2"/>
  <c r="C3348" i="17" s="1"/>
  <c r="P928" i="2"/>
  <c r="C6978" i="17" s="1"/>
  <c r="O928" i="2"/>
  <c r="C5768" i="17" s="1"/>
  <c r="L928" i="2"/>
  <c r="C928" i="17" s="1"/>
  <c r="R927" i="2"/>
  <c r="C3347" i="17" s="1"/>
  <c r="P927" i="2"/>
  <c r="C6977" i="17" s="1"/>
  <c r="O927" i="2"/>
  <c r="L927" i="2"/>
  <c r="C927" i="17" s="1"/>
  <c r="R926" i="2"/>
  <c r="C3346" i="17" s="1"/>
  <c r="P926" i="2"/>
  <c r="C6976" i="17" s="1"/>
  <c r="O926" i="2"/>
  <c r="C5766" i="17" s="1"/>
  <c r="L926" i="2"/>
  <c r="C926" i="17" s="1"/>
  <c r="R925" i="2"/>
  <c r="C3345" i="17" s="1"/>
  <c r="P925" i="2"/>
  <c r="C6975" i="17" s="1"/>
  <c r="O925" i="2"/>
  <c r="L925" i="2"/>
  <c r="C925" i="17" s="1"/>
  <c r="R924" i="2"/>
  <c r="C3344" i="17" s="1"/>
  <c r="P924" i="2"/>
  <c r="C6974" i="17" s="1"/>
  <c r="O924" i="2"/>
  <c r="C5764" i="17" s="1"/>
  <c r="L924" i="2"/>
  <c r="C924" i="17" s="1"/>
  <c r="R923" i="2"/>
  <c r="C3343" i="17" s="1"/>
  <c r="P923" i="2"/>
  <c r="C6973" i="17" s="1"/>
  <c r="O923" i="2"/>
  <c r="L923" i="2"/>
  <c r="C923" i="17" s="1"/>
  <c r="R922" i="2"/>
  <c r="C3342" i="17" s="1"/>
  <c r="P922" i="2"/>
  <c r="C6972" i="17" s="1"/>
  <c r="O922" i="2"/>
  <c r="L922" i="2"/>
  <c r="C922" i="17" s="1"/>
  <c r="R921" i="2"/>
  <c r="C3341" i="17" s="1"/>
  <c r="P921" i="2"/>
  <c r="C6971" i="17" s="1"/>
  <c r="O921" i="2"/>
  <c r="L921" i="2"/>
  <c r="C921" i="17" s="1"/>
  <c r="R920" i="2"/>
  <c r="C3340" i="17" s="1"/>
  <c r="P920" i="2"/>
  <c r="C6970" i="17" s="1"/>
  <c r="O920" i="2"/>
  <c r="L920" i="2"/>
  <c r="C920" i="17" s="1"/>
  <c r="R919" i="2"/>
  <c r="C3339" i="17" s="1"/>
  <c r="P919" i="2"/>
  <c r="C6969" i="17" s="1"/>
  <c r="O919" i="2"/>
  <c r="L919" i="2"/>
  <c r="C919" i="17" s="1"/>
  <c r="R918" i="2"/>
  <c r="C3338" i="17" s="1"/>
  <c r="P918" i="2"/>
  <c r="C6968" i="17" s="1"/>
  <c r="O918" i="2"/>
  <c r="C5758" i="17" s="1"/>
  <c r="L918" i="2"/>
  <c r="C918" i="17" s="1"/>
  <c r="R917" i="2"/>
  <c r="C3337" i="17" s="1"/>
  <c r="P917" i="2"/>
  <c r="C6967" i="17" s="1"/>
  <c r="O917" i="2"/>
  <c r="L917" i="2"/>
  <c r="C917" i="17" s="1"/>
  <c r="R916" i="2"/>
  <c r="C3336" i="17" s="1"/>
  <c r="P916" i="2"/>
  <c r="C6966" i="17" s="1"/>
  <c r="O916" i="2"/>
  <c r="C5756" i="17" s="1"/>
  <c r="L916" i="2"/>
  <c r="C916" i="17" s="1"/>
  <c r="R915" i="2"/>
  <c r="C3335" i="17" s="1"/>
  <c r="P915" i="2"/>
  <c r="C6965" i="17" s="1"/>
  <c r="O915" i="2"/>
  <c r="L915" i="2"/>
  <c r="C915" i="17" s="1"/>
  <c r="R914" i="2"/>
  <c r="C3334" i="17" s="1"/>
  <c r="P914" i="2"/>
  <c r="C6964" i="17" s="1"/>
  <c r="O914" i="2"/>
  <c r="C5754" i="17" s="1"/>
  <c r="L914" i="2"/>
  <c r="C914" i="17" s="1"/>
  <c r="R913" i="2"/>
  <c r="C3333" i="17" s="1"/>
  <c r="P913" i="2"/>
  <c r="C6963" i="17" s="1"/>
  <c r="O913" i="2"/>
  <c r="L913" i="2"/>
  <c r="C913" i="17" s="1"/>
  <c r="R912" i="2"/>
  <c r="C3332" i="17" s="1"/>
  <c r="P912" i="2"/>
  <c r="C6962" i="17" s="1"/>
  <c r="O912" i="2"/>
  <c r="L912" i="2"/>
  <c r="C912" i="17" s="1"/>
  <c r="R911" i="2"/>
  <c r="C3331" i="17" s="1"/>
  <c r="P911" i="2"/>
  <c r="C6961" i="17" s="1"/>
  <c r="O911" i="2"/>
  <c r="L911" i="2"/>
  <c r="C911" i="17" s="1"/>
  <c r="R910" i="2"/>
  <c r="C3330" i="17" s="1"/>
  <c r="P910" i="2"/>
  <c r="C6960" i="17" s="1"/>
  <c r="O910" i="2"/>
  <c r="C5750" i="17" s="1"/>
  <c r="L910" i="2"/>
  <c r="C910" i="17" s="1"/>
  <c r="R909" i="2"/>
  <c r="C3329" i="17" s="1"/>
  <c r="P909" i="2"/>
  <c r="C6959" i="17" s="1"/>
  <c r="O909" i="2"/>
  <c r="L909" i="2"/>
  <c r="C909" i="17" s="1"/>
  <c r="R908" i="2"/>
  <c r="C3328" i="17" s="1"/>
  <c r="P908" i="2"/>
  <c r="C6958" i="17" s="1"/>
  <c r="O908" i="2"/>
  <c r="L908" i="2"/>
  <c r="C908" i="17" s="1"/>
  <c r="R907" i="2"/>
  <c r="C3327" i="17" s="1"/>
  <c r="P907" i="2"/>
  <c r="C6957" i="17" s="1"/>
  <c r="O907" i="2"/>
  <c r="L907" i="2"/>
  <c r="C907" i="17" s="1"/>
  <c r="R906" i="2"/>
  <c r="C3326" i="17" s="1"/>
  <c r="P906" i="2"/>
  <c r="C6956" i="17" s="1"/>
  <c r="O906" i="2"/>
  <c r="L906" i="2"/>
  <c r="C906" i="17" s="1"/>
  <c r="R905" i="2"/>
  <c r="C3325" i="17" s="1"/>
  <c r="P905" i="2"/>
  <c r="C6955" i="17" s="1"/>
  <c r="O905" i="2"/>
  <c r="L905" i="2"/>
  <c r="C905" i="17" s="1"/>
  <c r="R904" i="2"/>
  <c r="C3324" i="17" s="1"/>
  <c r="P904" i="2"/>
  <c r="C6954" i="17" s="1"/>
  <c r="O904" i="2"/>
  <c r="C5744" i="17" s="1"/>
  <c r="L904" i="2"/>
  <c r="C904" i="17" s="1"/>
  <c r="R903" i="2"/>
  <c r="C3323" i="17" s="1"/>
  <c r="P903" i="2"/>
  <c r="C6953" i="17" s="1"/>
  <c r="O903" i="2"/>
  <c r="L903" i="2"/>
  <c r="C903" i="17" s="1"/>
  <c r="R902" i="2"/>
  <c r="C3322" i="17" s="1"/>
  <c r="P902" i="2"/>
  <c r="C6952" i="17" s="1"/>
  <c r="O902" i="2"/>
  <c r="C5742" i="17" s="1"/>
  <c r="L902" i="2"/>
  <c r="C902" i="17" s="1"/>
  <c r="R901" i="2"/>
  <c r="C3321" i="17" s="1"/>
  <c r="P901" i="2"/>
  <c r="C6951" i="17" s="1"/>
  <c r="O901" i="2"/>
  <c r="L901" i="2"/>
  <c r="C901" i="17" s="1"/>
  <c r="R900" i="2"/>
  <c r="C3320" i="17" s="1"/>
  <c r="P900" i="2"/>
  <c r="C6950" i="17" s="1"/>
  <c r="O900" i="2"/>
  <c r="C5740" i="17" s="1"/>
  <c r="L900" i="2"/>
  <c r="C900" i="17" s="1"/>
  <c r="R899" i="2"/>
  <c r="C3319" i="17" s="1"/>
  <c r="P899" i="2"/>
  <c r="C6949" i="17" s="1"/>
  <c r="O899" i="2"/>
  <c r="L899" i="2"/>
  <c r="C899" i="17" s="1"/>
  <c r="R898" i="2"/>
  <c r="C3318" i="17" s="1"/>
  <c r="P898" i="2"/>
  <c r="C6948" i="17" s="1"/>
  <c r="O898" i="2"/>
  <c r="L898" i="2"/>
  <c r="C898" i="17" s="1"/>
  <c r="R897" i="2"/>
  <c r="C3317" i="17" s="1"/>
  <c r="P897" i="2"/>
  <c r="C6947" i="17" s="1"/>
  <c r="O897" i="2"/>
  <c r="L897" i="2"/>
  <c r="C897" i="17" s="1"/>
  <c r="R896" i="2"/>
  <c r="C3316" i="17" s="1"/>
  <c r="P896" i="2"/>
  <c r="C6946" i="17" s="1"/>
  <c r="O896" i="2"/>
  <c r="C5736" i="17" s="1"/>
  <c r="L896" i="2"/>
  <c r="C896" i="17" s="1"/>
  <c r="R895" i="2"/>
  <c r="C3315" i="17" s="1"/>
  <c r="P895" i="2"/>
  <c r="C6945" i="17" s="1"/>
  <c r="O895" i="2"/>
  <c r="L895" i="2"/>
  <c r="C895" i="17" s="1"/>
  <c r="R894" i="2"/>
  <c r="C3314" i="17" s="1"/>
  <c r="P894" i="2"/>
  <c r="C6944" i="17" s="1"/>
  <c r="O894" i="2"/>
  <c r="L894" i="2"/>
  <c r="C894" i="17" s="1"/>
  <c r="R893" i="2"/>
  <c r="C3313" i="17" s="1"/>
  <c r="P893" i="2"/>
  <c r="C6943" i="17" s="1"/>
  <c r="O893" i="2"/>
  <c r="L893" i="2"/>
  <c r="C893" i="17" s="1"/>
  <c r="R892" i="2"/>
  <c r="C3312" i="17" s="1"/>
  <c r="P892" i="2"/>
  <c r="C6942" i="17" s="1"/>
  <c r="O892" i="2"/>
  <c r="L892" i="2"/>
  <c r="C892" i="17" s="1"/>
  <c r="R891" i="2"/>
  <c r="C3311" i="17" s="1"/>
  <c r="P891" i="2"/>
  <c r="C6941" i="17" s="1"/>
  <c r="O891" i="2"/>
  <c r="L891" i="2"/>
  <c r="C891" i="17" s="1"/>
  <c r="R890" i="2"/>
  <c r="C3310" i="17" s="1"/>
  <c r="P890" i="2"/>
  <c r="C6940" i="17" s="1"/>
  <c r="O890" i="2"/>
  <c r="C5730" i="17" s="1"/>
  <c r="L890" i="2"/>
  <c r="C890" i="17" s="1"/>
  <c r="R889" i="2"/>
  <c r="C3309" i="17" s="1"/>
  <c r="P889" i="2"/>
  <c r="C6939" i="17" s="1"/>
  <c r="O889" i="2"/>
  <c r="L889" i="2"/>
  <c r="C889" i="17" s="1"/>
  <c r="R888" i="2"/>
  <c r="C3308" i="17" s="1"/>
  <c r="P888" i="2"/>
  <c r="C6938" i="17" s="1"/>
  <c r="O888" i="2"/>
  <c r="L888" i="2"/>
  <c r="C888" i="17" s="1"/>
  <c r="R887" i="2"/>
  <c r="C3307" i="17" s="1"/>
  <c r="P887" i="2"/>
  <c r="C6937" i="17" s="1"/>
  <c r="O887" i="2"/>
  <c r="L887" i="2"/>
  <c r="C887" i="17" s="1"/>
  <c r="R886" i="2"/>
  <c r="C3306" i="17" s="1"/>
  <c r="P886" i="2"/>
  <c r="C6936" i="17" s="1"/>
  <c r="O886" i="2"/>
  <c r="C5726" i="17" s="1"/>
  <c r="L886" i="2"/>
  <c r="C886" i="17" s="1"/>
  <c r="R885" i="2"/>
  <c r="C3305" i="17" s="1"/>
  <c r="P885" i="2"/>
  <c r="C6935" i="17" s="1"/>
  <c r="O885" i="2"/>
  <c r="L885" i="2"/>
  <c r="C885" i="17" s="1"/>
  <c r="R884" i="2"/>
  <c r="C3304" i="17" s="1"/>
  <c r="P884" i="2"/>
  <c r="C6934" i="17" s="1"/>
  <c r="O884" i="2"/>
  <c r="L884" i="2"/>
  <c r="C884" i="17" s="1"/>
  <c r="R883" i="2"/>
  <c r="C3303" i="17" s="1"/>
  <c r="P883" i="2"/>
  <c r="C6933" i="17" s="1"/>
  <c r="O883" i="2"/>
  <c r="L883" i="2"/>
  <c r="C883" i="17" s="1"/>
  <c r="R882" i="2"/>
  <c r="C3302" i="17" s="1"/>
  <c r="P882" i="2"/>
  <c r="C6932" i="17" s="1"/>
  <c r="O882" i="2"/>
  <c r="L882" i="2"/>
  <c r="C882" i="17" s="1"/>
  <c r="R881" i="2"/>
  <c r="C3301" i="17" s="1"/>
  <c r="P881" i="2"/>
  <c r="C6931" i="17" s="1"/>
  <c r="O881" i="2"/>
  <c r="L881" i="2"/>
  <c r="C881" i="17" s="1"/>
  <c r="R880" i="2"/>
  <c r="C3300" i="17" s="1"/>
  <c r="P880" i="2"/>
  <c r="O880" i="2"/>
  <c r="C5720" i="17" s="1"/>
  <c r="L880" i="2"/>
  <c r="C880" i="17" s="1"/>
  <c r="R879" i="2"/>
  <c r="C3299" i="17" s="1"/>
  <c r="P879" i="2"/>
  <c r="C6929" i="17" s="1"/>
  <c r="O879" i="2"/>
  <c r="L879" i="2"/>
  <c r="C879" i="17" s="1"/>
  <c r="R878" i="2"/>
  <c r="C3298" i="17" s="1"/>
  <c r="P878" i="2"/>
  <c r="C6928" i="17" s="1"/>
  <c r="O878" i="2"/>
  <c r="L878" i="2"/>
  <c r="C878" i="17" s="1"/>
  <c r="R877" i="2"/>
  <c r="C3297" i="17" s="1"/>
  <c r="P877" i="2"/>
  <c r="C6927" i="17" s="1"/>
  <c r="O877" i="2"/>
  <c r="L877" i="2"/>
  <c r="C877" i="17" s="1"/>
  <c r="R876" i="2"/>
  <c r="C3296" i="17" s="1"/>
  <c r="P876" i="2"/>
  <c r="C6926" i="17" s="1"/>
  <c r="O876" i="2"/>
  <c r="C5716" i="17" s="1"/>
  <c r="L876" i="2"/>
  <c r="C876" i="17" s="1"/>
  <c r="R875" i="2"/>
  <c r="C3295" i="17" s="1"/>
  <c r="P875" i="2"/>
  <c r="C6925" i="17" s="1"/>
  <c r="O875" i="2"/>
  <c r="L875" i="2"/>
  <c r="C875" i="17" s="1"/>
  <c r="R874" i="2"/>
  <c r="C3294" i="17" s="1"/>
  <c r="P874" i="2"/>
  <c r="C6924" i="17" s="1"/>
  <c r="O874" i="2"/>
  <c r="L874" i="2"/>
  <c r="C874" i="17" s="1"/>
  <c r="R873" i="2"/>
  <c r="C3293" i="17" s="1"/>
  <c r="P873" i="2"/>
  <c r="C6923" i="17" s="1"/>
  <c r="O873" i="2"/>
  <c r="L873" i="2"/>
  <c r="C873" i="17" s="1"/>
  <c r="R872" i="2"/>
  <c r="C3292" i="17" s="1"/>
  <c r="P872" i="2"/>
  <c r="C6922" i="17" s="1"/>
  <c r="O872" i="2"/>
  <c r="C5712" i="17" s="1"/>
  <c r="L872" i="2"/>
  <c r="C872" i="17" s="1"/>
  <c r="R871" i="2"/>
  <c r="C3291" i="17" s="1"/>
  <c r="P871" i="2"/>
  <c r="C6921" i="17" s="1"/>
  <c r="O871" i="2"/>
  <c r="L871" i="2"/>
  <c r="C871" i="17" s="1"/>
  <c r="R870" i="2"/>
  <c r="C3290" i="17" s="1"/>
  <c r="P870" i="2"/>
  <c r="C6920" i="17" s="1"/>
  <c r="O870" i="2"/>
  <c r="C5710" i="17" s="1"/>
  <c r="L870" i="2"/>
  <c r="C870" i="17" s="1"/>
  <c r="R869" i="2"/>
  <c r="C3289" i="17" s="1"/>
  <c r="P869" i="2"/>
  <c r="C6919" i="17" s="1"/>
  <c r="O869" i="2"/>
  <c r="L869" i="2"/>
  <c r="C869" i="17" s="1"/>
  <c r="R868" i="2"/>
  <c r="C3288" i="17" s="1"/>
  <c r="P868" i="2"/>
  <c r="C6918" i="17" s="1"/>
  <c r="O868" i="2"/>
  <c r="L868" i="2"/>
  <c r="C868" i="17" s="1"/>
  <c r="R867" i="2"/>
  <c r="C3287" i="17" s="1"/>
  <c r="P867" i="2"/>
  <c r="C6917" i="17" s="1"/>
  <c r="O867" i="2"/>
  <c r="L867" i="2"/>
  <c r="C867" i="17" s="1"/>
  <c r="R866" i="2"/>
  <c r="C3286" i="17" s="1"/>
  <c r="P866" i="2"/>
  <c r="O866" i="2"/>
  <c r="C5706" i="17" s="1"/>
  <c r="L866" i="2"/>
  <c r="C866" i="17" s="1"/>
  <c r="R865" i="2"/>
  <c r="C3285" i="17" s="1"/>
  <c r="P865" i="2"/>
  <c r="C6915" i="17" s="1"/>
  <c r="O865" i="2"/>
  <c r="L865" i="2"/>
  <c r="C865" i="17" s="1"/>
  <c r="R864" i="2"/>
  <c r="C3284" i="17" s="1"/>
  <c r="P864" i="2"/>
  <c r="C6914" i="17" s="1"/>
  <c r="O864" i="2"/>
  <c r="L864" i="2"/>
  <c r="C864" i="17" s="1"/>
  <c r="R863" i="2"/>
  <c r="C3283" i="17" s="1"/>
  <c r="P863" i="2"/>
  <c r="C6913" i="17" s="1"/>
  <c r="O863" i="2"/>
  <c r="L863" i="2"/>
  <c r="C863" i="17" s="1"/>
  <c r="R862" i="2"/>
  <c r="C3282" i="17" s="1"/>
  <c r="P862" i="2"/>
  <c r="C6912" i="17" s="1"/>
  <c r="O862" i="2"/>
  <c r="C5702" i="17" s="1"/>
  <c r="L862" i="2"/>
  <c r="C862" i="17" s="1"/>
  <c r="R861" i="2"/>
  <c r="C3281" i="17" s="1"/>
  <c r="P861" i="2"/>
  <c r="C6911" i="17" s="1"/>
  <c r="O861" i="2"/>
  <c r="L861" i="2"/>
  <c r="C861" i="17" s="1"/>
  <c r="R860" i="2"/>
  <c r="C3280" i="17" s="1"/>
  <c r="P860" i="2"/>
  <c r="C6910" i="17" s="1"/>
  <c r="O860" i="2"/>
  <c r="L860" i="2"/>
  <c r="C860" i="17" s="1"/>
  <c r="R859" i="2"/>
  <c r="C3279" i="17" s="1"/>
  <c r="P859" i="2"/>
  <c r="C6909" i="17" s="1"/>
  <c r="O859" i="2"/>
  <c r="L859" i="2"/>
  <c r="C859" i="17" s="1"/>
  <c r="R858" i="2"/>
  <c r="C3278" i="17" s="1"/>
  <c r="P858" i="2"/>
  <c r="C6908" i="17" s="1"/>
  <c r="O858" i="2"/>
  <c r="C5698" i="17" s="1"/>
  <c r="L858" i="2"/>
  <c r="C858" i="17" s="1"/>
  <c r="R857" i="2"/>
  <c r="C3277" i="17" s="1"/>
  <c r="P857" i="2"/>
  <c r="C6907" i="17" s="1"/>
  <c r="O857" i="2"/>
  <c r="L857" i="2"/>
  <c r="C857" i="17" s="1"/>
  <c r="R856" i="2"/>
  <c r="C3276" i="17" s="1"/>
  <c r="P856" i="2"/>
  <c r="C6906" i="17" s="1"/>
  <c r="O856" i="2"/>
  <c r="C5696" i="17" s="1"/>
  <c r="L856" i="2"/>
  <c r="C856" i="17" s="1"/>
  <c r="R855" i="2"/>
  <c r="C3275" i="17" s="1"/>
  <c r="P855" i="2"/>
  <c r="C6905" i="17" s="1"/>
  <c r="O855" i="2"/>
  <c r="L855" i="2"/>
  <c r="C855" i="17" s="1"/>
  <c r="R854" i="2"/>
  <c r="C3274" i="17" s="1"/>
  <c r="P854" i="2"/>
  <c r="C6904" i="17" s="1"/>
  <c r="O854" i="2"/>
  <c r="L854" i="2"/>
  <c r="C854" i="17" s="1"/>
  <c r="R853" i="2"/>
  <c r="C3273" i="17" s="1"/>
  <c r="P853" i="2"/>
  <c r="C6903" i="17" s="1"/>
  <c r="O853" i="2"/>
  <c r="L853" i="2"/>
  <c r="C853" i="17" s="1"/>
  <c r="R852" i="2"/>
  <c r="C3272" i="17" s="1"/>
  <c r="P852" i="2"/>
  <c r="O852" i="2"/>
  <c r="C5692" i="17" s="1"/>
  <c r="L852" i="2"/>
  <c r="C852" i="17" s="1"/>
  <c r="R851" i="2"/>
  <c r="C3271" i="17" s="1"/>
  <c r="P851" i="2"/>
  <c r="C6901" i="17" s="1"/>
  <c r="O851" i="2"/>
  <c r="L851" i="2"/>
  <c r="C851" i="17" s="1"/>
  <c r="R850" i="2"/>
  <c r="C3270" i="17" s="1"/>
  <c r="P850" i="2"/>
  <c r="C6900" i="17" s="1"/>
  <c r="O850" i="2"/>
  <c r="L850" i="2"/>
  <c r="C850" i="17" s="1"/>
  <c r="R849" i="2"/>
  <c r="C3269" i="17" s="1"/>
  <c r="P849" i="2"/>
  <c r="C6899" i="17" s="1"/>
  <c r="O849" i="2"/>
  <c r="L849" i="2"/>
  <c r="C849" i="17" s="1"/>
  <c r="R848" i="2"/>
  <c r="C3268" i="17" s="1"/>
  <c r="P848" i="2"/>
  <c r="C6898" i="17" s="1"/>
  <c r="O848" i="2"/>
  <c r="C5688" i="17" s="1"/>
  <c r="L848" i="2"/>
  <c r="C848" i="17" s="1"/>
  <c r="R847" i="2"/>
  <c r="C3267" i="17" s="1"/>
  <c r="P847" i="2"/>
  <c r="C6897" i="17" s="1"/>
  <c r="O847" i="2"/>
  <c r="L847" i="2"/>
  <c r="C847" i="17" s="1"/>
  <c r="R846" i="2"/>
  <c r="C3266" i="17" s="1"/>
  <c r="P846" i="2"/>
  <c r="C6896" i="17" s="1"/>
  <c r="O846" i="2"/>
  <c r="C5686" i="17" s="1"/>
  <c r="L846" i="2"/>
  <c r="C846" i="17" s="1"/>
  <c r="R845" i="2"/>
  <c r="C3265" i="17" s="1"/>
  <c r="P845" i="2"/>
  <c r="C6895" i="17" s="1"/>
  <c r="O845" i="2"/>
  <c r="L845" i="2"/>
  <c r="C845" i="17" s="1"/>
  <c r="R844" i="2"/>
  <c r="C3264" i="17" s="1"/>
  <c r="P844" i="2"/>
  <c r="C6894" i="17" s="1"/>
  <c r="O844" i="2"/>
  <c r="C5684" i="17" s="1"/>
  <c r="L844" i="2"/>
  <c r="C844" i="17" s="1"/>
  <c r="R843" i="2"/>
  <c r="C3263" i="17" s="1"/>
  <c r="P843" i="2"/>
  <c r="C6893" i="17" s="1"/>
  <c r="O843" i="2"/>
  <c r="L843" i="2"/>
  <c r="C843" i="17" s="1"/>
  <c r="R842" i="2"/>
  <c r="C3262" i="17" s="1"/>
  <c r="P842" i="2"/>
  <c r="C6892" i="17" s="1"/>
  <c r="O842" i="2"/>
  <c r="C5682" i="17" s="1"/>
  <c r="L842" i="2"/>
  <c r="C842" i="17" s="1"/>
  <c r="R841" i="2"/>
  <c r="C3261" i="17" s="1"/>
  <c r="P841" i="2"/>
  <c r="C6891" i="17" s="1"/>
  <c r="O841" i="2"/>
  <c r="L841" i="2"/>
  <c r="C841" i="17" s="1"/>
  <c r="R840" i="2"/>
  <c r="C3260" i="17" s="1"/>
  <c r="P840" i="2"/>
  <c r="C6890" i="17" s="1"/>
  <c r="O840" i="2"/>
  <c r="L840" i="2"/>
  <c r="C840" i="17" s="1"/>
  <c r="R839" i="2"/>
  <c r="C3259" i="17" s="1"/>
  <c r="P839" i="2"/>
  <c r="C6889" i="17" s="1"/>
  <c r="O839" i="2"/>
  <c r="L839" i="2"/>
  <c r="C839" i="17" s="1"/>
  <c r="R838" i="2"/>
  <c r="C3258" i="17" s="1"/>
  <c r="P838" i="2"/>
  <c r="C6888" i="17" s="1"/>
  <c r="O838" i="2"/>
  <c r="L838" i="2"/>
  <c r="C838" i="17" s="1"/>
  <c r="R837" i="2"/>
  <c r="C3257" i="17" s="1"/>
  <c r="P837" i="2"/>
  <c r="C6887" i="17" s="1"/>
  <c r="O837" i="2"/>
  <c r="L837" i="2"/>
  <c r="C837" i="17" s="1"/>
  <c r="R836" i="2"/>
  <c r="C3256" i="17" s="1"/>
  <c r="P836" i="2"/>
  <c r="C6886" i="17" s="1"/>
  <c r="O836" i="2"/>
  <c r="L836" i="2"/>
  <c r="C836" i="17" s="1"/>
  <c r="R835" i="2"/>
  <c r="C3255" i="17" s="1"/>
  <c r="P835" i="2"/>
  <c r="C6885" i="17" s="1"/>
  <c r="O835" i="2"/>
  <c r="L835" i="2"/>
  <c r="C835" i="17" s="1"/>
  <c r="R834" i="2"/>
  <c r="C3254" i="17" s="1"/>
  <c r="P834" i="2"/>
  <c r="C6884" i="17" s="1"/>
  <c r="O834" i="2"/>
  <c r="C5674" i="17" s="1"/>
  <c r="L834" i="2"/>
  <c r="C834" i="17" s="1"/>
  <c r="R833" i="2"/>
  <c r="C3253" i="17" s="1"/>
  <c r="P833" i="2"/>
  <c r="C6883" i="17" s="1"/>
  <c r="O833" i="2"/>
  <c r="L833" i="2"/>
  <c r="C833" i="17" s="1"/>
  <c r="R832" i="2"/>
  <c r="C3252" i="17" s="1"/>
  <c r="P832" i="2"/>
  <c r="C6882" i="17" s="1"/>
  <c r="O832" i="2"/>
  <c r="C5672" i="17" s="1"/>
  <c r="L832" i="2"/>
  <c r="C832" i="17" s="1"/>
  <c r="R831" i="2"/>
  <c r="C3251" i="17" s="1"/>
  <c r="P831" i="2"/>
  <c r="C6881" i="17" s="1"/>
  <c r="O831" i="2"/>
  <c r="L831" i="2"/>
  <c r="C831" i="17" s="1"/>
  <c r="R830" i="2"/>
  <c r="C3250" i="17" s="1"/>
  <c r="P830" i="2"/>
  <c r="C6880" i="17" s="1"/>
  <c r="O830" i="2"/>
  <c r="C5670" i="17" s="1"/>
  <c r="L830" i="2"/>
  <c r="C830" i="17" s="1"/>
  <c r="R829" i="2"/>
  <c r="C3249" i="17" s="1"/>
  <c r="P829" i="2"/>
  <c r="C6879" i="17" s="1"/>
  <c r="O829" i="2"/>
  <c r="L829" i="2"/>
  <c r="C829" i="17" s="1"/>
  <c r="R828" i="2"/>
  <c r="C3248" i="17" s="1"/>
  <c r="P828" i="2"/>
  <c r="C6878" i="17" s="1"/>
  <c r="O828" i="2"/>
  <c r="C5668" i="17" s="1"/>
  <c r="L828" i="2"/>
  <c r="C828" i="17" s="1"/>
  <c r="R827" i="2"/>
  <c r="C3247" i="17" s="1"/>
  <c r="P827" i="2"/>
  <c r="C6877" i="17" s="1"/>
  <c r="O827" i="2"/>
  <c r="L827" i="2"/>
  <c r="C827" i="17" s="1"/>
  <c r="R826" i="2"/>
  <c r="C3246" i="17" s="1"/>
  <c r="P826" i="2"/>
  <c r="C6876" i="17" s="1"/>
  <c r="O826" i="2"/>
  <c r="L826" i="2"/>
  <c r="C826" i="17" s="1"/>
  <c r="R825" i="2"/>
  <c r="C3245" i="17" s="1"/>
  <c r="P825" i="2"/>
  <c r="C6875" i="17" s="1"/>
  <c r="O825" i="2"/>
  <c r="L825" i="2"/>
  <c r="C825" i="17" s="1"/>
  <c r="R824" i="2"/>
  <c r="C3244" i="17" s="1"/>
  <c r="P824" i="2"/>
  <c r="C6874" i="17" s="1"/>
  <c r="O824" i="2"/>
  <c r="L824" i="2"/>
  <c r="C824" i="17" s="1"/>
  <c r="R823" i="2"/>
  <c r="C3243" i="17" s="1"/>
  <c r="P823" i="2"/>
  <c r="C6873" i="17" s="1"/>
  <c r="O823" i="2"/>
  <c r="L823" i="2"/>
  <c r="C823" i="17" s="1"/>
  <c r="R822" i="2"/>
  <c r="C3242" i="17" s="1"/>
  <c r="P822" i="2"/>
  <c r="C6872" i="17" s="1"/>
  <c r="O822" i="2"/>
  <c r="C5662" i="17" s="1"/>
  <c r="L822" i="2"/>
  <c r="C822" i="17" s="1"/>
  <c r="R821" i="2"/>
  <c r="C3241" i="17" s="1"/>
  <c r="P821" i="2"/>
  <c r="C6871" i="17" s="1"/>
  <c r="O821" i="2"/>
  <c r="L821" i="2"/>
  <c r="C821" i="17" s="1"/>
  <c r="R820" i="2"/>
  <c r="C3240" i="17" s="1"/>
  <c r="P820" i="2"/>
  <c r="C6870" i="17" s="1"/>
  <c r="O820" i="2"/>
  <c r="C5660" i="17" s="1"/>
  <c r="L820" i="2"/>
  <c r="C820" i="17" s="1"/>
  <c r="R819" i="2"/>
  <c r="C3239" i="17" s="1"/>
  <c r="P819" i="2"/>
  <c r="C6869" i="17" s="1"/>
  <c r="O819" i="2"/>
  <c r="L819" i="2"/>
  <c r="C819" i="17" s="1"/>
  <c r="R818" i="2"/>
  <c r="C3238" i="17" s="1"/>
  <c r="P818" i="2"/>
  <c r="C6868" i="17" s="1"/>
  <c r="O818" i="2"/>
  <c r="C5658" i="17" s="1"/>
  <c r="L818" i="2"/>
  <c r="C818" i="17" s="1"/>
  <c r="R817" i="2"/>
  <c r="C3237" i="17" s="1"/>
  <c r="P817" i="2"/>
  <c r="C6867" i="17" s="1"/>
  <c r="O817" i="2"/>
  <c r="L817" i="2"/>
  <c r="C817" i="17" s="1"/>
  <c r="R816" i="2"/>
  <c r="C3236" i="17" s="1"/>
  <c r="P816" i="2"/>
  <c r="C6866" i="17" s="1"/>
  <c r="O816" i="2"/>
  <c r="C5656" i="17" s="1"/>
  <c r="L816" i="2"/>
  <c r="C816" i="17" s="1"/>
  <c r="R815" i="2"/>
  <c r="C3235" i="17" s="1"/>
  <c r="P815" i="2"/>
  <c r="C6865" i="17" s="1"/>
  <c r="O815" i="2"/>
  <c r="L815" i="2"/>
  <c r="C815" i="17" s="1"/>
  <c r="R814" i="2"/>
  <c r="C3234" i="17" s="1"/>
  <c r="P814" i="2"/>
  <c r="C6864" i="17" s="1"/>
  <c r="O814" i="2"/>
  <c r="C5654" i="17" s="1"/>
  <c r="L814" i="2"/>
  <c r="C814" i="17" s="1"/>
  <c r="R813" i="2"/>
  <c r="C3233" i="17" s="1"/>
  <c r="P813" i="2"/>
  <c r="C6863" i="17" s="1"/>
  <c r="O813" i="2"/>
  <c r="L813" i="2"/>
  <c r="C813" i="17" s="1"/>
  <c r="R812" i="2"/>
  <c r="C3232" i="17" s="1"/>
  <c r="P812" i="2"/>
  <c r="C6862" i="17" s="1"/>
  <c r="O812" i="2"/>
  <c r="L812" i="2"/>
  <c r="C812" i="17" s="1"/>
  <c r="R811" i="2"/>
  <c r="C3231" i="17" s="1"/>
  <c r="P811" i="2"/>
  <c r="C6861" i="17" s="1"/>
  <c r="O811" i="2"/>
  <c r="L811" i="2"/>
  <c r="C811" i="17" s="1"/>
  <c r="R810" i="2"/>
  <c r="C3230" i="17" s="1"/>
  <c r="P810" i="2"/>
  <c r="C6860" i="17" s="1"/>
  <c r="O810" i="2"/>
  <c r="L810" i="2"/>
  <c r="C810" i="17" s="1"/>
  <c r="R809" i="2"/>
  <c r="C3229" i="17" s="1"/>
  <c r="P809" i="2"/>
  <c r="C6859" i="17" s="1"/>
  <c r="O809" i="2"/>
  <c r="L809" i="2"/>
  <c r="C809" i="17" s="1"/>
  <c r="R808" i="2"/>
  <c r="C3228" i="17" s="1"/>
  <c r="P808" i="2"/>
  <c r="C6858" i="17" s="1"/>
  <c r="O808" i="2"/>
  <c r="L808" i="2"/>
  <c r="C808" i="17" s="1"/>
  <c r="R807" i="2"/>
  <c r="C3227" i="17" s="1"/>
  <c r="P807" i="2"/>
  <c r="C6857" i="17" s="1"/>
  <c r="O807" i="2"/>
  <c r="L807" i="2"/>
  <c r="C807" i="17" s="1"/>
  <c r="R806" i="2"/>
  <c r="C3226" i="17" s="1"/>
  <c r="P806" i="2"/>
  <c r="C6856" i="17" s="1"/>
  <c r="O806" i="2"/>
  <c r="C5646" i="17" s="1"/>
  <c r="L806" i="2"/>
  <c r="C806" i="17" s="1"/>
  <c r="R805" i="2"/>
  <c r="C3225" i="17" s="1"/>
  <c r="P805" i="2"/>
  <c r="C6855" i="17" s="1"/>
  <c r="O805" i="2"/>
  <c r="L805" i="2"/>
  <c r="C805" i="17" s="1"/>
  <c r="R804" i="2"/>
  <c r="C3224" i="17" s="1"/>
  <c r="P804" i="2"/>
  <c r="C6854" i="17" s="1"/>
  <c r="O804" i="2"/>
  <c r="C5644" i="17" s="1"/>
  <c r="L804" i="2"/>
  <c r="C804" i="17" s="1"/>
  <c r="R803" i="2"/>
  <c r="C3223" i="17" s="1"/>
  <c r="P803" i="2"/>
  <c r="C6853" i="17" s="1"/>
  <c r="O803" i="2"/>
  <c r="L803" i="2"/>
  <c r="C803" i="17" s="1"/>
  <c r="R802" i="2"/>
  <c r="C3222" i="17" s="1"/>
  <c r="P802" i="2"/>
  <c r="C6852" i="17" s="1"/>
  <c r="O802" i="2"/>
  <c r="L802" i="2"/>
  <c r="C802" i="17" s="1"/>
  <c r="R801" i="2"/>
  <c r="C3221" i="17" s="1"/>
  <c r="P801" i="2"/>
  <c r="C6851" i="17" s="1"/>
  <c r="O801" i="2"/>
  <c r="L801" i="2"/>
  <c r="C801" i="17" s="1"/>
  <c r="R800" i="2"/>
  <c r="C3220" i="17" s="1"/>
  <c r="P800" i="2"/>
  <c r="C6850" i="17" s="1"/>
  <c r="O800" i="2"/>
  <c r="C5640" i="17" s="1"/>
  <c r="L800" i="2"/>
  <c r="C800" i="17" s="1"/>
  <c r="R799" i="2"/>
  <c r="C3219" i="17" s="1"/>
  <c r="P799" i="2"/>
  <c r="C6849" i="17" s="1"/>
  <c r="O799" i="2"/>
  <c r="L799" i="2"/>
  <c r="C799" i="17" s="1"/>
  <c r="R798" i="2"/>
  <c r="C3218" i="17" s="1"/>
  <c r="P798" i="2"/>
  <c r="C6848" i="17" s="1"/>
  <c r="O798" i="2"/>
  <c r="C5638" i="17" s="1"/>
  <c r="L798" i="2"/>
  <c r="C798" i="17" s="1"/>
  <c r="R797" i="2"/>
  <c r="C3217" i="17" s="1"/>
  <c r="P797" i="2"/>
  <c r="C6847" i="17" s="1"/>
  <c r="O797" i="2"/>
  <c r="L797" i="2"/>
  <c r="C797" i="17" s="1"/>
  <c r="R796" i="2"/>
  <c r="C3216" i="17" s="1"/>
  <c r="P796" i="2"/>
  <c r="C6846" i="17" s="1"/>
  <c r="O796" i="2"/>
  <c r="L796" i="2"/>
  <c r="C796" i="17" s="1"/>
  <c r="R795" i="2"/>
  <c r="C3215" i="17" s="1"/>
  <c r="P795" i="2"/>
  <c r="C6845" i="17" s="1"/>
  <c r="O795" i="2"/>
  <c r="L795" i="2"/>
  <c r="C795" i="17" s="1"/>
  <c r="R794" i="2"/>
  <c r="C3214" i="17" s="1"/>
  <c r="P794" i="2"/>
  <c r="O794" i="2"/>
  <c r="C5634" i="17" s="1"/>
  <c r="L794" i="2"/>
  <c r="C794" i="17" s="1"/>
  <c r="R793" i="2"/>
  <c r="C3213" i="17" s="1"/>
  <c r="P793" i="2"/>
  <c r="C6843" i="17" s="1"/>
  <c r="O793" i="2"/>
  <c r="L793" i="2"/>
  <c r="C793" i="17" s="1"/>
  <c r="R792" i="2"/>
  <c r="C3212" i="17" s="1"/>
  <c r="P792" i="2"/>
  <c r="C6842" i="17" s="1"/>
  <c r="O792" i="2"/>
  <c r="L792" i="2"/>
  <c r="C792" i="17" s="1"/>
  <c r="R791" i="2"/>
  <c r="C3211" i="17" s="1"/>
  <c r="P791" i="2"/>
  <c r="C6841" i="17" s="1"/>
  <c r="O791" i="2"/>
  <c r="L791" i="2"/>
  <c r="C791" i="17" s="1"/>
  <c r="R790" i="2"/>
  <c r="C3210" i="17" s="1"/>
  <c r="P790" i="2"/>
  <c r="C6840" i="17" s="1"/>
  <c r="O790" i="2"/>
  <c r="L790" i="2"/>
  <c r="C790" i="17" s="1"/>
  <c r="R789" i="2"/>
  <c r="C3209" i="17" s="1"/>
  <c r="P789" i="2"/>
  <c r="C6839" i="17" s="1"/>
  <c r="O789" i="2"/>
  <c r="L789" i="2"/>
  <c r="C789" i="17" s="1"/>
  <c r="R788" i="2"/>
  <c r="C3208" i="17" s="1"/>
  <c r="P788" i="2"/>
  <c r="C6838" i="17" s="1"/>
  <c r="O788" i="2"/>
  <c r="L788" i="2"/>
  <c r="C788" i="17" s="1"/>
  <c r="R787" i="2"/>
  <c r="C3207" i="17" s="1"/>
  <c r="P787" i="2"/>
  <c r="C6837" i="17" s="1"/>
  <c r="O787" i="2"/>
  <c r="L787" i="2"/>
  <c r="C787" i="17" s="1"/>
  <c r="R786" i="2"/>
  <c r="C3206" i="17" s="1"/>
  <c r="P786" i="2"/>
  <c r="C6836" i="17" s="1"/>
  <c r="O786" i="2"/>
  <c r="C5626" i="17" s="1"/>
  <c r="L786" i="2"/>
  <c r="C786" i="17" s="1"/>
  <c r="R785" i="2"/>
  <c r="C3205" i="17" s="1"/>
  <c r="P785" i="2"/>
  <c r="C6835" i="17" s="1"/>
  <c r="O785" i="2"/>
  <c r="L785" i="2"/>
  <c r="C785" i="17" s="1"/>
  <c r="R784" i="2"/>
  <c r="C3204" i="17" s="1"/>
  <c r="P784" i="2"/>
  <c r="C6834" i="17" s="1"/>
  <c r="O784" i="2"/>
  <c r="C5624" i="17" s="1"/>
  <c r="L784" i="2"/>
  <c r="C784" i="17" s="1"/>
  <c r="R783" i="2"/>
  <c r="C3203" i="17" s="1"/>
  <c r="P783" i="2"/>
  <c r="C6833" i="17" s="1"/>
  <c r="O783" i="2"/>
  <c r="L783" i="2"/>
  <c r="C783" i="17" s="1"/>
  <c r="R782" i="2"/>
  <c r="C3202" i="17" s="1"/>
  <c r="P782" i="2"/>
  <c r="C6832" i="17" s="1"/>
  <c r="O782" i="2"/>
  <c r="C5622" i="17" s="1"/>
  <c r="L782" i="2"/>
  <c r="C782" i="17" s="1"/>
  <c r="R781" i="2"/>
  <c r="C3201" i="17" s="1"/>
  <c r="P781" i="2"/>
  <c r="C6831" i="17" s="1"/>
  <c r="O781" i="2"/>
  <c r="L781" i="2"/>
  <c r="C781" i="17" s="1"/>
  <c r="R780" i="2"/>
  <c r="C3200" i="17" s="1"/>
  <c r="P780" i="2"/>
  <c r="C6830" i="17" s="1"/>
  <c r="O780" i="2"/>
  <c r="C5620" i="17" s="1"/>
  <c r="L780" i="2"/>
  <c r="C780" i="17" s="1"/>
  <c r="R779" i="2"/>
  <c r="C3199" i="17" s="1"/>
  <c r="P779" i="2"/>
  <c r="C6829" i="17" s="1"/>
  <c r="O779" i="2"/>
  <c r="L779" i="2"/>
  <c r="C779" i="17" s="1"/>
  <c r="R778" i="2"/>
  <c r="C3198" i="17" s="1"/>
  <c r="P778" i="2"/>
  <c r="C6828" i="17" s="1"/>
  <c r="O778" i="2"/>
  <c r="L778" i="2"/>
  <c r="C778" i="17" s="1"/>
  <c r="R777" i="2"/>
  <c r="C3197" i="17" s="1"/>
  <c r="P777" i="2"/>
  <c r="C6827" i="17" s="1"/>
  <c r="O777" i="2"/>
  <c r="L777" i="2"/>
  <c r="C777" i="17" s="1"/>
  <c r="R776" i="2"/>
  <c r="C3196" i="17" s="1"/>
  <c r="P776" i="2"/>
  <c r="C6826" i="17" s="1"/>
  <c r="O776" i="2"/>
  <c r="L776" i="2"/>
  <c r="C776" i="17" s="1"/>
  <c r="R775" i="2"/>
  <c r="C3195" i="17" s="1"/>
  <c r="P775" i="2"/>
  <c r="C6825" i="17" s="1"/>
  <c r="O775" i="2"/>
  <c r="L775" i="2"/>
  <c r="C775" i="17" s="1"/>
  <c r="R774" i="2"/>
  <c r="C3194" i="17" s="1"/>
  <c r="P774" i="2"/>
  <c r="C6824" i="17" s="1"/>
  <c r="O774" i="2"/>
  <c r="C5614" i="17" s="1"/>
  <c r="L774" i="2"/>
  <c r="C774" i="17" s="1"/>
  <c r="R773" i="2"/>
  <c r="C3193" i="17" s="1"/>
  <c r="P773" i="2"/>
  <c r="C6823" i="17" s="1"/>
  <c r="O773" i="2"/>
  <c r="L773" i="2"/>
  <c r="C773" i="17" s="1"/>
  <c r="R772" i="2"/>
  <c r="C3192" i="17" s="1"/>
  <c r="P772" i="2"/>
  <c r="C6822" i="17" s="1"/>
  <c r="O772" i="2"/>
  <c r="C5612" i="17" s="1"/>
  <c r="L772" i="2"/>
  <c r="C772" i="17" s="1"/>
  <c r="R771" i="2"/>
  <c r="C3191" i="17" s="1"/>
  <c r="P771" i="2"/>
  <c r="C6821" i="17" s="1"/>
  <c r="O771" i="2"/>
  <c r="L771" i="2"/>
  <c r="C771" i="17" s="1"/>
  <c r="R770" i="2"/>
  <c r="C3190" i="17" s="1"/>
  <c r="P770" i="2"/>
  <c r="C6820" i="17" s="1"/>
  <c r="O770" i="2"/>
  <c r="C5610" i="17" s="1"/>
  <c r="L770" i="2"/>
  <c r="C770" i="17" s="1"/>
  <c r="R769" i="2"/>
  <c r="C3189" i="17" s="1"/>
  <c r="P769" i="2"/>
  <c r="C6819" i="17" s="1"/>
  <c r="O769" i="2"/>
  <c r="L769" i="2"/>
  <c r="C769" i="17" s="1"/>
  <c r="R768" i="2"/>
  <c r="C3188" i="17" s="1"/>
  <c r="P768" i="2"/>
  <c r="C6818" i="17" s="1"/>
  <c r="O768" i="2"/>
  <c r="C5608" i="17" s="1"/>
  <c r="L768" i="2"/>
  <c r="C768" i="17" s="1"/>
  <c r="R767" i="2"/>
  <c r="C3187" i="17" s="1"/>
  <c r="P767" i="2"/>
  <c r="C6817" i="17" s="1"/>
  <c r="O767" i="2"/>
  <c r="L767" i="2"/>
  <c r="C767" i="17" s="1"/>
  <c r="R766" i="2"/>
  <c r="C3186" i="17" s="1"/>
  <c r="P766" i="2"/>
  <c r="C6816" i="17" s="1"/>
  <c r="O766" i="2"/>
  <c r="C5606" i="17" s="1"/>
  <c r="L766" i="2"/>
  <c r="C766" i="17" s="1"/>
  <c r="R765" i="2"/>
  <c r="C3185" i="17" s="1"/>
  <c r="P765" i="2"/>
  <c r="C6815" i="17" s="1"/>
  <c r="O765" i="2"/>
  <c r="L765" i="2"/>
  <c r="C765" i="17" s="1"/>
  <c r="R764" i="2"/>
  <c r="C3184" i="17" s="1"/>
  <c r="P764" i="2"/>
  <c r="C6814" i="17" s="1"/>
  <c r="O764" i="2"/>
  <c r="L764" i="2"/>
  <c r="C764" i="17" s="1"/>
  <c r="R763" i="2"/>
  <c r="C3183" i="17" s="1"/>
  <c r="P763" i="2"/>
  <c r="C6813" i="17" s="1"/>
  <c r="O763" i="2"/>
  <c r="L763" i="2"/>
  <c r="C763" i="17" s="1"/>
  <c r="R762" i="2"/>
  <c r="C3182" i="17" s="1"/>
  <c r="P762" i="2"/>
  <c r="C6812" i="17" s="1"/>
  <c r="O762" i="2"/>
  <c r="L762" i="2"/>
  <c r="C762" i="17" s="1"/>
  <c r="R761" i="2"/>
  <c r="C3181" i="17" s="1"/>
  <c r="P761" i="2"/>
  <c r="C6811" i="17" s="1"/>
  <c r="O761" i="2"/>
  <c r="L761" i="2"/>
  <c r="C761" i="17" s="1"/>
  <c r="R760" i="2"/>
  <c r="C3180" i="17" s="1"/>
  <c r="P760" i="2"/>
  <c r="C6810" i="17" s="1"/>
  <c r="O760" i="2"/>
  <c r="L760" i="2"/>
  <c r="C760" i="17" s="1"/>
  <c r="R759" i="2"/>
  <c r="C3179" i="17" s="1"/>
  <c r="P759" i="2"/>
  <c r="C6809" i="17" s="1"/>
  <c r="O759" i="2"/>
  <c r="L759" i="2"/>
  <c r="C759" i="17" s="1"/>
  <c r="R758" i="2"/>
  <c r="C3178" i="17" s="1"/>
  <c r="P758" i="2"/>
  <c r="C6808" i="17" s="1"/>
  <c r="O758" i="2"/>
  <c r="C5598" i="17" s="1"/>
  <c r="L758" i="2"/>
  <c r="C758" i="17" s="1"/>
  <c r="R757" i="2"/>
  <c r="C3177" i="17" s="1"/>
  <c r="P757" i="2"/>
  <c r="C6807" i="17" s="1"/>
  <c r="O757" i="2"/>
  <c r="L757" i="2"/>
  <c r="C757" i="17" s="1"/>
  <c r="R756" i="2"/>
  <c r="C3176" i="17" s="1"/>
  <c r="P756" i="2"/>
  <c r="C6806" i="17" s="1"/>
  <c r="O756" i="2"/>
  <c r="C5596" i="17" s="1"/>
  <c r="L756" i="2"/>
  <c r="C756" i="17" s="1"/>
  <c r="R755" i="2"/>
  <c r="C3175" i="17" s="1"/>
  <c r="P755" i="2"/>
  <c r="C6805" i="17" s="1"/>
  <c r="O755" i="2"/>
  <c r="L755" i="2"/>
  <c r="C755" i="17" s="1"/>
  <c r="R754" i="2"/>
  <c r="C3174" i="17" s="1"/>
  <c r="P754" i="2"/>
  <c r="C6804" i="17" s="1"/>
  <c r="O754" i="2"/>
  <c r="L754" i="2"/>
  <c r="C754" i="17" s="1"/>
  <c r="R753" i="2"/>
  <c r="C3173" i="17" s="1"/>
  <c r="P753" i="2"/>
  <c r="C6803" i="17" s="1"/>
  <c r="O753" i="2"/>
  <c r="L753" i="2"/>
  <c r="C753" i="17" s="1"/>
  <c r="R752" i="2"/>
  <c r="C3172" i="17" s="1"/>
  <c r="P752" i="2"/>
  <c r="C6802" i="17" s="1"/>
  <c r="O752" i="2"/>
  <c r="C5592" i="17" s="1"/>
  <c r="L752" i="2"/>
  <c r="C752" i="17" s="1"/>
  <c r="R751" i="2"/>
  <c r="C3171" i="17" s="1"/>
  <c r="P751" i="2"/>
  <c r="C6801" i="17" s="1"/>
  <c r="O751" i="2"/>
  <c r="L751" i="2"/>
  <c r="C751" i="17" s="1"/>
  <c r="R750" i="2"/>
  <c r="C3170" i="17" s="1"/>
  <c r="P750" i="2"/>
  <c r="C6800" i="17" s="1"/>
  <c r="O750" i="2"/>
  <c r="C5590" i="17" s="1"/>
  <c r="L750" i="2"/>
  <c r="C750" i="17" s="1"/>
  <c r="R749" i="2"/>
  <c r="C3169" i="17" s="1"/>
  <c r="P749" i="2"/>
  <c r="C6799" i="17" s="1"/>
  <c r="O749" i="2"/>
  <c r="L749" i="2"/>
  <c r="C749" i="17" s="1"/>
  <c r="R748" i="2"/>
  <c r="C3168" i="17" s="1"/>
  <c r="P748" i="2"/>
  <c r="C6798" i="17" s="1"/>
  <c r="O748" i="2"/>
  <c r="L748" i="2"/>
  <c r="C748" i="17" s="1"/>
  <c r="R747" i="2"/>
  <c r="C3167" i="17" s="1"/>
  <c r="P747" i="2"/>
  <c r="C6797" i="17" s="1"/>
  <c r="O747" i="2"/>
  <c r="L747" i="2"/>
  <c r="C747" i="17" s="1"/>
  <c r="R746" i="2"/>
  <c r="C3166" i="17" s="1"/>
  <c r="P746" i="2"/>
  <c r="O746" i="2"/>
  <c r="C5586" i="17" s="1"/>
  <c r="L746" i="2"/>
  <c r="C746" i="17" s="1"/>
  <c r="R745" i="2"/>
  <c r="C3165" i="17" s="1"/>
  <c r="P745" i="2"/>
  <c r="C6795" i="17" s="1"/>
  <c r="O745" i="2"/>
  <c r="L745" i="2"/>
  <c r="C745" i="17" s="1"/>
  <c r="R744" i="2"/>
  <c r="C3164" i="17" s="1"/>
  <c r="P744" i="2"/>
  <c r="C6794" i="17" s="1"/>
  <c r="O744" i="2"/>
  <c r="L744" i="2"/>
  <c r="C744" i="17" s="1"/>
  <c r="R743" i="2"/>
  <c r="C3163" i="17" s="1"/>
  <c r="P743" i="2"/>
  <c r="C6793" i="17" s="1"/>
  <c r="O743" i="2"/>
  <c r="L743" i="2"/>
  <c r="C743" i="17" s="1"/>
  <c r="R742" i="2"/>
  <c r="C3162" i="17" s="1"/>
  <c r="P742" i="2"/>
  <c r="C6792" i="17" s="1"/>
  <c r="O742" i="2"/>
  <c r="L742" i="2"/>
  <c r="C742" i="17" s="1"/>
  <c r="R741" i="2"/>
  <c r="C3161" i="17" s="1"/>
  <c r="P741" i="2"/>
  <c r="C6791" i="17" s="1"/>
  <c r="O741" i="2"/>
  <c r="L741" i="2"/>
  <c r="C741" i="17" s="1"/>
  <c r="R740" i="2"/>
  <c r="C3160" i="17" s="1"/>
  <c r="P740" i="2"/>
  <c r="C6790" i="17" s="1"/>
  <c r="O740" i="2"/>
  <c r="L740" i="2"/>
  <c r="C740" i="17" s="1"/>
  <c r="R739" i="2"/>
  <c r="C3159" i="17" s="1"/>
  <c r="P739" i="2"/>
  <c r="C6789" i="17" s="1"/>
  <c r="O739" i="2"/>
  <c r="L739" i="2"/>
  <c r="C739" i="17" s="1"/>
  <c r="R738" i="2"/>
  <c r="C3158" i="17" s="1"/>
  <c r="P738" i="2"/>
  <c r="C6788" i="17" s="1"/>
  <c r="O738" i="2"/>
  <c r="C5578" i="17" s="1"/>
  <c r="L738" i="2"/>
  <c r="C738" i="17" s="1"/>
  <c r="R737" i="2"/>
  <c r="C3157" i="17" s="1"/>
  <c r="P737" i="2"/>
  <c r="C6787" i="17" s="1"/>
  <c r="O737" i="2"/>
  <c r="L737" i="2"/>
  <c r="C737" i="17" s="1"/>
  <c r="R736" i="2"/>
  <c r="C3156" i="17" s="1"/>
  <c r="P736" i="2"/>
  <c r="C6786" i="17" s="1"/>
  <c r="O736" i="2"/>
  <c r="C5576" i="17" s="1"/>
  <c r="L736" i="2"/>
  <c r="C736" i="17" s="1"/>
  <c r="R735" i="2"/>
  <c r="C3155" i="17" s="1"/>
  <c r="P735" i="2"/>
  <c r="C6785" i="17" s="1"/>
  <c r="O735" i="2"/>
  <c r="L735" i="2"/>
  <c r="C735" i="17" s="1"/>
  <c r="R734" i="2"/>
  <c r="C3154" i="17" s="1"/>
  <c r="P734" i="2"/>
  <c r="C6784" i="17" s="1"/>
  <c r="O734" i="2"/>
  <c r="C5574" i="17" s="1"/>
  <c r="L734" i="2"/>
  <c r="C734" i="17" s="1"/>
  <c r="R733" i="2"/>
  <c r="C3153" i="17" s="1"/>
  <c r="P733" i="2"/>
  <c r="C6783" i="17" s="1"/>
  <c r="O733" i="2"/>
  <c r="L733" i="2"/>
  <c r="C733" i="17" s="1"/>
  <c r="R732" i="2"/>
  <c r="C3152" i="17" s="1"/>
  <c r="P732" i="2"/>
  <c r="C6782" i="17" s="1"/>
  <c r="O732" i="2"/>
  <c r="C5572" i="17" s="1"/>
  <c r="L732" i="2"/>
  <c r="C732" i="17" s="1"/>
  <c r="R731" i="2"/>
  <c r="C3151" i="17" s="1"/>
  <c r="P731" i="2"/>
  <c r="C6781" i="17" s="1"/>
  <c r="O731" i="2"/>
  <c r="L731" i="2"/>
  <c r="C731" i="17" s="1"/>
  <c r="R730" i="2"/>
  <c r="C3150" i="17" s="1"/>
  <c r="P730" i="2"/>
  <c r="C6780" i="17" s="1"/>
  <c r="O730" i="2"/>
  <c r="L730" i="2"/>
  <c r="C730" i="17" s="1"/>
  <c r="R729" i="2"/>
  <c r="C3149" i="17" s="1"/>
  <c r="P729" i="2"/>
  <c r="C6779" i="17" s="1"/>
  <c r="O729" i="2"/>
  <c r="L729" i="2"/>
  <c r="C729" i="17" s="1"/>
  <c r="R728" i="2"/>
  <c r="C3148" i="17" s="1"/>
  <c r="P728" i="2"/>
  <c r="C6778" i="17" s="1"/>
  <c r="O728" i="2"/>
  <c r="L728" i="2"/>
  <c r="C728" i="17" s="1"/>
  <c r="R727" i="2"/>
  <c r="C3147" i="17" s="1"/>
  <c r="P727" i="2"/>
  <c r="C6777" i="17" s="1"/>
  <c r="O727" i="2"/>
  <c r="L727" i="2"/>
  <c r="C727" i="17" s="1"/>
  <c r="R726" i="2"/>
  <c r="C3146" i="17" s="1"/>
  <c r="P726" i="2"/>
  <c r="C6776" i="17" s="1"/>
  <c r="O726" i="2"/>
  <c r="C5566" i="17" s="1"/>
  <c r="L726" i="2"/>
  <c r="C726" i="17" s="1"/>
  <c r="R725" i="2"/>
  <c r="C3145" i="17" s="1"/>
  <c r="P725" i="2"/>
  <c r="C6775" i="17" s="1"/>
  <c r="O725" i="2"/>
  <c r="L725" i="2"/>
  <c r="C725" i="17" s="1"/>
  <c r="R724" i="2"/>
  <c r="C3144" i="17" s="1"/>
  <c r="P724" i="2"/>
  <c r="C6774" i="17" s="1"/>
  <c r="O724" i="2"/>
  <c r="C5564" i="17" s="1"/>
  <c r="L724" i="2"/>
  <c r="C724" i="17" s="1"/>
  <c r="R723" i="2"/>
  <c r="C3143" i="17" s="1"/>
  <c r="P723" i="2"/>
  <c r="C6773" i="17" s="1"/>
  <c r="O723" i="2"/>
  <c r="L723" i="2"/>
  <c r="C723" i="17" s="1"/>
  <c r="R722" i="2"/>
  <c r="C3142" i="17" s="1"/>
  <c r="P722" i="2"/>
  <c r="C6772" i="17" s="1"/>
  <c r="O722" i="2"/>
  <c r="C5562" i="17" s="1"/>
  <c r="L722" i="2"/>
  <c r="C722" i="17" s="1"/>
  <c r="R721" i="2"/>
  <c r="C3141" i="17" s="1"/>
  <c r="P721" i="2"/>
  <c r="C6771" i="17" s="1"/>
  <c r="O721" i="2"/>
  <c r="L721" i="2"/>
  <c r="C721" i="17" s="1"/>
  <c r="R720" i="2"/>
  <c r="C3140" i="17" s="1"/>
  <c r="P720" i="2"/>
  <c r="C6770" i="17" s="1"/>
  <c r="O720" i="2"/>
  <c r="C5560" i="17" s="1"/>
  <c r="L720" i="2"/>
  <c r="C720" i="17" s="1"/>
  <c r="R719" i="2"/>
  <c r="C3139" i="17" s="1"/>
  <c r="P719" i="2"/>
  <c r="C6769" i="17" s="1"/>
  <c r="O719" i="2"/>
  <c r="L719" i="2"/>
  <c r="C719" i="17" s="1"/>
  <c r="R718" i="2"/>
  <c r="C3138" i="17" s="1"/>
  <c r="P718" i="2"/>
  <c r="C6768" i="17" s="1"/>
  <c r="O718" i="2"/>
  <c r="C5558" i="17" s="1"/>
  <c r="L718" i="2"/>
  <c r="C718" i="17" s="1"/>
  <c r="R717" i="2"/>
  <c r="C3137" i="17" s="1"/>
  <c r="P717" i="2"/>
  <c r="C6767" i="17" s="1"/>
  <c r="O717" i="2"/>
  <c r="L717" i="2"/>
  <c r="C717" i="17" s="1"/>
  <c r="R716" i="2"/>
  <c r="C3136" i="17" s="1"/>
  <c r="P716" i="2"/>
  <c r="C6766" i="17" s="1"/>
  <c r="O716" i="2"/>
  <c r="L716" i="2"/>
  <c r="C716" i="17" s="1"/>
  <c r="R715" i="2"/>
  <c r="C3135" i="17" s="1"/>
  <c r="P715" i="2"/>
  <c r="C6765" i="17" s="1"/>
  <c r="O715" i="2"/>
  <c r="L715" i="2"/>
  <c r="C715" i="17" s="1"/>
  <c r="R714" i="2"/>
  <c r="C3134" i="17" s="1"/>
  <c r="P714" i="2"/>
  <c r="C6764" i="17" s="1"/>
  <c r="O714" i="2"/>
  <c r="L714" i="2"/>
  <c r="C714" i="17" s="1"/>
  <c r="R713" i="2"/>
  <c r="C3133" i="17" s="1"/>
  <c r="P713" i="2"/>
  <c r="C6763" i="17" s="1"/>
  <c r="O713" i="2"/>
  <c r="L713" i="2"/>
  <c r="C713" i="17" s="1"/>
  <c r="R712" i="2"/>
  <c r="C3132" i="17" s="1"/>
  <c r="P712" i="2"/>
  <c r="C6762" i="17" s="1"/>
  <c r="O712" i="2"/>
  <c r="L712" i="2"/>
  <c r="C712" i="17" s="1"/>
  <c r="R711" i="2"/>
  <c r="P711" i="2"/>
  <c r="C6761" i="17" s="1"/>
  <c r="O711" i="2"/>
  <c r="L711" i="2"/>
  <c r="C711" i="17" s="1"/>
  <c r="R710" i="2"/>
  <c r="C3130" i="17" s="1"/>
  <c r="P710" i="2"/>
  <c r="C6760" i="17" s="1"/>
  <c r="O710" i="2"/>
  <c r="C5550" i="17" s="1"/>
  <c r="L710" i="2"/>
  <c r="C710" i="17" s="1"/>
  <c r="R709" i="2"/>
  <c r="C3129" i="17" s="1"/>
  <c r="P709" i="2"/>
  <c r="C6759" i="17" s="1"/>
  <c r="O709" i="2"/>
  <c r="L709" i="2"/>
  <c r="C709" i="17" s="1"/>
  <c r="R708" i="2"/>
  <c r="C3128" i="17" s="1"/>
  <c r="P708" i="2"/>
  <c r="C6758" i="17" s="1"/>
  <c r="O708" i="2"/>
  <c r="C5548" i="17" s="1"/>
  <c r="L708" i="2"/>
  <c r="C708" i="17" s="1"/>
  <c r="R707" i="2"/>
  <c r="C3127" i="17" s="1"/>
  <c r="P707" i="2"/>
  <c r="C6757" i="17" s="1"/>
  <c r="O707" i="2"/>
  <c r="L707" i="2"/>
  <c r="C707" i="17" s="1"/>
  <c r="R706" i="2"/>
  <c r="C3126" i="17" s="1"/>
  <c r="P706" i="2"/>
  <c r="C6756" i="17" s="1"/>
  <c r="O706" i="2"/>
  <c r="L706" i="2"/>
  <c r="C706" i="17" s="1"/>
  <c r="R705" i="2"/>
  <c r="C3125" i="17" s="1"/>
  <c r="P705" i="2"/>
  <c r="C6755" i="17" s="1"/>
  <c r="O705" i="2"/>
  <c r="L705" i="2"/>
  <c r="C705" i="17" s="1"/>
  <c r="R704" i="2"/>
  <c r="C3124" i="17" s="1"/>
  <c r="P704" i="2"/>
  <c r="C6754" i="17" s="1"/>
  <c r="O704" i="2"/>
  <c r="C5544" i="17" s="1"/>
  <c r="L704" i="2"/>
  <c r="C704" i="17" s="1"/>
  <c r="R703" i="2"/>
  <c r="C3123" i="17" s="1"/>
  <c r="P703" i="2"/>
  <c r="C6753" i="17" s="1"/>
  <c r="O703" i="2"/>
  <c r="L703" i="2"/>
  <c r="C703" i="17" s="1"/>
  <c r="R702" i="2"/>
  <c r="C3122" i="17" s="1"/>
  <c r="P702" i="2"/>
  <c r="C6752" i="17" s="1"/>
  <c r="O702" i="2"/>
  <c r="C5542" i="17" s="1"/>
  <c r="L702" i="2"/>
  <c r="C702" i="17" s="1"/>
  <c r="R701" i="2"/>
  <c r="C3121" i="17" s="1"/>
  <c r="P701" i="2"/>
  <c r="C6751" i="17" s="1"/>
  <c r="O701" i="2"/>
  <c r="L701" i="2"/>
  <c r="C701" i="17" s="1"/>
  <c r="R700" i="2"/>
  <c r="C3120" i="17" s="1"/>
  <c r="P700" i="2"/>
  <c r="C6750" i="17" s="1"/>
  <c r="O700" i="2"/>
  <c r="L700" i="2"/>
  <c r="C700" i="17" s="1"/>
  <c r="R699" i="2"/>
  <c r="C3119" i="17" s="1"/>
  <c r="P699" i="2"/>
  <c r="C6749" i="17" s="1"/>
  <c r="O699" i="2"/>
  <c r="L699" i="2"/>
  <c r="C699" i="17" s="1"/>
  <c r="R698" i="2"/>
  <c r="C3118" i="17" s="1"/>
  <c r="P698" i="2"/>
  <c r="O698" i="2"/>
  <c r="C5538" i="17" s="1"/>
  <c r="L698" i="2"/>
  <c r="C698" i="17" s="1"/>
  <c r="R697" i="2"/>
  <c r="C3117" i="17" s="1"/>
  <c r="P697" i="2"/>
  <c r="C6747" i="17" s="1"/>
  <c r="O697" i="2"/>
  <c r="L697" i="2"/>
  <c r="C697" i="17" s="1"/>
  <c r="R696" i="2"/>
  <c r="C3116" i="17" s="1"/>
  <c r="P696" i="2"/>
  <c r="C6746" i="17" s="1"/>
  <c r="O696" i="2"/>
  <c r="L696" i="2"/>
  <c r="C696" i="17" s="1"/>
  <c r="R695" i="2"/>
  <c r="C3115" i="17" s="1"/>
  <c r="P695" i="2"/>
  <c r="C6745" i="17" s="1"/>
  <c r="O695" i="2"/>
  <c r="L695" i="2"/>
  <c r="C695" i="17" s="1"/>
  <c r="R694" i="2"/>
  <c r="C3114" i="17" s="1"/>
  <c r="P694" i="2"/>
  <c r="C6744" i="17" s="1"/>
  <c r="O694" i="2"/>
  <c r="L694" i="2"/>
  <c r="C694" i="17" s="1"/>
  <c r="R693" i="2"/>
  <c r="C3113" i="17" s="1"/>
  <c r="P693" i="2"/>
  <c r="C6743" i="17" s="1"/>
  <c r="O693" i="2"/>
  <c r="L693" i="2"/>
  <c r="C693" i="17" s="1"/>
  <c r="R692" i="2"/>
  <c r="C3112" i="17" s="1"/>
  <c r="P692" i="2"/>
  <c r="C6742" i="17" s="1"/>
  <c r="O692" i="2"/>
  <c r="L692" i="2"/>
  <c r="C692" i="17" s="1"/>
  <c r="R691" i="2"/>
  <c r="C3111" i="17" s="1"/>
  <c r="P691" i="2"/>
  <c r="C6741" i="17" s="1"/>
  <c r="O691" i="2"/>
  <c r="L691" i="2"/>
  <c r="C691" i="17" s="1"/>
  <c r="R690" i="2"/>
  <c r="C3110" i="17" s="1"/>
  <c r="P690" i="2"/>
  <c r="C6740" i="17" s="1"/>
  <c r="O690" i="2"/>
  <c r="C5530" i="17" s="1"/>
  <c r="L690" i="2"/>
  <c r="C690" i="17" s="1"/>
  <c r="R689" i="2"/>
  <c r="C3109" i="17" s="1"/>
  <c r="P689" i="2"/>
  <c r="C6739" i="17" s="1"/>
  <c r="O689" i="2"/>
  <c r="L689" i="2"/>
  <c r="C689" i="17" s="1"/>
  <c r="R688" i="2"/>
  <c r="C3108" i="17" s="1"/>
  <c r="P688" i="2"/>
  <c r="C6738" i="17" s="1"/>
  <c r="O688" i="2"/>
  <c r="C5528" i="17" s="1"/>
  <c r="L688" i="2"/>
  <c r="C688" i="17" s="1"/>
  <c r="R687" i="2"/>
  <c r="C3107" i="17" s="1"/>
  <c r="P687" i="2"/>
  <c r="C6737" i="17" s="1"/>
  <c r="O687" i="2"/>
  <c r="L687" i="2"/>
  <c r="C687" i="17" s="1"/>
  <c r="R686" i="2"/>
  <c r="C3106" i="17" s="1"/>
  <c r="P686" i="2"/>
  <c r="C6736" i="17" s="1"/>
  <c r="O686" i="2"/>
  <c r="C5526" i="17" s="1"/>
  <c r="L686" i="2"/>
  <c r="C686" i="17" s="1"/>
  <c r="R685" i="2"/>
  <c r="C3105" i="17" s="1"/>
  <c r="P685" i="2"/>
  <c r="C6735" i="17" s="1"/>
  <c r="O685" i="2"/>
  <c r="C5525" i="17" s="1"/>
  <c r="L685" i="2"/>
  <c r="C685" i="17" s="1"/>
  <c r="R684" i="2"/>
  <c r="C3104" i="17" s="1"/>
  <c r="P684" i="2"/>
  <c r="C6734" i="17" s="1"/>
  <c r="O684" i="2"/>
  <c r="C5524" i="17" s="1"/>
  <c r="L684" i="2"/>
  <c r="C684" i="17" s="1"/>
  <c r="R683" i="2"/>
  <c r="C3103" i="17" s="1"/>
  <c r="P683" i="2"/>
  <c r="C6733" i="17" s="1"/>
  <c r="O683" i="2"/>
  <c r="C5523" i="17" s="1"/>
  <c r="L683" i="2"/>
  <c r="C683" i="17" s="1"/>
  <c r="R682" i="2"/>
  <c r="C3102" i="17" s="1"/>
  <c r="P682" i="2"/>
  <c r="C6732" i="17" s="1"/>
  <c r="O682" i="2"/>
  <c r="C5522" i="17" s="1"/>
  <c r="L682" i="2"/>
  <c r="C682" i="17" s="1"/>
  <c r="R681" i="2"/>
  <c r="C3101" i="17" s="1"/>
  <c r="P681" i="2"/>
  <c r="C6731" i="17" s="1"/>
  <c r="O681" i="2"/>
  <c r="C5521" i="17" s="1"/>
  <c r="L681" i="2"/>
  <c r="C681" i="17" s="1"/>
  <c r="R680" i="2"/>
  <c r="C3100" i="17" s="1"/>
  <c r="P680" i="2"/>
  <c r="C6730" i="17" s="1"/>
  <c r="O680" i="2"/>
  <c r="L680" i="2"/>
  <c r="C680" i="17" s="1"/>
  <c r="R679" i="2"/>
  <c r="C3099" i="17" s="1"/>
  <c r="P679" i="2"/>
  <c r="C6729" i="17" s="1"/>
  <c r="O679" i="2"/>
  <c r="C5519" i="17" s="1"/>
  <c r="L679" i="2"/>
  <c r="C679" i="17" s="1"/>
  <c r="R678" i="2"/>
  <c r="C3098" i="17" s="1"/>
  <c r="P678" i="2"/>
  <c r="C6728" i="17" s="1"/>
  <c r="O678" i="2"/>
  <c r="L678" i="2"/>
  <c r="C678" i="17" s="1"/>
  <c r="R677" i="2"/>
  <c r="C3097" i="17" s="1"/>
  <c r="P677" i="2"/>
  <c r="C6727" i="17" s="1"/>
  <c r="O677" i="2"/>
  <c r="C5517" i="17" s="1"/>
  <c r="L677" i="2"/>
  <c r="C677" i="17" s="1"/>
  <c r="R676" i="2"/>
  <c r="C3096" i="17" s="1"/>
  <c r="P676" i="2"/>
  <c r="C6726" i="17" s="1"/>
  <c r="O676" i="2"/>
  <c r="L676" i="2"/>
  <c r="C676" i="17" s="1"/>
  <c r="R675" i="2"/>
  <c r="C3095" i="17" s="1"/>
  <c r="P675" i="2"/>
  <c r="C6725" i="17" s="1"/>
  <c r="O675" i="2"/>
  <c r="C5515" i="17" s="1"/>
  <c r="L675" i="2"/>
  <c r="C675" i="17" s="1"/>
  <c r="R674" i="2"/>
  <c r="C3094" i="17" s="1"/>
  <c r="P674" i="2"/>
  <c r="C6724" i="17" s="1"/>
  <c r="O674" i="2"/>
  <c r="C5514" i="17" s="1"/>
  <c r="L674" i="2"/>
  <c r="C674" i="17" s="1"/>
  <c r="R673" i="2"/>
  <c r="C3093" i="17" s="1"/>
  <c r="P673" i="2"/>
  <c r="C6723" i="17" s="1"/>
  <c r="O673" i="2"/>
  <c r="C5513" i="17" s="1"/>
  <c r="L673" i="2"/>
  <c r="C673" i="17" s="1"/>
  <c r="R672" i="2"/>
  <c r="C3092" i="17" s="1"/>
  <c r="P672" i="2"/>
  <c r="C6722" i="17" s="1"/>
  <c r="O672" i="2"/>
  <c r="C5512" i="17" s="1"/>
  <c r="L672" i="2"/>
  <c r="C672" i="17" s="1"/>
  <c r="R671" i="2"/>
  <c r="C3091" i="17" s="1"/>
  <c r="P671" i="2"/>
  <c r="C6721" i="17" s="1"/>
  <c r="O671" i="2"/>
  <c r="C5511" i="17" s="1"/>
  <c r="L671" i="2"/>
  <c r="C671" i="17" s="1"/>
  <c r="R670" i="2"/>
  <c r="C3090" i="17" s="1"/>
  <c r="P670" i="2"/>
  <c r="C6720" i="17" s="1"/>
  <c r="O670" i="2"/>
  <c r="C5510" i="17" s="1"/>
  <c r="L670" i="2"/>
  <c r="C670" i="17" s="1"/>
  <c r="R669" i="2"/>
  <c r="C3089" i="17" s="1"/>
  <c r="P669" i="2"/>
  <c r="C6719" i="17" s="1"/>
  <c r="O669" i="2"/>
  <c r="L669" i="2"/>
  <c r="C669" i="17" s="1"/>
  <c r="R668" i="2"/>
  <c r="C3088" i="17" s="1"/>
  <c r="P668" i="2"/>
  <c r="C6718" i="17" s="1"/>
  <c r="O668" i="2"/>
  <c r="C5508" i="17" s="1"/>
  <c r="L668" i="2"/>
  <c r="C668" i="17" s="1"/>
  <c r="R667" i="2"/>
  <c r="C3087" i="17" s="1"/>
  <c r="P667" i="2"/>
  <c r="C6717" i="17" s="1"/>
  <c r="O667" i="2"/>
  <c r="L667" i="2"/>
  <c r="C667" i="17" s="1"/>
  <c r="R666" i="2"/>
  <c r="C3086" i="17" s="1"/>
  <c r="P666" i="2"/>
  <c r="C6716" i="17" s="1"/>
  <c r="O666" i="2"/>
  <c r="C5506" i="17" s="1"/>
  <c r="L666" i="2"/>
  <c r="C666" i="17" s="1"/>
  <c r="R665" i="2"/>
  <c r="C3085" i="17" s="1"/>
  <c r="P665" i="2"/>
  <c r="C6715" i="17" s="1"/>
  <c r="O665" i="2"/>
  <c r="L665" i="2"/>
  <c r="C665" i="17" s="1"/>
  <c r="R664" i="2"/>
  <c r="C3084" i="17" s="1"/>
  <c r="P664" i="2"/>
  <c r="C6714" i="17" s="1"/>
  <c r="O664" i="2"/>
  <c r="C5504" i="17" s="1"/>
  <c r="L664" i="2"/>
  <c r="C664" i="17" s="1"/>
  <c r="R663" i="2"/>
  <c r="C3083" i="17" s="1"/>
  <c r="P663" i="2"/>
  <c r="C6713" i="17" s="1"/>
  <c r="O663" i="2"/>
  <c r="L663" i="2"/>
  <c r="C663" i="17" s="1"/>
  <c r="R662" i="2"/>
  <c r="C3082" i="17" s="1"/>
  <c r="P662" i="2"/>
  <c r="C6712" i="17" s="1"/>
  <c r="O662" i="2"/>
  <c r="C5502" i="17" s="1"/>
  <c r="L662" i="2"/>
  <c r="C662" i="17" s="1"/>
  <c r="R661" i="2"/>
  <c r="C3081" i="17" s="1"/>
  <c r="P661" i="2"/>
  <c r="C6711" i="17" s="1"/>
  <c r="O661" i="2"/>
  <c r="C5501" i="17" s="1"/>
  <c r="L661" i="2"/>
  <c r="C661" i="17" s="1"/>
  <c r="R660" i="2"/>
  <c r="C3080" i="17" s="1"/>
  <c r="P660" i="2"/>
  <c r="C6710" i="17" s="1"/>
  <c r="O660" i="2"/>
  <c r="C5500" i="17" s="1"/>
  <c r="L660" i="2"/>
  <c r="C660" i="17" s="1"/>
  <c r="R659" i="2"/>
  <c r="C3079" i="17" s="1"/>
  <c r="P659" i="2"/>
  <c r="C6709" i="17" s="1"/>
  <c r="O659" i="2"/>
  <c r="C5499" i="17" s="1"/>
  <c r="L659" i="2"/>
  <c r="C659" i="17" s="1"/>
  <c r="R658" i="2"/>
  <c r="C3078" i="17" s="1"/>
  <c r="P658" i="2"/>
  <c r="C6708" i="17" s="1"/>
  <c r="O658" i="2"/>
  <c r="C5498" i="17" s="1"/>
  <c r="L658" i="2"/>
  <c r="C658" i="17" s="1"/>
  <c r="R657" i="2"/>
  <c r="C3077" i="17" s="1"/>
  <c r="P657" i="2"/>
  <c r="C6707" i="17" s="1"/>
  <c r="O657" i="2"/>
  <c r="C5497" i="17" s="1"/>
  <c r="L657" i="2"/>
  <c r="C657" i="17" s="1"/>
  <c r="R656" i="2"/>
  <c r="C3076" i="17" s="1"/>
  <c r="P656" i="2"/>
  <c r="C6706" i="17" s="1"/>
  <c r="O656" i="2"/>
  <c r="L656" i="2"/>
  <c r="C656" i="17" s="1"/>
  <c r="R655" i="2"/>
  <c r="C3075" i="17" s="1"/>
  <c r="P655" i="2"/>
  <c r="C6705" i="17" s="1"/>
  <c r="O655" i="2"/>
  <c r="C5495" i="17" s="1"/>
  <c r="L655" i="2"/>
  <c r="C655" i="17" s="1"/>
  <c r="R654" i="2"/>
  <c r="C3074" i="17" s="1"/>
  <c r="P654" i="2"/>
  <c r="C6704" i="17" s="1"/>
  <c r="O654" i="2"/>
  <c r="L654" i="2"/>
  <c r="C654" i="17" s="1"/>
  <c r="R653" i="2"/>
  <c r="C3073" i="17" s="1"/>
  <c r="P653" i="2"/>
  <c r="C6703" i="17" s="1"/>
  <c r="O653" i="2"/>
  <c r="C5493" i="17" s="1"/>
  <c r="L653" i="2"/>
  <c r="C653" i="17" s="1"/>
  <c r="R652" i="2"/>
  <c r="C3072" i="17" s="1"/>
  <c r="P652" i="2"/>
  <c r="C6702" i="17" s="1"/>
  <c r="O652" i="2"/>
  <c r="L652" i="2"/>
  <c r="C652" i="17" s="1"/>
  <c r="R651" i="2"/>
  <c r="C3071" i="17" s="1"/>
  <c r="P651" i="2"/>
  <c r="C6701" i="17" s="1"/>
  <c r="O651" i="2"/>
  <c r="C5491" i="17" s="1"/>
  <c r="L651" i="2"/>
  <c r="C651" i="17" s="1"/>
  <c r="R650" i="2"/>
  <c r="C3070" i="17" s="1"/>
  <c r="P650" i="2"/>
  <c r="C6700" i="17" s="1"/>
  <c r="O650" i="2"/>
  <c r="C5490" i="17" s="1"/>
  <c r="L650" i="2"/>
  <c r="C650" i="17" s="1"/>
  <c r="R649" i="2"/>
  <c r="C3069" i="17" s="1"/>
  <c r="P649" i="2"/>
  <c r="C6699" i="17" s="1"/>
  <c r="O649" i="2"/>
  <c r="C5489" i="17" s="1"/>
  <c r="L649" i="2"/>
  <c r="C649" i="17" s="1"/>
  <c r="R648" i="2"/>
  <c r="C3068" i="17" s="1"/>
  <c r="P648" i="2"/>
  <c r="C6698" i="17" s="1"/>
  <c r="O648" i="2"/>
  <c r="C5488" i="17" s="1"/>
  <c r="L648" i="2"/>
  <c r="C648" i="17" s="1"/>
  <c r="R647" i="2"/>
  <c r="C3067" i="17" s="1"/>
  <c r="P647" i="2"/>
  <c r="C6697" i="17" s="1"/>
  <c r="O647" i="2"/>
  <c r="C5487" i="17" s="1"/>
  <c r="L647" i="2"/>
  <c r="C647" i="17" s="1"/>
  <c r="R646" i="2"/>
  <c r="C3066" i="17" s="1"/>
  <c r="P646" i="2"/>
  <c r="C6696" i="17" s="1"/>
  <c r="O646" i="2"/>
  <c r="C5486" i="17" s="1"/>
  <c r="L646" i="2"/>
  <c r="C646" i="17" s="1"/>
  <c r="R645" i="2"/>
  <c r="C3065" i="17" s="1"/>
  <c r="P645" i="2"/>
  <c r="C6695" i="17" s="1"/>
  <c r="O645" i="2"/>
  <c r="L645" i="2"/>
  <c r="C645" i="17" s="1"/>
  <c r="R644" i="2"/>
  <c r="C3064" i="17" s="1"/>
  <c r="P644" i="2"/>
  <c r="C6694" i="17" s="1"/>
  <c r="O644" i="2"/>
  <c r="C5484" i="17" s="1"/>
  <c r="L644" i="2"/>
  <c r="C644" i="17" s="1"/>
  <c r="R643" i="2"/>
  <c r="C3063" i="17" s="1"/>
  <c r="P643" i="2"/>
  <c r="C6693" i="17" s="1"/>
  <c r="O643" i="2"/>
  <c r="L643" i="2"/>
  <c r="C643" i="17" s="1"/>
  <c r="R642" i="2"/>
  <c r="C3062" i="17" s="1"/>
  <c r="P642" i="2"/>
  <c r="C6692" i="17" s="1"/>
  <c r="O642" i="2"/>
  <c r="C5482" i="17" s="1"/>
  <c r="L642" i="2"/>
  <c r="C642" i="17" s="1"/>
  <c r="R641" i="2"/>
  <c r="C3061" i="17" s="1"/>
  <c r="P641" i="2"/>
  <c r="C6691" i="17" s="1"/>
  <c r="O641" i="2"/>
  <c r="L641" i="2"/>
  <c r="C641" i="17" s="1"/>
  <c r="R640" i="2"/>
  <c r="C3060" i="17" s="1"/>
  <c r="P640" i="2"/>
  <c r="C6690" i="17" s="1"/>
  <c r="O640" i="2"/>
  <c r="C5480" i="17" s="1"/>
  <c r="L640" i="2"/>
  <c r="C640" i="17" s="1"/>
  <c r="R639" i="2"/>
  <c r="C3059" i="17" s="1"/>
  <c r="P639" i="2"/>
  <c r="C6689" i="17" s="1"/>
  <c r="O639" i="2"/>
  <c r="L639" i="2"/>
  <c r="C639" i="17" s="1"/>
  <c r="R638" i="2"/>
  <c r="C3058" i="17" s="1"/>
  <c r="P638" i="2"/>
  <c r="C6688" i="17" s="1"/>
  <c r="O638" i="2"/>
  <c r="C5478" i="17" s="1"/>
  <c r="L638" i="2"/>
  <c r="C638" i="17" s="1"/>
  <c r="R637" i="2"/>
  <c r="C3057" i="17" s="1"/>
  <c r="P637" i="2"/>
  <c r="C6687" i="17" s="1"/>
  <c r="O637" i="2"/>
  <c r="C5477" i="17" s="1"/>
  <c r="L637" i="2"/>
  <c r="C637" i="17" s="1"/>
  <c r="R636" i="2"/>
  <c r="C3056" i="17" s="1"/>
  <c r="P636" i="2"/>
  <c r="C6686" i="17" s="1"/>
  <c r="O636" i="2"/>
  <c r="C5476" i="17" s="1"/>
  <c r="L636" i="2"/>
  <c r="C636" i="17" s="1"/>
  <c r="R635" i="2"/>
  <c r="C3055" i="17" s="1"/>
  <c r="P635" i="2"/>
  <c r="C6685" i="17" s="1"/>
  <c r="O635" i="2"/>
  <c r="C5475" i="17" s="1"/>
  <c r="L635" i="2"/>
  <c r="C635" i="17" s="1"/>
  <c r="R634" i="2"/>
  <c r="C3054" i="17" s="1"/>
  <c r="P634" i="2"/>
  <c r="C6684" i="17" s="1"/>
  <c r="O634" i="2"/>
  <c r="C5474" i="17" s="1"/>
  <c r="L634" i="2"/>
  <c r="C634" i="17" s="1"/>
  <c r="R633" i="2"/>
  <c r="C3053" i="17" s="1"/>
  <c r="P633" i="2"/>
  <c r="C6683" i="17" s="1"/>
  <c r="O633" i="2"/>
  <c r="C5473" i="17" s="1"/>
  <c r="L633" i="2"/>
  <c r="C633" i="17" s="1"/>
  <c r="R632" i="2"/>
  <c r="C3052" i="17" s="1"/>
  <c r="P632" i="2"/>
  <c r="C6682" i="17" s="1"/>
  <c r="O632" i="2"/>
  <c r="L632" i="2"/>
  <c r="C632" i="17" s="1"/>
  <c r="R631" i="2"/>
  <c r="C3051" i="17" s="1"/>
  <c r="P631" i="2"/>
  <c r="C6681" i="17" s="1"/>
  <c r="O631" i="2"/>
  <c r="C5471" i="17" s="1"/>
  <c r="L631" i="2"/>
  <c r="C631" i="17" s="1"/>
  <c r="R630" i="2"/>
  <c r="C3050" i="17" s="1"/>
  <c r="P630" i="2"/>
  <c r="C6680" i="17" s="1"/>
  <c r="O630" i="2"/>
  <c r="L630" i="2"/>
  <c r="C630" i="17" s="1"/>
  <c r="R629" i="2"/>
  <c r="C3049" i="17" s="1"/>
  <c r="P629" i="2"/>
  <c r="C6679" i="17" s="1"/>
  <c r="O629" i="2"/>
  <c r="C5469" i="17" s="1"/>
  <c r="L629" i="2"/>
  <c r="C629" i="17" s="1"/>
  <c r="R628" i="2"/>
  <c r="C3048" i="17" s="1"/>
  <c r="P628" i="2"/>
  <c r="C6678" i="17" s="1"/>
  <c r="O628" i="2"/>
  <c r="L628" i="2"/>
  <c r="C628" i="17" s="1"/>
  <c r="R627" i="2"/>
  <c r="C3047" i="17" s="1"/>
  <c r="P627" i="2"/>
  <c r="C6677" i="17" s="1"/>
  <c r="O627" i="2"/>
  <c r="C5467" i="17" s="1"/>
  <c r="L627" i="2"/>
  <c r="C627" i="17" s="1"/>
  <c r="R626" i="2"/>
  <c r="C3046" i="17" s="1"/>
  <c r="P626" i="2"/>
  <c r="C6676" i="17" s="1"/>
  <c r="O626" i="2"/>
  <c r="C5466" i="17" s="1"/>
  <c r="L626" i="2"/>
  <c r="C626" i="17" s="1"/>
  <c r="R625" i="2"/>
  <c r="C3045" i="17" s="1"/>
  <c r="P625" i="2"/>
  <c r="C6675" i="17" s="1"/>
  <c r="O625" i="2"/>
  <c r="C5465" i="17" s="1"/>
  <c r="L625" i="2"/>
  <c r="C625" i="17" s="1"/>
  <c r="R624" i="2"/>
  <c r="C3044" i="17" s="1"/>
  <c r="P624" i="2"/>
  <c r="C6674" i="17" s="1"/>
  <c r="O624" i="2"/>
  <c r="C5464" i="17" s="1"/>
  <c r="L624" i="2"/>
  <c r="C624" i="17" s="1"/>
  <c r="R623" i="2"/>
  <c r="C3043" i="17" s="1"/>
  <c r="P623" i="2"/>
  <c r="C6673" i="17" s="1"/>
  <c r="O623" i="2"/>
  <c r="C5463" i="17" s="1"/>
  <c r="L623" i="2"/>
  <c r="C623" i="17" s="1"/>
  <c r="R622" i="2"/>
  <c r="C3042" i="17" s="1"/>
  <c r="P622" i="2"/>
  <c r="C6672" i="17" s="1"/>
  <c r="O622" i="2"/>
  <c r="C5462" i="17" s="1"/>
  <c r="L622" i="2"/>
  <c r="C622" i="17" s="1"/>
  <c r="R621" i="2"/>
  <c r="C3041" i="17" s="1"/>
  <c r="P621" i="2"/>
  <c r="C6671" i="17" s="1"/>
  <c r="O621" i="2"/>
  <c r="L621" i="2"/>
  <c r="C621" i="17" s="1"/>
  <c r="R620" i="2"/>
  <c r="C3040" i="17" s="1"/>
  <c r="P620" i="2"/>
  <c r="C6670" i="17" s="1"/>
  <c r="O620" i="2"/>
  <c r="C5460" i="17" s="1"/>
  <c r="L620" i="2"/>
  <c r="C620" i="17" s="1"/>
  <c r="R619" i="2"/>
  <c r="C3039" i="17" s="1"/>
  <c r="P619" i="2"/>
  <c r="C6669" i="17" s="1"/>
  <c r="O619" i="2"/>
  <c r="L619" i="2"/>
  <c r="C619" i="17" s="1"/>
  <c r="R618" i="2"/>
  <c r="C3038" i="17" s="1"/>
  <c r="P618" i="2"/>
  <c r="C6668" i="17" s="1"/>
  <c r="O618" i="2"/>
  <c r="C5458" i="17" s="1"/>
  <c r="L618" i="2"/>
  <c r="C618" i="17" s="1"/>
  <c r="R617" i="2"/>
  <c r="C3037" i="17" s="1"/>
  <c r="P617" i="2"/>
  <c r="C6667" i="17" s="1"/>
  <c r="O617" i="2"/>
  <c r="L617" i="2"/>
  <c r="C617" i="17" s="1"/>
  <c r="R616" i="2"/>
  <c r="C3036" i="17" s="1"/>
  <c r="P616" i="2"/>
  <c r="C6666" i="17" s="1"/>
  <c r="O616" i="2"/>
  <c r="C5456" i="17" s="1"/>
  <c r="L616" i="2"/>
  <c r="C616" i="17" s="1"/>
  <c r="R615" i="2"/>
  <c r="C3035" i="17" s="1"/>
  <c r="P615" i="2"/>
  <c r="C6665" i="17" s="1"/>
  <c r="O615" i="2"/>
  <c r="L615" i="2"/>
  <c r="C615" i="17" s="1"/>
  <c r="R614" i="2"/>
  <c r="C3034" i="17" s="1"/>
  <c r="P614" i="2"/>
  <c r="C6664" i="17" s="1"/>
  <c r="O614" i="2"/>
  <c r="C5454" i="17" s="1"/>
  <c r="L614" i="2"/>
  <c r="C614" i="17" s="1"/>
  <c r="R613" i="2"/>
  <c r="C3033" i="17" s="1"/>
  <c r="P613" i="2"/>
  <c r="C6663" i="17" s="1"/>
  <c r="O613" i="2"/>
  <c r="C5453" i="17" s="1"/>
  <c r="L613" i="2"/>
  <c r="C613" i="17" s="1"/>
  <c r="R612" i="2"/>
  <c r="C3032" i="17" s="1"/>
  <c r="P612" i="2"/>
  <c r="C6662" i="17" s="1"/>
  <c r="O612" i="2"/>
  <c r="C5452" i="17" s="1"/>
  <c r="L612" i="2"/>
  <c r="C612" i="17" s="1"/>
  <c r="R611" i="2"/>
  <c r="C3031" i="17" s="1"/>
  <c r="P611" i="2"/>
  <c r="C6661" i="17" s="1"/>
  <c r="O611" i="2"/>
  <c r="C5451" i="17" s="1"/>
  <c r="L611" i="2"/>
  <c r="C611" i="17" s="1"/>
  <c r="R610" i="2"/>
  <c r="C3030" i="17" s="1"/>
  <c r="P610" i="2"/>
  <c r="C6660" i="17" s="1"/>
  <c r="O610" i="2"/>
  <c r="C5450" i="17" s="1"/>
  <c r="L610" i="2"/>
  <c r="C610" i="17" s="1"/>
  <c r="R609" i="2"/>
  <c r="C3029" i="17" s="1"/>
  <c r="P609" i="2"/>
  <c r="C6659" i="17" s="1"/>
  <c r="O609" i="2"/>
  <c r="C5449" i="17" s="1"/>
  <c r="L609" i="2"/>
  <c r="C609" i="17" s="1"/>
  <c r="R608" i="2"/>
  <c r="C3028" i="17" s="1"/>
  <c r="P608" i="2"/>
  <c r="C6658" i="17" s="1"/>
  <c r="O608" i="2"/>
  <c r="L608" i="2"/>
  <c r="C608" i="17" s="1"/>
  <c r="R607" i="2"/>
  <c r="C3027" i="17" s="1"/>
  <c r="P607" i="2"/>
  <c r="C6657" i="17" s="1"/>
  <c r="O607" i="2"/>
  <c r="C5447" i="17" s="1"/>
  <c r="L607" i="2"/>
  <c r="C607" i="17" s="1"/>
  <c r="R606" i="2"/>
  <c r="C3026" i="17" s="1"/>
  <c r="P606" i="2"/>
  <c r="C6656" i="17" s="1"/>
  <c r="O606" i="2"/>
  <c r="L606" i="2"/>
  <c r="C606" i="17" s="1"/>
  <c r="R605" i="2"/>
  <c r="C3025" i="17" s="1"/>
  <c r="P605" i="2"/>
  <c r="C6655" i="17" s="1"/>
  <c r="O605" i="2"/>
  <c r="C5445" i="17" s="1"/>
  <c r="L605" i="2"/>
  <c r="C605" i="17" s="1"/>
  <c r="R604" i="2"/>
  <c r="C3024" i="17" s="1"/>
  <c r="P604" i="2"/>
  <c r="C6654" i="17" s="1"/>
  <c r="O604" i="2"/>
  <c r="L604" i="2"/>
  <c r="C604" i="17" s="1"/>
  <c r="R603" i="2"/>
  <c r="C3023" i="17" s="1"/>
  <c r="P603" i="2"/>
  <c r="C6653" i="17" s="1"/>
  <c r="O603" i="2"/>
  <c r="C5443" i="17" s="1"/>
  <c r="L603" i="2"/>
  <c r="C603" i="17" s="1"/>
  <c r="R602" i="2"/>
  <c r="C3022" i="17" s="1"/>
  <c r="P602" i="2"/>
  <c r="C6652" i="17" s="1"/>
  <c r="O602" i="2"/>
  <c r="C5442" i="17" s="1"/>
  <c r="L602" i="2"/>
  <c r="C602" i="17" s="1"/>
  <c r="R601" i="2"/>
  <c r="C3021" i="17" s="1"/>
  <c r="P601" i="2"/>
  <c r="C6651" i="17" s="1"/>
  <c r="O601" i="2"/>
  <c r="C5441" i="17" s="1"/>
  <c r="L601" i="2"/>
  <c r="C601" i="17" s="1"/>
  <c r="R600" i="2"/>
  <c r="C3020" i="17" s="1"/>
  <c r="P600" i="2"/>
  <c r="C6650" i="17" s="1"/>
  <c r="O600" i="2"/>
  <c r="C5440" i="17" s="1"/>
  <c r="L600" i="2"/>
  <c r="C600" i="17" s="1"/>
  <c r="R599" i="2"/>
  <c r="C3019" i="17" s="1"/>
  <c r="P599" i="2"/>
  <c r="C6649" i="17" s="1"/>
  <c r="O599" i="2"/>
  <c r="C5439" i="17" s="1"/>
  <c r="L599" i="2"/>
  <c r="C599" i="17" s="1"/>
  <c r="R598" i="2"/>
  <c r="C3018" i="17" s="1"/>
  <c r="P598" i="2"/>
  <c r="C6648" i="17" s="1"/>
  <c r="O598" i="2"/>
  <c r="C5438" i="17" s="1"/>
  <c r="L598" i="2"/>
  <c r="C598" i="17" s="1"/>
  <c r="R597" i="2"/>
  <c r="C3017" i="17" s="1"/>
  <c r="P597" i="2"/>
  <c r="C6647" i="17" s="1"/>
  <c r="O597" i="2"/>
  <c r="L597" i="2"/>
  <c r="C597" i="17" s="1"/>
  <c r="R596" i="2"/>
  <c r="C3016" i="17" s="1"/>
  <c r="P596" i="2"/>
  <c r="C6646" i="17" s="1"/>
  <c r="O596" i="2"/>
  <c r="C5436" i="17" s="1"/>
  <c r="L596" i="2"/>
  <c r="C596" i="17" s="1"/>
  <c r="R595" i="2"/>
  <c r="C3015" i="17" s="1"/>
  <c r="P595" i="2"/>
  <c r="C6645" i="17" s="1"/>
  <c r="O595" i="2"/>
  <c r="L595" i="2"/>
  <c r="C595" i="17" s="1"/>
  <c r="R594" i="2"/>
  <c r="C3014" i="17" s="1"/>
  <c r="P594" i="2"/>
  <c r="C6644" i="17" s="1"/>
  <c r="O594" i="2"/>
  <c r="C5434" i="17" s="1"/>
  <c r="L594" i="2"/>
  <c r="C594" i="17" s="1"/>
  <c r="R593" i="2"/>
  <c r="C3013" i="17" s="1"/>
  <c r="P593" i="2"/>
  <c r="C6643" i="17" s="1"/>
  <c r="O593" i="2"/>
  <c r="L593" i="2"/>
  <c r="C593" i="17" s="1"/>
  <c r="R592" i="2"/>
  <c r="C3012" i="17" s="1"/>
  <c r="P592" i="2"/>
  <c r="C6642" i="17" s="1"/>
  <c r="O592" i="2"/>
  <c r="C5432" i="17" s="1"/>
  <c r="L592" i="2"/>
  <c r="C592" i="17" s="1"/>
  <c r="R591" i="2"/>
  <c r="C3011" i="17" s="1"/>
  <c r="P591" i="2"/>
  <c r="C6641" i="17" s="1"/>
  <c r="O591" i="2"/>
  <c r="L591" i="2"/>
  <c r="C591" i="17" s="1"/>
  <c r="R590" i="2"/>
  <c r="C3010" i="17" s="1"/>
  <c r="P590" i="2"/>
  <c r="C6640" i="17" s="1"/>
  <c r="O590" i="2"/>
  <c r="C5430" i="17" s="1"/>
  <c r="L590" i="2"/>
  <c r="C590" i="17" s="1"/>
  <c r="R589" i="2"/>
  <c r="C3009" i="17" s="1"/>
  <c r="P589" i="2"/>
  <c r="C6639" i="17" s="1"/>
  <c r="O589" i="2"/>
  <c r="C5429" i="17" s="1"/>
  <c r="L589" i="2"/>
  <c r="C589" i="17" s="1"/>
  <c r="R588" i="2"/>
  <c r="C3008" i="17" s="1"/>
  <c r="P588" i="2"/>
  <c r="C6638" i="17" s="1"/>
  <c r="O588" i="2"/>
  <c r="C5428" i="17" s="1"/>
  <c r="L588" i="2"/>
  <c r="C588" i="17" s="1"/>
  <c r="R587" i="2"/>
  <c r="C3007" i="17" s="1"/>
  <c r="P587" i="2"/>
  <c r="C6637" i="17" s="1"/>
  <c r="O587" i="2"/>
  <c r="C5427" i="17" s="1"/>
  <c r="L587" i="2"/>
  <c r="C587" i="17" s="1"/>
  <c r="R586" i="2"/>
  <c r="C3006" i="17" s="1"/>
  <c r="P586" i="2"/>
  <c r="C6636" i="17" s="1"/>
  <c r="O586" i="2"/>
  <c r="C5426" i="17" s="1"/>
  <c r="L586" i="2"/>
  <c r="C586" i="17" s="1"/>
  <c r="R585" i="2"/>
  <c r="C3005" i="17" s="1"/>
  <c r="P585" i="2"/>
  <c r="C6635" i="17" s="1"/>
  <c r="O585" i="2"/>
  <c r="C5425" i="17" s="1"/>
  <c r="L585" i="2"/>
  <c r="C585" i="17" s="1"/>
  <c r="R584" i="2"/>
  <c r="C3004" i="17" s="1"/>
  <c r="P584" i="2"/>
  <c r="C6634" i="17" s="1"/>
  <c r="O584" i="2"/>
  <c r="L584" i="2"/>
  <c r="C584" i="17" s="1"/>
  <c r="R583" i="2"/>
  <c r="C3003" i="17" s="1"/>
  <c r="P583" i="2"/>
  <c r="C6633" i="17" s="1"/>
  <c r="O583" i="2"/>
  <c r="C5423" i="17" s="1"/>
  <c r="L583" i="2"/>
  <c r="C583" i="17" s="1"/>
  <c r="R582" i="2"/>
  <c r="C3002" i="17" s="1"/>
  <c r="P582" i="2"/>
  <c r="C6632" i="17" s="1"/>
  <c r="O582" i="2"/>
  <c r="L582" i="2"/>
  <c r="C582" i="17" s="1"/>
  <c r="R581" i="2"/>
  <c r="C3001" i="17" s="1"/>
  <c r="P581" i="2"/>
  <c r="C6631" i="17" s="1"/>
  <c r="O581" i="2"/>
  <c r="C5421" i="17" s="1"/>
  <c r="L581" i="2"/>
  <c r="C581" i="17" s="1"/>
  <c r="R580" i="2"/>
  <c r="C3000" i="17" s="1"/>
  <c r="P580" i="2"/>
  <c r="C6630" i="17" s="1"/>
  <c r="O580" i="2"/>
  <c r="L580" i="2"/>
  <c r="C580" i="17" s="1"/>
  <c r="R579" i="2"/>
  <c r="C2999" i="17" s="1"/>
  <c r="P579" i="2"/>
  <c r="C6629" i="17" s="1"/>
  <c r="O579" i="2"/>
  <c r="C5419" i="17" s="1"/>
  <c r="L579" i="2"/>
  <c r="C579" i="17" s="1"/>
  <c r="R578" i="2"/>
  <c r="C2998" i="17" s="1"/>
  <c r="P578" i="2"/>
  <c r="C6628" i="17" s="1"/>
  <c r="O578" i="2"/>
  <c r="C5418" i="17" s="1"/>
  <c r="L578" i="2"/>
  <c r="C578" i="17" s="1"/>
  <c r="R577" i="2"/>
  <c r="C2997" i="17" s="1"/>
  <c r="P577" i="2"/>
  <c r="C6627" i="17" s="1"/>
  <c r="O577" i="2"/>
  <c r="C5417" i="17" s="1"/>
  <c r="L577" i="2"/>
  <c r="C577" i="17" s="1"/>
  <c r="R576" i="2"/>
  <c r="C2996" i="17" s="1"/>
  <c r="P576" i="2"/>
  <c r="C6626" i="17" s="1"/>
  <c r="O576" i="2"/>
  <c r="C5416" i="17" s="1"/>
  <c r="L576" i="2"/>
  <c r="C576" i="17" s="1"/>
  <c r="R575" i="2"/>
  <c r="C2995" i="17" s="1"/>
  <c r="P575" i="2"/>
  <c r="C6625" i="17" s="1"/>
  <c r="O575" i="2"/>
  <c r="C5415" i="17" s="1"/>
  <c r="L575" i="2"/>
  <c r="C575" i="17" s="1"/>
  <c r="R574" i="2"/>
  <c r="C2994" i="17" s="1"/>
  <c r="P574" i="2"/>
  <c r="C6624" i="17" s="1"/>
  <c r="O574" i="2"/>
  <c r="C5414" i="17" s="1"/>
  <c r="L574" i="2"/>
  <c r="C574" i="17" s="1"/>
  <c r="R573" i="2"/>
  <c r="C2993" i="17" s="1"/>
  <c r="P573" i="2"/>
  <c r="C6623" i="17" s="1"/>
  <c r="O573" i="2"/>
  <c r="L573" i="2"/>
  <c r="C573" i="17" s="1"/>
  <c r="R572" i="2"/>
  <c r="C2992" i="17" s="1"/>
  <c r="P572" i="2"/>
  <c r="C6622" i="17" s="1"/>
  <c r="O572" i="2"/>
  <c r="C5412" i="17" s="1"/>
  <c r="L572" i="2"/>
  <c r="C572" i="17" s="1"/>
  <c r="R571" i="2"/>
  <c r="C2991" i="17" s="1"/>
  <c r="P571" i="2"/>
  <c r="C6621" i="17" s="1"/>
  <c r="O571" i="2"/>
  <c r="L571" i="2"/>
  <c r="C571" i="17" s="1"/>
  <c r="R570" i="2"/>
  <c r="C2990" i="17" s="1"/>
  <c r="P570" i="2"/>
  <c r="C6620" i="17" s="1"/>
  <c r="O570" i="2"/>
  <c r="C5410" i="17" s="1"/>
  <c r="L570" i="2"/>
  <c r="C570" i="17" s="1"/>
  <c r="R569" i="2"/>
  <c r="C2989" i="17" s="1"/>
  <c r="P569" i="2"/>
  <c r="C6619" i="17" s="1"/>
  <c r="O569" i="2"/>
  <c r="L569" i="2"/>
  <c r="C569" i="17" s="1"/>
  <c r="R568" i="2"/>
  <c r="C2988" i="17" s="1"/>
  <c r="P568" i="2"/>
  <c r="C6618" i="17" s="1"/>
  <c r="O568" i="2"/>
  <c r="C5408" i="17" s="1"/>
  <c r="L568" i="2"/>
  <c r="C568" i="17" s="1"/>
  <c r="R567" i="2"/>
  <c r="C2987" i="17" s="1"/>
  <c r="P567" i="2"/>
  <c r="C6617" i="17" s="1"/>
  <c r="O567" i="2"/>
  <c r="L567" i="2"/>
  <c r="C567" i="17" s="1"/>
  <c r="R566" i="2"/>
  <c r="C2986" i="17" s="1"/>
  <c r="P566" i="2"/>
  <c r="C6616" i="17" s="1"/>
  <c r="O566" i="2"/>
  <c r="C5406" i="17" s="1"/>
  <c r="L566" i="2"/>
  <c r="C566" i="17" s="1"/>
  <c r="R565" i="2"/>
  <c r="C2985" i="17" s="1"/>
  <c r="P565" i="2"/>
  <c r="C6615" i="17" s="1"/>
  <c r="O565" i="2"/>
  <c r="C5405" i="17" s="1"/>
  <c r="L565" i="2"/>
  <c r="C565" i="17" s="1"/>
  <c r="R564" i="2"/>
  <c r="C2984" i="17" s="1"/>
  <c r="P564" i="2"/>
  <c r="C6614" i="17" s="1"/>
  <c r="O564" i="2"/>
  <c r="C5404" i="17" s="1"/>
  <c r="L564" i="2"/>
  <c r="C564" i="17" s="1"/>
  <c r="R563" i="2"/>
  <c r="C2983" i="17" s="1"/>
  <c r="P563" i="2"/>
  <c r="C6613" i="17" s="1"/>
  <c r="O563" i="2"/>
  <c r="C5403" i="17" s="1"/>
  <c r="L563" i="2"/>
  <c r="C563" i="17" s="1"/>
  <c r="R562" i="2"/>
  <c r="C2982" i="17" s="1"/>
  <c r="P562" i="2"/>
  <c r="C6612" i="17" s="1"/>
  <c r="O562" i="2"/>
  <c r="C5402" i="17" s="1"/>
  <c r="L562" i="2"/>
  <c r="C562" i="17" s="1"/>
  <c r="R561" i="2"/>
  <c r="C2981" i="17" s="1"/>
  <c r="P561" i="2"/>
  <c r="C6611" i="17" s="1"/>
  <c r="O561" i="2"/>
  <c r="C5401" i="17" s="1"/>
  <c r="L561" i="2"/>
  <c r="C561" i="17" s="1"/>
  <c r="R560" i="2"/>
  <c r="C2980" i="17" s="1"/>
  <c r="P560" i="2"/>
  <c r="C6610" i="17" s="1"/>
  <c r="O560" i="2"/>
  <c r="L560" i="2"/>
  <c r="C560" i="17" s="1"/>
  <c r="R559" i="2"/>
  <c r="C2979" i="17" s="1"/>
  <c r="P559" i="2"/>
  <c r="C6609" i="17" s="1"/>
  <c r="O559" i="2"/>
  <c r="C5399" i="17" s="1"/>
  <c r="L559" i="2"/>
  <c r="C559" i="17" s="1"/>
  <c r="R558" i="2"/>
  <c r="C2978" i="17" s="1"/>
  <c r="P558" i="2"/>
  <c r="C6608" i="17" s="1"/>
  <c r="O558" i="2"/>
  <c r="L558" i="2"/>
  <c r="C558" i="17" s="1"/>
  <c r="R557" i="2"/>
  <c r="C2977" i="17" s="1"/>
  <c r="P557" i="2"/>
  <c r="C6607" i="17" s="1"/>
  <c r="O557" i="2"/>
  <c r="C5397" i="17" s="1"/>
  <c r="L557" i="2"/>
  <c r="C557" i="17" s="1"/>
  <c r="R556" i="2"/>
  <c r="C2976" i="17" s="1"/>
  <c r="P556" i="2"/>
  <c r="C6606" i="17" s="1"/>
  <c r="O556" i="2"/>
  <c r="L556" i="2"/>
  <c r="C556" i="17" s="1"/>
  <c r="R555" i="2"/>
  <c r="C2975" i="17" s="1"/>
  <c r="P555" i="2"/>
  <c r="C6605" i="17" s="1"/>
  <c r="O555" i="2"/>
  <c r="C5395" i="17" s="1"/>
  <c r="L555" i="2"/>
  <c r="C555" i="17" s="1"/>
  <c r="R554" i="2"/>
  <c r="C2974" i="17" s="1"/>
  <c r="P554" i="2"/>
  <c r="C6604" i="17" s="1"/>
  <c r="O554" i="2"/>
  <c r="C5394" i="17" s="1"/>
  <c r="L554" i="2"/>
  <c r="C554" i="17" s="1"/>
  <c r="R553" i="2"/>
  <c r="C2973" i="17" s="1"/>
  <c r="P553" i="2"/>
  <c r="C6603" i="17" s="1"/>
  <c r="O553" i="2"/>
  <c r="C5393" i="17" s="1"/>
  <c r="L553" i="2"/>
  <c r="C553" i="17" s="1"/>
  <c r="R552" i="2"/>
  <c r="C2972" i="17" s="1"/>
  <c r="P552" i="2"/>
  <c r="C6602" i="17" s="1"/>
  <c r="O552" i="2"/>
  <c r="C5392" i="17" s="1"/>
  <c r="L552" i="2"/>
  <c r="C552" i="17" s="1"/>
  <c r="R551" i="2"/>
  <c r="C2971" i="17" s="1"/>
  <c r="P551" i="2"/>
  <c r="C6601" i="17" s="1"/>
  <c r="O551" i="2"/>
  <c r="C5391" i="17" s="1"/>
  <c r="L551" i="2"/>
  <c r="C551" i="17" s="1"/>
  <c r="R550" i="2"/>
  <c r="C2970" i="17" s="1"/>
  <c r="P550" i="2"/>
  <c r="C6600" i="17" s="1"/>
  <c r="O550" i="2"/>
  <c r="C5390" i="17" s="1"/>
  <c r="L550" i="2"/>
  <c r="C550" i="17" s="1"/>
  <c r="R549" i="2"/>
  <c r="C2969" i="17" s="1"/>
  <c r="P549" i="2"/>
  <c r="C6599" i="17" s="1"/>
  <c r="O549" i="2"/>
  <c r="L549" i="2"/>
  <c r="C549" i="17" s="1"/>
  <c r="R548" i="2"/>
  <c r="C2968" i="17" s="1"/>
  <c r="P548" i="2"/>
  <c r="C6598" i="17" s="1"/>
  <c r="O548" i="2"/>
  <c r="C5388" i="17" s="1"/>
  <c r="L548" i="2"/>
  <c r="C548" i="17" s="1"/>
  <c r="R547" i="2"/>
  <c r="C2967" i="17" s="1"/>
  <c r="P547" i="2"/>
  <c r="C6597" i="17" s="1"/>
  <c r="O547" i="2"/>
  <c r="L547" i="2"/>
  <c r="C547" i="17" s="1"/>
  <c r="R546" i="2"/>
  <c r="C2966" i="17" s="1"/>
  <c r="P546" i="2"/>
  <c r="C6596" i="17" s="1"/>
  <c r="O546" i="2"/>
  <c r="C5386" i="17" s="1"/>
  <c r="L546" i="2"/>
  <c r="C546" i="17" s="1"/>
  <c r="R545" i="2"/>
  <c r="C2965" i="17" s="1"/>
  <c r="P545" i="2"/>
  <c r="C6595" i="17" s="1"/>
  <c r="O545" i="2"/>
  <c r="L545" i="2"/>
  <c r="C545" i="17" s="1"/>
  <c r="R544" i="2"/>
  <c r="C2964" i="17" s="1"/>
  <c r="P544" i="2"/>
  <c r="C6594" i="17" s="1"/>
  <c r="O544" i="2"/>
  <c r="C5384" i="17" s="1"/>
  <c r="L544" i="2"/>
  <c r="C544" i="17" s="1"/>
  <c r="R543" i="2"/>
  <c r="C2963" i="17" s="1"/>
  <c r="P543" i="2"/>
  <c r="C6593" i="17" s="1"/>
  <c r="O543" i="2"/>
  <c r="L543" i="2"/>
  <c r="C543" i="17" s="1"/>
  <c r="R542" i="2"/>
  <c r="C2962" i="17" s="1"/>
  <c r="P542" i="2"/>
  <c r="C6592" i="17" s="1"/>
  <c r="O542" i="2"/>
  <c r="C5382" i="17" s="1"/>
  <c r="L542" i="2"/>
  <c r="C542" i="17" s="1"/>
  <c r="R541" i="2"/>
  <c r="C2961" i="17" s="1"/>
  <c r="P541" i="2"/>
  <c r="C6591" i="17" s="1"/>
  <c r="O541" i="2"/>
  <c r="C5381" i="17" s="1"/>
  <c r="L541" i="2"/>
  <c r="C541" i="17" s="1"/>
  <c r="R540" i="2"/>
  <c r="C2960" i="17" s="1"/>
  <c r="P540" i="2"/>
  <c r="C6590" i="17" s="1"/>
  <c r="O540" i="2"/>
  <c r="C5380" i="17" s="1"/>
  <c r="L540" i="2"/>
  <c r="C540" i="17" s="1"/>
  <c r="R539" i="2"/>
  <c r="C2959" i="17" s="1"/>
  <c r="P539" i="2"/>
  <c r="C6589" i="17" s="1"/>
  <c r="O539" i="2"/>
  <c r="C5379" i="17" s="1"/>
  <c r="L539" i="2"/>
  <c r="C539" i="17" s="1"/>
  <c r="R538" i="2"/>
  <c r="C2958" i="17" s="1"/>
  <c r="P538" i="2"/>
  <c r="C6588" i="17" s="1"/>
  <c r="O538" i="2"/>
  <c r="C5378" i="17" s="1"/>
  <c r="L538" i="2"/>
  <c r="C538" i="17" s="1"/>
  <c r="R537" i="2"/>
  <c r="C2957" i="17" s="1"/>
  <c r="P537" i="2"/>
  <c r="C6587" i="17" s="1"/>
  <c r="O537" i="2"/>
  <c r="C5377" i="17" s="1"/>
  <c r="L537" i="2"/>
  <c r="C537" i="17" s="1"/>
  <c r="R536" i="2"/>
  <c r="C2956" i="17" s="1"/>
  <c r="P536" i="2"/>
  <c r="C6586" i="17" s="1"/>
  <c r="O536" i="2"/>
  <c r="L536" i="2"/>
  <c r="C536" i="17" s="1"/>
  <c r="R535" i="2"/>
  <c r="C2955" i="17" s="1"/>
  <c r="P535" i="2"/>
  <c r="C6585" i="17" s="1"/>
  <c r="O535" i="2"/>
  <c r="C5375" i="17" s="1"/>
  <c r="L535" i="2"/>
  <c r="C535" i="17" s="1"/>
  <c r="R534" i="2"/>
  <c r="C2954" i="17" s="1"/>
  <c r="P534" i="2"/>
  <c r="C6584" i="17" s="1"/>
  <c r="O534" i="2"/>
  <c r="L534" i="2"/>
  <c r="C534" i="17" s="1"/>
  <c r="R533" i="2"/>
  <c r="C2953" i="17" s="1"/>
  <c r="P533" i="2"/>
  <c r="C6583" i="17" s="1"/>
  <c r="O533" i="2"/>
  <c r="C5373" i="17" s="1"/>
  <c r="L533" i="2"/>
  <c r="C533" i="17" s="1"/>
  <c r="R532" i="2"/>
  <c r="C2952" i="17" s="1"/>
  <c r="P532" i="2"/>
  <c r="C6582" i="17" s="1"/>
  <c r="O532" i="2"/>
  <c r="L532" i="2"/>
  <c r="C532" i="17" s="1"/>
  <c r="R531" i="2"/>
  <c r="C2951" i="17" s="1"/>
  <c r="P531" i="2"/>
  <c r="C6581" i="17" s="1"/>
  <c r="O531" i="2"/>
  <c r="C5371" i="17" s="1"/>
  <c r="L531" i="2"/>
  <c r="C531" i="17" s="1"/>
  <c r="R530" i="2"/>
  <c r="C2950" i="17" s="1"/>
  <c r="P530" i="2"/>
  <c r="C6580" i="17" s="1"/>
  <c r="O530" i="2"/>
  <c r="C5370" i="17" s="1"/>
  <c r="L530" i="2"/>
  <c r="C530" i="17" s="1"/>
  <c r="R529" i="2"/>
  <c r="C2949" i="17" s="1"/>
  <c r="P529" i="2"/>
  <c r="C6579" i="17" s="1"/>
  <c r="O529" i="2"/>
  <c r="C5369" i="17" s="1"/>
  <c r="L529" i="2"/>
  <c r="C529" i="17" s="1"/>
  <c r="R528" i="2"/>
  <c r="C2948" i="17" s="1"/>
  <c r="P528" i="2"/>
  <c r="C6578" i="17" s="1"/>
  <c r="O528" i="2"/>
  <c r="C5368" i="17" s="1"/>
  <c r="L528" i="2"/>
  <c r="C528" i="17" s="1"/>
  <c r="R527" i="2"/>
  <c r="C2947" i="17" s="1"/>
  <c r="P527" i="2"/>
  <c r="C6577" i="17" s="1"/>
  <c r="O527" i="2"/>
  <c r="C5367" i="17" s="1"/>
  <c r="L527" i="2"/>
  <c r="C527" i="17" s="1"/>
  <c r="R526" i="2"/>
  <c r="C2946" i="17" s="1"/>
  <c r="P526" i="2"/>
  <c r="C6576" i="17" s="1"/>
  <c r="O526" i="2"/>
  <c r="C5366" i="17" s="1"/>
  <c r="L526" i="2"/>
  <c r="C526" i="17" s="1"/>
  <c r="R525" i="2"/>
  <c r="C2945" i="17" s="1"/>
  <c r="P525" i="2"/>
  <c r="C6575" i="17" s="1"/>
  <c r="O525" i="2"/>
  <c r="L525" i="2"/>
  <c r="C525" i="17" s="1"/>
  <c r="R524" i="2"/>
  <c r="C2944" i="17" s="1"/>
  <c r="P524" i="2"/>
  <c r="C6574" i="17" s="1"/>
  <c r="O524" i="2"/>
  <c r="C5364" i="17" s="1"/>
  <c r="L524" i="2"/>
  <c r="C524" i="17" s="1"/>
  <c r="R523" i="2"/>
  <c r="C2943" i="17" s="1"/>
  <c r="P523" i="2"/>
  <c r="C6573" i="17" s="1"/>
  <c r="O523" i="2"/>
  <c r="L523" i="2"/>
  <c r="C523" i="17" s="1"/>
  <c r="R522" i="2"/>
  <c r="C2942" i="17" s="1"/>
  <c r="P522" i="2"/>
  <c r="C6572" i="17" s="1"/>
  <c r="O522" i="2"/>
  <c r="C5362" i="17" s="1"/>
  <c r="L522" i="2"/>
  <c r="C522" i="17" s="1"/>
  <c r="R521" i="2"/>
  <c r="C2941" i="17" s="1"/>
  <c r="P521" i="2"/>
  <c r="C6571" i="17" s="1"/>
  <c r="O521" i="2"/>
  <c r="L521" i="2"/>
  <c r="C521" i="17" s="1"/>
  <c r="R520" i="2"/>
  <c r="C2940" i="17" s="1"/>
  <c r="P520" i="2"/>
  <c r="C6570" i="17" s="1"/>
  <c r="O520" i="2"/>
  <c r="C5360" i="17" s="1"/>
  <c r="L520" i="2"/>
  <c r="C520" i="17" s="1"/>
  <c r="R519" i="2"/>
  <c r="C2939" i="17" s="1"/>
  <c r="P519" i="2"/>
  <c r="C6569" i="17" s="1"/>
  <c r="O519" i="2"/>
  <c r="L519" i="2"/>
  <c r="C519" i="17" s="1"/>
  <c r="R518" i="2"/>
  <c r="C2938" i="17" s="1"/>
  <c r="P518" i="2"/>
  <c r="C6568" i="17" s="1"/>
  <c r="O518" i="2"/>
  <c r="C5358" i="17" s="1"/>
  <c r="L518" i="2"/>
  <c r="C518" i="17" s="1"/>
  <c r="R517" i="2"/>
  <c r="C2937" i="17" s="1"/>
  <c r="P517" i="2"/>
  <c r="C6567" i="17" s="1"/>
  <c r="O517" i="2"/>
  <c r="C5357" i="17" s="1"/>
  <c r="L517" i="2"/>
  <c r="C517" i="17" s="1"/>
  <c r="R516" i="2"/>
  <c r="C2936" i="17" s="1"/>
  <c r="P516" i="2"/>
  <c r="C6566" i="17" s="1"/>
  <c r="O516" i="2"/>
  <c r="C5356" i="17" s="1"/>
  <c r="L516" i="2"/>
  <c r="C516" i="17" s="1"/>
  <c r="R515" i="2"/>
  <c r="C2935" i="17" s="1"/>
  <c r="P515" i="2"/>
  <c r="C6565" i="17" s="1"/>
  <c r="O515" i="2"/>
  <c r="C5355" i="17" s="1"/>
  <c r="L515" i="2"/>
  <c r="C515" i="17" s="1"/>
  <c r="R514" i="2"/>
  <c r="C2934" i="17" s="1"/>
  <c r="P514" i="2"/>
  <c r="C6564" i="17" s="1"/>
  <c r="O514" i="2"/>
  <c r="C5354" i="17" s="1"/>
  <c r="L514" i="2"/>
  <c r="C514" i="17" s="1"/>
  <c r="R513" i="2"/>
  <c r="C2933" i="17" s="1"/>
  <c r="P513" i="2"/>
  <c r="C6563" i="17" s="1"/>
  <c r="O513" i="2"/>
  <c r="C5353" i="17" s="1"/>
  <c r="L513" i="2"/>
  <c r="C513" i="17" s="1"/>
  <c r="R512" i="2"/>
  <c r="C2932" i="17" s="1"/>
  <c r="P512" i="2"/>
  <c r="C6562" i="17" s="1"/>
  <c r="O512" i="2"/>
  <c r="L512" i="2"/>
  <c r="C512" i="17" s="1"/>
  <c r="R511" i="2"/>
  <c r="C2931" i="17" s="1"/>
  <c r="P511" i="2"/>
  <c r="C6561" i="17" s="1"/>
  <c r="O511" i="2"/>
  <c r="C5351" i="17" s="1"/>
  <c r="L511" i="2"/>
  <c r="C511" i="17" s="1"/>
  <c r="R510" i="2"/>
  <c r="C2930" i="17" s="1"/>
  <c r="P510" i="2"/>
  <c r="C6560" i="17" s="1"/>
  <c r="O510" i="2"/>
  <c r="L510" i="2"/>
  <c r="C510" i="17" s="1"/>
  <c r="R509" i="2"/>
  <c r="C2929" i="17" s="1"/>
  <c r="P509" i="2"/>
  <c r="C6559" i="17" s="1"/>
  <c r="O509" i="2"/>
  <c r="C5349" i="17" s="1"/>
  <c r="L509" i="2"/>
  <c r="C509" i="17" s="1"/>
  <c r="R508" i="2"/>
  <c r="C2928" i="17" s="1"/>
  <c r="P508" i="2"/>
  <c r="C6558" i="17" s="1"/>
  <c r="O508" i="2"/>
  <c r="L508" i="2"/>
  <c r="C508" i="17" s="1"/>
  <c r="R507" i="2"/>
  <c r="C2927" i="17" s="1"/>
  <c r="P507" i="2"/>
  <c r="C6557" i="17" s="1"/>
  <c r="O507" i="2"/>
  <c r="C5347" i="17" s="1"/>
  <c r="L507" i="2"/>
  <c r="C507" i="17" s="1"/>
  <c r="R506" i="2"/>
  <c r="C2926" i="17" s="1"/>
  <c r="P506" i="2"/>
  <c r="C6556" i="17" s="1"/>
  <c r="O506" i="2"/>
  <c r="C5346" i="17" s="1"/>
  <c r="L506" i="2"/>
  <c r="C506" i="17" s="1"/>
  <c r="R505" i="2"/>
  <c r="C2925" i="17" s="1"/>
  <c r="P505" i="2"/>
  <c r="C6555" i="17" s="1"/>
  <c r="O505" i="2"/>
  <c r="C5345" i="17" s="1"/>
  <c r="L505" i="2"/>
  <c r="C505" i="17" s="1"/>
  <c r="R504" i="2"/>
  <c r="C2924" i="17" s="1"/>
  <c r="P504" i="2"/>
  <c r="C6554" i="17" s="1"/>
  <c r="O504" i="2"/>
  <c r="C5344" i="17" s="1"/>
  <c r="L504" i="2"/>
  <c r="C504" i="17" s="1"/>
  <c r="R503" i="2"/>
  <c r="C2923" i="17" s="1"/>
  <c r="P503" i="2"/>
  <c r="C6553" i="17" s="1"/>
  <c r="O503" i="2"/>
  <c r="C5343" i="17" s="1"/>
  <c r="L503" i="2"/>
  <c r="C503" i="17" s="1"/>
  <c r="R502" i="2"/>
  <c r="C2922" i="17" s="1"/>
  <c r="P502" i="2"/>
  <c r="C6552" i="17" s="1"/>
  <c r="O502" i="2"/>
  <c r="C5342" i="17" s="1"/>
  <c r="L502" i="2"/>
  <c r="C502" i="17" s="1"/>
  <c r="R501" i="2"/>
  <c r="C2921" i="17" s="1"/>
  <c r="P501" i="2"/>
  <c r="C6551" i="17" s="1"/>
  <c r="O501" i="2"/>
  <c r="L501" i="2"/>
  <c r="C501" i="17" s="1"/>
  <c r="R500" i="2"/>
  <c r="C2920" i="17" s="1"/>
  <c r="P500" i="2"/>
  <c r="C6550" i="17" s="1"/>
  <c r="O500" i="2"/>
  <c r="C5340" i="17" s="1"/>
  <c r="L500" i="2"/>
  <c r="C500" i="17" s="1"/>
  <c r="R499" i="2"/>
  <c r="C2919" i="17" s="1"/>
  <c r="P499" i="2"/>
  <c r="C6549" i="17" s="1"/>
  <c r="O499" i="2"/>
  <c r="L499" i="2"/>
  <c r="C499" i="17" s="1"/>
  <c r="R498" i="2"/>
  <c r="C2918" i="17" s="1"/>
  <c r="P498" i="2"/>
  <c r="C6548" i="17" s="1"/>
  <c r="O498" i="2"/>
  <c r="C5338" i="17" s="1"/>
  <c r="L498" i="2"/>
  <c r="C498" i="17" s="1"/>
  <c r="R497" i="2"/>
  <c r="C2917" i="17" s="1"/>
  <c r="P497" i="2"/>
  <c r="C6547" i="17" s="1"/>
  <c r="O497" i="2"/>
  <c r="L497" i="2"/>
  <c r="C497" i="17" s="1"/>
  <c r="R496" i="2"/>
  <c r="C2916" i="17" s="1"/>
  <c r="P496" i="2"/>
  <c r="C6546" i="17" s="1"/>
  <c r="O496" i="2"/>
  <c r="C5336" i="17" s="1"/>
  <c r="L496" i="2"/>
  <c r="C496" i="17" s="1"/>
  <c r="R495" i="2"/>
  <c r="C2915" i="17" s="1"/>
  <c r="P495" i="2"/>
  <c r="C6545" i="17" s="1"/>
  <c r="O495" i="2"/>
  <c r="L495" i="2"/>
  <c r="C495" i="17" s="1"/>
  <c r="R494" i="2"/>
  <c r="C2914" i="17" s="1"/>
  <c r="P494" i="2"/>
  <c r="C6544" i="17" s="1"/>
  <c r="O494" i="2"/>
  <c r="C5334" i="17" s="1"/>
  <c r="L494" i="2"/>
  <c r="C494" i="17" s="1"/>
  <c r="R493" i="2"/>
  <c r="C2913" i="17" s="1"/>
  <c r="P493" i="2"/>
  <c r="C6543" i="17" s="1"/>
  <c r="O493" i="2"/>
  <c r="C5333" i="17" s="1"/>
  <c r="L493" i="2"/>
  <c r="C493" i="17" s="1"/>
  <c r="R492" i="2"/>
  <c r="C2912" i="17" s="1"/>
  <c r="P492" i="2"/>
  <c r="C6542" i="17" s="1"/>
  <c r="O492" i="2"/>
  <c r="C5332" i="17" s="1"/>
  <c r="L492" i="2"/>
  <c r="C492" i="17" s="1"/>
  <c r="R491" i="2"/>
  <c r="C2911" i="17" s="1"/>
  <c r="P491" i="2"/>
  <c r="C6541" i="17" s="1"/>
  <c r="O491" i="2"/>
  <c r="C5331" i="17" s="1"/>
  <c r="L491" i="2"/>
  <c r="C491" i="17" s="1"/>
  <c r="R490" i="2"/>
  <c r="C2910" i="17" s="1"/>
  <c r="P490" i="2"/>
  <c r="C6540" i="17" s="1"/>
  <c r="O490" i="2"/>
  <c r="C5330" i="17" s="1"/>
  <c r="L490" i="2"/>
  <c r="C490" i="17" s="1"/>
  <c r="R489" i="2"/>
  <c r="C2909" i="17" s="1"/>
  <c r="P489" i="2"/>
  <c r="C6539" i="17" s="1"/>
  <c r="O489" i="2"/>
  <c r="C5329" i="17" s="1"/>
  <c r="L489" i="2"/>
  <c r="C489" i="17" s="1"/>
  <c r="R488" i="2"/>
  <c r="C2908" i="17" s="1"/>
  <c r="P488" i="2"/>
  <c r="C6538" i="17" s="1"/>
  <c r="O488" i="2"/>
  <c r="L488" i="2"/>
  <c r="C488" i="17" s="1"/>
  <c r="R487" i="2"/>
  <c r="C2907" i="17" s="1"/>
  <c r="P487" i="2"/>
  <c r="C6537" i="17" s="1"/>
  <c r="O487" i="2"/>
  <c r="C5327" i="17" s="1"/>
  <c r="L487" i="2"/>
  <c r="C487" i="17" s="1"/>
  <c r="R486" i="2"/>
  <c r="C2906" i="17" s="1"/>
  <c r="P486" i="2"/>
  <c r="C6536" i="17" s="1"/>
  <c r="O486" i="2"/>
  <c r="L486" i="2"/>
  <c r="C486" i="17" s="1"/>
  <c r="R485" i="2"/>
  <c r="C2905" i="17" s="1"/>
  <c r="P485" i="2"/>
  <c r="C6535" i="17" s="1"/>
  <c r="O485" i="2"/>
  <c r="C5325" i="17" s="1"/>
  <c r="L485" i="2"/>
  <c r="C485" i="17" s="1"/>
  <c r="R484" i="2"/>
  <c r="C2904" i="17" s="1"/>
  <c r="P484" i="2"/>
  <c r="C6534" i="17" s="1"/>
  <c r="O484" i="2"/>
  <c r="L484" i="2"/>
  <c r="C484" i="17" s="1"/>
  <c r="R483" i="2"/>
  <c r="C2903" i="17" s="1"/>
  <c r="P483" i="2"/>
  <c r="C6533" i="17" s="1"/>
  <c r="O483" i="2"/>
  <c r="C5323" i="17" s="1"/>
  <c r="L483" i="2"/>
  <c r="C483" i="17" s="1"/>
  <c r="R482" i="2"/>
  <c r="C2902" i="17" s="1"/>
  <c r="P482" i="2"/>
  <c r="C6532" i="17" s="1"/>
  <c r="O482" i="2"/>
  <c r="C5322" i="17" s="1"/>
  <c r="L482" i="2"/>
  <c r="C482" i="17" s="1"/>
  <c r="R481" i="2"/>
  <c r="C2901" i="17" s="1"/>
  <c r="P481" i="2"/>
  <c r="C6531" i="17" s="1"/>
  <c r="O481" i="2"/>
  <c r="C5321" i="17" s="1"/>
  <c r="L481" i="2"/>
  <c r="C481" i="17" s="1"/>
  <c r="R480" i="2"/>
  <c r="C2900" i="17" s="1"/>
  <c r="P480" i="2"/>
  <c r="C6530" i="17" s="1"/>
  <c r="O480" i="2"/>
  <c r="C5320" i="17" s="1"/>
  <c r="L480" i="2"/>
  <c r="C480" i="17" s="1"/>
  <c r="R479" i="2"/>
  <c r="C2899" i="17" s="1"/>
  <c r="P479" i="2"/>
  <c r="C6529" i="17" s="1"/>
  <c r="O479" i="2"/>
  <c r="C5319" i="17" s="1"/>
  <c r="L479" i="2"/>
  <c r="C479" i="17" s="1"/>
  <c r="R478" i="2"/>
  <c r="C2898" i="17" s="1"/>
  <c r="P478" i="2"/>
  <c r="C6528" i="17" s="1"/>
  <c r="O478" i="2"/>
  <c r="C5318" i="17" s="1"/>
  <c r="L478" i="2"/>
  <c r="C478" i="17" s="1"/>
  <c r="R477" i="2"/>
  <c r="C2897" i="17" s="1"/>
  <c r="P477" i="2"/>
  <c r="C6527" i="17" s="1"/>
  <c r="O477" i="2"/>
  <c r="L477" i="2"/>
  <c r="C477" i="17" s="1"/>
  <c r="R476" i="2"/>
  <c r="C2896" i="17" s="1"/>
  <c r="P476" i="2"/>
  <c r="C6526" i="17" s="1"/>
  <c r="O476" i="2"/>
  <c r="C5316" i="17" s="1"/>
  <c r="L476" i="2"/>
  <c r="C476" i="17" s="1"/>
  <c r="R475" i="2"/>
  <c r="C2895" i="17" s="1"/>
  <c r="P475" i="2"/>
  <c r="C6525" i="17" s="1"/>
  <c r="O475" i="2"/>
  <c r="L475" i="2"/>
  <c r="C475" i="17" s="1"/>
  <c r="R474" i="2"/>
  <c r="C2894" i="17" s="1"/>
  <c r="P474" i="2"/>
  <c r="C6524" i="17" s="1"/>
  <c r="O474" i="2"/>
  <c r="C5314" i="17" s="1"/>
  <c r="L474" i="2"/>
  <c r="C474" i="17" s="1"/>
  <c r="R473" i="2"/>
  <c r="C2893" i="17" s="1"/>
  <c r="P473" i="2"/>
  <c r="C6523" i="17" s="1"/>
  <c r="O473" i="2"/>
  <c r="L473" i="2"/>
  <c r="C473" i="17" s="1"/>
  <c r="R472" i="2"/>
  <c r="C2892" i="17" s="1"/>
  <c r="P472" i="2"/>
  <c r="C6522" i="17" s="1"/>
  <c r="O472" i="2"/>
  <c r="C5312" i="17" s="1"/>
  <c r="L472" i="2"/>
  <c r="C472" i="17" s="1"/>
  <c r="R471" i="2"/>
  <c r="C2891" i="17" s="1"/>
  <c r="P471" i="2"/>
  <c r="C6521" i="17" s="1"/>
  <c r="O471" i="2"/>
  <c r="L471" i="2"/>
  <c r="C471" i="17" s="1"/>
  <c r="R470" i="2"/>
  <c r="C2890" i="17" s="1"/>
  <c r="P470" i="2"/>
  <c r="C6520" i="17" s="1"/>
  <c r="O470" i="2"/>
  <c r="C5310" i="17" s="1"/>
  <c r="L470" i="2"/>
  <c r="C470" i="17" s="1"/>
  <c r="R469" i="2"/>
  <c r="C2889" i="17" s="1"/>
  <c r="P469" i="2"/>
  <c r="C6519" i="17" s="1"/>
  <c r="O469" i="2"/>
  <c r="C5309" i="17" s="1"/>
  <c r="L469" i="2"/>
  <c r="C469" i="17" s="1"/>
  <c r="R468" i="2"/>
  <c r="C2888" i="17" s="1"/>
  <c r="P468" i="2"/>
  <c r="C6518" i="17" s="1"/>
  <c r="O468" i="2"/>
  <c r="C5308" i="17" s="1"/>
  <c r="L468" i="2"/>
  <c r="C468" i="17" s="1"/>
  <c r="R467" i="2"/>
  <c r="C2887" i="17" s="1"/>
  <c r="P467" i="2"/>
  <c r="C6517" i="17" s="1"/>
  <c r="O467" i="2"/>
  <c r="C5307" i="17" s="1"/>
  <c r="L467" i="2"/>
  <c r="C467" i="17" s="1"/>
  <c r="R466" i="2"/>
  <c r="C2886" i="17" s="1"/>
  <c r="P466" i="2"/>
  <c r="C6516" i="17" s="1"/>
  <c r="O466" i="2"/>
  <c r="C5306" i="17" s="1"/>
  <c r="L466" i="2"/>
  <c r="C466" i="17" s="1"/>
  <c r="R465" i="2"/>
  <c r="C2885" i="17" s="1"/>
  <c r="P465" i="2"/>
  <c r="C6515" i="17" s="1"/>
  <c r="O465" i="2"/>
  <c r="C5305" i="17" s="1"/>
  <c r="L465" i="2"/>
  <c r="C465" i="17" s="1"/>
  <c r="R464" i="2"/>
  <c r="C2884" i="17" s="1"/>
  <c r="P464" i="2"/>
  <c r="C6514" i="17" s="1"/>
  <c r="O464" i="2"/>
  <c r="L464" i="2"/>
  <c r="C464" i="17" s="1"/>
  <c r="R463" i="2"/>
  <c r="C2883" i="17" s="1"/>
  <c r="P463" i="2"/>
  <c r="C6513" i="17" s="1"/>
  <c r="O463" i="2"/>
  <c r="C5303" i="17" s="1"/>
  <c r="L463" i="2"/>
  <c r="C463" i="17" s="1"/>
  <c r="R462" i="2"/>
  <c r="C2882" i="17" s="1"/>
  <c r="P462" i="2"/>
  <c r="C6512" i="17" s="1"/>
  <c r="O462" i="2"/>
  <c r="L462" i="2"/>
  <c r="C462" i="17" s="1"/>
  <c r="R461" i="2"/>
  <c r="C2881" i="17" s="1"/>
  <c r="P461" i="2"/>
  <c r="C6511" i="17" s="1"/>
  <c r="O461" i="2"/>
  <c r="C5301" i="17" s="1"/>
  <c r="L461" i="2"/>
  <c r="C461" i="17" s="1"/>
  <c r="R460" i="2"/>
  <c r="C2880" i="17" s="1"/>
  <c r="P460" i="2"/>
  <c r="C6510" i="17" s="1"/>
  <c r="O460" i="2"/>
  <c r="L460" i="2"/>
  <c r="C460" i="17" s="1"/>
  <c r="R459" i="2"/>
  <c r="C2879" i="17" s="1"/>
  <c r="P459" i="2"/>
  <c r="C6509" i="17" s="1"/>
  <c r="O459" i="2"/>
  <c r="C5299" i="17" s="1"/>
  <c r="L459" i="2"/>
  <c r="C459" i="17" s="1"/>
  <c r="R458" i="2"/>
  <c r="C2878" i="17" s="1"/>
  <c r="P458" i="2"/>
  <c r="C6508" i="17" s="1"/>
  <c r="O458" i="2"/>
  <c r="C5298" i="17" s="1"/>
  <c r="L458" i="2"/>
  <c r="C458" i="17" s="1"/>
  <c r="R457" i="2"/>
  <c r="C2877" i="17" s="1"/>
  <c r="P457" i="2"/>
  <c r="C6507" i="17" s="1"/>
  <c r="O457" i="2"/>
  <c r="C5297" i="17" s="1"/>
  <c r="L457" i="2"/>
  <c r="C457" i="17" s="1"/>
  <c r="R456" i="2"/>
  <c r="C2876" i="17" s="1"/>
  <c r="P456" i="2"/>
  <c r="C6506" i="17" s="1"/>
  <c r="O456" i="2"/>
  <c r="C5296" i="17" s="1"/>
  <c r="L456" i="2"/>
  <c r="C456" i="17" s="1"/>
  <c r="R455" i="2"/>
  <c r="C2875" i="17" s="1"/>
  <c r="P455" i="2"/>
  <c r="C6505" i="17" s="1"/>
  <c r="O455" i="2"/>
  <c r="C5295" i="17" s="1"/>
  <c r="L455" i="2"/>
  <c r="C455" i="17" s="1"/>
  <c r="R454" i="2"/>
  <c r="C2874" i="17" s="1"/>
  <c r="P454" i="2"/>
  <c r="C6504" i="17" s="1"/>
  <c r="O454" i="2"/>
  <c r="C5294" i="17" s="1"/>
  <c r="L454" i="2"/>
  <c r="C454" i="17" s="1"/>
  <c r="R453" i="2"/>
  <c r="C2873" i="17" s="1"/>
  <c r="P453" i="2"/>
  <c r="C6503" i="17" s="1"/>
  <c r="O453" i="2"/>
  <c r="L453" i="2"/>
  <c r="C453" i="17" s="1"/>
  <c r="R452" i="2"/>
  <c r="C2872" i="17" s="1"/>
  <c r="P452" i="2"/>
  <c r="C6502" i="17" s="1"/>
  <c r="O452" i="2"/>
  <c r="C5292" i="17" s="1"/>
  <c r="L452" i="2"/>
  <c r="C452" i="17" s="1"/>
  <c r="R451" i="2"/>
  <c r="C2871" i="17" s="1"/>
  <c r="P451" i="2"/>
  <c r="C6501" i="17" s="1"/>
  <c r="O451" i="2"/>
  <c r="L451" i="2"/>
  <c r="C451" i="17" s="1"/>
  <c r="R450" i="2"/>
  <c r="C2870" i="17" s="1"/>
  <c r="P450" i="2"/>
  <c r="C6500" i="17" s="1"/>
  <c r="O450" i="2"/>
  <c r="C5290" i="17" s="1"/>
  <c r="L450" i="2"/>
  <c r="C450" i="17" s="1"/>
  <c r="R449" i="2"/>
  <c r="C2869" i="17" s="1"/>
  <c r="P449" i="2"/>
  <c r="C6499" i="17" s="1"/>
  <c r="O449" i="2"/>
  <c r="L449" i="2"/>
  <c r="C449" i="17" s="1"/>
  <c r="R448" i="2"/>
  <c r="C2868" i="17" s="1"/>
  <c r="P448" i="2"/>
  <c r="C6498" i="17" s="1"/>
  <c r="O448" i="2"/>
  <c r="C5288" i="17" s="1"/>
  <c r="L448" i="2"/>
  <c r="C448" i="17" s="1"/>
  <c r="R447" i="2"/>
  <c r="C2867" i="17" s="1"/>
  <c r="P447" i="2"/>
  <c r="C6497" i="17" s="1"/>
  <c r="O447" i="2"/>
  <c r="L447" i="2"/>
  <c r="C447" i="17" s="1"/>
  <c r="R446" i="2"/>
  <c r="C2866" i="17" s="1"/>
  <c r="P446" i="2"/>
  <c r="C6496" i="17" s="1"/>
  <c r="O446" i="2"/>
  <c r="C5286" i="17" s="1"/>
  <c r="L446" i="2"/>
  <c r="C446" i="17" s="1"/>
  <c r="R445" i="2"/>
  <c r="C2865" i="17" s="1"/>
  <c r="P445" i="2"/>
  <c r="C6495" i="17" s="1"/>
  <c r="O445" i="2"/>
  <c r="C5285" i="17" s="1"/>
  <c r="L445" i="2"/>
  <c r="C445" i="17" s="1"/>
  <c r="R444" i="2"/>
  <c r="C2864" i="17" s="1"/>
  <c r="P444" i="2"/>
  <c r="C6494" i="17" s="1"/>
  <c r="O444" i="2"/>
  <c r="C5284" i="17" s="1"/>
  <c r="L444" i="2"/>
  <c r="C444" i="17" s="1"/>
  <c r="R443" i="2"/>
  <c r="C2863" i="17" s="1"/>
  <c r="P443" i="2"/>
  <c r="C6493" i="17" s="1"/>
  <c r="O443" i="2"/>
  <c r="C5283" i="17" s="1"/>
  <c r="L443" i="2"/>
  <c r="C443" i="17" s="1"/>
  <c r="R442" i="2"/>
  <c r="C2862" i="17" s="1"/>
  <c r="P442" i="2"/>
  <c r="C6492" i="17" s="1"/>
  <c r="O442" i="2"/>
  <c r="C5282" i="17" s="1"/>
  <c r="L442" i="2"/>
  <c r="C442" i="17" s="1"/>
  <c r="R441" i="2"/>
  <c r="C2861" i="17" s="1"/>
  <c r="P441" i="2"/>
  <c r="C6491" i="17" s="1"/>
  <c r="O441" i="2"/>
  <c r="C5281" i="17" s="1"/>
  <c r="L441" i="2"/>
  <c r="C441" i="17" s="1"/>
  <c r="R440" i="2"/>
  <c r="C2860" i="17" s="1"/>
  <c r="P440" i="2"/>
  <c r="C6490" i="17" s="1"/>
  <c r="O440" i="2"/>
  <c r="L440" i="2"/>
  <c r="C440" i="17" s="1"/>
  <c r="R439" i="2"/>
  <c r="C2859" i="17" s="1"/>
  <c r="P439" i="2"/>
  <c r="C6489" i="17" s="1"/>
  <c r="O439" i="2"/>
  <c r="C5279" i="17" s="1"/>
  <c r="L439" i="2"/>
  <c r="C439" i="17" s="1"/>
  <c r="R438" i="2"/>
  <c r="C2858" i="17" s="1"/>
  <c r="P438" i="2"/>
  <c r="C6488" i="17" s="1"/>
  <c r="O438" i="2"/>
  <c r="L438" i="2"/>
  <c r="C438" i="17" s="1"/>
  <c r="R437" i="2"/>
  <c r="C2857" i="17" s="1"/>
  <c r="P437" i="2"/>
  <c r="C6487" i="17" s="1"/>
  <c r="O437" i="2"/>
  <c r="C5277" i="17" s="1"/>
  <c r="L437" i="2"/>
  <c r="C437" i="17" s="1"/>
  <c r="R436" i="2"/>
  <c r="C2856" i="17" s="1"/>
  <c r="P436" i="2"/>
  <c r="C6486" i="17" s="1"/>
  <c r="O436" i="2"/>
  <c r="L436" i="2"/>
  <c r="C436" i="17" s="1"/>
  <c r="R435" i="2"/>
  <c r="C2855" i="17" s="1"/>
  <c r="P435" i="2"/>
  <c r="C6485" i="17" s="1"/>
  <c r="O435" i="2"/>
  <c r="C5275" i="17" s="1"/>
  <c r="L435" i="2"/>
  <c r="C435" i="17" s="1"/>
  <c r="R434" i="2"/>
  <c r="C2854" i="17" s="1"/>
  <c r="P434" i="2"/>
  <c r="C6484" i="17" s="1"/>
  <c r="O434" i="2"/>
  <c r="C5274" i="17" s="1"/>
  <c r="L434" i="2"/>
  <c r="C434" i="17" s="1"/>
  <c r="R433" i="2"/>
  <c r="C2853" i="17" s="1"/>
  <c r="P433" i="2"/>
  <c r="C6483" i="17" s="1"/>
  <c r="O433" i="2"/>
  <c r="C5273" i="17" s="1"/>
  <c r="L433" i="2"/>
  <c r="C433" i="17" s="1"/>
  <c r="R432" i="2"/>
  <c r="C2852" i="17" s="1"/>
  <c r="P432" i="2"/>
  <c r="C6482" i="17" s="1"/>
  <c r="O432" i="2"/>
  <c r="C5272" i="17" s="1"/>
  <c r="L432" i="2"/>
  <c r="C432" i="17" s="1"/>
  <c r="R431" i="2"/>
  <c r="C2851" i="17" s="1"/>
  <c r="P431" i="2"/>
  <c r="C6481" i="17" s="1"/>
  <c r="O431" i="2"/>
  <c r="C5271" i="17" s="1"/>
  <c r="L431" i="2"/>
  <c r="C431" i="17" s="1"/>
  <c r="R430" i="2"/>
  <c r="C2850" i="17" s="1"/>
  <c r="P430" i="2"/>
  <c r="C6480" i="17" s="1"/>
  <c r="O430" i="2"/>
  <c r="C5270" i="17" s="1"/>
  <c r="L430" i="2"/>
  <c r="C430" i="17" s="1"/>
  <c r="R429" i="2"/>
  <c r="C2849" i="17" s="1"/>
  <c r="P429" i="2"/>
  <c r="C6479" i="17" s="1"/>
  <c r="O429" i="2"/>
  <c r="L429" i="2"/>
  <c r="C429" i="17" s="1"/>
  <c r="R428" i="2"/>
  <c r="C2848" i="17" s="1"/>
  <c r="P428" i="2"/>
  <c r="C6478" i="17" s="1"/>
  <c r="O428" i="2"/>
  <c r="C5268" i="17" s="1"/>
  <c r="L428" i="2"/>
  <c r="C428" i="17" s="1"/>
  <c r="R427" i="2"/>
  <c r="C2847" i="17" s="1"/>
  <c r="P427" i="2"/>
  <c r="C6477" i="17" s="1"/>
  <c r="O427" i="2"/>
  <c r="L427" i="2"/>
  <c r="C427" i="17" s="1"/>
  <c r="R426" i="2"/>
  <c r="C2846" i="17" s="1"/>
  <c r="P426" i="2"/>
  <c r="C6476" i="17" s="1"/>
  <c r="O426" i="2"/>
  <c r="C5266" i="17" s="1"/>
  <c r="L426" i="2"/>
  <c r="C426" i="17" s="1"/>
  <c r="R425" i="2"/>
  <c r="C2845" i="17" s="1"/>
  <c r="P425" i="2"/>
  <c r="C6475" i="17" s="1"/>
  <c r="O425" i="2"/>
  <c r="L425" i="2"/>
  <c r="C425" i="17" s="1"/>
  <c r="R424" i="2"/>
  <c r="C2844" i="17" s="1"/>
  <c r="P424" i="2"/>
  <c r="C6474" i="17" s="1"/>
  <c r="O424" i="2"/>
  <c r="C5264" i="17" s="1"/>
  <c r="L424" i="2"/>
  <c r="C424" i="17" s="1"/>
  <c r="R423" i="2"/>
  <c r="C2843" i="17" s="1"/>
  <c r="P423" i="2"/>
  <c r="C6473" i="17" s="1"/>
  <c r="O423" i="2"/>
  <c r="L423" i="2"/>
  <c r="C423" i="17" s="1"/>
  <c r="R422" i="2"/>
  <c r="C2842" i="17" s="1"/>
  <c r="P422" i="2"/>
  <c r="C6472" i="17" s="1"/>
  <c r="O422" i="2"/>
  <c r="C5262" i="17" s="1"/>
  <c r="L422" i="2"/>
  <c r="C422" i="17" s="1"/>
  <c r="R421" i="2"/>
  <c r="C2841" i="17" s="1"/>
  <c r="P421" i="2"/>
  <c r="C6471" i="17" s="1"/>
  <c r="O421" i="2"/>
  <c r="C5261" i="17" s="1"/>
  <c r="L421" i="2"/>
  <c r="C421" i="17" s="1"/>
  <c r="R420" i="2"/>
  <c r="C2840" i="17" s="1"/>
  <c r="P420" i="2"/>
  <c r="C6470" i="17" s="1"/>
  <c r="O420" i="2"/>
  <c r="C5260" i="17" s="1"/>
  <c r="L420" i="2"/>
  <c r="C420" i="17" s="1"/>
  <c r="R419" i="2"/>
  <c r="C2839" i="17" s="1"/>
  <c r="P419" i="2"/>
  <c r="C6469" i="17" s="1"/>
  <c r="O419" i="2"/>
  <c r="C5259" i="17" s="1"/>
  <c r="L419" i="2"/>
  <c r="C419" i="17" s="1"/>
  <c r="R418" i="2"/>
  <c r="C2838" i="17" s="1"/>
  <c r="P418" i="2"/>
  <c r="C6468" i="17" s="1"/>
  <c r="O418" i="2"/>
  <c r="C5258" i="17" s="1"/>
  <c r="L418" i="2"/>
  <c r="C418" i="17" s="1"/>
  <c r="R417" i="2"/>
  <c r="C2837" i="17" s="1"/>
  <c r="P417" i="2"/>
  <c r="C6467" i="17" s="1"/>
  <c r="O417" i="2"/>
  <c r="C5257" i="17" s="1"/>
  <c r="L417" i="2"/>
  <c r="C417" i="17" s="1"/>
  <c r="R416" i="2"/>
  <c r="C2836" i="17" s="1"/>
  <c r="P416" i="2"/>
  <c r="C6466" i="17" s="1"/>
  <c r="O416" i="2"/>
  <c r="L416" i="2"/>
  <c r="C416" i="17" s="1"/>
  <c r="R415" i="2"/>
  <c r="C2835" i="17" s="1"/>
  <c r="P415" i="2"/>
  <c r="C6465" i="17" s="1"/>
  <c r="O415" i="2"/>
  <c r="C5255" i="17" s="1"/>
  <c r="L415" i="2"/>
  <c r="C415" i="17" s="1"/>
  <c r="R414" i="2"/>
  <c r="C2834" i="17" s="1"/>
  <c r="P414" i="2"/>
  <c r="C6464" i="17" s="1"/>
  <c r="O414" i="2"/>
  <c r="L414" i="2"/>
  <c r="C414" i="17" s="1"/>
  <c r="R413" i="2"/>
  <c r="C2833" i="17" s="1"/>
  <c r="P413" i="2"/>
  <c r="C6463" i="17" s="1"/>
  <c r="O413" i="2"/>
  <c r="C5253" i="17" s="1"/>
  <c r="L413" i="2"/>
  <c r="C413" i="17" s="1"/>
  <c r="R412" i="2"/>
  <c r="C2832" i="17" s="1"/>
  <c r="P412" i="2"/>
  <c r="C6462" i="17" s="1"/>
  <c r="O412" i="2"/>
  <c r="L412" i="2"/>
  <c r="C412" i="17" s="1"/>
  <c r="R411" i="2"/>
  <c r="C2831" i="17" s="1"/>
  <c r="P411" i="2"/>
  <c r="C6461" i="17" s="1"/>
  <c r="O411" i="2"/>
  <c r="C5251" i="17" s="1"/>
  <c r="L411" i="2"/>
  <c r="C411" i="17" s="1"/>
  <c r="R410" i="2"/>
  <c r="C2830" i="17" s="1"/>
  <c r="P410" i="2"/>
  <c r="C6460" i="17" s="1"/>
  <c r="O410" i="2"/>
  <c r="C5250" i="17" s="1"/>
  <c r="L410" i="2"/>
  <c r="C410" i="17" s="1"/>
  <c r="R409" i="2"/>
  <c r="C2829" i="17" s="1"/>
  <c r="P409" i="2"/>
  <c r="C6459" i="17" s="1"/>
  <c r="O409" i="2"/>
  <c r="C5249" i="17" s="1"/>
  <c r="L409" i="2"/>
  <c r="C409" i="17" s="1"/>
  <c r="R408" i="2"/>
  <c r="C2828" i="17" s="1"/>
  <c r="P408" i="2"/>
  <c r="C6458" i="17" s="1"/>
  <c r="O408" i="2"/>
  <c r="C5248" i="17" s="1"/>
  <c r="L408" i="2"/>
  <c r="C408" i="17" s="1"/>
  <c r="R407" i="2"/>
  <c r="C2827" i="17" s="1"/>
  <c r="P407" i="2"/>
  <c r="C6457" i="17" s="1"/>
  <c r="O407" i="2"/>
  <c r="C5247" i="17" s="1"/>
  <c r="L407" i="2"/>
  <c r="C407" i="17" s="1"/>
  <c r="R406" i="2"/>
  <c r="C2826" i="17" s="1"/>
  <c r="P406" i="2"/>
  <c r="C6456" i="17" s="1"/>
  <c r="O406" i="2"/>
  <c r="C5246" i="17" s="1"/>
  <c r="L406" i="2"/>
  <c r="C406" i="17" s="1"/>
  <c r="R405" i="2"/>
  <c r="C2825" i="17" s="1"/>
  <c r="P405" i="2"/>
  <c r="C6455" i="17" s="1"/>
  <c r="O405" i="2"/>
  <c r="L405" i="2"/>
  <c r="C405" i="17" s="1"/>
  <c r="R404" i="2"/>
  <c r="C2824" i="17" s="1"/>
  <c r="P404" i="2"/>
  <c r="C6454" i="17" s="1"/>
  <c r="O404" i="2"/>
  <c r="C5244" i="17" s="1"/>
  <c r="L404" i="2"/>
  <c r="C404" i="17" s="1"/>
  <c r="R403" i="2"/>
  <c r="C2823" i="17" s="1"/>
  <c r="P403" i="2"/>
  <c r="C6453" i="17" s="1"/>
  <c r="O403" i="2"/>
  <c r="L403" i="2"/>
  <c r="C403" i="17" s="1"/>
  <c r="R402" i="2"/>
  <c r="C2822" i="17" s="1"/>
  <c r="P402" i="2"/>
  <c r="C6452" i="17" s="1"/>
  <c r="O402" i="2"/>
  <c r="C5242" i="17" s="1"/>
  <c r="L402" i="2"/>
  <c r="C402" i="17" s="1"/>
  <c r="R401" i="2"/>
  <c r="C2821" i="17" s="1"/>
  <c r="P401" i="2"/>
  <c r="C6451" i="17" s="1"/>
  <c r="O401" i="2"/>
  <c r="L401" i="2"/>
  <c r="C401" i="17" s="1"/>
  <c r="R400" i="2"/>
  <c r="C2820" i="17" s="1"/>
  <c r="P400" i="2"/>
  <c r="C6450" i="17" s="1"/>
  <c r="O400" i="2"/>
  <c r="C5240" i="17" s="1"/>
  <c r="L400" i="2"/>
  <c r="C400" i="17" s="1"/>
  <c r="R399" i="2"/>
  <c r="C2819" i="17" s="1"/>
  <c r="P399" i="2"/>
  <c r="C6449" i="17" s="1"/>
  <c r="O399" i="2"/>
  <c r="L399" i="2"/>
  <c r="C399" i="17" s="1"/>
  <c r="R398" i="2"/>
  <c r="C2818" i="17" s="1"/>
  <c r="P398" i="2"/>
  <c r="C6448" i="17" s="1"/>
  <c r="O398" i="2"/>
  <c r="C5238" i="17" s="1"/>
  <c r="L398" i="2"/>
  <c r="C398" i="17" s="1"/>
  <c r="R397" i="2"/>
  <c r="C2817" i="17" s="1"/>
  <c r="P397" i="2"/>
  <c r="C6447" i="17" s="1"/>
  <c r="O397" i="2"/>
  <c r="C5237" i="17" s="1"/>
  <c r="L397" i="2"/>
  <c r="C397" i="17" s="1"/>
  <c r="R396" i="2"/>
  <c r="C2816" i="17" s="1"/>
  <c r="P396" i="2"/>
  <c r="C6446" i="17" s="1"/>
  <c r="O396" i="2"/>
  <c r="C5236" i="17" s="1"/>
  <c r="L396" i="2"/>
  <c r="C396" i="17" s="1"/>
  <c r="R395" i="2"/>
  <c r="C2815" i="17" s="1"/>
  <c r="P395" i="2"/>
  <c r="C6445" i="17" s="1"/>
  <c r="O395" i="2"/>
  <c r="C5235" i="17" s="1"/>
  <c r="L395" i="2"/>
  <c r="C395" i="17" s="1"/>
  <c r="R394" i="2"/>
  <c r="C2814" i="17" s="1"/>
  <c r="P394" i="2"/>
  <c r="C6444" i="17" s="1"/>
  <c r="O394" i="2"/>
  <c r="C5234" i="17" s="1"/>
  <c r="L394" i="2"/>
  <c r="C394" i="17" s="1"/>
  <c r="R393" i="2"/>
  <c r="C2813" i="17" s="1"/>
  <c r="P393" i="2"/>
  <c r="C6443" i="17" s="1"/>
  <c r="O393" i="2"/>
  <c r="C5233" i="17" s="1"/>
  <c r="L393" i="2"/>
  <c r="C393" i="17" s="1"/>
  <c r="R392" i="2"/>
  <c r="C2812" i="17" s="1"/>
  <c r="P392" i="2"/>
  <c r="C6442" i="17" s="1"/>
  <c r="O392" i="2"/>
  <c r="L392" i="2"/>
  <c r="C392" i="17" s="1"/>
  <c r="R391" i="2"/>
  <c r="C2811" i="17" s="1"/>
  <c r="P391" i="2"/>
  <c r="C6441" i="17" s="1"/>
  <c r="O391" i="2"/>
  <c r="C5231" i="17" s="1"/>
  <c r="L391" i="2"/>
  <c r="C391" i="17" s="1"/>
  <c r="R390" i="2"/>
  <c r="C2810" i="17" s="1"/>
  <c r="P390" i="2"/>
  <c r="C6440" i="17" s="1"/>
  <c r="O390" i="2"/>
  <c r="L390" i="2"/>
  <c r="C390" i="17" s="1"/>
  <c r="R389" i="2"/>
  <c r="C2809" i="17" s="1"/>
  <c r="P389" i="2"/>
  <c r="C6439" i="17" s="1"/>
  <c r="O389" i="2"/>
  <c r="C5229" i="17" s="1"/>
  <c r="L389" i="2"/>
  <c r="C389" i="17" s="1"/>
  <c r="R388" i="2"/>
  <c r="C2808" i="17" s="1"/>
  <c r="P388" i="2"/>
  <c r="C6438" i="17" s="1"/>
  <c r="O388" i="2"/>
  <c r="L388" i="2"/>
  <c r="C388" i="17" s="1"/>
  <c r="R387" i="2"/>
  <c r="C2807" i="17" s="1"/>
  <c r="P387" i="2"/>
  <c r="C6437" i="17" s="1"/>
  <c r="O387" i="2"/>
  <c r="C5227" i="17" s="1"/>
  <c r="L387" i="2"/>
  <c r="C387" i="17" s="1"/>
  <c r="R386" i="2"/>
  <c r="C2806" i="17" s="1"/>
  <c r="P386" i="2"/>
  <c r="C6436" i="17" s="1"/>
  <c r="O386" i="2"/>
  <c r="C5226" i="17" s="1"/>
  <c r="L386" i="2"/>
  <c r="C386" i="17" s="1"/>
  <c r="R385" i="2"/>
  <c r="C2805" i="17" s="1"/>
  <c r="P385" i="2"/>
  <c r="C6435" i="17" s="1"/>
  <c r="O385" i="2"/>
  <c r="C5225" i="17" s="1"/>
  <c r="L385" i="2"/>
  <c r="C385" i="17" s="1"/>
  <c r="R384" i="2"/>
  <c r="C2804" i="17" s="1"/>
  <c r="P384" i="2"/>
  <c r="C6434" i="17" s="1"/>
  <c r="O384" i="2"/>
  <c r="C5224" i="17" s="1"/>
  <c r="L384" i="2"/>
  <c r="C384" i="17" s="1"/>
  <c r="R383" i="2"/>
  <c r="C2803" i="17" s="1"/>
  <c r="P383" i="2"/>
  <c r="C6433" i="17" s="1"/>
  <c r="O383" i="2"/>
  <c r="C5223" i="17" s="1"/>
  <c r="L383" i="2"/>
  <c r="C383" i="17" s="1"/>
  <c r="R382" i="2"/>
  <c r="C2802" i="17" s="1"/>
  <c r="P382" i="2"/>
  <c r="C6432" i="17" s="1"/>
  <c r="O382" i="2"/>
  <c r="C5222" i="17" s="1"/>
  <c r="L382" i="2"/>
  <c r="C382" i="17" s="1"/>
  <c r="R381" i="2"/>
  <c r="C2801" i="17" s="1"/>
  <c r="P381" i="2"/>
  <c r="C6431" i="17" s="1"/>
  <c r="O381" i="2"/>
  <c r="L381" i="2"/>
  <c r="C381" i="17" s="1"/>
  <c r="R380" i="2"/>
  <c r="C2800" i="17" s="1"/>
  <c r="P380" i="2"/>
  <c r="C6430" i="17" s="1"/>
  <c r="O380" i="2"/>
  <c r="C5220" i="17" s="1"/>
  <c r="L380" i="2"/>
  <c r="C380" i="17" s="1"/>
  <c r="R379" i="2"/>
  <c r="C2799" i="17" s="1"/>
  <c r="P379" i="2"/>
  <c r="C6429" i="17" s="1"/>
  <c r="O379" i="2"/>
  <c r="L379" i="2"/>
  <c r="C379" i="17" s="1"/>
  <c r="R378" i="2"/>
  <c r="C2798" i="17" s="1"/>
  <c r="P378" i="2"/>
  <c r="C6428" i="17" s="1"/>
  <c r="O378" i="2"/>
  <c r="C5218" i="17" s="1"/>
  <c r="L378" i="2"/>
  <c r="C378" i="17" s="1"/>
  <c r="R377" i="2"/>
  <c r="C2797" i="17" s="1"/>
  <c r="P377" i="2"/>
  <c r="C6427" i="17" s="1"/>
  <c r="O377" i="2"/>
  <c r="L377" i="2"/>
  <c r="C377" i="17" s="1"/>
  <c r="R376" i="2"/>
  <c r="C2796" i="17" s="1"/>
  <c r="P376" i="2"/>
  <c r="C6426" i="17" s="1"/>
  <c r="O376" i="2"/>
  <c r="C5216" i="17" s="1"/>
  <c r="L376" i="2"/>
  <c r="C376" i="17" s="1"/>
  <c r="R375" i="2"/>
  <c r="C2795" i="17" s="1"/>
  <c r="P375" i="2"/>
  <c r="C6425" i="17" s="1"/>
  <c r="O375" i="2"/>
  <c r="L375" i="2"/>
  <c r="C375" i="17" s="1"/>
  <c r="R374" i="2"/>
  <c r="C2794" i="17" s="1"/>
  <c r="P374" i="2"/>
  <c r="C6424" i="17" s="1"/>
  <c r="O374" i="2"/>
  <c r="C5214" i="17" s="1"/>
  <c r="L374" i="2"/>
  <c r="C374" i="17" s="1"/>
  <c r="R373" i="2"/>
  <c r="C2793" i="17" s="1"/>
  <c r="P373" i="2"/>
  <c r="C6423" i="17" s="1"/>
  <c r="O373" i="2"/>
  <c r="C5213" i="17" s="1"/>
  <c r="L373" i="2"/>
  <c r="C373" i="17" s="1"/>
  <c r="R372" i="2"/>
  <c r="C2792" i="17" s="1"/>
  <c r="P372" i="2"/>
  <c r="C6422" i="17" s="1"/>
  <c r="O372" i="2"/>
  <c r="C5212" i="17" s="1"/>
  <c r="L372" i="2"/>
  <c r="C372" i="17" s="1"/>
  <c r="R371" i="2"/>
  <c r="C2791" i="17" s="1"/>
  <c r="P371" i="2"/>
  <c r="C6421" i="17" s="1"/>
  <c r="O371" i="2"/>
  <c r="C5211" i="17" s="1"/>
  <c r="L371" i="2"/>
  <c r="C371" i="17" s="1"/>
  <c r="R370" i="2"/>
  <c r="C2790" i="17" s="1"/>
  <c r="P370" i="2"/>
  <c r="C6420" i="17" s="1"/>
  <c r="O370" i="2"/>
  <c r="C5210" i="17" s="1"/>
  <c r="L370" i="2"/>
  <c r="C370" i="17" s="1"/>
  <c r="R369" i="2"/>
  <c r="C2789" i="17" s="1"/>
  <c r="P369" i="2"/>
  <c r="C6419" i="17" s="1"/>
  <c r="O369" i="2"/>
  <c r="C5209" i="17" s="1"/>
  <c r="L369" i="2"/>
  <c r="C369" i="17" s="1"/>
  <c r="R368" i="2"/>
  <c r="C2788" i="17" s="1"/>
  <c r="P368" i="2"/>
  <c r="C6418" i="17" s="1"/>
  <c r="O368" i="2"/>
  <c r="L368" i="2"/>
  <c r="C368" i="17" s="1"/>
  <c r="R367" i="2"/>
  <c r="C2787" i="17" s="1"/>
  <c r="P367" i="2"/>
  <c r="C6417" i="17" s="1"/>
  <c r="O367" i="2"/>
  <c r="C5207" i="17" s="1"/>
  <c r="L367" i="2"/>
  <c r="C367" i="17" s="1"/>
  <c r="R366" i="2"/>
  <c r="C2786" i="17" s="1"/>
  <c r="P366" i="2"/>
  <c r="C6416" i="17" s="1"/>
  <c r="O366" i="2"/>
  <c r="L366" i="2"/>
  <c r="C366" i="17" s="1"/>
  <c r="R365" i="2"/>
  <c r="C2785" i="17" s="1"/>
  <c r="P365" i="2"/>
  <c r="C6415" i="17" s="1"/>
  <c r="O365" i="2"/>
  <c r="C5205" i="17" s="1"/>
  <c r="L365" i="2"/>
  <c r="C365" i="17" s="1"/>
  <c r="R364" i="2"/>
  <c r="C2784" i="17" s="1"/>
  <c r="P364" i="2"/>
  <c r="C6414" i="17" s="1"/>
  <c r="O364" i="2"/>
  <c r="L364" i="2"/>
  <c r="C364" i="17" s="1"/>
  <c r="R363" i="2"/>
  <c r="C2783" i="17" s="1"/>
  <c r="P363" i="2"/>
  <c r="C6413" i="17" s="1"/>
  <c r="O363" i="2"/>
  <c r="C5203" i="17" s="1"/>
  <c r="L363" i="2"/>
  <c r="C363" i="17" s="1"/>
  <c r="R362" i="2"/>
  <c r="C2782" i="17" s="1"/>
  <c r="P362" i="2"/>
  <c r="C6412" i="17" s="1"/>
  <c r="O362" i="2"/>
  <c r="C5202" i="17" s="1"/>
  <c r="L362" i="2"/>
  <c r="C362" i="17" s="1"/>
  <c r="R361" i="2"/>
  <c r="C2781" i="17" s="1"/>
  <c r="P361" i="2"/>
  <c r="C6411" i="17" s="1"/>
  <c r="O361" i="2"/>
  <c r="C5201" i="17" s="1"/>
  <c r="L361" i="2"/>
  <c r="C361" i="17" s="1"/>
  <c r="R360" i="2"/>
  <c r="C2780" i="17" s="1"/>
  <c r="P360" i="2"/>
  <c r="C6410" i="17" s="1"/>
  <c r="O360" i="2"/>
  <c r="C5200" i="17" s="1"/>
  <c r="L360" i="2"/>
  <c r="C360" i="17" s="1"/>
  <c r="R359" i="2"/>
  <c r="C2779" i="17" s="1"/>
  <c r="P359" i="2"/>
  <c r="C6409" i="17" s="1"/>
  <c r="O359" i="2"/>
  <c r="C5199" i="17" s="1"/>
  <c r="L359" i="2"/>
  <c r="C359" i="17" s="1"/>
  <c r="R358" i="2"/>
  <c r="C2778" i="17" s="1"/>
  <c r="P358" i="2"/>
  <c r="C6408" i="17" s="1"/>
  <c r="O358" i="2"/>
  <c r="C5198" i="17" s="1"/>
  <c r="L358" i="2"/>
  <c r="C358" i="17" s="1"/>
  <c r="R357" i="2"/>
  <c r="C2777" i="17" s="1"/>
  <c r="P357" i="2"/>
  <c r="C6407" i="17" s="1"/>
  <c r="O357" i="2"/>
  <c r="L357" i="2"/>
  <c r="C357" i="17" s="1"/>
  <c r="R356" i="2"/>
  <c r="C2776" i="17" s="1"/>
  <c r="P356" i="2"/>
  <c r="C6406" i="17" s="1"/>
  <c r="O356" i="2"/>
  <c r="C5196" i="17" s="1"/>
  <c r="L356" i="2"/>
  <c r="C356" i="17" s="1"/>
  <c r="R355" i="2"/>
  <c r="C2775" i="17" s="1"/>
  <c r="P355" i="2"/>
  <c r="C6405" i="17" s="1"/>
  <c r="O355" i="2"/>
  <c r="L355" i="2"/>
  <c r="C355" i="17" s="1"/>
  <c r="R354" i="2"/>
  <c r="C2774" i="17" s="1"/>
  <c r="P354" i="2"/>
  <c r="C6404" i="17" s="1"/>
  <c r="O354" i="2"/>
  <c r="C5194" i="17" s="1"/>
  <c r="L354" i="2"/>
  <c r="C354" i="17" s="1"/>
  <c r="R353" i="2"/>
  <c r="C2773" i="17" s="1"/>
  <c r="P353" i="2"/>
  <c r="C6403" i="17" s="1"/>
  <c r="O353" i="2"/>
  <c r="L353" i="2"/>
  <c r="C353" i="17" s="1"/>
  <c r="R352" i="2"/>
  <c r="C2772" i="17" s="1"/>
  <c r="P352" i="2"/>
  <c r="C6402" i="17" s="1"/>
  <c r="O352" i="2"/>
  <c r="C5192" i="17" s="1"/>
  <c r="L352" i="2"/>
  <c r="C352" i="17" s="1"/>
  <c r="R351" i="2"/>
  <c r="C2771" i="17" s="1"/>
  <c r="P351" i="2"/>
  <c r="C6401" i="17" s="1"/>
  <c r="O351" i="2"/>
  <c r="L351" i="2"/>
  <c r="C351" i="17" s="1"/>
  <c r="R350" i="2"/>
  <c r="C2770" i="17" s="1"/>
  <c r="P350" i="2"/>
  <c r="C6400" i="17" s="1"/>
  <c r="O350" i="2"/>
  <c r="C5190" i="17" s="1"/>
  <c r="L350" i="2"/>
  <c r="C350" i="17" s="1"/>
  <c r="R349" i="2"/>
  <c r="C2769" i="17" s="1"/>
  <c r="P349" i="2"/>
  <c r="C6399" i="17" s="1"/>
  <c r="O349" i="2"/>
  <c r="C5189" i="17" s="1"/>
  <c r="L349" i="2"/>
  <c r="C349" i="17" s="1"/>
  <c r="R348" i="2"/>
  <c r="C2768" i="17" s="1"/>
  <c r="P348" i="2"/>
  <c r="C6398" i="17" s="1"/>
  <c r="O348" i="2"/>
  <c r="C5188" i="17" s="1"/>
  <c r="L348" i="2"/>
  <c r="C348" i="17" s="1"/>
  <c r="R347" i="2"/>
  <c r="C2767" i="17" s="1"/>
  <c r="P347" i="2"/>
  <c r="C6397" i="17" s="1"/>
  <c r="O347" i="2"/>
  <c r="C5187" i="17" s="1"/>
  <c r="L347" i="2"/>
  <c r="C347" i="17" s="1"/>
  <c r="R346" i="2"/>
  <c r="C2766" i="17" s="1"/>
  <c r="P346" i="2"/>
  <c r="C6396" i="17" s="1"/>
  <c r="O346" i="2"/>
  <c r="C5186" i="17" s="1"/>
  <c r="L346" i="2"/>
  <c r="C346" i="17" s="1"/>
  <c r="R345" i="2"/>
  <c r="C2765" i="17" s="1"/>
  <c r="P345" i="2"/>
  <c r="C6395" i="17" s="1"/>
  <c r="O345" i="2"/>
  <c r="C5185" i="17" s="1"/>
  <c r="L345" i="2"/>
  <c r="C345" i="17" s="1"/>
  <c r="R344" i="2"/>
  <c r="C2764" i="17" s="1"/>
  <c r="P344" i="2"/>
  <c r="C6394" i="17" s="1"/>
  <c r="O344" i="2"/>
  <c r="L344" i="2"/>
  <c r="C344" i="17" s="1"/>
  <c r="R343" i="2"/>
  <c r="C2763" i="17" s="1"/>
  <c r="P343" i="2"/>
  <c r="C6393" i="17" s="1"/>
  <c r="O343" i="2"/>
  <c r="C5183" i="17" s="1"/>
  <c r="L343" i="2"/>
  <c r="C343" i="17" s="1"/>
  <c r="R342" i="2"/>
  <c r="C2762" i="17" s="1"/>
  <c r="P342" i="2"/>
  <c r="C6392" i="17" s="1"/>
  <c r="O342" i="2"/>
  <c r="L342" i="2"/>
  <c r="C342" i="17" s="1"/>
  <c r="R341" i="2"/>
  <c r="C2761" i="17" s="1"/>
  <c r="P341" i="2"/>
  <c r="C6391" i="17" s="1"/>
  <c r="O341" i="2"/>
  <c r="C5181" i="17" s="1"/>
  <c r="L341" i="2"/>
  <c r="C341" i="17" s="1"/>
  <c r="R340" i="2"/>
  <c r="C2760" i="17" s="1"/>
  <c r="P340" i="2"/>
  <c r="C6390" i="17" s="1"/>
  <c r="O340" i="2"/>
  <c r="L340" i="2"/>
  <c r="C340" i="17" s="1"/>
  <c r="R339" i="2"/>
  <c r="C2759" i="17" s="1"/>
  <c r="P339" i="2"/>
  <c r="C6389" i="17" s="1"/>
  <c r="O339" i="2"/>
  <c r="C5179" i="17" s="1"/>
  <c r="L339" i="2"/>
  <c r="C339" i="17" s="1"/>
  <c r="R338" i="2"/>
  <c r="C2758" i="17" s="1"/>
  <c r="P338" i="2"/>
  <c r="C6388" i="17" s="1"/>
  <c r="O338" i="2"/>
  <c r="C5178" i="17" s="1"/>
  <c r="L338" i="2"/>
  <c r="C338" i="17" s="1"/>
  <c r="R337" i="2"/>
  <c r="C2757" i="17" s="1"/>
  <c r="P337" i="2"/>
  <c r="C6387" i="17" s="1"/>
  <c r="O337" i="2"/>
  <c r="C5177" i="17" s="1"/>
  <c r="L337" i="2"/>
  <c r="C337" i="17" s="1"/>
  <c r="R336" i="2"/>
  <c r="C2756" i="17" s="1"/>
  <c r="P336" i="2"/>
  <c r="C6386" i="17" s="1"/>
  <c r="O336" i="2"/>
  <c r="C5176" i="17" s="1"/>
  <c r="L336" i="2"/>
  <c r="C336" i="17" s="1"/>
  <c r="R335" i="2"/>
  <c r="C2755" i="17" s="1"/>
  <c r="P335" i="2"/>
  <c r="C6385" i="17" s="1"/>
  <c r="O335" i="2"/>
  <c r="C5175" i="17" s="1"/>
  <c r="L335" i="2"/>
  <c r="C335" i="17" s="1"/>
  <c r="R334" i="2"/>
  <c r="C2754" i="17" s="1"/>
  <c r="P334" i="2"/>
  <c r="C6384" i="17" s="1"/>
  <c r="O334" i="2"/>
  <c r="C5174" i="17" s="1"/>
  <c r="L334" i="2"/>
  <c r="C334" i="17" s="1"/>
  <c r="R333" i="2"/>
  <c r="C2753" i="17" s="1"/>
  <c r="P333" i="2"/>
  <c r="C6383" i="17" s="1"/>
  <c r="O333" i="2"/>
  <c r="L333" i="2"/>
  <c r="C333" i="17" s="1"/>
  <c r="R332" i="2"/>
  <c r="C2752" i="17" s="1"/>
  <c r="P332" i="2"/>
  <c r="C6382" i="17" s="1"/>
  <c r="O332" i="2"/>
  <c r="C5172" i="17" s="1"/>
  <c r="L332" i="2"/>
  <c r="C332" i="17" s="1"/>
  <c r="R331" i="2"/>
  <c r="C2751" i="17" s="1"/>
  <c r="P331" i="2"/>
  <c r="C6381" i="17" s="1"/>
  <c r="O331" i="2"/>
  <c r="L331" i="2"/>
  <c r="C331" i="17" s="1"/>
  <c r="R330" i="2"/>
  <c r="C2750" i="17" s="1"/>
  <c r="P330" i="2"/>
  <c r="C6380" i="17" s="1"/>
  <c r="O330" i="2"/>
  <c r="C5170" i="17" s="1"/>
  <c r="L330" i="2"/>
  <c r="C330" i="17" s="1"/>
  <c r="R329" i="2"/>
  <c r="C2749" i="17" s="1"/>
  <c r="P329" i="2"/>
  <c r="C6379" i="17" s="1"/>
  <c r="O329" i="2"/>
  <c r="L329" i="2"/>
  <c r="C329" i="17" s="1"/>
  <c r="R328" i="2"/>
  <c r="C2748" i="17" s="1"/>
  <c r="P328" i="2"/>
  <c r="C6378" i="17" s="1"/>
  <c r="O328" i="2"/>
  <c r="C5168" i="17" s="1"/>
  <c r="L328" i="2"/>
  <c r="C328" i="17" s="1"/>
  <c r="R327" i="2"/>
  <c r="C2747" i="17" s="1"/>
  <c r="P327" i="2"/>
  <c r="C6377" i="17" s="1"/>
  <c r="O327" i="2"/>
  <c r="L327" i="2"/>
  <c r="C327" i="17" s="1"/>
  <c r="R326" i="2"/>
  <c r="C2746" i="17" s="1"/>
  <c r="P326" i="2"/>
  <c r="C6376" i="17" s="1"/>
  <c r="O326" i="2"/>
  <c r="C5166" i="17" s="1"/>
  <c r="L326" i="2"/>
  <c r="C326" i="17" s="1"/>
  <c r="R325" i="2"/>
  <c r="C2745" i="17" s="1"/>
  <c r="P325" i="2"/>
  <c r="C6375" i="17" s="1"/>
  <c r="O325" i="2"/>
  <c r="C5165" i="17" s="1"/>
  <c r="L325" i="2"/>
  <c r="C325" i="17" s="1"/>
  <c r="R324" i="2"/>
  <c r="C2744" i="17" s="1"/>
  <c r="P324" i="2"/>
  <c r="C6374" i="17" s="1"/>
  <c r="O324" i="2"/>
  <c r="C5164" i="17" s="1"/>
  <c r="L324" i="2"/>
  <c r="C324" i="17" s="1"/>
  <c r="R323" i="2"/>
  <c r="C2743" i="17" s="1"/>
  <c r="P323" i="2"/>
  <c r="C6373" i="17" s="1"/>
  <c r="O323" i="2"/>
  <c r="C5163" i="17" s="1"/>
  <c r="L323" i="2"/>
  <c r="C323" i="17" s="1"/>
  <c r="R322" i="2"/>
  <c r="C2742" i="17" s="1"/>
  <c r="P322" i="2"/>
  <c r="C6372" i="17" s="1"/>
  <c r="O322" i="2"/>
  <c r="C5162" i="17" s="1"/>
  <c r="L322" i="2"/>
  <c r="C322" i="17" s="1"/>
  <c r="R321" i="2"/>
  <c r="C2741" i="17" s="1"/>
  <c r="P321" i="2"/>
  <c r="C6371" i="17" s="1"/>
  <c r="O321" i="2"/>
  <c r="C5161" i="17" s="1"/>
  <c r="L321" i="2"/>
  <c r="C321" i="17" s="1"/>
  <c r="R320" i="2"/>
  <c r="C2740" i="17" s="1"/>
  <c r="P320" i="2"/>
  <c r="C6370" i="17" s="1"/>
  <c r="O320" i="2"/>
  <c r="L320" i="2"/>
  <c r="C320" i="17" s="1"/>
  <c r="R319" i="2"/>
  <c r="C2739" i="17" s="1"/>
  <c r="P319" i="2"/>
  <c r="C6369" i="17" s="1"/>
  <c r="O319" i="2"/>
  <c r="C5159" i="17" s="1"/>
  <c r="L319" i="2"/>
  <c r="C319" i="17" s="1"/>
  <c r="R318" i="2"/>
  <c r="C2738" i="17" s="1"/>
  <c r="P318" i="2"/>
  <c r="C6368" i="17" s="1"/>
  <c r="O318" i="2"/>
  <c r="L318" i="2"/>
  <c r="C318" i="17" s="1"/>
  <c r="R317" i="2"/>
  <c r="C2737" i="17" s="1"/>
  <c r="P317" i="2"/>
  <c r="C6367" i="17" s="1"/>
  <c r="O317" i="2"/>
  <c r="C5157" i="17" s="1"/>
  <c r="L317" i="2"/>
  <c r="C317" i="17" s="1"/>
  <c r="R316" i="2"/>
  <c r="C2736" i="17" s="1"/>
  <c r="P316" i="2"/>
  <c r="C6366" i="17" s="1"/>
  <c r="O316" i="2"/>
  <c r="L316" i="2"/>
  <c r="C316" i="17" s="1"/>
  <c r="R315" i="2"/>
  <c r="C2735" i="17" s="1"/>
  <c r="P315" i="2"/>
  <c r="C6365" i="17" s="1"/>
  <c r="O315" i="2"/>
  <c r="C5155" i="17" s="1"/>
  <c r="L315" i="2"/>
  <c r="C315" i="17" s="1"/>
  <c r="R314" i="2"/>
  <c r="C2734" i="17" s="1"/>
  <c r="P314" i="2"/>
  <c r="C6364" i="17" s="1"/>
  <c r="O314" i="2"/>
  <c r="C5154" i="17" s="1"/>
  <c r="L314" i="2"/>
  <c r="C314" i="17" s="1"/>
  <c r="R313" i="2"/>
  <c r="C2733" i="17" s="1"/>
  <c r="P313" i="2"/>
  <c r="C6363" i="17" s="1"/>
  <c r="O313" i="2"/>
  <c r="C5153" i="17" s="1"/>
  <c r="L313" i="2"/>
  <c r="C313" i="17" s="1"/>
  <c r="R312" i="2"/>
  <c r="C2732" i="17" s="1"/>
  <c r="P312" i="2"/>
  <c r="C6362" i="17" s="1"/>
  <c r="O312" i="2"/>
  <c r="C5152" i="17" s="1"/>
  <c r="L312" i="2"/>
  <c r="C312" i="17" s="1"/>
  <c r="R311" i="2"/>
  <c r="C2731" i="17" s="1"/>
  <c r="P311" i="2"/>
  <c r="C6361" i="17" s="1"/>
  <c r="O311" i="2"/>
  <c r="C5151" i="17" s="1"/>
  <c r="L311" i="2"/>
  <c r="C311" i="17" s="1"/>
  <c r="R310" i="2"/>
  <c r="C2730" i="17" s="1"/>
  <c r="P310" i="2"/>
  <c r="C6360" i="17" s="1"/>
  <c r="O310" i="2"/>
  <c r="C5150" i="17" s="1"/>
  <c r="L310" i="2"/>
  <c r="C310" i="17" s="1"/>
  <c r="R309" i="2"/>
  <c r="C2729" i="17" s="1"/>
  <c r="P309" i="2"/>
  <c r="C6359" i="17" s="1"/>
  <c r="O309" i="2"/>
  <c r="L309" i="2"/>
  <c r="C309" i="17" s="1"/>
  <c r="R308" i="2"/>
  <c r="C2728" i="17" s="1"/>
  <c r="P308" i="2"/>
  <c r="C6358" i="17" s="1"/>
  <c r="O308" i="2"/>
  <c r="C5148" i="17" s="1"/>
  <c r="L308" i="2"/>
  <c r="C308" i="17" s="1"/>
  <c r="R307" i="2"/>
  <c r="C2727" i="17" s="1"/>
  <c r="P307" i="2"/>
  <c r="C6357" i="17" s="1"/>
  <c r="O307" i="2"/>
  <c r="L307" i="2"/>
  <c r="C307" i="17" s="1"/>
  <c r="R306" i="2"/>
  <c r="C2726" i="17" s="1"/>
  <c r="P306" i="2"/>
  <c r="C6356" i="17" s="1"/>
  <c r="O306" i="2"/>
  <c r="C5146" i="17" s="1"/>
  <c r="L306" i="2"/>
  <c r="C306" i="17" s="1"/>
  <c r="R305" i="2"/>
  <c r="C2725" i="17" s="1"/>
  <c r="P305" i="2"/>
  <c r="C6355" i="17" s="1"/>
  <c r="O305" i="2"/>
  <c r="L305" i="2"/>
  <c r="C305" i="17" s="1"/>
  <c r="R304" i="2"/>
  <c r="C2724" i="17" s="1"/>
  <c r="P304" i="2"/>
  <c r="C6354" i="17" s="1"/>
  <c r="O304" i="2"/>
  <c r="C5144" i="17" s="1"/>
  <c r="L304" i="2"/>
  <c r="C304" i="17" s="1"/>
  <c r="R303" i="2"/>
  <c r="C2723" i="17" s="1"/>
  <c r="P303" i="2"/>
  <c r="C6353" i="17" s="1"/>
  <c r="O303" i="2"/>
  <c r="L303" i="2"/>
  <c r="C303" i="17" s="1"/>
  <c r="R302" i="2"/>
  <c r="C2722" i="17" s="1"/>
  <c r="P302" i="2"/>
  <c r="C6352" i="17" s="1"/>
  <c r="O302" i="2"/>
  <c r="C5142" i="17" s="1"/>
  <c r="L302" i="2"/>
  <c r="C302" i="17" s="1"/>
  <c r="R301" i="2"/>
  <c r="C2721" i="17" s="1"/>
  <c r="P301" i="2"/>
  <c r="C6351" i="17" s="1"/>
  <c r="O301" i="2"/>
  <c r="C5141" i="17" s="1"/>
  <c r="L301" i="2"/>
  <c r="C301" i="17" s="1"/>
  <c r="R300" i="2"/>
  <c r="C2720" i="17" s="1"/>
  <c r="P300" i="2"/>
  <c r="C6350" i="17" s="1"/>
  <c r="O300" i="2"/>
  <c r="C5140" i="17" s="1"/>
  <c r="L300" i="2"/>
  <c r="C300" i="17" s="1"/>
  <c r="R299" i="2"/>
  <c r="C2719" i="17" s="1"/>
  <c r="P299" i="2"/>
  <c r="C6349" i="17" s="1"/>
  <c r="O299" i="2"/>
  <c r="C5139" i="17" s="1"/>
  <c r="L299" i="2"/>
  <c r="C299" i="17" s="1"/>
  <c r="R298" i="2"/>
  <c r="C2718" i="17" s="1"/>
  <c r="P298" i="2"/>
  <c r="C6348" i="17" s="1"/>
  <c r="O298" i="2"/>
  <c r="C5138" i="17" s="1"/>
  <c r="L298" i="2"/>
  <c r="C298" i="17" s="1"/>
  <c r="R297" i="2"/>
  <c r="C2717" i="17" s="1"/>
  <c r="P297" i="2"/>
  <c r="C6347" i="17" s="1"/>
  <c r="O297" i="2"/>
  <c r="C5137" i="17" s="1"/>
  <c r="L297" i="2"/>
  <c r="C297" i="17" s="1"/>
  <c r="R296" i="2"/>
  <c r="C2716" i="17" s="1"/>
  <c r="P296" i="2"/>
  <c r="C6346" i="17" s="1"/>
  <c r="O296" i="2"/>
  <c r="L296" i="2"/>
  <c r="C296" i="17" s="1"/>
  <c r="R295" i="2"/>
  <c r="C2715" i="17" s="1"/>
  <c r="P295" i="2"/>
  <c r="C6345" i="17" s="1"/>
  <c r="O295" i="2"/>
  <c r="C5135" i="17" s="1"/>
  <c r="L295" i="2"/>
  <c r="C295" i="17" s="1"/>
  <c r="R294" i="2"/>
  <c r="C2714" i="17" s="1"/>
  <c r="P294" i="2"/>
  <c r="C6344" i="17" s="1"/>
  <c r="O294" i="2"/>
  <c r="L294" i="2"/>
  <c r="C294" i="17" s="1"/>
  <c r="R293" i="2"/>
  <c r="C2713" i="17" s="1"/>
  <c r="P293" i="2"/>
  <c r="C6343" i="17" s="1"/>
  <c r="O293" i="2"/>
  <c r="C5133" i="17" s="1"/>
  <c r="L293" i="2"/>
  <c r="C293" i="17" s="1"/>
  <c r="R292" i="2"/>
  <c r="C2712" i="17" s="1"/>
  <c r="P292" i="2"/>
  <c r="C6342" i="17" s="1"/>
  <c r="O292" i="2"/>
  <c r="L292" i="2"/>
  <c r="C292" i="17" s="1"/>
  <c r="R291" i="2"/>
  <c r="C2711" i="17" s="1"/>
  <c r="P291" i="2"/>
  <c r="C6341" i="17" s="1"/>
  <c r="O291" i="2"/>
  <c r="C5131" i="17" s="1"/>
  <c r="L291" i="2"/>
  <c r="C291" i="17" s="1"/>
  <c r="R290" i="2"/>
  <c r="C2710" i="17" s="1"/>
  <c r="P290" i="2"/>
  <c r="C6340" i="17" s="1"/>
  <c r="O290" i="2"/>
  <c r="C5130" i="17" s="1"/>
  <c r="L290" i="2"/>
  <c r="C290" i="17" s="1"/>
  <c r="R289" i="2"/>
  <c r="C2709" i="17" s="1"/>
  <c r="P289" i="2"/>
  <c r="C6339" i="17" s="1"/>
  <c r="O289" i="2"/>
  <c r="C5129" i="17" s="1"/>
  <c r="L289" i="2"/>
  <c r="C289" i="17" s="1"/>
  <c r="R288" i="2"/>
  <c r="C2708" i="17" s="1"/>
  <c r="P288" i="2"/>
  <c r="C6338" i="17" s="1"/>
  <c r="O288" i="2"/>
  <c r="C5128" i="17" s="1"/>
  <c r="L288" i="2"/>
  <c r="C288" i="17" s="1"/>
  <c r="R287" i="2"/>
  <c r="C2707" i="17" s="1"/>
  <c r="P287" i="2"/>
  <c r="C6337" i="17" s="1"/>
  <c r="O287" i="2"/>
  <c r="C5127" i="17" s="1"/>
  <c r="L287" i="2"/>
  <c r="C287" i="17" s="1"/>
  <c r="R286" i="2"/>
  <c r="C2706" i="17" s="1"/>
  <c r="P286" i="2"/>
  <c r="C6336" i="17" s="1"/>
  <c r="O286" i="2"/>
  <c r="C5126" i="17" s="1"/>
  <c r="L286" i="2"/>
  <c r="C286" i="17" s="1"/>
  <c r="R285" i="2"/>
  <c r="C2705" i="17" s="1"/>
  <c r="P285" i="2"/>
  <c r="C6335" i="17" s="1"/>
  <c r="O285" i="2"/>
  <c r="L285" i="2"/>
  <c r="C285" i="17" s="1"/>
  <c r="R284" i="2"/>
  <c r="C2704" i="17" s="1"/>
  <c r="P284" i="2"/>
  <c r="C6334" i="17" s="1"/>
  <c r="O284" i="2"/>
  <c r="C5124" i="17" s="1"/>
  <c r="L284" i="2"/>
  <c r="C284" i="17" s="1"/>
  <c r="R283" i="2"/>
  <c r="C2703" i="17" s="1"/>
  <c r="P283" i="2"/>
  <c r="C6333" i="17" s="1"/>
  <c r="O283" i="2"/>
  <c r="L283" i="2"/>
  <c r="C283" i="17" s="1"/>
  <c r="R282" i="2"/>
  <c r="C2702" i="17" s="1"/>
  <c r="P282" i="2"/>
  <c r="C6332" i="17" s="1"/>
  <c r="O282" i="2"/>
  <c r="C5122" i="17" s="1"/>
  <c r="L282" i="2"/>
  <c r="C282" i="17" s="1"/>
  <c r="R281" i="2"/>
  <c r="C2701" i="17" s="1"/>
  <c r="P281" i="2"/>
  <c r="C6331" i="17" s="1"/>
  <c r="O281" i="2"/>
  <c r="L281" i="2"/>
  <c r="C281" i="17" s="1"/>
  <c r="R280" i="2"/>
  <c r="C2700" i="17" s="1"/>
  <c r="P280" i="2"/>
  <c r="C6330" i="17" s="1"/>
  <c r="O280" i="2"/>
  <c r="C5120" i="17" s="1"/>
  <c r="L280" i="2"/>
  <c r="C280" i="17" s="1"/>
  <c r="R279" i="2"/>
  <c r="C2699" i="17" s="1"/>
  <c r="P279" i="2"/>
  <c r="C6329" i="17" s="1"/>
  <c r="O279" i="2"/>
  <c r="L279" i="2"/>
  <c r="C279" i="17" s="1"/>
  <c r="R278" i="2"/>
  <c r="C2698" i="17" s="1"/>
  <c r="P278" i="2"/>
  <c r="C6328" i="17" s="1"/>
  <c r="O278" i="2"/>
  <c r="C5118" i="17" s="1"/>
  <c r="L278" i="2"/>
  <c r="C278" i="17" s="1"/>
  <c r="R277" i="2"/>
  <c r="C2697" i="17" s="1"/>
  <c r="P277" i="2"/>
  <c r="C6327" i="17" s="1"/>
  <c r="O277" i="2"/>
  <c r="L277" i="2"/>
  <c r="C277" i="17" s="1"/>
  <c r="R276" i="2"/>
  <c r="C2696" i="17" s="1"/>
  <c r="P276" i="2"/>
  <c r="C6326" i="17" s="1"/>
  <c r="O276" i="2"/>
  <c r="C5116" i="17" s="1"/>
  <c r="L276" i="2"/>
  <c r="C276" i="17" s="1"/>
  <c r="R275" i="2"/>
  <c r="C2695" i="17" s="1"/>
  <c r="P275" i="2"/>
  <c r="C6325" i="17" s="1"/>
  <c r="O275" i="2"/>
  <c r="C5115" i="17" s="1"/>
  <c r="L275" i="2"/>
  <c r="C275" i="17" s="1"/>
  <c r="R274" i="2"/>
  <c r="C2694" i="17" s="1"/>
  <c r="P274" i="2"/>
  <c r="C6324" i="17" s="1"/>
  <c r="O274" i="2"/>
  <c r="C5114" i="17" s="1"/>
  <c r="L274" i="2"/>
  <c r="C274" i="17" s="1"/>
  <c r="R273" i="2"/>
  <c r="C2693" i="17" s="1"/>
  <c r="P273" i="2"/>
  <c r="C6323" i="17" s="1"/>
  <c r="O273" i="2"/>
  <c r="C5113" i="17" s="1"/>
  <c r="L273" i="2"/>
  <c r="C273" i="17" s="1"/>
  <c r="R272" i="2"/>
  <c r="C2692" i="17" s="1"/>
  <c r="P272" i="2"/>
  <c r="C6322" i="17" s="1"/>
  <c r="O272" i="2"/>
  <c r="C5112" i="17" s="1"/>
  <c r="L272" i="2"/>
  <c r="C272" i="17" s="1"/>
  <c r="R271" i="2"/>
  <c r="C2691" i="17" s="1"/>
  <c r="P271" i="2"/>
  <c r="C6321" i="17" s="1"/>
  <c r="O271" i="2"/>
  <c r="C5111" i="17" s="1"/>
  <c r="L271" i="2"/>
  <c r="C271" i="17" s="1"/>
  <c r="R270" i="2"/>
  <c r="C2690" i="17" s="1"/>
  <c r="P270" i="2"/>
  <c r="C6320" i="17" s="1"/>
  <c r="O270" i="2"/>
  <c r="L270" i="2"/>
  <c r="C270" i="17" s="1"/>
  <c r="R269" i="2"/>
  <c r="C2689" i="17" s="1"/>
  <c r="P269" i="2"/>
  <c r="C6319" i="17" s="1"/>
  <c r="O269" i="2"/>
  <c r="C5109" i="17" s="1"/>
  <c r="L269" i="2"/>
  <c r="C269" i="17" s="1"/>
  <c r="R268" i="2"/>
  <c r="C2688" i="17" s="1"/>
  <c r="P268" i="2"/>
  <c r="C6318" i="17" s="1"/>
  <c r="O268" i="2"/>
  <c r="L268" i="2"/>
  <c r="C268" i="17" s="1"/>
  <c r="R267" i="2"/>
  <c r="C2687" i="17" s="1"/>
  <c r="P267" i="2"/>
  <c r="C6317" i="17" s="1"/>
  <c r="O267" i="2"/>
  <c r="C5107" i="17" s="1"/>
  <c r="L267" i="2"/>
  <c r="C267" i="17" s="1"/>
  <c r="R266" i="2"/>
  <c r="C2686" i="17" s="1"/>
  <c r="P266" i="2"/>
  <c r="C6316" i="17" s="1"/>
  <c r="O266" i="2"/>
  <c r="L266" i="2"/>
  <c r="C266" i="17" s="1"/>
  <c r="R265" i="2"/>
  <c r="C2685" i="17" s="1"/>
  <c r="P265" i="2"/>
  <c r="C6315" i="17" s="1"/>
  <c r="O265" i="2"/>
  <c r="C5105" i="17" s="1"/>
  <c r="L265" i="2"/>
  <c r="C265" i="17" s="1"/>
  <c r="R264" i="2"/>
  <c r="C2684" i="17" s="1"/>
  <c r="P264" i="2"/>
  <c r="C6314" i="17" s="1"/>
  <c r="O264" i="2"/>
  <c r="C5104" i="17" s="1"/>
  <c r="L264" i="2"/>
  <c r="C264" i="17" s="1"/>
  <c r="R263" i="2"/>
  <c r="C2683" i="17" s="1"/>
  <c r="P263" i="2"/>
  <c r="C6313" i="17" s="1"/>
  <c r="O263" i="2"/>
  <c r="C5103" i="17" s="1"/>
  <c r="L263" i="2"/>
  <c r="C263" i="17" s="1"/>
  <c r="R262" i="2"/>
  <c r="C2682" i="17" s="1"/>
  <c r="P262" i="2"/>
  <c r="C6312" i="17" s="1"/>
  <c r="O262" i="2"/>
  <c r="C5102" i="17" s="1"/>
  <c r="L262" i="2"/>
  <c r="C262" i="17" s="1"/>
  <c r="R261" i="2"/>
  <c r="C2681" i="17" s="1"/>
  <c r="P261" i="2"/>
  <c r="C6311" i="17" s="1"/>
  <c r="O261" i="2"/>
  <c r="C5101" i="17" s="1"/>
  <c r="L261" i="2"/>
  <c r="C261" i="17" s="1"/>
  <c r="R260" i="2"/>
  <c r="C2680" i="17" s="1"/>
  <c r="P260" i="2"/>
  <c r="C6310" i="17" s="1"/>
  <c r="O260" i="2"/>
  <c r="C5100" i="17" s="1"/>
  <c r="L260" i="2"/>
  <c r="C260" i="17" s="1"/>
  <c r="R259" i="2"/>
  <c r="C2679" i="17" s="1"/>
  <c r="P259" i="2"/>
  <c r="C6309" i="17" s="1"/>
  <c r="O259" i="2"/>
  <c r="L259" i="2"/>
  <c r="C259" i="17" s="1"/>
  <c r="R258" i="2"/>
  <c r="C2678" i="17" s="1"/>
  <c r="P258" i="2"/>
  <c r="C6308" i="17" s="1"/>
  <c r="O258" i="2"/>
  <c r="C5098" i="17" s="1"/>
  <c r="L258" i="2"/>
  <c r="C258" i="17" s="1"/>
  <c r="R257" i="2"/>
  <c r="C2677" i="17" s="1"/>
  <c r="P257" i="2"/>
  <c r="C6307" i="17" s="1"/>
  <c r="O257" i="2"/>
  <c r="L257" i="2"/>
  <c r="C257" i="17" s="1"/>
  <c r="R256" i="2"/>
  <c r="C2676" i="17" s="1"/>
  <c r="P256" i="2"/>
  <c r="C6306" i="17" s="1"/>
  <c r="O256" i="2"/>
  <c r="C5096" i="17" s="1"/>
  <c r="L256" i="2"/>
  <c r="C256" i="17" s="1"/>
  <c r="R255" i="2"/>
  <c r="C2675" i="17" s="1"/>
  <c r="P255" i="2"/>
  <c r="C6305" i="17" s="1"/>
  <c r="O255" i="2"/>
  <c r="L255" i="2"/>
  <c r="C255" i="17" s="1"/>
  <c r="R254" i="2"/>
  <c r="C2674" i="17" s="1"/>
  <c r="P254" i="2"/>
  <c r="C6304" i="17" s="1"/>
  <c r="O254" i="2"/>
  <c r="C5094" i="17" s="1"/>
  <c r="L254" i="2"/>
  <c r="C254" i="17" s="1"/>
  <c r="R253" i="2"/>
  <c r="C2673" i="17" s="1"/>
  <c r="P253" i="2"/>
  <c r="C6303" i="17" s="1"/>
  <c r="O253" i="2"/>
  <c r="L253" i="2"/>
  <c r="C253" i="17" s="1"/>
  <c r="R252" i="2"/>
  <c r="C2672" i="17" s="1"/>
  <c r="P252" i="2"/>
  <c r="C6302" i="17" s="1"/>
  <c r="O252" i="2"/>
  <c r="C5092" i="17" s="1"/>
  <c r="L252" i="2"/>
  <c r="C252" i="17" s="1"/>
  <c r="R251" i="2"/>
  <c r="C2671" i="17" s="1"/>
  <c r="P251" i="2"/>
  <c r="C6301" i="17" s="1"/>
  <c r="O251" i="2"/>
  <c r="C5091" i="17" s="1"/>
  <c r="L251" i="2"/>
  <c r="C251" i="17" s="1"/>
  <c r="R250" i="2"/>
  <c r="C2670" i="17" s="1"/>
  <c r="P250" i="2"/>
  <c r="C6300" i="17" s="1"/>
  <c r="O250" i="2"/>
  <c r="C5090" i="17" s="1"/>
  <c r="L250" i="2"/>
  <c r="C250" i="17" s="1"/>
  <c r="R249" i="2"/>
  <c r="C2669" i="17" s="1"/>
  <c r="P249" i="2"/>
  <c r="C6299" i="17" s="1"/>
  <c r="O249" i="2"/>
  <c r="C5089" i="17" s="1"/>
  <c r="L249" i="2"/>
  <c r="C249" i="17" s="1"/>
  <c r="R248" i="2"/>
  <c r="C2668" i="17" s="1"/>
  <c r="P248" i="2"/>
  <c r="C6298" i="17" s="1"/>
  <c r="O248" i="2"/>
  <c r="C5088" i="17" s="1"/>
  <c r="L248" i="2"/>
  <c r="C248" i="17" s="1"/>
  <c r="R247" i="2"/>
  <c r="C2667" i="17" s="1"/>
  <c r="P247" i="2"/>
  <c r="C6297" i="17" s="1"/>
  <c r="O247" i="2"/>
  <c r="C5087" i="17" s="1"/>
  <c r="L247" i="2"/>
  <c r="C247" i="17" s="1"/>
  <c r="R246" i="2"/>
  <c r="C2666" i="17" s="1"/>
  <c r="P246" i="2"/>
  <c r="C6296" i="17" s="1"/>
  <c r="O246" i="2"/>
  <c r="L246" i="2"/>
  <c r="C246" i="17" s="1"/>
  <c r="R245" i="2"/>
  <c r="C2665" i="17" s="1"/>
  <c r="P245" i="2"/>
  <c r="C6295" i="17" s="1"/>
  <c r="O245" i="2"/>
  <c r="C5085" i="17" s="1"/>
  <c r="L245" i="2"/>
  <c r="C245" i="17" s="1"/>
  <c r="R244" i="2"/>
  <c r="C2664" i="17" s="1"/>
  <c r="P244" i="2"/>
  <c r="C6294" i="17" s="1"/>
  <c r="O244" i="2"/>
  <c r="L244" i="2"/>
  <c r="C244" i="17" s="1"/>
  <c r="R243" i="2"/>
  <c r="C2663" i="17" s="1"/>
  <c r="P243" i="2"/>
  <c r="C6293" i="17" s="1"/>
  <c r="O243" i="2"/>
  <c r="C5083" i="17" s="1"/>
  <c r="L243" i="2"/>
  <c r="C243" i="17" s="1"/>
  <c r="R242" i="2"/>
  <c r="C2662" i="17" s="1"/>
  <c r="P242" i="2"/>
  <c r="C6292" i="17" s="1"/>
  <c r="O242" i="2"/>
  <c r="L242" i="2"/>
  <c r="C242" i="17" s="1"/>
  <c r="R241" i="2"/>
  <c r="C2661" i="17" s="1"/>
  <c r="P241" i="2"/>
  <c r="C6291" i="17" s="1"/>
  <c r="O241" i="2"/>
  <c r="C5081" i="17" s="1"/>
  <c r="L241" i="2"/>
  <c r="C241" i="17" s="1"/>
  <c r="R240" i="2"/>
  <c r="C2660" i="17" s="1"/>
  <c r="P240" i="2"/>
  <c r="C6290" i="17" s="1"/>
  <c r="O240" i="2"/>
  <c r="C5080" i="17" s="1"/>
  <c r="L240" i="2"/>
  <c r="C240" i="17" s="1"/>
  <c r="R239" i="2"/>
  <c r="C2659" i="17" s="1"/>
  <c r="P239" i="2"/>
  <c r="C6289" i="17" s="1"/>
  <c r="O239" i="2"/>
  <c r="C5079" i="17" s="1"/>
  <c r="L239" i="2"/>
  <c r="C239" i="17" s="1"/>
  <c r="R238" i="2"/>
  <c r="C2658" i="17" s="1"/>
  <c r="P238" i="2"/>
  <c r="C6288" i="17" s="1"/>
  <c r="O238" i="2"/>
  <c r="C5078" i="17" s="1"/>
  <c r="L238" i="2"/>
  <c r="C238" i="17" s="1"/>
  <c r="R237" i="2"/>
  <c r="C2657" i="17" s="1"/>
  <c r="P237" i="2"/>
  <c r="C6287" i="17" s="1"/>
  <c r="O237" i="2"/>
  <c r="C5077" i="17" s="1"/>
  <c r="L237" i="2"/>
  <c r="C237" i="17" s="1"/>
  <c r="R236" i="2"/>
  <c r="C2656" i="17" s="1"/>
  <c r="P236" i="2"/>
  <c r="C6286" i="17" s="1"/>
  <c r="O236" i="2"/>
  <c r="C5076" i="17" s="1"/>
  <c r="L236" i="2"/>
  <c r="C236" i="17" s="1"/>
  <c r="R235" i="2"/>
  <c r="C2655" i="17" s="1"/>
  <c r="P235" i="2"/>
  <c r="C6285" i="17" s="1"/>
  <c r="O235" i="2"/>
  <c r="L235" i="2"/>
  <c r="C235" i="17" s="1"/>
  <c r="R234" i="2"/>
  <c r="C2654" i="17" s="1"/>
  <c r="P234" i="2"/>
  <c r="C6284" i="17" s="1"/>
  <c r="O234" i="2"/>
  <c r="C5074" i="17" s="1"/>
  <c r="L234" i="2"/>
  <c r="C234" i="17" s="1"/>
  <c r="R233" i="2"/>
  <c r="C2653" i="17" s="1"/>
  <c r="P233" i="2"/>
  <c r="C6283" i="17" s="1"/>
  <c r="O233" i="2"/>
  <c r="L233" i="2"/>
  <c r="C233" i="17" s="1"/>
  <c r="R232" i="2"/>
  <c r="C2652" i="17" s="1"/>
  <c r="P232" i="2"/>
  <c r="C6282" i="17" s="1"/>
  <c r="O232" i="2"/>
  <c r="C5072" i="17" s="1"/>
  <c r="L232" i="2"/>
  <c r="C232" i="17" s="1"/>
  <c r="R231" i="2"/>
  <c r="C2651" i="17" s="1"/>
  <c r="P231" i="2"/>
  <c r="C6281" i="17" s="1"/>
  <c r="O231" i="2"/>
  <c r="L231" i="2"/>
  <c r="C231" i="17" s="1"/>
  <c r="R230" i="2"/>
  <c r="C2650" i="17" s="1"/>
  <c r="P230" i="2"/>
  <c r="C6280" i="17" s="1"/>
  <c r="O230" i="2"/>
  <c r="C5070" i="17" s="1"/>
  <c r="L230" i="2"/>
  <c r="C230" i="17" s="1"/>
  <c r="R229" i="2"/>
  <c r="C2649" i="17" s="1"/>
  <c r="P229" i="2"/>
  <c r="C6279" i="17" s="1"/>
  <c r="O229" i="2"/>
  <c r="L229" i="2"/>
  <c r="C229" i="17" s="1"/>
  <c r="R228" i="2"/>
  <c r="C2648" i="17" s="1"/>
  <c r="P228" i="2"/>
  <c r="C6278" i="17" s="1"/>
  <c r="O228" i="2"/>
  <c r="C5068" i="17" s="1"/>
  <c r="L228" i="2"/>
  <c r="C228" i="17" s="1"/>
  <c r="R227" i="2"/>
  <c r="C2647" i="17" s="1"/>
  <c r="P227" i="2"/>
  <c r="C6277" i="17" s="1"/>
  <c r="O227" i="2"/>
  <c r="C5067" i="17" s="1"/>
  <c r="L227" i="2"/>
  <c r="C227" i="17" s="1"/>
  <c r="R226" i="2"/>
  <c r="C2646" i="17" s="1"/>
  <c r="P226" i="2"/>
  <c r="C6276" i="17" s="1"/>
  <c r="O226" i="2"/>
  <c r="C5066" i="17" s="1"/>
  <c r="L226" i="2"/>
  <c r="C226" i="17" s="1"/>
  <c r="R225" i="2"/>
  <c r="C2645" i="17" s="1"/>
  <c r="P225" i="2"/>
  <c r="C6275" i="17" s="1"/>
  <c r="O225" i="2"/>
  <c r="C5065" i="17" s="1"/>
  <c r="L225" i="2"/>
  <c r="C225" i="17" s="1"/>
  <c r="R224" i="2"/>
  <c r="C2644" i="17" s="1"/>
  <c r="P224" i="2"/>
  <c r="C6274" i="17" s="1"/>
  <c r="O224" i="2"/>
  <c r="C5064" i="17" s="1"/>
  <c r="L224" i="2"/>
  <c r="C224" i="17" s="1"/>
  <c r="R223" i="2"/>
  <c r="C2643" i="17" s="1"/>
  <c r="P223" i="2"/>
  <c r="C6273" i="17" s="1"/>
  <c r="O223" i="2"/>
  <c r="C5063" i="17" s="1"/>
  <c r="L223" i="2"/>
  <c r="C223" i="17" s="1"/>
  <c r="R222" i="2"/>
  <c r="C2642" i="17" s="1"/>
  <c r="P222" i="2"/>
  <c r="C6272" i="17" s="1"/>
  <c r="O222" i="2"/>
  <c r="L222" i="2"/>
  <c r="C222" i="17" s="1"/>
  <c r="R221" i="2"/>
  <c r="C2641" i="17" s="1"/>
  <c r="P221" i="2"/>
  <c r="C6271" i="17" s="1"/>
  <c r="O221" i="2"/>
  <c r="C5061" i="17" s="1"/>
  <c r="L221" i="2"/>
  <c r="C221" i="17" s="1"/>
  <c r="R220" i="2"/>
  <c r="C2640" i="17" s="1"/>
  <c r="P220" i="2"/>
  <c r="C6270" i="17" s="1"/>
  <c r="O220" i="2"/>
  <c r="L220" i="2"/>
  <c r="C220" i="17" s="1"/>
  <c r="R219" i="2"/>
  <c r="C2639" i="17" s="1"/>
  <c r="P219" i="2"/>
  <c r="C6269" i="17" s="1"/>
  <c r="O219" i="2"/>
  <c r="C5059" i="17" s="1"/>
  <c r="L219" i="2"/>
  <c r="C219" i="17" s="1"/>
  <c r="R218" i="2"/>
  <c r="C2638" i="17" s="1"/>
  <c r="P218" i="2"/>
  <c r="C6268" i="17" s="1"/>
  <c r="O218" i="2"/>
  <c r="L218" i="2"/>
  <c r="C218" i="17" s="1"/>
  <c r="R217" i="2"/>
  <c r="C2637" i="17" s="1"/>
  <c r="P217" i="2"/>
  <c r="C6267" i="17" s="1"/>
  <c r="O217" i="2"/>
  <c r="C5057" i="17" s="1"/>
  <c r="L217" i="2"/>
  <c r="C217" i="17" s="1"/>
  <c r="R216" i="2"/>
  <c r="C2636" i="17" s="1"/>
  <c r="P216" i="2"/>
  <c r="C6266" i="17" s="1"/>
  <c r="O216" i="2"/>
  <c r="C5056" i="17" s="1"/>
  <c r="L216" i="2"/>
  <c r="C216" i="17" s="1"/>
  <c r="R215" i="2"/>
  <c r="C2635" i="17" s="1"/>
  <c r="P215" i="2"/>
  <c r="C6265" i="17" s="1"/>
  <c r="O215" i="2"/>
  <c r="C5055" i="17" s="1"/>
  <c r="L215" i="2"/>
  <c r="C215" i="17" s="1"/>
  <c r="R214" i="2"/>
  <c r="C2634" i="17" s="1"/>
  <c r="P214" i="2"/>
  <c r="C6264" i="17" s="1"/>
  <c r="O214" i="2"/>
  <c r="C5054" i="17" s="1"/>
  <c r="L214" i="2"/>
  <c r="C214" i="17" s="1"/>
  <c r="R213" i="2"/>
  <c r="C2633" i="17" s="1"/>
  <c r="P213" i="2"/>
  <c r="C6263" i="17" s="1"/>
  <c r="O213" i="2"/>
  <c r="C5053" i="17" s="1"/>
  <c r="L213" i="2"/>
  <c r="C213" i="17" s="1"/>
  <c r="R212" i="2"/>
  <c r="C2632" i="17" s="1"/>
  <c r="P212" i="2"/>
  <c r="C6262" i="17" s="1"/>
  <c r="O212" i="2"/>
  <c r="C5052" i="17" s="1"/>
  <c r="L212" i="2"/>
  <c r="C212" i="17" s="1"/>
  <c r="R211" i="2"/>
  <c r="C2631" i="17" s="1"/>
  <c r="P211" i="2"/>
  <c r="C6261" i="17" s="1"/>
  <c r="O211" i="2"/>
  <c r="L211" i="2"/>
  <c r="C211" i="17" s="1"/>
  <c r="R210" i="2"/>
  <c r="C2630" i="17" s="1"/>
  <c r="P210" i="2"/>
  <c r="C6260" i="17" s="1"/>
  <c r="O210" i="2"/>
  <c r="C5050" i="17" s="1"/>
  <c r="L210" i="2"/>
  <c r="C210" i="17" s="1"/>
  <c r="R209" i="2"/>
  <c r="C2629" i="17" s="1"/>
  <c r="P209" i="2"/>
  <c r="C6259" i="17" s="1"/>
  <c r="O209" i="2"/>
  <c r="L209" i="2"/>
  <c r="C209" i="17" s="1"/>
  <c r="R208" i="2"/>
  <c r="C2628" i="17" s="1"/>
  <c r="P208" i="2"/>
  <c r="C6258" i="17" s="1"/>
  <c r="O208" i="2"/>
  <c r="C5048" i="17" s="1"/>
  <c r="L208" i="2"/>
  <c r="C208" i="17" s="1"/>
  <c r="R207" i="2"/>
  <c r="C2627" i="17" s="1"/>
  <c r="P207" i="2"/>
  <c r="C6257" i="17" s="1"/>
  <c r="O207" i="2"/>
  <c r="L207" i="2"/>
  <c r="C207" i="17" s="1"/>
  <c r="R206" i="2"/>
  <c r="C2626" i="17" s="1"/>
  <c r="P206" i="2"/>
  <c r="C6256" i="17" s="1"/>
  <c r="O206" i="2"/>
  <c r="C5046" i="17" s="1"/>
  <c r="L206" i="2"/>
  <c r="C206" i="17" s="1"/>
  <c r="R205" i="2"/>
  <c r="C2625" i="17" s="1"/>
  <c r="P205" i="2"/>
  <c r="C6255" i="17" s="1"/>
  <c r="O205" i="2"/>
  <c r="L205" i="2"/>
  <c r="C205" i="17" s="1"/>
  <c r="R204" i="2"/>
  <c r="C2624" i="17" s="1"/>
  <c r="P204" i="2"/>
  <c r="C6254" i="17" s="1"/>
  <c r="O204" i="2"/>
  <c r="C5044" i="17" s="1"/>
  <c r="L204" i="2"/>
  <c r="C204" i="17" s="1"/>
  <c r="R203" i="2"/>
  <c r="C2623" i="17" s="1"/>
  <c r="P203" i="2"/>
  <c r="C6253" i="17" s="1"/>
  <c r="O203" i="2"/>
  <c r="C5043" i="17" s="1"/>
  <c r="L203" i="2"/>
  <c r="C203" i="17" s="1"/>
  <c r="R202" i="2"/>
  <c r="C2622" i="17" s="1"/>
  <c r="P202" i="2"/>
  <c r="C6252" i="17" s="1"/>
  <c r="O202" i="2"/>
  <c r="C5042" i="17" s="1"/>
  <c r="L202" i="2"/>
  <c r="C202" i="17" s="1"/>
  <c r="R201" i="2"/>
  <c r="C2621" i="17" s="1"/>
  <c r="P201" i="2"/>
  <c r="C6251" i="17" s="1"/>
  <c r="O201" i="2"/>
  <c r="C5041" i="17" s="1"/>
  <c r="L201" i="2"/>
  <c r="C201" i="17" s="1"/>
  <c r="R200" i="2"/>
  <c r="C2620" i="17" s="1"/>
  <c r="P200" i="2"/>
  <c r="C6250" i="17" s="1"/>
  <c r="O200" i="2"/>
  <c r="C5040" i="17" s="1"/>
  <c r="L200" i="2"/>
  <c r="C200" i="17" s="1"/>
  <c r="R199" i="2"/>
  <c r="C2619" i="17" s="1"/>
  <c r="P199" i="2"/>
  <c r="C6249" i="17" s="1"/>
  <c r="O199" i="2"/>
  <c r="C5039" i="17" s="1"/>
  <c r="L199" i="2"/>
  <c r="C199" i="17" s="1"/>
  <c r="R198" i="2"/>
  <c r="C2618" i="17" s="1"/>
  <c r="P198" i="2"/>
  <c r="C6248" i="17" s="1"/>
  <c r="O198" i="2"/>
  <c r="L198" i="2"/>
  <c r="C198" i="17" s="1"/>
  <c r="R197" i="2"/>
  <c r="C2617" i="17" s="1"/>
  <c r="P197" i="2"/>
  <c r="C6247" i="17" s="1"/>
  <c r="O197" i="2"/>
  <c r="C5037" i="17" s="1"/>
  <c r="L197" i="2"/>
  <c r="C197" i="17" s="1"/>
  <c r="R196" i="2"/>
  <c r="C2616" i="17" s="1"/>
  <c r="P196" i="2"/>
  <c r="C6246" i="17" s="1"/>
  <c r="O196" i="2"/>
  <c r="L196" i="2"/>
  <c r="C196" i="17" s="1"/>
  <c r="R195" i="2"/>
  <c r="C2615" i="17" s="1"/>
  <c r="P195" i="2"/>
  <c r="C6245" i="17" s="1"/>
  <c r="O195" i="2"/>
  <c r="C5035" i="17" s="1"/>
  <c r="L195" i="2"/>
  <c r="C195" i="17" s="1"/>
  <c r="R194" i="2"/>
  <c r="C2614" i="17" s="1"/>
  <c r="P194" i="2"/>
  <c r="C6244" i="17" s="1"/>
  <c r="O194" i="2"/>
  <c r="L194" i="2"/>
  <c r="C194" i="17" s="1"/>
  <c r="R193" i="2"/>
  <c r="C2613" i="17" s="1"/>
  <c r="P193" i="2"/>
  <c r="C6243" i="17" s="1"/>
  <c r="O193" i="2"/>
  <c r="C5033" i="17" s="1"/>
  <c r="L193" i="2"/>
  <c r="C193" i="17" s="1"/>
  <c r="R192" i="2"/>
  <c r="C2612" i="17" s="1"/>
  <c r="P192" i="2"/>
  <c r="C6242" i="17" s="1"/>
  <c r="O192" i="2"/>
  <c r="C5032" i="17" s="1"/>
  <c r="L192" i="2"/>
  <c r="C192" i="17" s="1"/>
  <c r="R191" i="2"/>
  <c r="C2611" i="17" s="1"/>
  <c r="P191" i="2"/>
  <c r="C6241" i="17" s="1"/>
  <c r="O191" i="2"/>
  <c r="C5031" i="17" s="1"/>
  <c r="L191" i="2"/>
  <c r="C191" i="17" s="1"/>
  <c r="R190" i="2"/>
  <c r="C2610" i="17" s="1"/>
  <c r="P190" i="2"/>
  <c r="C6240" i="17" s="1"/>
  <c r="O190" i="2"/>
  <c r="C5030" i="17" s="1"/>
  <c r="L190" i="2"/>
  <c r="C190" i="17" s="1"/>
  <c r="R189" i="2"/>
  <c r="C2609" i="17" s="1"/>
  <c r="P189" i="2"/>
  <c r="C6239" i="17" s="1"/>
  <c r="O189" i="2"/>
  <c r="C5029" i="17" s="1"/>
  <c r="L189" i="2"/>
  <c r="C189" i="17" s="1"/>
  <c r="R188" i="2"/>
  <c r="C2608" i="17" s="1"/>
  <c r="P188" i="2"/>
  <c r="C6238" i="17" s="1"/>
  <c r="O188" i="2"/>
  <c r="C5028" i="17" s="1"/>
  <c r="L188" i="2"/>
  <c r="C188" i="17" s="1"/>
  <c r="R187" i="2"/>
  <c r="C2607" i="17" s="1"/>
  <c r="P187" i="2"/>
  <c r="C6237" i="17" s="1"/>
  <c r="O187" i="2"/>
  <c r="L187" i="2"/>
  <c r="C187" i="17" s="1"/>
  <c r="R186" i="2"/>
  <c r="C2606" i="17" s="1"/>
  <c r="P186" i="2"/>
  <c r="C6236" i="17" s="1"/>
  <c r="O186" i="2"/>
  <c r="C5026" i="17" s="1"/>
  <c r="L186" i="2"/>
  <c r="C186" i="17" s="1"/>
  <c r="R185" i="2"/>
  <c r="C2605" i="17" s="1"/>
  <c r="P185" i="2"/>
  <c r="C6235" i="17" s="1"/>
  <c r="O185" i="2"/>
  <c r="L185" i="2"/>
  <c r="C185" i="17" s="1"/>
  <c r="R184" i="2"/>
  <c r="C2604" i="17" s="1"/>
  <c r="P184" i="2"/>
  <c r="C6234" i="17" s="1"/>
  <c r="O184" i="2"/>
  <c r="C5024" i="17" s="1"/>
  <c r="L184" i="2"/>
  <c r="C184" i="17" s="1"/>
  <c r="R183" i="2"/>
  <c r="C2603" i="17" s="1"/>
  <c r="P183" i="2"/>
  <c r="C6233" i="17" s="1"/>
  <c r="O183" i="2"/>
  <c r="L183" i="2"/>
  <c r="C183" i="17" s="1"/>
  <c r="R182" i="2"/>
  <c r="C2602" i="17" s="1"/>
  <c r="P182" i="2"/>
  <c r="C6232" i="17" s="1"/>
  <c r="O182" i="2"/>
  <c r="C5022" i="17" s="1"/>
  <c r="L182" i="2"/>
  <c r="C182" i="17" s="1"/>
  <c r="R181" i="2"/>
  <c r="C2601" i="17" s="1"/>
  <c r="P181" i="2"/>
  <c r="C6231" i="17" s="1"/>
  <c r="O181" i="2"/>
  <c r="L181" i="2"/>
  <c r="C181" i="17" s="1"/>
  <c r="R180" i="2"/>
  <c r="C2600" i="17" s="1"/>
  <c r="P180" i="2"/>
  <c r="C6230" i="17" s="1"/>
  <c r="O180" i="2"/>
  <c r="C5020" i="17" s="1"/>
  <c r="L180" i="2"/>
  <c r="C180" i="17" s="1"/>
  <c r="R179" i="2"/>
  <c r="C2599" i="17" s="1"/>
  <c r="P179" i="2"/>
  <c r="C6229" i="17" s="1"/>
  <c r="O179" i="2"/>
  <c r="C5019" i="17" s="1"/>
  <c r="L179" i="2"/>
  <c r="C179" i="17" s="1"/>
  <c r="R178" i="2"/>
  <c r="C2598" i="17" s="1"/>
  <c r="P178" i="2"/>
  <c r="C6228" i="17" s="1"/>
  <c r="O178" i="2"/>
  <c r="C5018" i="17" s="1"/>
  <c r="L178" i="2"/>
  <c r="C178" i="17" s="1"/>
  <c r="R177" i="2"/>
  <c r="C2597" i="17" s="1"/>
  <c r="P177" i="2"/>
  <c r="C6227" i="17" s="1"/>
  <c r="O177" i="2"/>
  <c r="C5017" i="17" s="1"/>
  <c r="L177" i="2"/>
  <c r="C177" i="17" s="1"/>
  <c r="R176" i="2"/>
  <c r="C2596" i="17" s="1"/>
  <c r="P176" i="2"/>
  <c r="C6226" i="17" s="1"/>
  <c r="O176" i="2"/>
  <c r="C5016" i="17" s="1"/>
  <c r="L176" i="2"/>
  <c r="C176" i="17" s="1"/>
  <c r="R175" i="2"/>
  <c r="C2595" i="17" s="1"/>
  <c r="P175" i="2"/>
  <c r="C6225" i="17" s="1"/>
  <c r="O175" i="2"/>
  <c r="C5015" i="17" s="1"/>
  <c r="L175" i="2"/>
  <c r="C175" i="17" s="1"/>
  <c r="R174" i="2"/>
  <c r="C2594" i="17" s="1"/>
  <c r="P174" i="2"/>
  <c r="C6224" i="17" s="1"/>
  <c r="O174" i="2"/>
  <c r="L174" i="2"/>
  <c r="C174" i="17" s="1"/>
  <c r="R173" i="2"/>
  <c r="C2593" i="17" s="1"/>
  <c r="P173" i="2"/>
  <c r="C6223" i="17" s="1"/>
  <c r="O173" i="2"/>
  <c r="C5013" i="17" s="1"/>
  <c r="L173" i="2"/>
  <c r="C173" i="17" s="1"/>
  <c r="R172" i="2"/>
  <c r="C2592" i="17" s="1"/>
  <c r="P172" i="2"/>
  <c r="C6222" i="17" s="1"/>
  <c r="O172" i="2"/>
  <c r="L172" i="2"/>
  <c r="C172" i="17" s="1"/>
  <c r="R171" i="2"/>
  <c r="C2591" i="17" s="1"/>
  <c r="P171" i="2"/>
  <c r="C6221" i="17" s="1"/>
  <c r="O171" i="2"/>
  <c r="C5011" i="17" s="1"/>
  <c r="L171" i="2"/>
  <c r="C171" i="17" s="1"/>
  <c r="R170" i="2"/>
  <c r="C2590" i="17" s="1"/>
  <c r="P170" i="2"/>
  <c r="C6220" i="17" s="1"/>
  <c r="O170" i="2"/>
  <c r="L170" i="2"/>
  <c r="C170" i="17" s="1"/>
  <c r="R169" i="2"/>
  <c r="C2589" i="17" s="1"/>
  <c r="P169" i="2"/>
  <c r="C6219" i="17" s="1"/>
  <c r="O169" i="2"/>
  <c r="C5009" i="17" s="1"/>
  <c r="L169" i="2"/>
  <c r="C169" i="17" s="1"/>
  <c r="R168" i="2"/>
  <c r="C2588" i="17" s="1"/>
  <c r="P168" i="2"/>
  <c r="C6218" i="17" s="1"/>
  <c r="O168" i="2"/>
  <c r="C5008" i="17" s="1"/>
  <c r="L168" i="2"/>
  <c r="C168" i="17" s="1"/>
  <c r="R167" i="2"/>
  <c r="C2587" i="17" s="1"/>
  <c r="P167" i="2"/>
  <c r="C6217" i="17" s="1"/>
  <c r="O167" i="2"/>
  <c r="C5007" i="17" s="1"/>
  <c r="L167" i="2"/>
  <c r="C167" i="17" s="1"/>
  <c r="R166" i="2"/>
  <c r="C2586" i="17" s="1"/>
  <c r="P166" i="2"/>
  <c r="C6216" i="17" s="1"/>
  <c r="O166" i="2"/>
  <c r="C5006" i="17" s="1"/>
  <c r="L166" i="2"/>
  <c r="C166" i="17" s="1"/>
  <c r="R165" i="2"/>
  <c r="C2585" i="17" s="1"/>
  <c r="P165" i="2"/>
  <c r="C6215" i="17" s="1"/>
  <c r="O165" i="2"/>
  <c r="C5005" i="17" s="1"/>
  <c r="L165" i="2"/>
  <c r="C165" i="17" s="1"/>
  <c r="R164" i="2"/>
  <c r="C2584" i="17" s="1"/>
  <c r="P164" i="2"/>
  <c r="C6214" i="17" s="1"/>
  <c r="O164" i="2"/>
  <c r="C5004" i="17" s="1"/>
  <c r="L164" i="2"/>
  <c r="C164" i="17" s="1"/>
  <c r="R163" i="2"/>
  <c r="C2583" i="17" s="1"/>
  <c r="P163" i="2"/>
  <c r="C6213" i="17" s="1"/>
  <c r="O163" i="2"/>
  <c r="L163" i="2"/>
  <c r="C163" i="17" s="1"/>
  <c r="R162" i="2"/>
  <c r="C2582" i="17" s="1"/>
  <c r="P162" i="2"/>
  <c r="C6212" i="17" s="1"/>
  <c r="O162" i="2"/>
  <c r="C5002" i="17" s="1"/>
  <c r="L162" i="2"/>
  <c r="C162" i="17" s="1"/>
  <c r="R161" i="2"/>
  <c r="C2581" i="17" s="1"/>
  <c r="P161" i="2"/>
  <c r="C6211" i="17" s="1"/>
  <c r="O161" i="2"/>
  <c r="L161" i="2"/>
  <c r="C161" i="17" s="1"/>
  <c r="R160" i="2"/>
  <c r="C2580" i="17" s="1"/>
  <c r="P160" i="2"/>
  <c r="C6210" i="17" s="1"/>
  <c r="O160" i="2"/>
  <c r="C5000" i="17" s="1"/>
  <c r="L160" i="2"/>
  <c r="C160" i="17" s="1"/>
  <c r="R159" i="2"/>
  <c r="C2579" i="17" s="1"/>
  <c r="P159" i="2"/>
  <c r="C6209" i="17" s="1"/>
  <c r="O159" i="2"/>
  <c r="L159" i="2"/>
  <c r="C159" i="17" s="1"/>
  <c r="R158" i="2"/>
  <c r="C2578" i="17" s="1"/>
  <c r="P158" i="2"/>
  <c r="C6208" i="17" s="1"/>
  <c r="O158" i="2"/>
  <c r="C4998" i="17" s="1"/>
  <c r="L158" i="2"/>
  <c r="C158" i="17" s="1"/>
  <c r="R157" i="2"/>
  <c r="C2577" i="17" s="1"/>
  <c r="P157" i="2"/>
  <c r="C6207" i="17" s="1"/>
  <c r="O157" i="2"/>
  <c r="L157" i="2"/>
  <c r="C157" i="17" s="1"/>
  <c r="R156" i="2"/>
  <c r="C2576" i="17" s="1"/>
  <c r="P156" i="2"/>
  <c r="C6206" i="17" s="1"/>
  <c r="O156" i="2"/>
  <c r="C4996" i="17" s="1"/>
  <c r="L156" i="2"/>
  <c r="C156" i="17" s="1"/>
  <c r="R155" i="2"/>
  <c r="C2575" i="17" s="1"/>
  <c r="P155" i="2"/>
  <c r="C6205" i="17" s="1"/>
  <c r="O155" i="2"/>
  <c r="C4995" i="17" s="1"/>
  <c r="L155" i="2"/>
  <c r="C155" i="17" s="1"/>
  <c r="R154" i="2"/>
  <c r="C2574" i="17" s="1"/>
  <c r="P154" i="2"/>
  <c r="C6204" i="17" s="1"/>
  <c r="O154" i="2"/>
  <c r="C4994" i="17" s="1"/>
  <c r="L154" i="2"/>
  <c r="C154" i="17" s="1"/>
  <c r="R153" i="2"/>
  <c r="C2573" i="17" s="1"/>
  <c r="P153" i="2"/>
  <c r="C6203" i="17" s="1"/>
  <c r="O153" i="2"/>
  <c r="C4993" i="17" s="1"/>
  <c r="L153" i="2"/>
  <c r="C153" i="17" s="1"/>
  <c r="R152" i="2"/>
  <c r="C2572" i="17" s="1"/>
  <c r="P152" i="2"/>
  <c r="C6202" i="17" s="1"/>
  <c r="O152" i="2"/>
  <c r="C4992" i="17" s="1"/>
  <c r="L152" i="2"/>
  <c r="C152" i="17" s="1"/>
  <c r="R151" i="2"/>
  <c r="C2571" i="17" s="1"/>
  <c r="P151" i="2"/>
  <c r="C6201" i="17" s="1"/>
  <c r="O151" i="2"/>
  <c r="C4991" i="17" s="1"/>
  <c r="L151" i="2"/>
  <c r="C151" i="17" s="1"/>
  <c r="R150" i="2"/>
  <c r="C2570" i="17" s="1"/>
  <c r="P150" i="2"/>
  <c r="C6200" i="17" s="1"/>
  <c r="O150" i="2"/>
  <c r="L150" i="2"/>
  <c r="C150" i="17" s="1"/>
  <c r="R149" i="2"/>
  <c r="C2569" i="17" s="1"/>
  <c r="P149" i="2"/>
  <c r="C6199" i="17" s="1"/>
  <c r="O149" i="2"/>
  <c r="C4989" i="17" s="1"/>
  <c r="L149" i="2"/>
  <c r="C149" i="17" s="1"/>
  <c r="R148" i="2"/>
  <c r="C2568" i="17" s="1"/>
  <c r="P148" i="2"/>
  <c r="C6198" i="17" s="1"/>
  <c r="O148" i="2"/>
  <c r="L148" i="2"/>
  <c r="C148" i="17" s="1"/>
  <c r="R147" i="2"/>
  <c r="C2567" i="17" s="1"/>
  <c r="P147" i="2"/>
  <c r="C6197" i="17" s="1"/>
  <c r="O147" i="2"/>
  <c r="C4987" i="17" s="1"/>
  <c r="L147" i="2"/>
  <c r="C147" i="17" s="1"/>
  <c r="R146" i="2"/>
  <c r="C2566" i="17" s="1"/>
  <c r="P146" i="2"/>
  <c r="C6196" i="17" s="1"/>
  <c r="O146" i="2"/>
  <c r="L146" i="2"/>
  <c r="C146" i="17" s="1"/>
  <c r="R145" i="2"/>
  <c r="C2565" i="17" s="1"/>
  <c r="P145" i="2"/>
  <c r="C6195" i="17" s="1"/>
  <c r="O145" i="2"/>
  <c r="C4985" i="17" s="1"/>
  <c r="L145" i="2"/>
  <c r="C145" i="17" s="1"/>
  <c r="R144" i="2"/>
  <c r="C2564" i="17" s="1"/>
  <c r="P144" i="2"/>
  <c r="C6194" i="17" s="1"/>
  <c r="O144" i="2"/>
  <c r="C4984" i="17" s="1"/>
  <c r="L144" i="2"/>
  <c r="C144" i="17" s="1"/>
  <c r="R143" i="2"/>
  <c r="C2563" i="17" s="1"/>
  <c r="P143" i="2"/>
  <c r="C6193" i="17" s="1"/>
  <c r="O143" i="2"/>
  <c r="C4983" i="17" s="1"/>
  <c r="L143" i="2"/>
  <c r="C143" i="17" s="1"/>
  <c r="R142" i="2"/>
  <c r="C2562" i="17" s="1"/>
  <c r="P142" i="2"/>
  <c r="C6192" i="17" s="1"/>
  <c r="O142" i="2"/>
  <c r="C4982" i="17" s="1"/>
  <c r="L142" i="2"/>
  <c r="C142" i="17" s="1"/>
  <c r="R141" i="2"/>
  <c r="C2561" i="17" s="1"/>
  <c r="P141" i="2"/>
  <c r="C6191" i="17" s="1"/>
  <c r="O141" i="2"/>
  <c r="C4981" i="17" s="1"/>
  <c r="L141" i="2"/>
  <c r="C141" i="17" s="1"/>
  <c r="R140" i="2"/>
  <c r="C2560" i="17" s="1"/>
  <c r="P140" i="2"/>
  <c r="C6190" i="17" s="1"/>
  <c r="O140" i="2"/>
  <c r="C4980" i="17" s="1"/>
  <c r="L140" i="2"/>
  <c r="C140" i="17" s="1"/>
  <c r="R139" i="2"/>
  <c r="C2559" i="17" s="1"/>
  <c r="P139" i="2"/>
  <c r="C6189" i="17" s="1"/>
  <c r="O139" i="2"/>
  <c r="L139" i="2"/>
  <c r="C139" i="17" s="1"/>
  <c r="R138" i="2"/>
  <c r="C2558" i="17" s="1"/>
  <c r="P138" i="2"/>
  <c r="C6188" i="17" s="1"/>
  <c r="O138" i="2"/>
  <c r="C4978" i="17" s="1"/>
  <c r="L138" i="2"/>
  <c r="C138" i="17" s="1"/>
  <c r="R137" i="2"/>
  <c r="C2557" i="17" s="1"/>
  <c r="P137" i="2"/>
  <c r="C6187" i="17" s="1"/>
  <c r="O137" i="2"/>
  <c r="L137" i="2"/>
  <c r="C137" i="17" s="1"/>
  <c r="R136" i="2"/>
  <c r="C2556" i="17" s="1"/>
  <c r="P136" i="2"/>
  <c r="C6186" i="17" s="1"/>
  <c r="O136" i="2"/>
  <c r="C4976" i="17" s="1"/>
  <c r="L136" i="2"/>
  <c r="C136" i="17" s="1"/>
  <c r="R135" i="2"/>
  <c r="C2555" i="17" s="1"/>
  <c r="P135" i="2"/>
  <c r="C6185" i="17" s="1"/>
  <c r="O135" i="2"/>
  <c r="L135" i="2"/>
  <c r="C135" i="17" s="1"/>
  <c r="R134" i="2"/>
  <c r="C2554" i="17" s="1"/>
  <c r="P134" i="2"/>
  <c r="C6184" i="17" s="1"/>
  <c r="O134" i="2"/>
  <c r="C4974" i="17" s="1"/>
  <c r="L134" i="2"/>
  <c r="C134" i="17" s="1"/>
  <c r="R133" i="2"/>
  <c r="C2553" i="17" s="1"/>
  <c r="P133" i="2"/>
  <c r="C6183" i="17" s="1"/>
  <c r="O133" i="2"/>
  <c r="L133" i="2"/>
  <c r="C133" i="17" s="1"/>
  <c r="R132" i="2"/>
  <c r="C2552" i="17" s="1"/>
  <c r="P132" i="2"/>
  <c r="C6182" i="17" s="1"/>
  <c r="O132" i="2"/>
  <c r="C4972" i="17" s="1"/>
  <c r="L132" i="2"/>
  <c r="C132" i="17" s="1"/>
  <c r="R131" i="2"/>
  <c r="C2551" i="17" s="1"/>
  <c r="P131" i="2"/>
  <c r="C6181" i="17" s="1"/>
  <c r="O131" i="2"/>
  <c r="C4971" i="17" s="1"/>
  <c r="L131" i="2"/>
  <c r="C131" i="17" s="1"/>
  <c r="R130" i="2"/>
  <c r="C2550" i="17" s="1"/>
  <c r="P130" i="2"/>
  <c r="C6180" i="17" s="1"/>
  <c r="O130" i="2"/>
  <c r="C4970" i="17" s="1"/>
  <c r="L130" i="2"/>
  <c r="C130" i="17" s="1"/>
  <c r="R129" i="2"/>
  <c r="C2549" i="17" s="1"/>
  <c r="P129" i="2"/>
  <c r="C6179" i="17" s="1"/>
  <c r="O129" i="2"/>
  <c r="C4969" i="17" s="1"/>
  <c r="L129" i="2"/>
  <c r="C129" i="17" s="1"/>
  <c r="R128" i="2"/>
  <c r="C2548" i="17" s="1"/>
  <c r="P128" i="2"/>
  <c r="C6178" i="17" s="1"/>
  <c r="O128" i="2"/>
  <c r="C4968" i="17" s="1"/>
  <c r="L128" i="2"/>
  <c r="C128" i="17" s="1"/>
  <c r="R127" i="2"/>
  <c r="C2547" i="17" s="1"/>
  <c r="P127" i="2"/>
  <c r="C6177" i="17" s="1"/>
  <c r="O127" i="2"/>
  <c r="C4967" i="17" s="1"/>
  <c r="L127" i="2"/>
  <c r="C127" i="17" s="1"/>
  <c r="R126" i="2"/>
  <c r="C2546" i="17" s="1"/>
  <c r="P126" i="2"/>
  <c r="C6176" i="17" s="1"/>
  <c r="O126" i="2"/>
  <c r="L126" i="2"/>
  <c r="C126" i="17" s="1"/>
  <c r="R125" i="2"/>
  <c r="C2545" i="17" s="1"/>
  <c r="P125" i="2"/>
  <c r="C6175" i="17" s="1"/>
  <c r="O125" i="2"/>
  <c r="C4965" i="17" s="1"/>
  <c r="L125" i="2"/>
  <c r="C125" i="17" s="1"/>
  <c r="R124" i="2"/>
  <c r="C2544" i="17" s="1"/>
  <c r="P124" i="2"/>
  <c r="C6174" i="17" s="1"/>
  <c r="O124" i="2"/>
  <c r="L124" i="2"/>
  <c r="C124" i="17" s="1"/>
  <c r="R123" i="2"/>
  <c r="C2543" i="17" s="1"/>
  <c r="P123" i="2"/>
  <c r="C6173" i="17" s="1"/>
  <c r="O123" i="2"/>
  <c r="C4963" i="17" s="1"/>
  <c r="L123" i="2"/>
  <c r="C123" i="17" s="1"/>
  <c r="R122" i="2"/>
  <c r="C2542" i="17" s="1"/>
  <c r="P122" i="2"/>
  <c r="C6172" i="17" s="1"/>
  <c r="O122" i="2"/>
  <c r="L122" i="2"/>
  <c r="C122" i="17" s="1"/>
  <c r="R121" i="2"/>
  <c r="C2541" i="17" s="1"/>
  <c r="P121" i="2"/>
  <c r="C6171" i="17" s="1"/>
  <c r="O121" i="2"/>
  <c r="C4961" i="17" s="1"/>
  <c r="L121" i="2"/>
  <c r="C121" i="17" s="1"/>
  <c r="R120" i="2"/>
  <c r="C2540" i="17" s="1"/>
  <c r="P120" i="2"/>
  <c r="C6170" i="17" s="1"/>
  <c r="O120" i="2"/>
  <c r="C4960" i="17" s="1"/>
  <c r="L120" i="2"/>
  <c r="C120" i="17" s="1"/>
  <c r="R119" i="2"/>
  <c r="C2539" i="17" s="1"/>
  <c r="P119" i="2"/>
  <c r="C6169" i="17" s="1"/>
  <c r="O119" i="2"/>
  <c r="C4959" i="17" s="1"/>
  <c r="L119" i="2"/>
  <c r="C119" i="17" s="1"/>
  <c r="R118" i="2"/>
  <c r="C2538" i="17" s="1"/>
  <c r="P118" i="2"/>
  <c r="C6168" i="17" s="1"/>
  <c r="O118" i="2"/>
  <c r="C4958" i="17" s="1"/>
  <c r="L118" i="2"/>
  <c r="C118" i="17" s="1"/>
  <c r="R117" i="2"/>
  <c r="C2537" i="17" s="1"/>
  <c r="P117" i="2"/>
  <c r="C6167" i="17" s="1"/>
  <c r="O117" i="2"/>
  <c r="C4957" i="17" s="1"/>
  <c r="L117" i="2"/>
  <c r="C117" i="17" s="1"/>
  <c r="R116" i="2"/>
  <c r="C2536" i="17" s="1"/>
  <c r="P116" i="2"/>
  <c r="C6166" i="17" s="1"/>
  <c r="O116" i="2"/>
  <c r="C4956" i="17" s="1"/>
  <c r="L116" i="2"/>
  <c r="C116" i="17" s="1"/>
  <c r="R115" i="2"/>
  <c r="C2535" i="17" s="1"/>
  <c r="P115" i="2"/>
  <c r="C6165" i="17" s="1"/>
  <c r="O115" i="2"/>
  <c r="L115" i="2"/>
  <c r="C115" i="17" s="1"/>
  <c r="R114" i="2"/>
  <c r="C2534" i="17" s="1"/>
  <c r="P114" i="2"/>
  <c r="C6164" i="17" s="1"/>
  <c r="O114" i="2"/>
  <c r="C4954" i="17" s="1"/>
  <c r="L114" i="2"/>
  <c r="C114" i="17" s="1"/>
  <c r="R113" i="2"/>
  <c r="C2533" i="17" s="1"/>
  <c r="P113" i="2"/>
  <c r="C6163" i="17" s="1"/>
  <c r="O113" i="2"/>
  <c r="L113" i="2"/>
  <c r="C113" i="17" s="1"/>
  <c r="R112" i="2"/>
  <c r="C2532" i="17" s="1"/>
  <c r="P112" i="2"/>
  <c r="C6162" i="17" s="1"/>
  <c r="O112" i="2"/>
  <c r="C4952" i="17" s="1"/>
  <c r="L112" i="2"/>
  <c r="C112" i="17" s="1"/>
  <c r="R111" i="2"/>
  <c r="C2531" i="17" s="1"/>
  <c r="P111" i="2"/>
  <c r="C6161" i="17" s="1"/>
  <c r="O111" i="2"/>
  <c r="L111" i="2"/>
  <c r="C111" i="17" s="1"/>
  <c r="R110" i="2"/>
  <c r="C2530" i="17" s="1"/>
  <c r="P110" i="2"/>
  <c r="C6160" i="17" s="1"/>
  <c r="O110" i="2"/>
  <c r="C4950" i="17" s="1"/>
  <c r="L110" i="2"/>
  <c r="C110" i="17" s="1"/>
  <c r="R109" i="2"/>
  <c r="C2529" i="17" s="1"/>
  <c r="P109" i="2"/>
  <c r="C6159" i="17" s="1"/>
  <c r="O109" i="2"/>
  <c r="L109" i="2"/>
  <c r="C109" i="17" s="1"/>
  <c r="R108" i="2"/>
  <c r="C2528" i="17" s="1"/>
  <c r="P108" i="2"/>
  <c r="C6158" i="17" s="1"/>
  <c r="O108" i="2"/>
  <c r="C4948" i="17" s="1"/>
  <c r="L108" i="2"/>
  <c r="C108" i="17" s="1"/>
  <c r="R107" i="2"/>
  <c r="C2527" i="17" s="1"/>
  <c r="P107" i="2"/>
  <c r="C6157" i="17" s="1"/>
  <c r="O107" i="2"/>
  <c r="C4947" i="17" s="1"/>
  <c r="L107" i="2"/>
  <c r="C107" i="17" s="1"/>
  <c r="R106" i="2"/>
  <c r="C2526" i="17" s="1"/>
  <c r="P106" i="2"/>
  <c r="C6156" i="17" s="1"/>
  <c r="O106" i="2"/>
  <c r="C4946" i="17" s="1"/>
  <c r="L106" i="2"/>
  <c r="C106" i="17" s="1"/>
  <c r="R105" i="2"/>
  <c r="C2525" i="17" s="1"/>
  <c r="P105" i="2"/>
  <c r="C6155" i="17" s="1"/>
  <c r="O105" i="2"/>
  <c r="C4945" i="17" s="1"/>
  <c r="L105" i="2"/>
  <c r="C105" i="17" s="1"/>
  <c r="R104" i="2"/>
  <c r="C2524" i="17" s="1"/>
  <c r="P104" i="2"/>
  <c r="C6154" i="17" s="1"/>
  <c r="O104" i="2"/>
  <c r="C4944" i="17" s="1"/>
  <c r="L104" i="2"/>
  <c r="C104" i="17" s="1"/>
  <c r="R103" i="2"/>
  <c r="C2523" i="17" s="1"/>
  <c r="P103" i="2"/>
  <c r="C6153" i="17" s="1"/>
  <c r="O103" i="2"/>
  <c r="C4943" i="17" s="1"/>
  <c r="L103" i="2"/>
  <c r="C103" i="17" s="1"/>
  <c r="R102" i="2"/>
  <c r="C2522" i="17" s="1"/>
  <c r="P102" i="2"/>
  <c r="C6152" i="17" s="1"/>
  <c r="O102" i="2"/>
  <c r="L102" i="2"/>
  <c r="C102" i="17" s="1"/>
  <c r="R101" i="2"/>
  <c r="C2521" i="17" s="1"/>
  <c r="P101" i="2"/>
  <c r="C6151" i="17" s="1"/>
  <c r="O101" i="2"/>
  <c r="C4941" i="17" s="1"/>
  <c r="L101" i="2"/>
  <c r="C101" i="17" s="1"/>
  <c r="R100" i="2"/>
  <c r="C2520" i="17" s="1"/>
  <c r="P100" i="2"/>
  <c r="C6150" i="17" s="1"/>
  <c r="O100" i="2"/>
  <c r="L100" i="2"/>
  <c r="C100" i="17" s="1"/>
  <c r="R99" i="2"/>
  <c r="C2519" i="17" s="1"/>
  <c r="P99" i="2"/>
  <c r="C6149" i="17" s="1"/>
  <c r="O99" i="2"/>
  <c r="C4939" i="17" s="1"/>
  <c r="L99" i="2"/>
  <c r="C99" i="17" s="1"/>
  <c r="R98" i="2"/>
  <c r="C2518" i="17" s="1"/>
  <c r="P98" i="2"/>
  <c r="C6148" i="17" s="1"/>
  <c r="O98" i="2"/>
  <c r="L98" i="2"/>
  <c r="C98" i="17" s="1"/>
  <c r="R97" i="2"/>
  <c r="C2517" i="17" s="1"/>
  <c r="P97" i="2"/>
  <c r="C6147" i="17" s="1"/>
  <c r="O97" i="2"/>
  <c r="C4937" i="17" s="1"/>
  <c r="L97" i="2"/>
  <c r="C97" i="17" s="1"/>
  <c r="R96" i="2"/>
  <c r="C2516" i="17" s="1"/>
  <c r="P96" i="2"/>
  <c r="C6146" i="17" s="1"/>
  <c r="O96" i="2"/>
  <c r="C4936" i="17" s="1"/>
  <c r="L96" i="2"/>
  <c r="C96" i="17" s="1"/>
  <c r="R95" i="2"/>
  <c r="C2515" i="17" s="1"/>
  <c r="P95" i="2"/>
  <c r="C6145" i="17" s="1"/>
  <c r="O95" i="2"/>
  <c r="C4935" i="17" s="1"/>
  <c r="L95" i="2"/>
  <c r="C95" i="17" s="1"/>
  <c r="R94" i="2"/>
  <c r="C2514" i="17" s="1"/>
  <c r="P94" i="2"/>
  <c r="C6144" i="17" s="1"/>
  <c r="O94" i="2"/>
  <c r="C4934" i="17" s="1"/>
  <c r="L94" i="2"/>
  <c r="C94" i="17" s="1"/>
  <c r="R93" i="2"/>
  <c r="C2513" i="17" s="1"/>
  <c r="P93" i="2"/>
  <c r="C6143" i="17" s="1"/>
  <c r="O93" i="2"/>
  <c r="C4933" i="17" s="1"/>
  <c r="L93" i="2"/>
  <c r="C93" i="17" s="1"/>
  <c r="R92" i="2"/>
  <c r="C2512" i="17" s="1"/>
  <c r="P92" i="2"/>
  <c r="C6142" i="17" s="1"/>
  <c r="O92" i="2"/>
  <c r="C4932" i="17" s="1"/>
  <c r="L92" i="2"/>
  <c r="C92" i="17" s="1"/>
  <c r="R91" i="2"/>
  <c r="C2511" i="17" s="1"/>
  <c r="P91" i="2"/>
  <c r="C6141" i="17" s="1"/>
  <c r="O91" i="2"/>
  <c r="L91" i="2"/>
  <c r="C91" i="17" s="1"/>
  <c r="R90" i="2"/>
  <c r="C2510" i="17" s="1"/>
  <c r="P90" i="2"/>
  <c r="C6140" i="17" s="1"/>
  <c r="O90" i="2"/>
  <c r="C4930" i="17" s="1"/>
  <c r="L90" i="2"/>
  <c r="C90" i="17" s="1"/>
  <c r="R89" i="2"/>
  <c r="C2509" i="17" s="1"/>
  <c r="P89" i="2"/>
  <c r="C6139" i="17" s="1"/>
  <c r="O89" i="2"/>
  <c r="L89" i="2"/>
  <c r="C89" i="17" s="1"/>
  <c r="R88" i="2"/>
  <c r="C2508" i="17" s="1"/>
  <c r="P88" i="2"/>
  <c r="C6138" i="17" s="1"/>
  <c r="O88" i="2"/>
  <c r="C4928" i="17" s="1"/>
  <c r="L88" i="2"/>
  <c r="C88" i="17" s="1"/>
  <c r="R87" i="2"/>
  <c r="C2507" i="17" s="1"/>
  <c r="P87" i="2"/>
  <c r="C6137" i="17" s="1"/>
  <c r="O87" i="2"/>
  <c r="L87" i="2"/>
  <c r="C87" i="17" s="1"/>
  <c r="R86" i="2"/>
  <c r="C2506" i="17" s="1"/>
  <c r="P86" i="2"/>
  <c r="C6136" i="17" s="1"/>
  <c r="O86" i="2"/>
  <c r="C4926" i="17" s="1"/>
  <c r="L86" i="2"/>
  <c r="C86" i="17" s="1"/>
  <c r="R85" i="2"/>
  <c r="C2505" i="17" s="1"/>
  <c r="P85" i="2"/>
  <c r="C6135" i="17" s="1"/>
  <c r="O85" i="2"/>
  <c r="L85" i="2"/>
  <c r="C85" i="17" s="1"/>
  <c r="R84" i="2"/>
  <c r="C2504" i="17" s="1"/>
  <c r="P84" i="2"/>
  <c r="C6134" i="17" s="1"/>
  <c r="O84" i="2"/>
  <c r="C4924" i="17" s="1"/>
  <c r="L84" i="2"/>
  <c r="C84" i="17" s="1"/>
  <c r="R83" i="2"/>
  <c r="C2503" i="17" s="1"/>
  <c r="P83" i="2"/>
  <c r="C6133" i="17" s="1"/>
  <c r="O83" i="2"/>
  <c r="C4923" i="17" s="1"/>
  <c r="L83" i="2"/>
  <c r="C83" i="17" s="1"/>
  <c r="R82" i="2"/>
  <c r="C2502" i="17" s="1"/>
  <c r="P82" i="2"/>
  <c r="C6132" i="17" s="1"/>
  <c r="O82" i="2"/>
  <c r="C4922" i="17" s="1"/>
  <c r="L82" i="2"/>
  <c r="C82" i="17" s="1"/>
  <c r="R81" i="2"/>
  <c r="C2501" i="17" s="1"/>
  <c r="P81" i="2"/>
  <c r="C6131" i="17" s="1"/>
  <c r="O81" i="2"/>
  <c r="C4921" i="17" s="1"/>
  <c r="L81" i="2"/>
  <c r="C81" i="17" s="1"/>
  <c r="R80" i="2"/>
  <c r="C2500" i="17" s="1"/>
  <c r="P80" i="2"/>
  <c r="C6130" i="17" s="1"/>
  <c r="O80" i="2"/>
  <c r="C4920" i="17" s="1"/>
  <c r="L80" i="2"/>
  <c r="C80" i="17" s="1"/>
  <c r="R79" i="2"/>
  <c r="C2499" i="17" s="1"/>
  <c r="P79" i="2"/>
  <c r="C6129" i="17" s="1"/>
  <c r="O79" i="2"/>
  <c r="C4919" i="17" s="1"/>
  <c r="L79" i="2"/>
  <c r="C79" i="17" s="1"/>
  <c r="R78" i="2"/>
  <c r="C2498" i="17" s="1"/>
  <c r="P78" i="2"/>
  <c r="C6128" i="17" s="1"/>
  <c r="O78" i="2"/>
  <c r="L78" i="2"/>
  <c r="C78" i="17" s="1"/>
  <c r="R77" i="2"/>
  <c r="C2497" i="17" s="1"/>
  <c r="P77" i="2"/>
  <c r="C6127" i="17" s="1"/>
  <c r="O77" i="2"/>
  <c r="C4917" i="17" s="1"/>
  <c r="L77" i="2"/>
  <c r="C77" i="17" s="1"/>
  <c r="R76" i="2"/>
  <c r="C2496" i="17" s="1"/>
  <c r="P76" i="2"/>
  <c r="C6126" i="17" s="1"/>
  <c r="O76" i="2"/>
  <c r="L76" i="2"/>
  <c r="C76" i="17" s="1"/>
  <c r="R75" i="2"/>
  <c r="C2495" i="17" s="1"/>
  <c r="P75" i="2"/>
  <c r="C6125" i="17" s="1"/>
  <c r="O75" i="2"/>
  <c r="C4915" i="17" s="1"/>
  <c r="L75" i="2"/>
  <c r="C75" i="17" s="1"/>
  <c r="R74" i="2"/>
  <c r="C2494" i="17" s="1"/>
  <c r="P74" i="2"/>
  <c r="C6124" i="17" s="1"/>
  <c r="O74" i="2"/>
  <c r="L74" i="2"/>
  <c r="C74" i="17" s="1"/>
  <c r="R73" i="2"/>
  <c r="C2493" i="17" s="1"/>
  <c r="P73" i="2"/>
  <c r="C6123" i="17" s="1"/>
  <c r="O73" i="2"/>
  <c r="C4913" i="17" s="1"/>
  <c r="L73" i="2"/>
  <c r="C73" i="17" s="1"/>
  <c r="R72" i="2"/>
  <c r="C2492" i="17" s="1"/>
  <c r="P72" i="2"/>
  <c r="C6122" i="17" s="1"/>
  <c r="O72" i="2"/>
  <c r="C4912" i="17" s="1"/>
  <c r="L72" i="2"/>
  <c r="C72" i="17" s="1"/>
  <c r="R71" i="2"/>
  <c r="C2491" i="17" s="1"/>
  <c r="P71" i="2"/>
  <c r="C6121" i="17" s="1"/>
  <c r="O71" i="2"/>
  <c r="C4911" i="17" s="1"/>
  <c r="L71" i="2"/>
  <c r="C71" i="17" s="1"/>
  <c r="R70" i="2"/>
  <c r="C2490" i="17" s="1"/>
  <c r="P70" i="2"/>
  <c r="C6120" i="17" s="1"/>
  <c r="O70" i="2"/>
  <c r="C4910" i="17" s="1"/>
  <c r="L70" i="2"/>
  <c r="C70" i="17" s="1"/>
  <c r="R69" i="2"/>
  <c r="C2489" i="17" s="1"/>
  <c r="P69" i="2"/>
  <c r="C6119" i="17" s="1"/>
  <c r="O69" i="2"/>
  <c r="C4909" i="17" s="1"/>
  <c r="L69" i="2"/>
  <c r="C69" i="17" s="1"/>
  <c r="R68" i="2"/>
  <c r="C2488" i="17" s="1"/>
  <c r="P68" i="2"/>
  <c r="C6118" i="17" s="1"/>
  <c r="O68" i="2"/>
  <c r="C4908" i="17" s="1"/>
  <c r="L68" i="2"/>
  <c r="C68" i="17" s="1"/>
  <c r="R67" i="2"/>
  <c r="C2487" i="17" s="1"/>
  <c r="P67" i="2"/>
  <c r="C6117" i="17" s="1"/>
  <c r="O67" i="2"/>
  <c r="L67" i="2"/>
  <c r="C67" i="17" s="1"/>
  <c r="R66" i="2"/>
  <c r="C2486" i="17" s="1"/>
  <c r="P66" i="2"/>
  <c r="C6116" i="17" s="1"/>
  <c r="O66" i="2"/>
  <c r="C4906" i="17" s="1"/>
  <c r="L66" i="2"/>
  <c r="C66" i="17" s="1"/>
  <c r="R65" i="2"/>
  <c r="C2485" i="17" s="1"/>
  <c r="P65" i="2"/>
  <c r="C6115" i="17" s="1"/>
  <c r="O65" i="2"/>
  <c r="L65" i="2"/>
  <c r="C65" i="17" s="1"/>
  <c r="R64" i="2"/>
  <c r="C2484" i="17" s="1"/>
  <c r="P64" i="2"/>
  <c r="C6114" i="17" s="1"/>
  <c r="O64" i="2"/>
  <c r="C4904" i="17" s="1"/>
  <c r="L64" i="2"/>
  <c r="C64" i="17" s="1"/>
  <c r="R63" i="2"/>
  <c r="C2483" i="17" s="1"/>
  <c r="P63" i="2"/>
  <c r="C6113" i="17" s="1"/>
  <c r="O63" i="2"/>
  <c r="L63" i="2"/>
  <c r="C63" i="17" s="1"/>
  <c r="R62" i="2"/>
  <c r="C2482" i="17" s="1"/>
  <c r="P62" i="2"/>
  <c r="C6112" i="17" s="1"/>
  <c r="O62" i="2"/>
  <c r="C4902" i="17" s="1"/>
  <c r="L62" i="2"/>
  <c r="C62" i="17" s="1"/>
  <c r="R61" i="2"/>
  <c r="C2481" i="17" s="1"/>
  <c r="P61" i="2"/>
  <c r="C6111" i="17" s="1"/>
  <c r="O61" i="2"/>
  <c r="L61" i="2"/>
  <c r="C61" i="17" s="1"/>
  <c r="R60" i="2"/>
  <c r="C2480" i="17" s="1"/>
  <c r="P60" i="2"/>
  <c r="C6110" i="17" s="1"/>
  <c r="O60" i="2"/>
  <c r="C4900" i="17" s="1"/>
  <c r="L60" i="2"/>
  <c r="C60" i="17" s="1"/>
  <c r="R59" i="2"/>
  <c r="C2479" i="17" s="1"/>
  <c r="P59" i="2"/>
  <c r="C6109" i="17" s="1"/>
  <c r="O59" i="2"/>
  <c r="C4899" i="17" s="1"/>
  <c r="L59" i="2"/>
  <c r="C59" i="17" s="1"/>
  <c r="R58" i="2"/>
  <c r="C2478" i="17" s="1"/>
  <c r="P58" i="2"/>
  <c r="C6108" i="17" s="1"/>
  <c r="O58" i="2"/>
  <c r="C4898" i="17" s="1"/>
  <c r="L58" i="2"/>
  <c r="C58" i="17" s="1"/>
  <c r="R57" i="2"/>
  <c r="C2477" i="17" s="1"/>
  <c r="P57" i="2"/>
  <c r="C6107" i="17" s="1"/>
  <c r="O57" i="2"/>
  <c r="C4897" i="17" s="1"/>
  <c r="L57" i="2"/>
  <c r="C57" i="17" s="1"/>
  <c r="R56" i="2"/>
  <c r="C2476" i="17" s="1"/>
  <c r="P56" i="2"/>
  <c r="C6106" i="17" s="1"/>
  <c r="O56" i="2"/>
  <c r="C4896" i="17" s="1"/>
  <c r="L56" i="2"/>
  <c r="C56" i="17" s="1"/>
  <c r="R55" i="2"/>
  <c r="C2475" i="17" s="1"/>
  <c r="P55" i="2"/>
  <c r="C6105" i="17" s="1"/>
  <c r="O55" i="2"/>
  <c r="C4895" i="17" s="1"/>
  <c r="L55" i="2"/>
  <c r="C55" i="17" s="1"/>
  <c r="R54" i="2"/>
  <c r="C2474" i="17" s="1"/>
  <c r="P54" i="2"/>
  <c r="C6104" i="17" s="1"/>
  <c r="O54" i="2"/>
  <c r="L54" i="2"/>
  <c r="C54" i="17" s="1"/>
  <c r="R53" i="2"/>
  <c r="C2473" i="17" s="1"/>
  <c r="P53" i="2"/>
  <c r="C6103" i="17" s="1"/>
  <c r="O53" i="2"/>
  <c r="C4893" i="17" s="1"/>
  <c r="L53" i="2"/>
  <c r="C53" i="17" s="1"/>
  <c r="R52" i="2"/>
  <c r="C2472" i="17" s="1"/>
  <c r="P52" i="2"/>
  <c r="C6102" i="17" s="1"/>
  <c r="O52" i="2"/>
  <c r="L52" i="2"/>
  <c r="C52" i="17" s="1"/>
  <c r="R51" i="2"/>
  <c r="C2471" i="17" s="1"/>
  <c r="P51" i="2"/>
  <c r="C6101" i="17" s="1"/>
  <c r="O51" i="2"/>
  <c r="C4891" i="17" s="1"/>
  <c r="L51" i="2"/>
  <c r="C51" i="17" s="1"/>
  <c r="R50" i="2"/>
  <c r="C2470" i="17" s="1"/>
  <c r="P50" i="2"/>
  <c r="C6100" i="17" s="1"/>
  <c r="O50" i="2"/>
  <c r="L50" i="2"/>
  <c r="C50" i="17" s="1"/>
  <c r="R49" i="2"/>
  <c r="C2469" i="17" s="1"/>
  <c r="P49" i="2"/>
  <c r="C6099" i="17" s="1"/>
  <c r="O49" i="2"/>
  <c r="C4889" i="17" s="1"/>
  <c r="L49" i="2"/>
  <c r="C49" i="17" s="1"/>
  <c r="R48" i="2"/>
  <c r="C2468" i="17" s="1"/>
  <c r="P48" i="2"/>
  <c r="C6098" i="17" s="1"/>
  <c r="O48" i="2"/>
  <c r="C4888" i="17" s="1"/>
  <c r="L48" i="2"/>
  <c r="C48" i="17" s="1"/>
  <c r="R47" i="2"/>
  <c r="C2467" i="17" s="1"/>
  <c r="P47" i="2"/>
  <c r="C6097" i="17" s="1"/>
  <c r="O47" i="2"/>
  <c r="C4887" i="17" s="1"/>
  <c r="L47" i="2"/>
  <c r="C47" i="17" s="1"/>
  <c r="R46" i="2"/>
  <c r="C2466" i="17" s="1"/>
  <c r="P46" i="2"/>
  <c r="C6096" i="17" s="1"/>
  <c r="O46" i="2"/>
  <c r="C4886" i="17" s="1"/>
  <c r="L46" i="2"/>
  <c r="C46" i="17" s="1"/>
  <c r="R45" i="2"/>
  <c r="C2465" i="17" s="1"/>
  <c r="P45" i="2"/>
  <c r="C6095" i="17" s="1"/>
  <c r="O45" i="2"/>
  <c r="C4885" i="17" s="1"/>
  <c r="L45" i="2"/>
  <c r="C45" i="17" s="1"/>
  <c r="R44" i="2"/>
  <c r="C2464" i="17" s="1"/>
  <c r="P44" i="2"/>
  <c r="C6094" i="17" s="1"/>
  <c r="O44" i="2"/>
  <c r="C4884" i="17" s="1"/>
  <c r="L44" i="2"/>
  <c r="C44" i="17" s="1"/>
  <c r="R43" i="2"/>
  <c r="C2463" i="17" s="1"/>
  <c r="P43" i="2"/>
  <c r="C6093" i="17" s="1"/>
  <c r="O43" i="2"/>
  <c r="L43" i="2"/>
  <c r="C43" i="17" s="1"/>
  <c r="R42" i="2"/>
  <c r="C2462" i="17" s="1"/>
  <c r="P42" i="2"/>
  <c r="C6092" i="17" s="1"/>
  <c r="O42" i="2"/>
  <c r="C4882" i="17" s="1"/>
  <c r="L42" i="2"/>
  <c r="C42" i="17" s="1"/>
  <c r="R41" i="2"/>
  <c r="C2461" i="17" s="1"/>
  <c r="P41" i="2"/>
  <c r="C6091" i="17" s="1"/>
  <c r="O41" i="2"/>
  <c r="L41" i="2"/>
  <c r="C41" i="17" s="1"/>
  <c r="R40" i="2"/>
  <c r="C2460" i="17" s="1"/>
  <c r="P40" i="2"/>
  <c r="C6090" i="17" s="1"/>
  <c r="O40" i="2"/>
  <c r="C4880" i="17" s="1"/>
  <c r="L40" i="2"/>
  <c r="C40" i="17" s="1"/>
  <c r="R39" i="2"/>
  <c r="C2459" i="17" s="1"/>
  <c r="P39" i="2"/>
  <c r="C6089" i="17" s="1"/>
  <c r="O39" i="2"/>
  <c r="L39" i="2"/>
  <c r="C39" i="17" s="1"/>
  <c r="R38" i="2"/>
  <c r="C2458" i="17" s="1"/>
  <c r="P38" i="2"/>
  <c r="C6088" i="17" s="1"/>
  <c r="O38" i="2"/>
  <c r="C4878" i="17" s="1"/>
  <c r="L38" i="2"/>
  <c r="C38" i="17" s="1"/>
  <c r="R37" i="2"/>
  <c r="C2457" i="17" s="1"/>
  <c r="P37" i="2"/>
  <c r="C6087" i="17" s="1"/>
  <c r="O37" i="2"/>
  <c r="L37" i="2"/>
  <c r="C37" i="17" s="1"/>
  <c r="R36" i="2"/>
  <c r="C2456" i="17" s="1"/>
  <c r="P36" i="2"/>
  <c r="C6086" i="17" s="1"/>
  <c r="O36" i="2"/>
  <c r="C4876" i="17" s="1"/>
  <c r="L36" i="2"/>
  <c r="C36" i="17" s="1"/>
  <c r="R35" i="2"/>
  <c r="C2455" i="17" s="1"/>
  <c r="P35" i="2"/>
  <c r="C6085" i="17" s="1"/>
  <c r="O35" i="2"/>
  <c r="C4875" i="17" s="1"/>
  <c r="L35" i="2"/>
  <c r="C35" i="17" s="1"/>
  <c r="R34" i="2"/>
  <c r="C2454" i="17" s="1"/>
  <c r="P34" i="2"/>
  <c r="C6084" i="17" s="1"/>
  <c r="O34" i="2"/>
  <c r="C4874" i="17" s="1"/>
  <c r="L34" i="2"/>
  <c r="C34" i="17" s="1"/>
  <c r="R33" i="2"/>
  <c r="C2453" i="17" s="1"/>
  <c r="P33" i="2"/>
  <c r="C6083" i="17" s="1"/>
  <c r="O33" i="2"/>
  <c r="C4873" i="17" s="1"/>
  <c r="L33" i="2"/>
  <c r="C33" i="17" s="1"/>
  <c r="R32" i="2"/>
  <c r="C2452" i="17" s="1"/>
  <c r="P32" i="2"/>
  <c r="C6082" i="17" s="1"/>
  <c r="O32" i="2"/>
  <c r="C4872" i="17" s="1"/>
  <c r="L32" i="2"/>
  <c r="C32" i="17" s="1"/>
  <c r="R31" i="2"/>
  <c r="C2451" i="17" s="1"/>
  <c r="P31" i="2"/>
  <c r="C6081" i="17" s="1"/>
  <c r="O31" i="2"/>
  <c r="C4871" i="17" s="1"/>
  <c r="L31" i="2"/>
  <c r="C31" i="17" s="1"/>
  <c r="R30" i="2"/>
  <c r="C2450" i="17" s="1"/>
  <c r="P30" i="2"/>
  <c r="C6080" i="17" s="1"/>
  <c r="O30" i="2"/>
  <c r="L30" i="2"/>
  <c r="C30" i="17" s="1"/>
  <c r="R29" i="2"/>
  <c r="C2449" i="17" s="1"/>
  <c r="P29" i="2"/>
  <c r="C6079" i="17" s="1"/>
  <c r="O29" i="2"/>
  <c r="C4869" i="17" s="1"/>
  <c r="L29" i="2"/>
  <c r="C29" i="17" s="1"/>
  <c r="R28" i="2"/>
  <c r="C2448" i="17" s="1"/>
  <c r="P28" i="2"/>
  <c r="C6078" i="17" s="1"/>
  <c r="O28" i="2"/>
  <c r="L28" i="2"/>
  <c r="C28" i="17" s="1"/>
  <c r="R27" i="2"/>
  <c r="C2447" i="17" s="1"/>
  <c r="P27" i="2"/>
  <c r="C6077" i="17" s="1"/>
  <c r="O27" i="2"/>
  <c r="C4867" i="17" s="1"/>
  <c r="L27" i="2"/>
  <c r="C27" i="17" s="1"/>
  <c r="R26" i="2"/>
  <c r="C2446" i="17" s="1"/>
  <c r="P26" i="2"/>
  <c r="C6076" i="17" s="1"/>
  <c r="O26" i="2"/>
  <c r="L26" i="2"/>
  <c r="C26" i="17" s="1"/>
  <c r="R25" i="2"/>
  <c r="C2445" i="17" s="1"/>
  <c r="P25" i="2"/>
  <c r="C6075" i="17" s="1"/>
  <c r="O25" i="2"/>
  <c r="C4865" i="17" s="1"/>
  <c r="L25" i="2"/>
  <c r="C25" i="17" s="1"/>
  <c r="R24" i="2"/>
  <c r="C2444" i="17" s="1"/>
  <c r="P24" i="2"/>
  <c r="C6074" i="17" s="1"/>
  <c r="O24" i="2"/>
  <c r="C4864" i="17" s="1"/>
  <c r="L24" i="2"/>
  <c r="C24" i="17" s="1"/>
  <c r="R23" i="2"/>
  <c r="C2443" i="17" s="1"/>
  <c r="P23" i="2"/>
  <c r="C6073" i="17" s="1"/>
  <c r="O23" i="2"/>
  <c r="C4863" i="17" s="1"/>
  <c r="L23" i="2"/>
  <c r="C23" i="17" s="1"/>
  <c r="R22" i="2"/>
  <c r="C2442" i="17" s="1"/>
  <c r="P22" i="2"/>
  <c r="C6072" i="17" s="1"/>
  <c r="O22" i="2"/>
  <c r="C4862" i="17" s="1"/>
  <c r="L22" i="2"/>
  <c r="C22" i="17" s="1"/>
  <c r="R21" i="2"/>
  <c r="C2441" i="17" s="1"/>
  <c r="P21" i="2"/>
  <c r="C6071" i="17" s="1"/>
  <c r="O21" i="2"/>
  <c r="C4861" i="17" s="1"/>
  <c r="L21" i="2"/>
  <c r="C21" i="17" s="1"/>
  <c r="R20" i="2"/>
  <c r="C2440" i="17" s="1"/>
  <c r="P20" i="2"/>
  <c r="C6070" i="17" s="1"/>
  <c r="O20" i="2"/>
  <c r="C4860" i="17" s="1"/>
  <c r="L20" i="2"/>
  <c r="C20" i="17" s="1"/>
  <c r="R19" i="2"/>
  <c r="C2439" i="17" s="1"/>
  <c r="P19" i="2"/>
  <c r="C6069" i="17" s="1"/>
  <c r="O19" i="2"/>
  <c r="L19" i="2"/>
  <c r="C19" i="17" s="1"/>
  <c r="R18" i="2"/>
  <c r="C2438" i="17" s="1"/>
  <c r="P18" i="2"/>
  <c r="C6068" i="17" s="1"/>
  <c r="O18" i="2"/>
  <c r="C4858" i="17" s="1"/>
  <c r="L18" i="2"/>
  <c r="C18" i="17" s="1"/>
  <c r="R17" i="2"/>
  <c r="C2437" i="17" s="1"/>
  <c r="P17" i="2"/>
  <c r="C6067" i="17" s="1"/>
  <c r="O17" i="2"/>
  <c r="L17" i="2"/>
  <c r="C17" i="17" s="1"/>
  <c r="R16" i="2"/>
  <c r="C2436" i="17" s="1"/>
  <c r="P16" i="2"/>
  <c r="C6066" i="17" s="1"/>
  <c r="O16" i="2"/>
  <c r="C4856" i="17" s="1"/>
  <c r="L16" i="2"/>
  <c r="C16" i="17" s="1"/>
  <c r="R15" i="2"/>
  <c r="C2435" i="17" s="1"/>
  <c r="P15" i="2"/>
  <c r="C6065" i="17" s="1"/>
  <c r="O15" i="2"/>
  <c r="L15" i="2"/>
  <c r="C15" i="17" s="1"/>
  <c r="R14" i="2"/>
  <c r="C2434" i="17" s="1"/>
  <c r="P14" i="2"/>
  <c r="C6064" i="17" s="1"/>
  <c r="O14" i="2"/>
  <c r="C4854" i="17" s="1"/>
  <c r="L14" i="2"/>
  <c r="C14" i="17" s="1"/>
  <c r="R13" i="2"/>
  <c r="C2433" i="17" s="1"/>
  <c r="P13" i="2"/>
  <c r="C6063" i="17" s="1"/>
  <c r="O13" i="2"/>
  <c r="L13" i="2"/>
  <c r="C13" i="17" s="1"/>
  <c r="R12" i="2"/>
  <c r="C2432" i="17" s="1"/>
  <c r="P12" i="2"/>
  <c r="C6062" i="17" s="1"/>
  <c r="O12" i="2"/>
  <c r="C4852" i="17" s="1"/>
  <c r="L12" i="2"/>
  <c r="C12" i="17" s="1"/>
  <c r="R11" i="2"/>
  <c r="C2431" i="17" s="1"/>
  <c r="P11" i="2"/>
  <c r="C6061" i="17" s="1"/>
  <c r="O11" i="2"/>
  <c r="C4851" i="17" s="1"/>
  <c r="L11" i="2"/>
  <c r="C11" i="17" s="1"/>
  <c r="R10" i="2"/>
  <c r="C2430" i="17" s="1"/>
  <c r="P10" i="2"/>
  <c r="C6060" i="17" s="1"/>
  <c r="O10" i="2"/>
  <c r="C4850" i="17" s="1"/>
  <c r="L10" i="2"/>
  <c r="C10" i="17" s="1"/>
  <c r="R9" i="2"/>
  <c r="C2429" i="17" s="1"/>
  <c r="P9" i="2"/>
  <c r="C6059" i="17" s="1"/>
  <c r="O9" i="2"/>
  <c r="C4849" i="17" s="1"/>
  <c r="L9" i="2"/>
  <c r="C9" i="17" s="1"/>
  <c r="R8" i="2"/>
  <c r="C2428" i="17" s="1"/>
  <c r="P8" i="2"/>
  <c r="C6058" i="17" s="1"/>
  <c r="O8" i="2"/>
  <c r="C4848" i="17" s="1"/>
  <c r="L8" i="2"/>
  <c r="C8" i="17" s="1"/>
  <c r="R7" i="2"/>
  <c r="C2427" i="17" s="1"/>
  <c r="P7" i="2"/>
  <c r="C6057" i="17" s="1"/>
  <c r="O7" i="2"/>
  <c r="C4847" i="17" s="1"/>
  <c r="L7" i="2"/>
  <c r="C7" i="17" s="1"/>
  <c r="R6" i="2"/>
  <c r="C2426" i="17" s="1"/>
  <c r="P6" i="2"/>
  <c r="C6056" i="17" s="1"/>
  <c r="O6" i="2"/>
  <c r="L6" i="2"/>
  <c r="C6" i="17" s="1"/>
  <c r="R5" i="2"/>
  <c r="C2425" i="17" s="1"/>
  <c r="P5" i="2"/>
  <c r="C6055" i="17" s="1"/>
  <c r="O5" i="2"/>
  <c r="C4845" i="17" s="1"/>
  <c r="L5" i="2"/>
  <c r="C5" i="17" s="1"/>
  <c r="R4" i="2"/>
  <c r="C2424" i="17" s="1"/>
  <c r="P4" i="2"/>
  <c r="C6054" i="17" s="1"/>
  <c r="O4" i="2"/>
  <c r="L4" i="2"/>
  <c r="C4" i="17" s="1"/>
  <c r="R3" i="2"/>
  <c r="C2423" i="17" s="1"/>
  <c r="P3" i="2"/>
  <c r="C6053" i="17" s="1"/>
  <c r="O3" i="2"/>
  <c r="C4843" i="17" s="1"/>
  <c r="L3" i="2"/>
  <c r="C3" i="17" s="1"/>
  <c r="R2" i="2"/>
  <c r="P2" i="2"/>
  <c r="O2" i="2"/>
  <c r="L2" i="2"/>
  <c r="E13" i="5" l="1"/>
  <c r="S97" i="2"/>
  <c r="C3727" i="17" s="1"/>
  <c r="S1134" i="2"/>
  <c r="C4764" i="17" s="1"/>
  <c r="S515" i="2"/>
  <c r="C4145" i="17" s="1"/>
  <c r="S1001" i="2"/>
  <c r="C4631" i="17" s="1"/>
  <c r="S770" i="2"/>
  <c r="C4400" i="17" s="1"/>
  <c r="S147" i="2"/>
  <c r="C3777" i="17" s="1"/>
  <c r="S782" i="2"/>
  <c r="C4412" i="17" s="1"/>
  <c r="S642" i="2"/>
  <c r="C4272" i="17" s="1"/>
  <c r="S504" i="2"/>
  <c r="C4134" i="17" s="1"/>
  <c r="S938" i="2"/>
  <c r="C4568" i="17" s="1"/>
  <c r="S614" i="2"/>
  <c r="C4244" i="17" s="1"/>
  <c r="S128" i="2"/>
  <c r="C3758" i="17" s="1"/>
  <c r="S448" i="2"/>
  <c r="C4078" i="17" s="1"/>
  <c r="S828" i="2"/>
  <c r="C4458" i="17" s="1"/>
  <c r="S1180" i="2"/>
  <c r="C4810" i="17" s="1"/>
  <c r="S228" i="2"/>
  <c r="C3858" i="17" s="1"/>
  <c r="S317" i="2"/>
  <c r="C3947" i="17" s="1"/>
  <c r="S664" i="2"/>
  <c r="C4294" i="17" s="1"/>
  <c r="S72" i="2"/>
  <c r="C3702" i="17" s="1"/>
  <c r="S125" i="2"/>
  <c r="C3755" i="17" s="1"/>
  <c r="S16" i="2"/>
  <c r="C3646" i="17" s="1"/>
  <c r="S58" i="2"/>
  <c r="C3688" i="17" s="1"/>
  <c r="S120" i="2"/>
  <c r="C3750" i="17" s="1"/>
  <c r="S389" i="2"/>
  <c r="C4019" i="17" s="1"/>
  <c r="S600" i="2"/>
  <c r="C4230" i="17" s="1"/>
  <c r="S990" i="2"/>
  <c r="C4620" i="17" s="1"/>
  <c r="S1154" i="2"/>
  <c r="C4784" i="17" s="1"/>
  <c r="S542" i="2"/>
  <c r="C4172" i="17" s="1"/>
  <c r="S675" i="2"/>
  <c r="C4305" i="17" s="1"/>
  <c r="S86" i="2"/>
  <c r="C3716" i="17" s="1"/>
  <c r="S1108" i="2"/>
  <c r="C4738" i="17" s="1"/>
  <c r="S136" i="2"/>
  <c r="C3766" i="17" s="1"/>
  <c r="S217" i="2"/>
  <c r="C3847" i="17" s="1"/>
  <c r="S312" i="2"/>
  <c r="C3942" i="17" s="1"/>
  <c r="S359" i="2"/>
  <c r="C3989" i="17" s="1"/>
  <c r="S564" i="2"/>
  <c r="C4194" i="17" s="1"/>
  <c r="S256" i="2"/>
  <c r="C3886" i="17" s="1"/>
  <c r="S814" i="2"/>
  <c r="C4444" i="17" s="1"/>
  <c r="S1062" i="2"/>
  <c r="C4692" i="17" s="1"/>
  <c r="S195" i="2"/>
  <c r="C3825" i="17" s="1"/>
  <c r="S328" i="2"/>
  <c r="C3958" i="17" s="1"/>
  <c r="S287" i="2"/>
  <c r="C3917" i="17" s="1"/>
  <c r="S625" i="2"/>
  <c r="C4255" i="17" s="1"/>
  <c r="S750" i="2"/>
  <c r="C4380" i="17" s="1"/>
  <c r="S400" i="2"/>
  <c r="C4030" i="17" s="1"/>
  <c r="S1174" i="2"/>
  <c r="C4804" i="17" s="1"/>
  <c r="S5" i="2"/>
  <c r="C3635" i="17" s="1"/>
  <c r="S206" i="2"/>
  <c r="C3836" i="17" s="1"/>
  <c r="S339" i="2"/>
  <c r="C3969" i="17" s="1"/>
  <c r="S553" i="2"/>
  <c r="C4183" i="17" s="1"/>
  <c r="S25" i="2"/>
  <c r="C3655" i="17" s="1"/>
  <c r="S384" i="2"/>
  <c r="C4014" i="17" s="1"/>
  <c r="S240" i="2"/>
  <c r="C3870" i="17" s="1"/>
  <c r="S446" i="2"/>
  <c r="C4076" i="17" s="1"/>
  <c r="S648" i="2"/>
  <c r="C4278" i="17" s="1"/>
  <c r="S736" i="2"/>
  <c r="C4366" i="17" s="1"/>
  <c r="S1126" i="2"/>
  <c r="C4756" i="17" s="1"/>
  <c r="S304" i="2"/>
  <c r="C3934" i="17" s="1"/>
  <c r="S387" i="2"/>
  <c r="C4017" i="17" s="1"/>
  <c r="S576" i="2"/>
  <c r="C4206" i="17" s="1"/>
  <c r="S673" i="2"/>
  <c r="C4303" i="17" s="1"/>
  <c r="S1060" i="2"/>
  <c r="C4690" i="17" s="1"/>
  <c r="S365" i="2"/>
  <c r="C3995" i="17" s="1"/>
  <c r="S702" i="2"/>
  <c r="C4332" i="17" s="1"/>
  <c r="S968" i="2"/>
  <c r="C4598" i="17" s="1"/>
  <c r="S64" i="2"/>
  <c r="C3694" i="17" s="1"/>
  <c r="S348" i="2"/>
  <c r="C3978" i="17" s="1"/>
  <c r="S409" i="2"/>
  <c r="C4039" i="17" s="1"/>
  <c r="S507" i="2"/>
  <c r="C4137" i="17" s="1"/>
  <c r="S653" i="2"/>
  <c r="C4283" i="17" s="1"/>
  <c r="S704" i="2"/>
  <c r="C4334" i="17" s="1"/>
  <c r="S254" i="2"/>
  <c r="C3884" i="17" s="1"/>
  <c r="S1146" i="2"/>
  <c r="C4776" i="17" s="1"/>
  <c r="S173" i="2"/>
  <c r="C3803" i="17" s="1"/>
  <c r="S376" i="2"/>
  <c r="C4006" i="17" s="1"/>
  <c r="S988" i="2"/>
  <c r="C4618" i="17" s="1"/>
  <c r="S51" i="2"/>
  <c r="C3681" i="17" s="1"/>
  <c r="S62" i="2"/>
  <c r="C3692" i="17" s="1"/>
  <c r="S73" i="2"/>
  <c r="C3703" i="17" s="1"/>
  <c r="S538" i="2"/>
  <c r="C4168" i="17" s="1"/>
  <c r="S601" i="2"/>
  <c r="C4231" i="17" s="1"/>
  <c r="S1040" i="2"/>
  <c r="C4670" i="17" s="1"/>
  <c r="S1204" i="2"/>
  <c r="C4834" i="17" s="1"/>
  <c r="S12" i="2"/>
  <c r="C3642" i="17" s="1"/>
  <c r="S40" i="2"/>
  <c r="C3670" i="17" s="1"/>
  <c r="S101" i="2"/>
  <c r="C3731" i="17" s="1"/>
  <c r="S121" i="2"/>
  <c r="C3751" i="17" s="1"/>
  <c r="S274" i="2"/>
  <c r="C3904" i="17" s="1"/>
  <c r="S313" i="2"/>
  <c r="C3943" i="17" s="1"/>
  <c r="S324" i="2"/>
  <c r="C3954" i="17" s="1"/>
  <c r="S579" i="2"/>
  <c r="C4209" i="17" s="1"/>
  <c r="S734" i="2"/>
  <c r="C4364" i="17" s="1"/>
  <c r="S832" i="2"/>
  <c r="C4462" i="17" s="1"/>
  <c r="S858" i="2"/>
  <c r="C4488" i="17" s="1"/>
  <c r="S1000" i="2"/>
  <c r="C4630" i="17" s="1"/>
  <c r="S245" i="2"/>
  <c r="C3875" i="17" s="1"/>
  <c r="S298" i="2"/>
  <c r="C3928" i="17" s="1"/>
  <c r="S437" i="2"/>
  <c r="C4067" i="17" s="1"/>
  <c r="S496" i="2"/>
  <c r="C4126" i="17" s="1"/>
  <c r="S551" i="2"/>
  <c r="C4181" i="17" s="1"/>
  <c r="S592" i="2"/>
  <c r="C4222" i="17" s="1"/>
  <c r="S623" i="2"/>
  <c r="C4253" i="17" s="1"/>
  <c r="S1206" i="2"/>
  <c r="C4836" i="17" s="1"/>
  <c r="S134" i="2"/>
  <c r="C3764" i="17" s="1"/>
  <c r="S315" i="2"/>
  <c r="C3945" i="17" s="1"/>
  <c r="S326" i="2"/>
  <c r="C3956" i="17" s="1"/>
  <c r="S540" i="2"/>
  <c r="C4170" i="17" s="1"/>
  <c r="S193" i="2"/>
  <c r="C3823" i="17" s="1"/>
  <c r="S480" i="2"/>
  <c r="C4110" i="17" s="1"/>
  <c r="S491" i="2"/>
  <c r="C4121" i="17" s="1"/>
  <c r="S800" i="2"/>
  <c r="C4430" i="17" s="1"/>
  <c r="S872" i="2"/>
  <c r="C4502" i="17" s="1"/>
  <c r="S243" i="2"/>
  <c r="C3873" i="17" s="1"/>
  <c r="S293" i="2"/>
  <c r="C3923" i="17" s="1"/>
  <c r="S335" i="2"/>
  <c r="C3965" i="17" s="1"/>
  <c r="S494" i="2"/>
  <c r="C4124" i="17" s="1"/>
  <c r="S651" i="2"/>
  <c r="C4281" i="17" s="1"/>
  <c r="S1014" i="2"/>
  <c r="C4644" i="17" s="1"/>
  <c r="S1086" i="2"/>
  <c r="C4716" i="17" s="1"/>
  <c r="S232" i="2"/>
  <c r="C3862" i="17" s="1"/>
  <c r="S288" i="2"/>
  <c r="C3918" i="17" s="1"/>
  <c r="S360" i="2"/>
  <c r="C3990" i="17" s="1"/>
  <c r="S396" i="2"/>
  <c r="C4026" i="17" s="1"/>
  <c r="S424" i="2"/>
  <c r="C4054" i="17" s="1"/>
  <c r="S472" i="2"/>
  <c r="C4102" i="17" s="1"/>
  <c r="S483" i="2"/>
  <c r="C4113" i="17" s="1"/>
  <c r="S557" i="2"/>
  <c r="C4187" i="17" s="1"/>
  <c r="S568" i="2"/>
  <c r="C4198" i="17" s="1"/>
  <c r="S629" i="2"/>
  <c r="C4259" i="17" s="1"/>
  <c r="S671" i="2"/>
  <c r="C4301" i="17" s="1"/>
  <c r="S766" i="2"/>
  <c r="C4396" i="17" s="1"/>
  <c r="S890" i="2"/>
  <c r="C4520" i="17" s="1"/>
  <c r="S1112" i="2"/>
  <c r="C4742" i="17" s="1"/>
  <c r="S1158" i="2"/>
  <c r="C4788" i="17" s="1"/>
  <c r="S96" i="2"/>
  <c r="C3726" i="17" s="1"/>
  <c r="S110" i="2"/>
  <c r="C3740" i="17" s="1"/>
  <c r="S171" i="2"/>
  <c r="C3801" i="17" s="1"/>
  <c r="S213" i="2"/>
  <c r="C3843" i="17" s="1"/>
  <c r="S221" i="2"/>
  <c r="C3851" i="17" s="1"/>
  <c r="S302" i="2"/>
  <c r="C3932" i="17" s="1"/>
  <c r="S374" i="2"/>
  <c r="C4004" i="17" s="1"/>
  <c r="S385" i="2"/>
  <c r="C4015" i="17" s="1"/>
  <c r="S503" i="2"/>
  <c r="C4133" i="17" s="1"/>
  <c r="S552" i="2"/>
  <c r="C4182" i="17" s="1"/>
  <c r="S563" i="2"/>
  <c r="C4193" i="17" s="1"/>
  <c r="S599" i="2"/>
  <c r="C4229" i="17" s="1"/>
  <c r="S624" i="2"/>
  <c r="C4254" i="17" s="1"/>
  <c r="S638" i="2"/>
  <c r="C4268" i="17" s="1"/>
  <c r="S798" i="2"/>
  <c r="C4428" i="17" s="1"/>
  <c r="S818" i="2"/>
  <c r="C4448" i="17" s="1"/>
  <c r="S870" i="2"/>
  <c r="C4500" i="17" s="1"/>
  <c r="S954" i="2"/>
  <c r="C4584" i="17" s="1"/>
  <c r="S1058" i="2"/>
  <c r="C4688" i="17" s="1"/>
  <c r="S1078" i="2"/>
  <c r="C4708" i="17" s="1"/>
  <c r="S1098" i="2"/>
  <c r="C4728" i="17" s="1"/>
  <c r="S1184" i="2"/>
  <c r="C4814" i="17" s="1"/>
  <c r="S75" i="2"/>
  <c r="C3705" i="17" s="1"/>
  <c r="S184" i="2"/>
  <c r="C3814" i="17" s="1"/>
  <c r="S265" i="2"/>
  <c r="C3895" i="17" s="1"/>
  <c r="S457" i="2"/>
  <c r="C4087" i="17" s="1"/>
  <c r="S529" i="2"/>
  <c r="C4159" i="17" s="1"/>
  <c r="S603" i="2"/>
  <c r="C4233" i="17" s="1"/>
  <c r="S924" i="2"/>
  <c r="C4554" i="17" s="1"/>
  <c r="S976" i="2"/>
  <c r="C4606" i="17" s="1"/>
  <c r="S145" i="2"/>
  <c r="C3775" i="17" s="1"/>
  <c r="S398" i="2"/>
  <c r="C4028" i="17" s="1"/>
  <c r="S640" i="2"/>
  <c r="C4270" i="17" s="1"/>
  <c r="S910" i="2"/>
  <c r="C4540" i="17" s="1"/>
  <c r="S1132" i="2"/>
  <c r="C4762" i="17" s="1"/>
  <c r="S168" i="2"/>
  <c r="C3798" i="17" s="1"/>
  <c r="S505" i="2"/>
  <c r="C4135" i="17" s="1"/>
  <c r="S590" i="2"/>
  <c r="C4220" i="17" s="1"/>
  <c r="S722" i="2"/>
  <c r="C4352" i="17" s="1"/>
  <c r="S29" i="2"/>
  <c r="C3659" i="17" s="1"/>
  <c r="S216" i="2"/>
  <c r="C3846" i="17" s="1"/>
  <c r="S269" i="2"/>
  <c r="C3899" i="17" s="1"/>
  <c r="S280" i="2"/>
  <c r="C3910" i="17" s="1"/>
  <c r="S291" i="2"/>
  <c r="C3921" i="17" s="1"/>
  <c r="S413" i="2"/>
  <c r="C4043" i="17" s="1"/>
  <c r="S514" i="2"/>
  <c r="C4144" i="17" s="1"/>
  <c r="S688" i="2"/>
  <c r="C4318" i="17" s="1"/>
  <c r="S928" i="2"/>
  <c r="C4558" i="17" s="1"/>
  <c r="S966" i="2"/>
  <c r="C4596" i="17" s="1"/>
  <c r="S1038" i="2"/>
  <c r="C4668" i="17" s="1"/>
  <c r="S141" i="2"/>
  <c r="C3771" i="17" s="1"/>
  <c r="S149" i="2"/>
  <c r="C3779" i="17" s="1"/>
  <c r="S230" i="2"/>
  <c r="C3860" i="17" s="1"/>
  <c r="S264" i="2"/>
  <c r="C3894" i="17" s="1"/>
  <c r="S272" i="2"/>
  <c r="C3902" i="17" s="1"/>
  <c r="S322" i="2"/>
  <c r="C3952" i="17" s="1"/>
  <c r="S341" i="2"/>
  <c r="C3971" i="17" s="1"/>
  <c r="S383" i="2"/>
  <c r="C4013" i="17" s="1"/>
  <c r="S408" i="2"/>
  <c r="C4038" i="17" s="1"/>
  <c r="S422" i="2"/>
  <c r="C4052" i="17" s="1"/>
  <c r="S456" i="2"/>
  <c r="C4086" i="17" s="1"/>
  <c r="S470" i="2"/>
  <c r="C4100" i="17" s="1"/>
  <c r="S481" i="2"/>
  <c r="C4111" i="17" s="1"/>
  <c r="S528" i="2"/>
  <c r="C4158" i="17" s="1"/>
  <c r="S544" i="2"/>
  <c r="C4174" i="17" s="1"/>
  <c r="S555" i="2"/>
  <c r="C4185" i="17" s="1"/>
  <c r="S566" i="2"/>
  <c r="C4196" i="17" s="1"/>
  <c r="S577" i="2"/>
  <c r="C4207" i="17" s="1"/>
  <c r="S616" i="2"/>
  <c r="C4246" i="17" s="1"/>
  <c r="S627" i="2"/>
  <c r="C4257" i="17" s="1"/>
  <c r="S666" i="2"/>
  <c r="C4296" i="17" s="1"/>
  <c r="S752" i="2"/>
  <c r="C4382" i="17" s="1"/>
  <c r="S830" i="2"/>
  <c r="C4460" i="17" s="1"/>
  <c r="S856" i="2"/>
  <c r="C4486" i="17" s="1"/>
  <c r="S876" i="2"/>
  <c r="C4506" i="17" s="1"/>
  <c r="S914" i="2"/>
  <c r="C4544" i="17" s="1"/>
  <c r="S1110" i="2"/>
  <c r="C4740" i="17" s="1"/>
  <c r="S1156" i="2"/>
  <c r="C4786" i="17" s="1"/>
  <c r="S53" i="2"/>
  <c r="C3683" i="17" s="1"/>
  <c r="S518" i="2"/>
  <c r="C4148" i="17" s="1"/>
  <c r="S14" i="2"/>
  <c r="C3644" i="17" s="1"/>
  <c r="S56" i="2"/>
  <c r="C3686" i="17" s="1"/>
  <c r="S432" i="2"/>
  <c r="C4062" i="17" s="1"/>
  <c r="S485" i="2"/>
  <c r="C4115" i="17" s="1"/>
  <c r="S581" i="2"/>
  <c r="C4211" i="17" s="1"/>
  <c r="S662" i="2"/>
  <c r="C4292" i="17" s="1"/>
  <c r="S768" i="2"/>
  <c r="C4398" i="17" s="1"/>
  <c r="S1160" i="2"/>
  <c r="C4790" i="17" s="1"/>
  <c r="S844" i="2"/>
  <c r="C4474" i="17" s="1"/>
  <c r="S24" i="2"/>
  <c r="C3654" i="17" s="1"/>
  <c r="S38" i="2"/>
  <c r="C3668" i="17" s="1"/>
  <c r="S99" i="2"/>
  <c r="C3729" i="17" s="1"/>
  <c r="S88" i="2"/>
  <c r="C3718" i="17" s="1"/>
  <c r="S130" i="2"/>
  <c r="C3760" i="17" s="1"/>
  <c r="S144" i="2"/>
  <c r="C3774" i="17" s="1"/>
  <c r="S169" i="2"/>
  <c r="C3799" i="17" s="1"/>
  <c r="S197" i="2"/>
  <c r="C3827" i="17" s="1"/>
  <c r="S208" i="2"/>
  <c r="C3838" i="17" s="1"/>
  <c r="S219" i="2"/>
  <c r="C3849" i="17" s="1"/>
  <c r="S336" i="2"/>
  <c r="C3966" i="17" s="1"/>
  <c r="S372" i="2"/>
  <c r="C4002" i="17" s="1"/>
  <c r="S539" i="2"/>
  <c r="C4169" i="17" s="1"/>
  <c r="S647" i="2"/>
  <c r="C4277" i="17" s="1"/>
  <c r="S677" i="2"/>
  <c r="C4307" i="17" s="1"/>
  <c r="S784" i="2"/>
  <c r="C4414" i="17" s="1"/>
  <c r="S816" i="2"/>
  <c r="C4446" i="17" s="1"/>
  <c r="S940" i="2"/>
  <c r="C4570" i="17" s="1"/>
  <c r="S1030" i="2"/>
  <c r="C4660" i="17" s="1"/>
  <c r="S1050" i="2"/>
  <c r="C4680" i="17" s="1"/>
  <c r="S1064" i="2"/>
  <c r="C4694" i="17" s="1"/>
  <c r="S1136" i="2"/>
  <c r="C4766" i="17" s="1"/>
  <c r="S1182" i="2"/>
  <c r="C4812" i="17" s="1"/>
  <c r="O14" i="3"/>
  <c r="P15" i="3" s="1"/>
  <c r="S156" i="2"/>
  <c r="C3786" i="17" s="1"/>
  <c r="S1088" i="2"/>
  <c r="C4718" i="17" s="1"/>
  <c r="S48" i="2"/>
  <c r="C3678" i="17" s="1"/>
  <c r="S123" i="2"/>
  <c r="C3753" i="17" s="1"/>
  <c r="S337" i="2"/>
  <c r="C3967" i="17" s="1"/>
  <c r="S3" i="2"/>
  <c r="C3633" i="17" s="1"/>
  <c r="S84" i="2"/>
  <c r="C3714" i="17" s="1"/>
  <c r="S112" i="2"/>
  <c r="C3742" i="17" s="1"/>
  <c r="S527" i="2"/>
  <c r="C4157" i="17" s="1"/>
  <c r="S587" i="2"/>
  <c r="C4217" i="17" s="1"/>
  <c r="S107" i="2"/>
  <c r="C3737" i="17" s="1"/>
  <c r="S182" i="2"/>
  <c r="C3812" i="17" s="1"/>
  <c r="S435" i="2"/>
  <c r="C4065" i="17" s="1"/>
  <c r="S49" i="2"/>
  <c r="C3679" i="17" s="1"/>
  <c r="S160" i="2"/>
  <c r="C3790" i="17" s="1"/>
  <c r="S202" i="2"/>
  <c r="C3832" i="17" s="1"/>
  <c r="S241" i="2"/>
  <c r="C3871" i="17" s="1"/>
  <c r="S352" i="2"/>
  <c r="C3982" i="17" s="1"/>
  <c r="S363" i="2"/>
  <c r="C3993" i="17" s="1"/>
  <c r="S433" i="2"/>
  <c r="C4063" i="17" s="1"/>
  <c r="S461" i="2"/>
  <c r="C4091" i="17" s="1"/>
  <c r="S533" i="2"/>
  <c r="C4163" i="17" s="1"/>
  <c r="S649" i="2"/>
  <c r="C4279" i="17" s="1"/>
  <c r="S720" i="2"/>
  <c r="C4350" i="17" s="1"/>
  <c r="S1012" i="2"/>
  <c r="C4642" i="17" s="1"/>
  <c r="S1084" i="2"/>
  <c r="C4714" i="17" s="1"/>
  <c r="S1202" i="2"/>
  <c r="C4832" i="17" s="1"/>
  <c r="S27" i="2"/>
  <c r="C3657" i="17" s="1"/>
  <c r="S69" i="2"/>
  <c r="C3699" i="17" s="1"/>
  <c r="S77" i="2"/>
  <c r="C3707" i="17" s="1"/>
  <c r="S158" i="2"/>
  <c r="C3788" i="17" s="1"/>
  <c r="S192" i="2"/>
  <c r="C3822" i="17" s="1"/>
  <c r="S200" i="2"/>
  <c r="C3830" i="17" s="1"/>
  <c r="S267" i="2"/>
  <c r="C3897" i="17" s="1"/>
  <c r="S278" i="2"/>
  <c r="C3908" i="17" s="1"/>
  <c r="S289" i="2"/>
  <c r="C3919" i="17" s="1"/>
  <c r="S350" i="2"/>
  <c r="C3980" i="17" s="1"/>
  <c r="S361" i="2"/>
  <c r="C3991" i="17" s="1"/>
  <c r="S411" i="2"/>
  <c r="C4041" i="17" s="1"/>
  <c r="S459" i="2"/>
  <c r="C4089" i="17" s="1"/>
  <c r="S479" i="2"/>
  <c r="C4109" i="17" s="1"/>
  <c r="S509" i="2"/>
  <c r="C4139" i="17" s="1"/>
  <c r="S520" i="2"/>
  <c r="C4150" i="17" s="1"/>
  <c r="S531" i="2"/>
  <c r="C4161" i="17" s="1"/>
  <c r="S575" i="2"/>
  <c r="C4205" i="17" s="1"/>
  <c r="S605" i="2"/>
  <c r="C4235" i="17" s="1"/>
  <c r="S672" i="2"/>
  <c r="C4302" i="17" s="1"/>
  <c r="S686" i="2"/>
  <c r="C4316" i="17" s="1"/>
  <c r="S718" i="2"/>
  <c r="C4348" i="17" s="1"/>
  <c r="S842" i="2"/>
  <c r="C4472" i="17" s="1"/>
  <c r="S900" i="2"/>
  <c r="C4530" i="17" s="1"/>
  <c r="S926" i="2"/>
  <c r="C4556" i="17" s="1"/>
  <c r="S978" i="2"/>
  <c r="C4608" i="17" s="1"/>
  <c r="S1010" i="2"/>
  <c r="C4640" i="17" s="1"/>
  <c r="S1036" i="2"/>
  <c r="C4666" i="17" s="1"/>
  <c r="S1208" i="2"/>
  <c r="C4838" i="17" s="1"/>
  <c r="C4997" i="17"/>
  <c r="S157" i="2"/>
  <c r="C3787" i="17" s="1"/>
  <c r="C5147" i="17"/>
  <c r="S307" i="2"/>
  <c r="C3937" i="17" s="1"/>
  <c r="E14" i="5"/>
  <c r="C5023" i="17"/>
  <c r="S183" i="2"/>
  <c r="C3813" i="17" s="1"/>
  <c r="C5095" i="17"/>
  <c r="S255" i="2"/>
  <c r="C3885" i="17" s="1"/>
  <c r="C5160" i="17"/>
  <c r="S320" i="2"/>
  <c r="C3950" i="17" s="1"/>
  <c r="C5171" i="17"/>
  <c r="S331" i="2"/>
  <c r="C3961" i="17" s="1"/>
  <c r="S420" i="2"/>
  <c r="C4050" i="17" s="1"/>
  <c r="C5387" i="17"/>
  <c r="S547" i="2"/>
  <c r="C4177" i="17" s="1"/>
  <c r="C5746" i="17"/>
  <c r="S906" i="2"/>
  <c r="C4536" i="17" s="1"/>
  <c r="C5916" i="17"/>
  <c r="S1076" i="2"/>
  <c r="C4706" i="17" s="1"/>
  <c r="C6040" i="17"/>
  <c r="S1200" i="2"/>
  <c r="C4830" i="17" s="1"/>
  <c r="C5049" i="17"/>
  <c r="S209" i="2"/>
  <c r="C3839" i="17" s="1"/>
  <c r="C5195" i="17"/>
  <c r="S355" i="2"/>
  <c r="C3985" i="17" s="1"/>
  <c r="S407" i="2"/>
  <c r="C4037" i="17" s="1"/>
  <c r="C5300" i="17"/>
  <c r="S460" i="2"/>
  <c r="C4090" i="17" s="1"/>
  <c r="C5311" i="17"/>
  <c r="S471" i="2"/>
  <c r="C4101" i="17" s="1"/>
  <c r="C5711" i="17"/>
  <c r="S871" i="2"/>
  <c r="C4501" i="17" s="1"/>
  <c r="C5722" i="17"/>
  <c r="S882" i="2"/>
  <c r="C4512" i="17" s="1"/>
  <c r="C5741" i="17"/>
  <c r="S901" i="2"/>
  <c r="C4531" i="17" s="1"/>
  <c r="C5790" i="17"/>
  <c r="S950" i="2"/>
  <c r="C4580" i="17" s="1"/>
  <c r="S8" i="2"/>
  <c r="C3638" i="17" s="1"/>
  <c r="S21" i="2"/>
  <c r="C3651" i="17" s="1"/>
  <c r="C4877" i="17"/>
  <c r="S37" i="2"/>
  <c r="C3667" i="17" s="1"/>
  <c r="C4892" i="17"/>
  <c r="S52" i="2"/>
  <c r="C3682" i="17" s="1"/>
  <c r="S80" i="2"/>
  <c r="C3710" i="17" s="1"/>
  <c r="S93" i="2"/>
  <c r="C3723" i="17" s="1"/>
  <c r="C4949" i="17"/>
  <c r="S109" i="2"/>
  <c r="C3739" i="17" s="1"/>
  <c r="C4964" i="17"/>
  <c r="S124" i="2"/>
  <c r="C3754" i="17" s="1"/>
  <c r="S152" i="2"/>
  <c r="C3782" i="17" s="1"/>
  <c r="S165" i="2"/>
  <c r="C3795" i="17" s="1"/>
  <c r="C5021" i="17"/>
  <c r="S181" i="2"/>
  <c r="C3811" i="17" s="1"/>
  <c r="C5036" i="17"/>
  <c r="S196" i="2"/>
  <c r="C3826" i="17" s="1"/>
  <c r="S224" i="2"/>
  <c r="C3854" i="17" s="1"/>
  <c r="S237" i="2"/>
  <c r="C3867" i="17" s="1"/>
  <c r="C5093" i="17"/>
  <c r="S253" i="2"/>
  <c r="C3883" i="17" s="1"/>
  <c r="C5108" i="17"/>
  <c r="S268" i="2"/>
  <c r="C3898" i="17" s="1"/>
  <c r="C5134" i="17"/>
  <c r="S294" i="2"/>
  <c r="C3924" i="17" s="1"/>
  <c r="C5145" i="17"/>
  <c r="S305" i="2"/>
  <c r="C3935" i="17" s="1"/>
  <c r="C5232" i="17"/>
  <c r="S392" i="2"/>
  <c r="C4022" i="17" s="1"/>
  <c r="C5243" i="17"/>
  <c r="S403" i="2"/>
  <c r="C4033" i="17" s="1"/>
  <c r="S418" i="2"/>
  <c r="C4048" i="17" s="1"/>
  <c r="S455" i="2"/>
  <c r="C4085" i="17" s="1"/>
  <c r="C5317" i="17"/>
  <c r="S477" i="2"/>
  <c r="C4107" i="17" s="1"/>
  <c r="C5335" i="17"/>
  <c r="S495" i="2"/>
  <c r="C4125" i="17" s="1"/>
  <c r="C5374" i="17"/>
  <c r="S534" i="2"/>
  <c r="C4164" i="17" s="1"/>
  <c r="C5424" i="17"/>
  <c r="S584" i="2"/>
  <c r="C4214" i="17" s="1"/>
  <c r="C5492" i="17"/>
  <c r="S652" i="2"/>
  <c r="C4282" i="17" s="1"/>
  <c r="C5503" i="17"/>
  <c r="S663" i="2"/>
  <c r="C4293" i="17" s="1"/>
  <c r="C5584" i="17"/>
  <c r="S744" i="2"/>
  <c r="C4374" i="17" s="1"/>
  <c r="C5595" i="17"/>
  <c r="S755" i="2"/>
  <c r="C4385" i="17" s="1"/>
  <c r="C5611" i="17"/>
  <c r="S771" i="2"/>
  <c r="C4401" i="17" s="1"/>
  <c r="C5630" i="17"/>
  <c r="S790" i="2"/>
  <c r="C4420" i="17" s="1"/>
  <c r="C5641" i="17"/>
  <c r="S801" i="2"/>
  <c r="C4431" i="17" s="1"/>
  <c r="C5687" i="17"/>
  <c r="S847" i="2"/>
  <c r="C4477" i="17" s="1"/>
  <c r="C6916" i="17"/>
  <c r="S866" i="2"/>
  <c r="C4496" i="17" s="1"/>
  <c r="C5755" i="17"/>
  <c r="S915" i="2"/>
  <c r="C4545" i="17" s="1"/>
  <c r="C5804" i="17"/>
  <c r="S964" i="2"/>
  <c r="C4594" i="17" s="1"/>
  <c r="C7036" i="17"/>
  <c r="S986" i="2"/>
  <c r="C4616" i="17" s="1"/>
  <c r="C5363" i="17"/>
  <c r="S523" i="2"/>
  <c r="C4153" i="17" s="1"/>
  <c r="C5591" i="17"/>
  <c r="S751" i="2"/>
  <c r="C4381" i="17" s="1"/>
  <c r="C4853" i="17"/>
  <c r="S13" i="2"/>
  <c r="C3643" i="17" s="1"/>
  <c r="C4868" i="17"/>
  <c r="S28" i="2"/>
  <c r="C3658" i="17" s="1"/>
  <c r="C5221" i="17"/>
  <c r="S381" i="2"/>
  <c r="C4011" i="17" s="1"/>
  <c r="C5263" i="17"/>
  <c r="S423" i="2"/>
  <c r="C4053" i="17" s="1"/>
  <c r="C5326" i="17"/>
  <c r="S486" i="2"/>
  <c r="C4116" i="17" s="1"/>
  <c r="C5545" i="17"/>
  <c r="S705" i="2"/>
  <c r="C4335" i="17" s="1"/>
  <c r="C5110" i="17"/>
  <c r="S270" i="2"/>
  <c r="C3900" i="17" s="1"/>
  <c r="C5245" i="17"/>
  <c r="S405" i="2"/>
  <c r="C4035" i="17" s="1"/>
  <c r="C5287" i="17"/>
  <c r="S447" i="2"/>
  <c r="C4077" i="17" s="1"/>
  <c r="C5337" i="17"/>
  <c r="S497" i="2"/>
  <c r="C4127" i="17" s="1"/>
  <c r="S562" i="2"/>
  <c r="C4192" i="17" s="1"/>
  <c r="C5455" i="17"/>
  <c r="S615" i="2"/>
  <c r="C4245" i="17" s="1"/>
  <c r="C5540" i="17"/>
  <c r="S700" i="2"/>
  <c r="C4330" i="17" s="1"/>
  <c r="C6796" i="17"/>
  <c r="S746" i="2"/>
  <c r="C4376" i="17" s="1"/>
  <c r="C5616" i="17"/>
  <c r="S776" i="2"/>
  <c r="C4406" i="17" s="1"/>
  <c r="C5795" i="17"/>
  <c r="S955" i="2"/>
  <c r="C4585" i="17" s="1"/>
  <c r="C5883" i="17"/>
  <c r="S1043" i="2"/>
  <c r="C4673" i="17" s="1"/>
  <c r="C6012" i="17"/>
  <c r="S1172" i="2"/>
  <c r="C4802" i="17" s="1"/>
  <c r="C4905" i="17"/>
  <c r="S65" i="2"/>
  <c r="C3695" i="17" s="1"/>
  <c r="C5184" i="17"/>
  <c r="S344" i="2"/>
  <c r="C3974" i="17" s="1"/>
  <c r="S444" i="2"/>
  <c r="C4074" i="17" s="1"/>
  <c r="C5350" i="17"/>
  <c r="S510" i="2"/>
  <c r="C4140" i="17" s="1"/>
  <c r="C5400" i="17"/>
  <c r="S560" i="2"/>
  <c r="C4190" i="17" s="1"/>
  <c r="S612" i="2"/>
  <c r="C4242" i="17" s="1"/>
  <c r="C5468" i="17"/>
  <c r="S628" i="2"/>
  <c r="C4258" i="17" s="1"/>
  <c r="C5479" i="17"/>
  <c r="S639" i="2"/>
  <c r="C4269" i="17" s="1"/>
  <c r="S732" i="2"/>
  <c r="C4362" i="17" s="1"/>
  <c r="S952" i="2"/>
  <c r="C4582" i="17" s="1"/>
  <c r="C5954" i="17"/>
  <c r="S1114" i="2"/>
  <c r="C4744" i="17" s="1"/>
  <c r="C4938" i="17"/>
  <c r="S98" i="2"/>
  <c r="C3728" i="17" s="1"/>
  <c r="C5003" i="17"/>
  <c r="S163" i="2"/>
  <c r="C3793" i="17" s="1"/>
  <c r="S394" i="2"/>
  <c r="C4024" i="17" s="1"/>
  <c r="S431" i="2"/>
  <c r="C4061" i="17" s="1"/>
  <c r="S468" i="2"/>
  <c r="C4098" i="17" s="1"/>
  <c r="C5361" i="17"/>
  <c r="S521" i="2"/>
  <c r="C4151" i="17" s="1"/>
  <c r="S636" i="2"/>
  <c r="C4266" i="17" s="1"/>
  <c r="C5600" i="17"/>
  <c r="S760" i="2"/>
  <c r="C4390" i="17" s="1"/>
  <c r="S1106" i="2"/>
  <c r="C4736" i="17" s="1"/>
  <c r="C6043" i="17"/>
  <c r="S1203" i="2"/>
  <c r="C4833" i="17" s="1"/>
  <c r="C4903" i="17"/>
  <c r="S63" i="2"/>
  <c r="C3693" i="17" s="1"/>
  <c r="C5267" i="17"/>
  <c r="S427" i="2"/>
  <c r="C4057" i="17" s="1"/>
  <c r="C5385" i="17"/>
  <c r="S545" i="2"/>
  <c r="C4175" i="17" s="1"/>
  <c r="S610" i="2"/>
  <c r="C4240" i="17" s="1"/>
  <c r="C5485" i="17"/>
  <c r="S645" i="2"/>
  <c r="C4275" i="17" s="1"/>
  <c r="C6748" i="17"/>
  <c r="S698" i="2"/>
  <c r="C4328" i="17" s="1"/>
  <c r="C5565" i="17"/>
  <c r="S725" i="2"/>
  <c r="C4355" i="17" s="1"/>
  <c r="C5568" i="17"/>
  <c r="S728" i="2"/>
  <c r="C4358" i="17" s="1"/>
  <c r="C5666" i="17"/>
  <c r="S826" i="2"/>
  <c r="C4456" i="17" s="1"/>
  <c r="C5690" i="17"/>
  <c r="S850" i="2"/>
  <c r="C4480" i="17" s="1"/>
  <c r="C5739" i="17"/>
  <c r="S899" i="2"/>
  <c r="C4529" i="17" s="1"/>
  <c r="C5851" i="17"/>
  <c r="S1011" i="2"/>
  <c r="C4641" i="17" s="1"/>
  <c r="C7118" i="17"/>
  <c r="S1068" i="2"/>
  <c r="C4698" i="17" s="1"/>
  <c r="C7214" i="17"/>
  <c r="S1164" i="2"/>
  <c r="C4794" i="17" s="1"/>
  <c r="C6038" i="17"/>
  <c r="S1198" i="2"/>
  <c r="C4828" i="17" s="1"/>
  <c r="C4940" i="17"/>
  <c r="S100" i="2"/>
  <c r="C3730" i="17" s="1"/>
  <c r="C5208" i="17"/>
  <c r="S368" i="2"/>
  <c r="C3998" i="17" s="1"/>
  <c r="C5461" i="17"/>
  <c r="S621" i="2"/>
  <c r="C4251" i="17" s="1"/>
  <c r="S106" i="2"/>
  <c r="C3736" i="17" s="1"/>
  <c r="C4857" i="17"/>
  <c r="S17" i="2"/>
  <c r="C3647" i="17" s="1"/>
  <c r="S47" i="2"/>
  <c r="C3677" i="17" s="1"/>
  <c r="S60" i="2"/>
  <c r="C3690" i="17" s="1"/>
  <c r="C4929" i="17"/>
  <c r="S89" i="2"/>
  <c r="C3719" i="17" s="1"/>
  <c r="S119" i="2"/>
  <c r="C3749" i="17" s="1"/>
  <c r="S132" i="2"/>
  <c r="C3762" i="17" s="1"/>
  <c r="C5001" i="17"/>
  <c r="S161" i="2"/>
  <c r="C3791" i="17" s="1"/>
  <c r="S191" i="2"/>
  <c r="C3821" i="17" s="1"/>
  <c r="S204" i="2"/>
  <c r="C3834" i="17" s="1"/>
  <c r="C5073" i="17"/>
  <c r="S233" i="2"/>
  <c r="C3863" i="17" s="1"/>
  <c r="S263" i="2"/>
  <c r="C3893" i="17" s="1"/>
  <c r="S276" i="2"/>
  <c r="C3906" i="17" s="1"/>
  <c r="C5182" i="17"/>
  <c r="S342" i="2"/>
  <c r="C3972" i="17" s="1"/>
  <c r="C5193" i="17"/>
  <c r="S353" i="2"/>
  <c r="C3983" i="17" s="1"/>
  <c r="C5280" i="17"/>
  <c r="S440" i="2"/>
  <c r="C4070" i="17" s="1"/>
  <c r="C5291" i="17"/>
  <c r="S451" i="2"/>
  <c r="C4081" i="17" s="1"/>
  <c r="S466" i="2"/>
  <c r="C4096" i="17" s="1"/>
  <c r="C5341" i="17"/>
  <c r="S501" i="2"/>
  <c r="C4131" i="17" s="1"/>
  <c r="C5359" i="17"/>
  <c r="S519" i="2"/>
  <c r="C4149" i="17" s="1"/>
  <c r="C5398" i="17"/>
  <c r="S558" i="2"/>
  <c r="C4188" i="17" s="1"/>
  <c r="C5448" i="17"/>
  <c r="S608" i="2"/>
  <c r="C4238" i="17" s="1"/>
  <c r="C5459" i="17"/>
  <c r="S619" i="2"/>
  <c r="C4249" i="17" s="1"/>
  <c r="S634" i="2"/>
  <c r="C4264" i="17" s="1"/>
  <c r="C5516" i="17"/>
  <c r="S676" i="2"/>
  <c r="C4306" i="17" s="1"/>
  <c r="C5527" i="17"/>
  <c r="S687" i="2"/>
  <c r="C4317" i="17" s="1"/>
  <c r="C5655" i="17"/>
  <c r="S815" i="2"/>
  <c r="C4445" i="17" s="1"/>
  <c r="C5769" i="17"/>
  <c r="S929" i="2"/>
  <c r="C4559" i="17" s="1"/>
  <c r="C6998" i="17"/>
  <c r="S948" i="2"/>
  <c r="C4578" i="17" s="1"/>
  <c r="C5807" i="17"/>
  <c r="S967" i="2"/>
  <c r="C4597" i="17" s="1"/>
  <c r="C5846" i="17"/>
  <c r="S1006" i="2"/>
  <c r="C4636" i="17" s="1"/>
  <c r="C5903" i="17"/>
  <c r="S1063" i="2"/>
  <c r="C4693" i="17" s="1"/>
  <c r="C7146" i="17"/>
  <c r="S1096" i="2"/>
  <c r="C4726" i="17" s="1"/>
  <c r="C5999" i="17"/>
  <c r="S1159" i="2"/>
  <c r="C4789" i="17" s="1"/>
  <c r="C7242" i="17"/>
  <c r="S1192" i="2"/>
  <c r="C4822" i="17" s="1"/>
  <c r="C4907" i="17"/>
  <c r="S67" i="2"/>
  <c r="C3697" i="17" s="1"/>
  <c r="C4914" i="17"/>
  <c r="S74" i="2"/>
  <c r="C3704" i="17" s="1"/>
  <c r="C5197" i="17"/>
  <c r="S357" i="2"/>
  <c r="C3987" i="17" s="1"/>
  <c r="C5470" i="17"/>
  <c r="S630" i="2"/>
  <c r="C4260" i="17" s="1"/>
  <c r="C5602" i="17"/>
  <c r="S762" i="2"/>
  <c r="C4392" i="17" s="1"/>
  <c r="C5648" i="17"/>
  <c r="S808" i="2"/>
  <c r="C4438" i="17" s="1"/>
  <c r="C5675" i="17"/>
  <c r="S835" i="2"/>
  <c r="C4465" i="17" s="1"/>
  <c r="C5732" i="17"/>
  <c r="S892" i="2"/>
  <c r="C4522" i="17" s="1"/>
  <c r="C5800" i="17"/>
  <c r="S960" i="2"/>
  <c r="C4590" i="17" s="1"/>
  <c r="C5833" i="17"/>
  <c r="S993" i="2"/>
  <c r="C4623" i="17" s="1"/>
  <c r="C7166" i="17"/>
  <c r="S1116" i="2"/>
  <c r="C4746" i="17" s="1"/>
  <c r="C5413" i="17"/>
  <c r="S573" i="2"/>
  <c r="C4203" i="17" s="1"/>
  <c r="C5431" i="17"/>
  <c r="S591" i="2"/>
  <c r="C4221" i="17" s="1"/>
  <c r="C5534" i="17"/>
  <c r="S694" i="2"/>
  <c r="C4324" i="17" s="1"/>
  <c r="C5632" i="17"/>
  <c r="S792" i="2"/>
  <c r="C4422" i="17" s="1"/>
  <c r="S10" i="2"/>
  <c r="C3640" i="17" s="1"/>
  <c r="C4879" i="17"/>
  <c r="S39" i="2"/>
  <c r="C3669" i="17" s="1"/>
  <c r="C4951" i="17"/>
  <c r="S111" i="2"/>
  <c r="C3741" i="17" s="1"/>
  <c r="C5570" i="17"/>
  <c r="S730" i="2"/>
  <c r="C4360" i="17" s="1"/>
  <c r="C5760" i="17"/>
  <c r="S920" i="2"/>
  <c r="C4550" i="17" s="1"/>
  <c r="C5979" i="17"/>
  <c r="S1139" i="2"/>
  <c r="C4769" i="17" s="1"/>
  <c r="S95" i="2"/>
  <c r="C3725" i="17" s="1"/>
  <c r="S167" i="2"/>
  <c r="C3797" i="17" s="1"/>
  <c r="S239" i="2"/>
  <c r="C3869" i="17" s="1"/>
  <c r="S252" i="2"/>
  <c r="C3882" i="17" s="1"/>
  <c r="C5121" i="17"/>
  <c r="S281" i="2"/>
  <c r="C3911" i="17" s="1"/>
  <c r="S370" i="2"/>
  <c r="C4000" i="17" s="1"/>
  <c r="C5673" i="17"/>
  <c r="S833" i="2"/>
  <c r="C4463" i="17" s="1"/>
  <c r="S34" i="2"/>
  <c r="C3664" i="17" s="1"/>
  <c r="C4918" i="17"/>
  <c r="S78" i="2"/>
  <c r="C3708" i="17" s="1"/>
  <c r="C5158" i="17"/>
  <c r="S318" i="2"/>
  <c r="C3948" i="17" s="1"/>
  <c r="C5256" i="17"/>
  <c r="S416" i="2"/>
  <c r="C4046" i="17" s="1"/>
  <c r="S442" i="2"/>
  <c r="C4072" i="17" s="1"/>
  <c r="C4883" i="17"/>
  <c r="S43" i="2"/>
  <c r="C3673" i="17" s="1"/>
  <c r="C4890" i="17"/>
  <c r="S50" i="2"/>
  <c r="C3680" i="17" s="1"/>
  <c r="C4955" i="17"/>
  <c r="S115" i="2"/>
  <c r="C3745" i="17" s="1"/>
  <c r="C4962" i="17"/>
  <c r="S122" i="2"/>
  <c r="C3752" i="17" s="1"/>
  <c r="C5027" i="17"/>
  <c r="S187" i="2"/>
  <c r="C3817" i="17" s="1"/>
  <c r="C5034" i="17"/>
  <c r="S194" i="2"/>
  <c r="C3824" i="17" s="1"/>
  <c r="C5099" i="17"/>
  <c r="S259" i="2"/>
  <c r="C3889" i="17" s="1"/>
  <c r="C5106" i="17"/>
  <c r="S266" i="2"/>
  <c r="C3896" i="17" s="1"/>
  <c r="C5132" i="17"/>
  <c r="S292" i="2"/>
  <c r="C3922" i="17" s="1"/>
  <c r="C5143" i="17"/>
  <c r="S303" i="2"/>
  <c r="C3933" i="17" s="1"/>
  <c r="C5206" i="17"/>
  <c r="S366" i="2"/>
  <c r="C3996" i="17" s="1"/>
  <c r="C5217" i="17"/>
  <c r="S377" i="2"/>
  <c r="C4007" i="17" s="1"/>
  <c r="C5304" i="17"/>
  <c r="S464" i="2"/>
  <c r="C4094" i="17" s="1"/>
  <c r="C5315" i="17"/>
  <c r="S475" i="2"/>
  <c r="C4105" i="17" s="1"/>
  <c r="S490" i="2"/>
  <c r="C4120" i="17" s="1"/>
  <c r="S516" i="2"/>
  <c r="C4146" i="17" s="1"/>
  <c r="C5372" i="17"/>
  <c r="S532" i="2"/>
  <c r="C4162" i="17" s="1"/>
  <c r="C5409" i="17"/>
  <c r="S569" i="2"/>
  <c r="C4199" i="17" s="1"/>
  <c r="C5472" i="17"/>
  <c r="S632" i="2"/>
  <c r="C4262" i="17" s="1"/>
  <c r="C5509" i="17"/>
  <c r="S669" i="2"/>
  <c r="C4299" i="17" s="1"/>
  <c r="S684" i="2"/>
  <c r="C4314" i="17" s="1"/>
  <c r="C5552" i="17"/>
  <c r="S712" i="2"/>
  <c r="C4342" i="17" s="1"/>
  <c r="C5579" i="17"/>
  <c r="S739" i="2"/>
  <c r="C4369" i="17" s="1"/>
  <c r="C5625" i="17"/>
  <c r="S785" i="2"/>
  <c r="C4415" i="17" s="1"/>
  <c r="C5639" i="17"/>
  <c r="S799" i="2"/>
  <c r="C4429" i="17" s="1"/>
  <c r="C5650" i="17"/>
  <c r="S810" i="2"/>
  <c r="C4440" i="17" s="1"/>
  <c r="C5704" i="17"/>
  <c r="S864" i="2"/>
  <c r="C4494" i="17" s="1"/>
  <c r="C6930" i="17"/>
  <c r="S880" i="2"/>
  <c r="C4510" i="17" s="1"/>
  <c r="C5734" i="17"/>
  <c r="S894" i="2"/>
  <c r="C4524" i="17" s="1"/>
  <c r="S896" i="2"/>
  <c r="C4526" i="17" s="1"/>
  <c r="C5821" i="17"/>
  <c r="S981" i="2"/>
  <c r="C4611" i="17" s="1"/>
  <c r="C5824" i="17"/>
  <c r="S984" i="2"/>
  <c r="C4614" i="17" s="1"/>
  <c r="C5868" i="17"/>
  <c r="S1028" i="2"/>
  <c r="C4658" i="17" s="1"/>
  <c r="C5931" i="17"/>
  <c r="S1091" i="2"/>
  <c r="C4721" i="17" s="1"/>
  <c r="C5964" i="17"/>
  <c r="S1124" i="2"/>
  <c r="C4754" i="17" s="1"/>
  <c r="C6027" i="17"/>
  <c r="S1187" i="2"/>
  <c r="C4817" i="17" s="1"/>
  <c r="C4986" i="17"/>
  <c r="S146" i="2"/>
  <c r="C3776" i="17" s="1"/>
  <c r="C5051" i="17"/>
  <c r="S211" i="2"/>
  <c r="C3841" i="17" s="1"/>
  <c r="C5239" i="17"/>
  <c r="S399" i="2"/>
  <c r="C4029" i="17" s="1"/>
  <c r="C5302" i="17"/>
  <c r="S462" i="2"/>
  <c r="C4092" i="17" s="1"/>
  <c r="C5531" i="17"/>
  <c r="S691" i="2"/>
  <c r="C4321" i="17" s="1"/>
  <c r="C5577" i="17"/>
  <c r="S737" i="2"/>
  <c r="C4367" i="17" s="1"/>
  <c r="C5678" i="17"/>
  <c r="S838" i="2"/>
  <c r="C4468" i="17" s="1"/>
  <c r="C5713" i="17"/>
  <c r="S873" i="2"/>
  <c r="C4503" i="17" s="1"/>
  <c r="C5727" i="17"/>
  <c r="S887" i="2"/>
  <c r="C4517" i="17" s="1"/>
  <c r="C5659" i="17"/>
  <c r="S819" i="2"/>
  <c r="C4449" i="17" s="1"/>
  <c r="C5814" i="17"/>
  <c r="S974" i="2"/>
  <c r="C4604" i="17" s="1"/>
  <c r="C7046" i="17"/>
  <c r="S996" i="2"/>
  <c r="C4626" i="17" s="1"/>
  <c r="C5858" i="17"/>
  <c r="S1018" i="2"/>
  <c r="C4648" i="17" s="1"/>
  <c r="C7098" i="17"/>
  <c r="S1048" i="2"/>
  <c r="C4678" i="17" s="1"/>
  <c r="C5951" i="17"/>
  <c r="S1111" i="2"/>
  <c r="C4741" i="17" s="1"/>
  <c r="C7194" i="17"/>
  <c r="S1144" i="2"/>
  <c r="C4774" i="17" s="1"/>
  <c r="C4894" i="17"/>
  <c r="S54" i="2"/>
  <c r="C3684" i="17" s="1"/>
  <c r="C5038" i="17"/>
  <c r="S198" i="2"/>
  <c r="C3828" i="17" s="1"/>
  <c r="S226" i="2"/>
  <c r="C3856" i="17" s="1"/>
  <c r="S346" i="2"/>
  <c r="C3976" i="17" s="1"/>
  <c r="C5276" i="17"/>
  <c r="S436" i="2"/>
  <c r="C4066" i="17" s="1"/>
  <c r="S23" i="2"/>
  <c r="C3653" i="17" s="1"/>
  <c r="S36" i="2"/>
  <c r="C3666" i="17" s="1"/>
  <c r="C4977" i="17"/>
  <c r="S137" i="2"/>
  <c r="C3767" i="17" s="1"/>
  <c r="C4846" i="17"/>
  <c r="S6" i="2"/>
  <c r="C3636" i="17" s="1"/>
  <c r="C4975" i="17"/>
  <c r="S135" i="2"/>
  <c r="C3765" i="17" s="1"/>
  <c r="C4990" i="17"/>
  <c r="S150" i="2"/>
  <c r="C3780" i="17" s="1"/>
  <c r="S178" i="2"/>
  <c r="C3808" i="17" s="1"/>
  <c r="C5047" i="17"/>
  <c r="S207" i="2"/>
  <c r="C3837" i="17" s="1"/>
  <c r="C5119" i="17"/>
  <c r="S279" i="2"/>
  <c r="C3909" i="17" s="1"/>
  <c r="C5169" i="17"/>
  <c r="S329" i="2"/>
  <c r="C3959" i="17" s="1"/>
  <c r="S492" i="2"/>
  <c r="C4122" i="17" s="1"/>
  <c r="C5348" i="17"/>
  <c r="S508" i="2"/>
  <c r="C4138" i="17" s="1"/>
  <c r="C5435" i="17"/>
  <c r="S595" i="2"/>
  <c r="C4225" i="17" s="1"/>
  <c r="S660" i="2"/>
  <c r="C4290" i="17" s="1"/>
  <c r="C5636" i="17"/>
  <c r="S796" i="2"/>
  <c r="C4426" i="17" s="1"/>
  <c r="C4844" i="17"/>
  <c r="S4" i="2"/>
  <c r="C3634" i="17" s="1"/>
  <c r="S32" i="2"/>
  <c r="C3662" i="17" s="1"/>
  <c r="S45" i="2"/>
  <c r="C3675" i="17" s="1"/>
  <c r="C4901" i="17"/>
  <c r="S61" i="2"/>
  <c r="C3691" i="17" s="1"/>
  <c r="C4916" i="17"/>
  <c r="S76" i="2"/>
  <c r="C3706" i="17" s="1"/>
  <c r="S104" i="2"/>
  <c r="C3734" i="17" s="1"/>
  <c r="S117" i="2"/>
  <c r="C3747" i="17" s="1"/>
  <c r="C4973" i="17"/>
  <c r="S133" i="2"/>
  <c r="C3763" i="17" s="1"/>
  <c r="C4988" i="17"/>
  <c r="S148" i="2"/>
  <c r="C3778" i="17" s="1"/>
  <c r="S176" i="2"/>
  <c r="C3806" i="17" s="1"/>
  <c r="S189" i="2"/>
  <c r="C3819" i="17" s="1"/>
  <c r="C5045" i="17"/>
  <c r="S205" i="2"/>
  <c r="C3835" i="17" s="1"/>
  <c r="C5060" i="17"/>
  <c r="S220" i="2"/>
  <c r="C3850" i="17" s="1"/>
  <c r="S248" i="2"/>
  <c r="C3878" i="17" s="1"/>
  <c r="S261" i="2"/>
  <c r="C3891" i="17" s="1"/>
  <c r="C5117" i="17"/>
  <c r="S277" i="2"/>
  <c r="C3907" i="17" s="1"/>
  <c r="C5125" i="17"/>
  <c r="S285" i="2"/>
  <c r="C3915" i="17" s="1"/>
  <c r="S300" i="2"/>
  <c r="C3930" i="17" s="1"/>
  <c r="C5156" i="17"/>
  <c r="S316" i="2"/>
  <c r="C3946" i="17" s="1"/>
  <c r="C5167" i="17"/>
  <c r="S327" i="2"/>
  <c r="C3957" i="17" s="1"/>
  <c r="C5230" i="17"/>
  <c r="S390" i="2"/>
  <c r="C4020" i="17" s="1"/>
  <c r="C5241" i="17"/>
  <c r="S401" i="2"/>
  <c r="C4031" i="17" s="1"/>
  <c r="C5328" i="17"/>
  <c r="S488" i="2"/>
  <c r="C4118" i="17" s="1"/>
  <c r="C5365" i="17"/>
  <c r="S525" i="2"/>
  <c r="C4155" i="17" s="1"/>
  <c r="C5383" i="17"/>
  <c r="S543" i="2"/>
  <c r="C4173" i="17" s="1"/>
  <c r="C5422" i="17"/>
  <c r="S582" i="2"/>
  <c r="C4212" i="17" s="1"/>
  <c r="C5483" i="17"/>
  <c r="S643" i="2"/>
  <c r="C4273" i="17" s="1"/>
  <c r="S658" i="2"/>
  <c r="C4288" i="17" s="1"/>
  <c r="C5536" i="17"/>
  <c r="S696" i="2"/>
  <c r="C4326" i="17" s="1"/>
  <c r="C5547" i="17"/>
  <c r="S707" i="2"/>
  <c r="C4337" i="17" s="1"/>
  <c r="C5563" i="17"/>
  <c r="S723" i="2"/>
  <c r="C4353" i="17" s="1"/>
  <c r="C5582" i="17"/>
  <c r="S742" i="2"/>
  <c r="C4372" i="17" s="1"/>
  <c r="C5593" i="17"/>
  <c r="S753" i="2"/>
  <c r="C4383" i="17" s="1"/>
  <c r="C5680" i="17"/>
  <c r="S840" i="2"/>
  <c r="C4470" i="17" s="1"/>
  <c r="C5783" i="17"/>
  <c r="S943" i="2"/>
  <c r="C4573" i="17" s="1"/>
  <c r="C7012" i="17"/>
  <c r="S962" i="2"/>
  <c r="C4592" i="17" s="1"/>
  <c r="C5906" i="17"/>
  <c r="S1066" i="2"/>
  <c r="C4696" i="17" s="1"/>
  <c r="C6002" i="17"/>
  <c r="S1162" i="2"/>
  <c r="C4792" i="17" s="1"/>
  <c r="C4842" i="17"/>
  <c r="E8" i="6"/>
  <c r="E9" i="6" s="1"/>
  <c r="C6" i="4" s="1"/>
  <c r="O3" i="3"/>
  <c r="E10" i="6"/>
  <c r="D6" i="4" s="1"/>
  <c r="X3" i="3"/>
  <c r="D2" i="4" s="1"/>
  <c r="W3" i="3"/>
  <c r="E6" i="6"/>
  <c r="E7" i="6" s="1"/>
  <c r="V3" i="3"/>
  <c r="U3" i="3"/>
  <c r="R3" i="3"/>
  <c r="Q3" i="3"/>
  <c r="P3" i="3"/>
  <c r="N3" i="3"/>
  <c r="T3" i="3"/>
  <c r="S3" i="3"/>
  <c r="S2" i="2"/>
  <c r="C5058" i="17"/>
  <c r="S218" i="2"/>
  <c r="C3848" i="17" s="1"/>
  <c r="C5228" i="17"/>
  <c r="S388" i="2"/>
  <c r="C4018" i="17" s="1"/>
  <c r="C5313" i="17"/>
  <c r="S473" i="2"/>
  <c r="C4103" i="17" s="1"/>
  <c r="C5520" i="17"/>
  <c r="S680" i="2"/>
  <c r="C4310" i="17" s="1"/>
  <c r="C4925" i="17"/>
  <c r="S85" i="2"/>
  <c r="C3715" i="17" s="1"/>
  <c r="C5012" i="17"/>
  <c r="S172" i="2"/>
  <c r="C3802" i="17" s="1"/>
  <c r="C5069" i="17"/>
  <c r="S229" i="2"/>
  <c r="C3859" i="17" s="1"/>
  <c r="C5084" i="17"/>
  <c r="S244" i="2"/>
  <c r="C3874" i="17" s="1"/>
  <c r="C5136" i="17"/>
  <c r="S296" i="2"/>
  <c r="C3926" i="17" s="1"/>
  <c r="C5252" i="17"/>
  <c r="S412" i="2"/>
  <c r="C4042" i="17" s="1"/>
  <c r="C5376" i="17"/>
  <c r="S536" i="2"/>
  <c r="C4166" i="17" s="1"/>
  <c r="C5494" i="17"/>
  <c r="S654" i="2"/>
  <c r="C4284" i="17" s="1"/>
  <c r="C4866" i="17"/>
  <c r="S26" i="2"/>
  <c r="C3656" i="17" s="1"/>
  <c r="C4931" i="17"/>
  <c r="S91" i="2"/>
  <c r="C3721" i="17" s="1"/>
  <c r="C5010" i="17"/>
  <c r="S170" i="2"/>
  <c r="C3800" i="17" s="1"/>
  <c r="C5082" i="17"/>
  <c r="S242" i="2"/>
  <c r="C3872" i="17" s="1"/>
  <c r="C5293" i="17"/>
  <c r="S453" i="2"/>
  <c r="C4083" i="17" s="1"/>
  <c r="C5324" i="17"/>
  <c r="S484" i="2"/>
  <c r="C4114" i="17" s="1"/>
  <c r="C5411" i="17"/>
  <c r="S571" i="2"/>
  <c r="C4201" i="17" s="1"/>
  <c r="S586" i="2"/>
  <c r="C4216" i="17" s="1"/>
  <c r="C5543" i="17"/>
  <c r="S703" i="2"/>
  <c r="C4333" i="17" s="1"/>
  <c r="C5771" i="17"/>
  <c r="S931" i="2"/>
  <c r="C4561" i="17" s="1"/>
  <c r="C5886" i="17"/>
  <c r="S1046" i="2"/>
  <c r="C4676" i="17" s="1"/>
  <c r="C5944" i="17"/>
  <c r="S1104" i="2"/>
  <c r="C4734" i="17" s="1"/>
  <c r="C5982" i="17"/>
  <c r="S1142" i="2"/>
  <c r="C4772" i="17" s="1"/>
  <c r="C5062" i="17"/>
  <c r="S222" i="2"/>
  <c r="C3852" i="17" s="1"/>
  <c r="S250" i="2"/>
  <c r="C3880" i="17" s="1"/>
  <c r="C4855" i="17"/>
  <c r="S15" i="2"/>
  <c r="C3645" i="17" s="1"/>
  <c r="C4870" i="17"/>
  <c r="S30" i="2"/>
  <c r="C3660" i="17" s="1"/>
  <c r="C4927" i="17"/>
  <c r="S87" i="2"/>
  <c r="C3717" i="17" s="1"/>
  <c r="C4942" i="17"/>
  <c r="S102" i="2"/>
  <c r="C3732" i="17" s="1"/>
  <c r="C4999" i="17"/>
  <c r="S159" i="2"/>
  <c r="C3789" i="17" s="1"/>
  <c r="C5014" i="17"/>
  <c r="S174" i="2"/>
  <c r="C3804" i="17" s="1"/>
  <c r="C5071" i="17"/>
  <c r="S231" i="2"/>
  <c r="C3861" i="17" s="1"/>
  <c r="C5086" i="17"/>
  <c r="S246" i="2"/>
  <c r="C3876" i="17" s="1"/>
  <c r="C5149" i="17"/>
  <c r="S309" i="2"/>
  <c r="C3939" i="17" s="1"/>
  <c r="C5180" i="17"/>
  <c r="S340" i="2"/>
  <c r="C3970" i="17" s="1"/>
  <c r="C5191" i="17"/>
  <c r="S351" i="2"/>
  <c r="C3981" i="17" s="1"/>
  <c r="C5254" i="17"/>
  <c r="S414" i="2"/>
  <c r="C4044" i="17" s="1"/>
  <c r="C5265" i="17"/>
  <c r="S425" i="2"/>
  <c r="C4055" i="17" s="1"/>
  <c r="C5339" i="17"/>
  <c r="S499" i="2"/>
  <c r="C4129" i="17" s="1"/>
  <c r="C5396" i="17"/>
  <c r="S556" i="2"/>
  <c r="C4186" i="17" s="1"/>
  <c r="C5433" i="17"/>
  <c r="S593" i="2"/>
  <c r="C4223" i="17" s="1"/>
  <c r="C5496" i="17"/>
  <c r="S656" i="2"/>
  <c r="C4286" i="17" s="1"/>
  <c r="C5588" i="17"/>
  <c r="S748" i="2"/>
  <c r="C4378" i="17" s="1"/>
  <c r="C5618" i="17"/>
  <c r="S778" i="2"/>
  <c r="C4408" i="17" s="1"/>
  <c r="C6844" i="17"/>
  <c r="S794" i="2"/>
  <c r="C4424" i="17" s="1"/>
  <c r="C5661" i="17"/>
  <c r="S821" i="2"/>
  <c r="C4451" i="17" s="1"/>
  <c r="C5664" i="17"/>
  <c r="S824" i="2"/>
  <c r="C4454" i="17" s="1"/>
  <c r="C5699" i="17"/>
  <c r="S859" i="2"/>
  <c r="C4489" i="17" s="1"/>
  <c r="C5748" i="17"/>
  <c r="S908" i="2"/>
  <c r="C4538" i="17" s="1"/>
  <c r="C5762" i="17"/>
  <c r="S922" i="2"/>
  <c r="C4552" i="17" s="1"/>
  <c r="C5786" i="17"/>
  <c r="S946" i="2"/>
  <c r="C4576" i="17" s="1"/>
  <c r="C5896" i="17"/>
  <c r="S1056" i="2"/>
  <c r="C4686" i="17" s="1"/>
  <c r="C5934" i="17"/>
  <c r="S1094" i="2"/>
  <c r="C4724" i="17" s="1"/>
  <c r="C5992" i="17"/>
  <c r="S1152" i="2"/>
  <c r="C4782" i="17" s="1"/>
  <c r="C6030" i="17"/>
  <c r="S1190" i="2"/>
  <c r="C4820" i="17" s="1"/>
  <c r="C4979" i="17"/>
  <c r="S139" i="2"/>
  <c r="C3769" i="17" s="1"/>
  <c r="C5123" i="17"/>
  <c r="S283" i="2"/>
  <c r="C3913" i="17" s="1"/>
  <c r="C5420" i="17"/>
  <c r="S580" i="2"/>
  <c r="C4210" i="17" s="1"/>
  <c r="C5481" i="17"/>
  <c r="S641" i="2"/>
  <c r="C4271" i="17" s="1"/>
  <c r="C5643" i="17"/>
  <c r="S803" i="2"/>
  <c r="C4433" i="17" s="1"/>
  <c r="C5708" i="17"/>
  <c r="S868" i="2"/>
  <c r="C4498" i="17" s="1"/>
  <c r="C5776" i="17"/>
  <c r="S936" i="2"/>
  <c r="C4566" i="17" s="1"/>
  <c r="S82" i="2"/>
  <c r="C3712" i="17" s="1"/>
  <c r="C4966" i="17"/>
  <c r="S126" i="2"/>
  <c r="C3756" i="17" s="1"/>
  <c r="S154" i="2"/>
  <c r="C3784" i="17" s="1"/>
  <c r="S588" i="2"/>
  <c r="C4218" i="17" s="1"/>
  <c r="C5444" i="17"/>
  <c r="S604" i="2"/>
  <c r="C4234" i="17" s="1"/>
  <c r="C5505" i="17"/>
  <c r="S665" i="2"/>
  <c r="C4295" i="17" s="1"/>
  <c r="C5613" i="17"/>
  <c r="S773" i="2"/>
  <c r="C4403" i="17" s="1"/>
  <c r="C5861" i="17"/>
  <c r="S1021" i="2"/>
  <c r="C4651" i="17" s="1"/>
  <c r="S108" i="2"/>
  <c r="C3738" i="17" s="1"/>
  <c r="S180" i="2"/>
  <c r="C3810" i="17" s="1"/>
  <c r="C5269" i="17"/>
  <c r="S429" i="2"/>
  <c r="C4059" i="17" s="1"/>
  <c r="C5437" i="17"/>
  <c r="S597" i="2"/>
  <c r="C4227" i="17" s="1"/>
  <c r="C5559" i="17"/>
  <c r="S719" i="2"/>
  <c r="C4349" i="17" s="1"/>
  <c r="C6902" i="17"/>
  <c r="S852" i="2"/>
  <c r="C4482" i="17" s="1"/>
  <c r="C4859" i="17"/>
  <c r="S19" i="2"/>
  <c r="C3649" i="17" s="1"/>
  <c r="C5075" i="17"/>
  <c r="S235" i="2"/>
  <c r="C3865" i="17" s="1"/>
  <c r="C5219" i="17"/>
  <c r="S379" i="2"/>
  <c r="C4009" i="17" s="1"/>
  <c r="C5518" i="17"/>
  <c r="S678" i="2"/>
  <c r="C4308" i="17" s="1"/>
  <c r="C5529" i="17"/>
  <c r="S689" i="2"/>
  <c r="C4319" i="17" s="1"/>
  <c r="C5554" i="17"/>
  <c r="S714" i="2"/>
  <c r="C4344" i="17" s="1"/>
  <c r="C5627" i="17"/>
  <c r="S787" i="2"/>
  <c r="C4417" i="17" s="1"/>
  <c r="C5725" i="17"/>
  <c r="S885" i="2"/>
  <c r="C4515" i="17" s="1"/>
  <c r="C5774" i="17"/>
  <c r="S934" i="2"/>
  <c r="C4564" i="17" s="1"/>
  <c r="C5809" i="17"/>
  <c r="S969" i="2"/>
  <c r="C4599" i="17" s="1"/>
  <c r="C5831" i="17"/>
  <c r="S991" i="2"/>
  <c r="C4621" i="17" s="1"/>
  <c r="L4" i="3"/>
  <c r="L5" i="3" s="1"/>
  <c r="C2" i="4" s="1"/>
  <c r="C2" i="17"/>
  <c r="X7" i="3"/>
  <c r="L2" i="3"/>
  <c r="L3" i="3" s="1"/>
  <c r="C4881" i="17"/>
  <c r="S41" i="2"/>
  <c r="C3671" i="17" s="1"/>
  <c r="S71" i="2"/>
  <c r="C3701" i="17" s="1"/>
  <c r="C4953" i="17"/>
  <c r="S113" i="2"/>
  <c r="C3743" i="17" s="1"/>
  <c r="S143" i="2"/>
  <c r="C3773" i="17" s="1"/>
  <c r="C5025" i="17"/>
  <c r="S185" i="2"/>
  <c r="C3815" i="17" s="1"/>
  <c r="S215" i="2"/>
  <c r="C3845" i="17" s="1"/>
  <c r="C5097" i="17"/>
  <c r="S257" i="2"/>
  <c r="C3887" i="17" s="1"/>
  <c r="S311" i="2"/>
  <c r="C3941" i="17" s="1"/>
  <c r="C5173" i="17"/>
  <c r="S333" i="2"/>
  <c r="C3963" i="17" s="1"/>
  <c r="C5204" i="17"/>
  <c r="S364" i="2"/>
  <c r="C3994" i="17" s="1"/>
  <c r="C5215" i="17"/>
  <c r="S375" i="2"/>
  <c r="C4005" i="17" s="1"/>
  <c r="C5278" i="17"/>
  <c r="S438" i="2"/>
  <c r="C4068" i="17" s="1"/>
  <c r="C5289" i="17"/>
  <c r="S449" i="2"/>
  <c r="C4079" i="17" s="1"/>
  <c r="C5352" i="17"/>
  <c r="S512" i="2"/>
  <c r="C4142" i="17" s="1"/>
  <c r="C5389" i="17"/>
  <c r="S549" i="2"/>
  <c r="C4179" i="17" s="1"/>
  <c r="C5407" i="17"/>
  <c r="S567" i="2"/>
  <c r="C4197" i="17" s="1"/>
  <c r="C5446" i="17"/>
  <c r="S606" i="2"/>
  <c r="C4236" i="17" s="1"/>
  <c r="C5457" i="17"/>
  <c r="S617" i="2"/>
  <c r="C4247" i="17" s="1"/>
  <c r="C5507" i="17"/>
  <c r="S667" i="2"/>
  <c r="C4297" i="17" s="1"/>
  <c r="S682" i="2"/>
  <c r="C4312" i="17" s="1"/>
  <c r="C5607" i="17"/>
  <c r="S767" i="2"/>
  <c r="C4397" i="17" s="1"/>
  <c r="S780" i="2"/>
  <c r="C4410" i="17" s="1"/>
  <c r="C5694" i="17"/>
  <c r="S854" i="2"/>
  <c r="C4484" i="17" s="1"/>
  <c r="C5718" i="17"/>
  <c r="S878" i="2"/>
  <c r="C4508" i="17" s="1"/>
  <c r="C5557" i="17"/>
  <c r="S717" i="2"/>
  <c r="C4347" i="17" s="1"/>
  <c r="C5697" i="17"/>
  <c r="S857" i="2"/>
  <c r="C4487" i="17" s="1"/>
  <c r="C5909" i="17"/>
  <c r="S1069" i="2"/>
  <c r="C4699" i="17" s="1"/>
  <c r="C6015" i="17"/>
  <c r="S1175" i="2"/>
  <c r="C4805" i="17" s="1"/>
  <c r="C6051" i="17"/>
  <c r="S1211" i="2"/>
  <c r="C4841" i="17" s="1"/>
  <c r="C6052" i="17"/>
  <c r="H8" i="6"/>
  <c r="H9" i="6" s="1"/>
  <c r="C7" i="4" s="1"/>
  <c r="H6" i="6"/>
  <c r="H7" i="6" s="1"/>
  <c r="R7" i="3"/>
  <c r="H10" i="6"/>
  <c r="D7" i="4" s="1"/>
  <c r="Q7" i="3"/>
  <c r="P7" i="3"/>
  <c r="O7" i="3"/>
  <c r="N7" i="3"/>
  <c r="W7" i="3"/>
  <c r="V7" i="3"/>
  <c r="U7" i="3"/>
  <c r="T7" i="3"/>
  <c r="S7" i="3"/>
  <c r="C5532" i="17"/>
  <c r="S692" i="2"/>
  <c r="C4322" i="17" s="1"/>
  <c r="C5573" i="17"/>
  <c r="S733" i="2"/>
  <c r="C4363" i="17" s="1"/>
  <c r="C5580" i="17"/>
  <c r="S740" i="2"/>
  <c r="C4370" i="17" s="1"/>
  <c r="C5621" i="17"/>
  <c r="S781" i="2"/>
  <c r="C4411" i="17" s="1"/>
  <c r="C5628" i="17"/>
  <c r="S788" i="2"/>
  <c r="C4418" i="17" s="1"/>
  <c r="C5667" i="17"/>
  <c r="S827" i="2"/>
  <c r="C4457" i="17" s="1"/>
  <c r="C5737" i="17"/>
  <c r="S897" i="2"/>
  <c r="C4527" i="17" s="1"/>
  <c r="C5749" i="17"/>
  <c r="S909" i="2"/>
  <c r="C4539" i="17" s="1"/>
  <c r="C5763" i="17"/>
  <c r="S923" i="2"/>
  <c r="C4553" i="17" s="1"/>
  <c r="C5817" i="17"/>
  <c r="S977" i="2"/>
  <c r="C4607" i="17" s="1"/>
  <c r="C5844" i="17"/>
  <c r="S1004" i="2"/>
  <c r="C4634" i="17" s="1"/>
  <c r="C5859" i="17"/>
  <c r="S1019" i="2"/>
  <c r="C4649" i="17" s="1"/>
  <c r="C5881" i="17"/>
  <c r="S1041" i="2"/>
  <c r="C4671" i="17" s="1"/>
  <c r="C5899" i="17"/>
  <c r="S1059" i="2"/>
  <c r="C4689" i="17" s="1"/>
  <c r="C5929" i="17"/>
  <c r="S1089" i="2"/>
  <c r="C4719" i="17" s="1"/>
  <c r="C5947" i="17"/>
  <c r="S1107" i="2"/>
  <c r="C4737" i="17" s="1"/>
  <c r="C5977" i="17"/>
  <c r="S1137" i="2"/>
  <c r="C4767" i="17" s="1"/>
  <c r="C5995" i="17"/>
  <c r="S1155" i="2"/>
  <c r="C4785" i="17" s="1"/>
  <c r="C6025" i="17"/>
  <c r="S1185" i="2"/>
  <c r="C4815" i="17" s="1"/>
  <c r="T19" i="3"/>
  <c r="X15" i="3"/>
  <c r="C5834" i="17"/>
  <c r="S994" i="2"/>
  <c r="C4624" i="17" s="1"/>
  <c r="C2422" i="17"/>
  <c r="E23" i="5"/>
  <c r="E24" i="5" s="1"/>
  <c r="E27" i="5"/>
  <c r="D4" i="4" s="1"/>
  <c r="E25" i="5"/>
  <c r="E26" i="5" s="1"/>
  <c r="C4" i="4" s="1"/>
  <c r="C5541" i="17"/>
  <c r="S701" i="2"/>
  <c r="C4331" i="17" s="1"/>
  <c r="C5571" i="17"/>
  <c r="S731" i="2"/>
  <c r="C4361" i="17" s="1"/>
  <c r="C5589" i="17"/>
  <c r="S749" i="2"/>
  <c r="C4379" i="17" s="1"/>
  <c r="C5619" i="17"/>
  <c r="S779" i="2"/>
  <c r="C4409" i="17" s="1"/>
  <c r="C5637" i="17"/>
  <c r="S797" i="2"/>
  <c r="C4427" i="17" s="1"/>
  <c r="C5714" i="17"/>
  <c r="S874" i="2"/>
  <c r="C4504" i="17" s="1"/>
  <c r="C5723" i="17"/>
  <c r="S883" i="2"/>
  <c r="C4513" i="17" s="1"/>
  <c r="C5728" i="17"/>
  <c r="S888" i="2"/>
  <c r="C4518" i="17" s="1"/>
  <c r="C5735" i="17"/>
  <c r="S895" i="2"/>
  <c r="C4525" i="17" s="1"/>
  <c r="C5810" i="17"/>
  <c r="S970" i="2"/>
  <c r="C4600" i="17" s="1"/>
  <c r="C5827" i="17"/>
  <c r="S987" i="2"/>
  <c r="C4617" i="17" s="1"/>
  <c r="C5837" i="17"/>
  <c r="S997" i="2"/>
  <c r="C4627" i="17" s="1"/>
  <c r="C5869" i="17"/>
  <c r="S1029" i="2"/>
  <c r="C4659" i="17" s="1"/>
  <c r="C6036" i="17"/>
  <c r="S1196" i="2"/>
  <c r="C4826" i="17" s="1"/>
  <c r="S290" i="2"/>
  <c r="C3920" i="17" s="1"/>
  <c r="S314" i="2"/>
  <c r="C3944" i="17" s="1"/>
  <c r="S338" i="2"/>
  <c r="C3968" i="17" s="1"/>
  <c r="S362" i="2"/>
  <c r="C3992" i="17" s="1"/>
  <c r="S386" i="2"/>
  <c r="C4016" i="17" s="1"/>
  <c r="S410" i="2"/>
  <c r="C4040" i="17" s="1"/>
  <c r="S434" i="2"/>
  <c r="C4064" i="17" s="1"/>
  <c r="S458" i="2"/>
  <c r="C4088" i="17" s="1"/>
  <c r="S482" i="2"/>
  <c r="C4112" i="17" s="1"/>
  <c r="S506" i="2"/>
  <c r="C4136" i="17" s="1"/>
  <c r="S530" i="2"/>
  <c r="C4160" i="17" s="1"/>
  <c r="S554" i="2"/>
  <c r="C4184" i="17" s="1"/>
  <c r="S578" i="2"/>
  <c r="C4208" i="17" s="1"/>
  <c r="S602" i="2"/>
  <c r="C4232" i="17" s="1"/>
  <c r="S626" i="2"/>
  <c r="C4256" i="17" s="1"/>
  <c r="S650" i="2"/>
  <c r="C4280" i="17" s="1"/>
  <c r="S674" i="2"/>
  <c r="C4304" i="17" s="1"/>
  <c r="C5539" i="17"/>
  <c r="S699" i="2"/>
  <c r="C4329" i="17" s="1"/>
  <c r="C5546" i="17"/>
  <c r="S706" i="2"/>
  <c r="C4336" i="17" s="1"/>
  <c r="C5555" i="17"/>
  <c r="S715" i="2"/>
  <c r="C4345" i="17" s="1"/>
  <c r="S726" i="2"/>
  <c r="C4356" i="17" s="1"/>
  <c r="C5587" i="17"/>
  <c r="S747" i="2"/>
  <c r="C4377" i="17" s="1"/>
  <c r="C5594" i="17"/>
  <c r="S754" i="2"/>
  <c r="C4384" i="17" s="1"/>
  <c r="C5603" i="17"/>
  <c r="S763" i="2"/>
  <c r="C4393" i="17" s="1"/>
  <c r="S774" i="2"/>
  <c r="C4404" i="17" s="1"/>
  <c r="C5635" i="17"/>
  <c r="S795" i="2"/>
  <c r="C4425" i="17" s="1"/>
  <c r="C5642" i="17"/>
  <c r="S802" i="2"/>
  <c r="C4432" i="17" s="1"/>
  <c r="C5651" i="17"/>
  <c r="S811" i="2"/>
  <c r="C4441" i="17" s="1"/>
  <c r="S822" i="2"/>
  <c r="C4452" i="17" s="1"/>
  <c r="C5679" i="17"/>
  <c r="S839" i="2"/>
  <c r="C4469" i="17" s="1"/>
  <c r="C5693" i="17"/>
  <c r="S853" i="2"/>
  <c r="C4483" i="17" s="1"/>
  <c r="C5700" i="17"/>
  <c r="S860" i="2"/>
  <c r="C4490" i="17" s="1"/>
  <c r="C5707" i="17"/>
  <c r="S867" i="2"/>
  <c r="C4497" i="17" s="1"/>
  <c r="C5721" i="17"/>
  <c r="S881" i="2"/>
  <c r="C4511" i="17" s="1"/>
  <c r="S918" i="2"/>
  <c r="C4548" i="17" s="1"/>
  <c r="C5775" i="17"/>
  <c r="S935" i="2"/>
  <c r="C4565" i="17" s="1"/>
  <c r="C5789" i="17"/>
  <c r="S949" i="2"/>
  <c r="C4579" i="17" s="1"/>
  <c r="C5796" i="17"/>
  <c r="S956" i="2"/>
  <c r="C4586" i="17" s="1"/>
  <c r="C5803" i="17"/>
  <c r="S963" i="2"/>
  <c r="C4593" i="17" s="1"/>
  <c r="S972" i="2"/>
  <c r="C4602" i="17" s="1"/>
  <c r="C5847" i="17"/>
  <c r="S1007" i="2"/>
  <c r="C4637" i="17" s="1"/>
  <c r="S1016" i="2"/>
  <c r="C4646" i="17" s="1"/>
  <c r="C5879" i="17"/>
  <c r="S1039" i="2"/>
  <c r="C4669" i="17" s="1"/>
  <c r="C7094" i="17"/>
  <c r="S1044" i="2"/>
  <c r="C4674" i="17" s="1"/>
  <c r="C5907" i="17"/>
  <c r="S1067" i="2"/>
  <c r="C4697" i="17" s="1"/>
  <c r="C5927" i="17"/>
  <c r="S1087" i="2"/>
  <c r="C4717" i="17" s="1"/>
  <c r="C7142" i="17"/>
  <c r="S1092" i="2"/>
  <c r="C4722" i="17" s="1"/>
  <c r="C5955" i="17"/>
  <c r="S1115" i="2"/>
  <c r="C4745" i="17" s="1"/>
  <c r="C5975" i="17"/>
  <c r="S1135" i="2"/>
  <c r="C4765" i="17" s="1"/>
  <c r="C7190" i="17"/>
  <c r="S1140" i="2"/>
  <c r="C4770" i="17" s="1"/>
  <c r="C6003" i="17"/>
  <c r="S1163" i="2"/>
  <c r="C4793" i="17" s="1"/>
  <c r="C6023" i="17"/>
  <c r="S1183" i="2"/>
  <c r="C4813" i="17" s="1"/>
  <c r="C7238" i="17"/>
  <c r="S1188" i="2"/>
  <c r="C4818" i="17" s="1"/>
  <c r="S301" i="2"/>
  <c r="C3931" i="17" s="1"/>
  <c r="S325" i="2"/>
  <c r="C3955" i="17" s="1"/>
  <c r="S349" i="2"/>
  <c r="C3979" i="17" s="1"/>
  <c r="S373" i="2"/>
  <c r="C4003" i="17" s="1"/>
  <c r="S397" i="2"/>
  <c r="C4027" i="17" s="1"/>
  <c r="S421" i="2"/>
  <c r="C4051" i="17" s="1"/>
  <c r="S445" i="2"/>
  <c r="C4075" i="17" s="1"/>
  <c r="S469" i="2"/>
  <c r="C4099" i="17" s="1"/>
  <c r="S493" i="2"/>
  <c r="C4123" i="17" s="1"/>
  <c r="S517" i="2"/>
  <c r="C4147" i="17" s="1"/>
  <c r="S541" i="2"/>
  <c r="C4171" i="17" s="1"/>
  <c r="S565" i="2"/>
  <c r="C4195" i="17" s="1"/>
  <c r="S589" i="2"/>
  <c r="C4219" i="17" s="1"/>
  <c r="S613" i="2"/>
  <c r="C4243" i="17" s="1"/>
  <c r="S637" i="2"/>
  <c r="C4267" i="17" s="1"/>
  <c r="S661" i="2"/>
  <c r="C4291" i="17" s="1"/>
  <c r="S685" i="2"/>
  <c r="C4315" i="17" s="1"/>
  <c r="S710" i="2"/>
  <c r="C4340" i="17" s="1"/>
  <c r="C5553" i="17"/>
  <c r="S713" i="2"/>
  <c r="C4343" i="17" s="1"/>
  <c r="C5569" i="17"/>
  <c r="S729" i="2"/>
  <c r="C4359" i="17" s="1"/>
  <c r="S758" i="2"/>
  <c r="C4388" i="17" s="1"/>
  <c r="S761" i="2"/>
  <c r="C4391" i="17" s="1"/>
  <c r="C5601" i="17"/>
  <c r="C5617" i="17"/>
  <c r="S777" i="2"/>
  <c r="C4407" i="17" s="1"/>
  <c r="S806" i="2"/>
  <c r="C4436" i="17" s="1"/>
  <c r="C5649" i="17"/>
  <c r="S809" i="2"/>
  <c r="C4439" i="17" s="1"/>
  <c r="C5665" i="17"/>
  <c r="S825" i="2"/>
  <c r="C4455" i="17" s="1"/>
  <c r="C5677" i="17"/>
  <c r="S837" i="2"/>
  <c r="C4467" i="17" s="1"/>
  <c r="C5691" i="17"/>
  <c r="S851" i="2"/>
  <c r="C4481" i="17" s="1"/>
  <c r="S862" i="2"/>
  <c r="C4492" i="17" s="1"/>
  <c r="S904" i="2"/>
  <c r="C4534" i="17" s="1"/>
  <c r="C5761" i="17"/>
  <c r="S921" i="2"/>
  <c r="C4551" i="17" s="1"/>
  <c r="C5773" i="17"/>
  <c r="S933" i="2"/>
  <c r="C4563" i="17" s="1"/>
  <c r="C5787" i="17"/>
  <c r="S947" i="2"/>
  <c r="C4577" i="17" s="1"/>
  <c r="S958" i="2"/>
  <c r="C4588" i="17" s="1"/>
  <c r="C5820" i="17"/>
  <c r="S980" i="2"/>
  <c r="C4610" i="17" s="1"/>
  <c r="S982" i="2"/>
  <c r="C4612" i="17" s="1"/>
  <c r="C5835" i="17"/>
  <c r="S995" i="2"/>
  <c r="C4625" i="17" s="1"/>
  <c r="C5862" i="17"/>
  <c r="S1022" i="2"/>
  <c r="C4652" i="17" s="1"/>
  <c r="S1026" i="2"/>
  <c r="C4656" i="17" s="1"/>
  <c r="C5872" i="17"/>
  <c r="S1032" i="2"/>
  <c r="C4662" i="17" s="1"/>
  <c r="C5892" i="17"/>
  <c r="S1052" i="2"/>
  <c r="C4682" i="17" s="1"/>
  <c r="S1054" i="2"/>
  <c r="C4684" i="17" s="1"/>
  <c r="C7122" i="17"/>
  <c r="S1072" i="2"/>
  <c r="C4702" i="17" s="1"/>
  <c r="S1074" i="2"/>
  <c r="C4704" i="17" s="1"/>
  <c r="C5920" i="17"/>
  <c r="S1080" i="2"/>
  <c r="C4710" i="17" s="1"/>
  <c r="C5940" i="17"/>
  <c r="S1100" i="2"/>
  <c r="C4730" i="17" s="1"/>
  <c r="S1102" i="2"/>
  <c r="C4732" i="17" s="1"/>
  <c r="C7170" i="17"/>
  <c r="S1120" i="2"/>
  <c r="C4750" i="17" s="1"/>
  <c r="S1122" i="2"/>
  <c r="C4752" i="17" s="1"/>
  <c r="C5968" i="17"/>
  <c r="S1128" i="2"/>
  <c r="C4758" i="17" s="1"/>
  <c r="C5988" i="17"/>
  <c r="S1148" i="2"/>
  <c r="C4778" i="17" s="1"/>
  <c r="S1150" i="2"/>
  <c r="C4780" i="17" s="1"/>
  <c r="C7218" i="17"/>
  <c r="S1168" i="2"/>
  <c r="C4798" i="17" s="1"/>
  <c r="S1170" i="2"/>
  <c r="C4800" i="17" s="1"/>
  <c r="C6016" i="17"/>
  <c r="S1176" i="2"/>
  <c r="C4806" i="17" s="1"/>
  <c r="C6049" i="17"/>
  <c r="S1209" i="2"/>
  <c r="C4839" i="17" s="1"/>
  <c r="E10" i="5"/>
  <c r="S11" i="2"/>
  <c r="C3641" i="17" s="1"/>
  <c r="S22" i="2"/>
  <c r="C3652" i="17" s="1"/>
  <c r="S35" i="2"/>
  <c r="C3665" i="17" s="1"/>
  <c r="S46" i="2"/>
  <c r="C3676" i="17" s="1"/>
  <c r="S59" i="2"/>
  <c r="C3689" i="17" s="1"/>
  <c r="S70" i="2"/>
  <c r="C3700" i="17" s="1"/>
  <c r="S83" i="2"/>
  <c r="C3713" i="17" s="1"/>
  <c r="S94" i="2"/>
  <c r="C3724" i="17" s="1"/>
  <c r="S118" i="2"/>
  <c r="C3748" i="17" s="1"/>
  <c r="S131" i="2"/>
  <c r="C3761" i="17" s="1"/>
  <c r="S142" i="2"/>
  <c r="C3772" i="17" s="1"/>
  <c r="S155" i="2"/>
  <c r="C3785" i="17" s="1"/>
  <c r="S166" i="2"/>
  <c r="C3796" i="17" s="1"/>
  <c r="S179" i="2"/>
  <c r="C3809" i="17" s="1"/>
  <c r="S190" i="2"/>
  <c r="C3820" i="17" s="1"/>
  <c r="S203" i="2"/>
  <c r="C3833" i="17" s="1"/>
  <c r="S214" i="2"/>
  <c r="C3844" i="17" s="1"/>
  <c r="S227" i="2"/>
  <c r="C3857" i="17" s="1"/>
  <c r="S238" i="2"/>
  <c r="C3868" i="17" s="1"/>
  <c r="S251" i="2"/>
  <c r="C3881" i="17" s="1"/>
  <c r="S262" i="2"/>
  <c r="C3892" i="17" s="1"/>
  <c r="S275" i="2"/>
  <c r="C3905" i="17" s="1"/>
  <c r="S286" i="2"/>
  <c r="C3916" i="17" s="1"/>
  <c r="S299" i="2"/>
  <c r="C3929" i="17" s="1"/>
  <c r="S310" i="2"/>
  <c r="C3940" i="17" s="1"/>
  <c r="S323" i="2"/>
  <c r="C3953" i="17" s="1"/>
  <c r="S334" i="2"/>
  <c r="C3964" i="17" s="1"/>
  <c r="S347" i="2"/>
  <c r="C3977" i="17" s="1"/>
  <c r="S358" i="2"/>
  <c r="C3988" i="17" s="1"/>
  <c r="S371" i="2"/>
  <c r="C4001" i="17" s="1"/>
  <c r="S382" i="2"/>
  <c r="C4012" i="17" s="1"/>
  <c r="S395" i="2"/>
  <c r="C4025" i="17" s="1"/>
  <c r="S406" i="2"/>
  <c r="C4036" i="17" s="1"/>
  <c r="S419" i="2"/>
  <c r="C4049" i="17" s="1"/>
  <c r="S430" i="2"/>
  <c r="C4060" i="17" s="1"/>
  <c r="S443" i="2"/>
  <c r="C4073" i="17" s="1"/>
  <c r="S454" i="2"/>
  <c r="C4084" i="17" s="1"/>
  <c r="S467" i="2"/>
  <c r="C4097" i="17" s="1"/>
  <c r="S478" i="2"/>
  <c r="C4108" i="17" s="1"/>
  <c r="S502" i="2"/>
  <c r="C4132" i="17" s="1"/>
  <c r="S526" i="2"/>
  <c r="C4156" i="17" s="1"/>
  <c r="S550" i="2"/>
  <c r="C4180" i="17" s="1"/>
  <c r="S574" i="2"/>
  <c r="C4204" i="17" s="1"/>
  <c r="S598" i="2"/>
  <c r="C4228" i="17" s="1"/>
  <c r="S611" i="2"/>
  <c r="C4241" i="17" s="1"/>
  <c r="S622" i="2"/>
  <c r="C4252" i="17" s="1"/>
  <c r="S635" i="2"/>
  <c r="C4265" i="17" s="1"/>
  <c r="S646" i="2"/>
  <c r="C4276" i="17" s="1"/>
  <c r="S659" i="2"/>
  <c r="C4289" i="17" s="1"/>
  <c r="S670" i="2"/>
  <c r="C4300" i="17" s="1"/>
  <c r="S683" i="2"/>
  <c r="C4313" i="17" s="1"/>
  <c r="C5535" i="17"/>
  <c r="S695" i="2"/>
  <c r="C4325" i="17" s="1"/>
  <c r="S708" i="2"/>
  <c r="C4338" i="17" s="1"/>
  <c r="C5567" i="17"/>
  <c r="S727" i="2"/>
  <c r="C4357" i="17" s="1"/>
  <c r="C5583" i="17"/>
  <c r="S743" i="2"/>
  <c r="C4373" i="17" s="1"/>
  <c r="S756" i="2"/>
  <c r="C4386" i="17" s="1"/>
  <c r="C5615" i="17"/>
  <c r="S775" i="2"/>
  <c r="C4405" i="17" s="1"/>
  <c r="C5631" i="17"/>
  <c r="S791" i="2"/>
  <c r="C4421" i="17" s="1"/>
  <c r="S804" i="2"/>
  <c r="C4434" i="17" s="1"/>
  <c r="C5663" i="17"/>
  <c r="S823" i="2"/>
  <c r="C4453" i="17" s="1"/>
  <c r="S848" i="2"/>
  <c r="C4478" i="17" s="1"/>
  <c r="C5738" i="17"/>
  <c r="S898" i="2"/>
  <c r="C4528" i="17" s="1"/>
  <c r="C5747" i="17"/>
  <c r="S907" i="2"/>
  <c r="C4537" i="17" s="1"/>
  <c r="C5752" i="17"/>
  <c r="S912" i="2"/>
  <c r="C4542" i="17" s="1"/>
  <c r="C5759" i="17"/>
  <c r="S919" i="2"/>
  <c r="C4549" i="17" s="1"/>
  <c r="S944" i="2"/>
  <c r="C4574" i="17" s="1"/>
  <c r="C5813" i="17"/>
  <c r="S973" i="2"/>
  <c r="C4603" i="17" s="1"/>
  <c r="C5845" i="17"/>
  <c r="S1005" i="2"/>
  <c r="C4635" i="17" s="1"/>
  <c r="C5857" i="17"/>
  <c r="S1017" i="2"/>
  <c r="C4647" i="17" s="1"/>
  <c r="S1024" i="2"/>
  <c r="C4654" i="17" s="1"/>
  <c r="S1034" i="2"/>
  <c r="C4664" i="17" s="1"/>
  <c r="C5882" i="17"/>
  <c r="S1042" i="2"/>
  <c r="C4672" i="17" s="1"/>
  <c r="C5910" i="17"/>
  <c r="S1070" i="2"/>
  <c r="C4700" i="17" s="1"/>
  <c r="S1082" i="2"/>
  <c r="C4712" i="17" s="1"/>
  <c r="C5930" i="17"/>
  <c r="S1090" i="2"/>
  <c r="C4720" i="17" s="1"/>
  <c r="C5958" i="17"/>
  <c r="S1118" i="2"/>
  <c r="C4748" i="17" s="1"/>
  <c r="S1130" i="2"/>
  <c r="C4760" i="17" s="1"/>
  <c r="C5978" i="17"/>
  <c r="S1138" i="2"/>
  <c r="C4768" i="17" s="1"/>
  <c r="C6006" i="17"/>
  <c r="S1166" i="2"/>
  <c r="C4796" i="17" s="1"/>
  <c r="S1178" i="2"/>
  <c r="C4808" i="17" s="1"/>
  <c r="C6026" i="17"/>
  <c r="S1186" i="2"/>
  <c r="C4816" i="17" s="1"/>
  <c r="C6034" i="17"/>
  <c r="S1194" i="2"/>
  <c r="C4824" i="17" s="1"/>
  <c r="E9" i="5"/>
  <c r="C5605" i="17"/>
  <c r="S765" i="2"/>
  <c r="C4395" i="17" s="1"/>
  <c r="C5653" i="17"/>
  <c r="S813" i="2"/>
  <c r="C4443" i="17" s="1"/>
  <c r="C5765" i="17"/>
  <c r="S925" i="2"/>
  <c r="C4555" i="17" s="1"/>
  <c r="C5772" i="17"/>
  <c r="S932" i="2"/>
  <c r="C4562" i="17" s="1"/>
  <c r="C5779" i="17"/>
  <c r="S939" i="2"/>
  <c r="C4569" i="17" s="1"/>
  <c r="C5793" i="17"/>
  <c r="S953" i="2"/>
  <c r="C4583" i="17" s="1"/>
  <c r="C5871" i="17"/>
  <c r="S1031" i="2"/>
  <c r="C4661" i="17" s="1"/>
  <c r="E16" i="5"/>
  <c r="S9" i="2"/>
  <c r="C3639" i="17" s="1"/>
  <c r="S20" i="2"/>
  <c r="C3650" i="17" s="1"/>
  <c r="S33" i="2"/>
  <c r="C3663" i="17" s="1"/>
  <c r="S44" i="2"/>
  <c r="C3674" i="17" s="1"/>
  <c r="S57" i="2"/>
  <c r="C3687" i="17" s="1"/>
  <c r="S68" i="2"/>
  <c r="C3698" i="17" s="1"/>
  <c r="S81" i="2"/>
  <c r="C3711" i="17" s="1"/>
  <c r="S92" i="2"/>
  <c r="C3722" i="17" s="1"/>
  <c r="S105" i="2"/>
  <c r="C3735" i="17" s="1"/>
  <c r="S116" i="2"/>
  <c r="C3746" i="17" s="1"/>
  <c r="S129" i="2"/>
  <c r="C3759" i="17" s="1"/>
  <c r="S140" i="2"/>
  <c r="C3770" i="17" s="1"/>
  <c r="S153" i="2"/>
  <c r="C3783" i="17" s="1"/>
  <c r="S164" i="2"/>
  <c r="C3794" i="17" s="1"/>
  <c r="S177" i="2"/>
  <c r="C3807" i="17" s="1"/>
  <c r="S188" i="2"/>
  <c r="C3818" i="17" s="1"/>
  <c r="S201" i="2"/>
  <c r="C3831" i="17" s="1"/>
  <c r="S212" i="2"/>
  <c r="C3842" i="17" s="1"/>
  <c r="S225" i="2"/>
  <c r="C3855" i="17" s="1"/>
  <c r="S236" i="2"/>
  <c r="C3866" i="17" s="1"/>
  <c r="S249" i="2"/>
  <c r="C3879" i="17" s="1"/>
  <c r="S260" i="2"/>
  <c r="C3890" i="17" s="1"/>
  <c r="S273" i="2"/>
  <c r="C3903" i="17" s="1"/>
  <c r="S284" i="2"/>
  <c r="C3914" i="17" s="1"/>
  <c r="S297" i="2"/>
  <c r="C3927" i="17" s="1"/>
  <c r="S308" i="2"/>
  <c r="C3938" i="17" s="1"/>
  <c r="S321" i="2"/>
  <c r="C3951" i="17" s="1"/>
  <c r="S332" i="2"/>
  <c r="C3962" i="17" s="1"/>
  <c r="S345" i="2"/>
  <c r="C3975" i="17" s="1"/>
  <c r="S356" i="2"/>
  <c r="C3986" i="17" s="1"/>
  <c r="S369" i="2"/>
  <c r="C3999" i="17" s="1"/>
  <c r="S380" i="2"/>
  <c r="C4010" i="17" s="1"/>
  <c r="S393" i="2"/>
  <c r="C4023" i="17" s="1"/>
  <c r="S404" i="2"/>
  <c r="C4034" i="17" s="1"/>
  <c r="S417" i="2"/>
  <c r="C4047" i="17" s="1"/>
  <c r="S428" i="2"/>
  <c r="C4058" i="17" s="1"/>
  <c r="S441" i="2"/>
  <c r="C4071" i="17" s="1"/>
  <c r="S452" i="2"/>
  <c r="C4082" i="17" s="1"/>
  <c r="S465" i="2"/>
  <c r="C4095" i="17" s="1"/>
  <c r="S476" i="2"/>
  <c r="C4106" i="17" s="1"/>
  <c r="S489" i="2"/>
  <c r="C4119" i="17" s="1"/>
  <c r="S500" i="2"/>
  <c r="C4130" i="17" s="1"/>
  <c r="S513" i="2"/>
  <c r="C4143" i="17" s="1"/>
  <c r="S524" i="2"/>
  <c r="C4154" i="17" s="1"/>
  <c r="S537" i="2"/>
  <c r="C4167" i="17" s="1"/>
  <c r="S548" i="2"/>
  <c r="C4178" i="17" s="1"/>
  <c r="S561" i="2"/>
  <c r="C4191" i="17" s="1"/>
  <c r="S572" i="2"/>
  <c r="C4202" i="17" s="1"/>
  <c r="S585" i="2"/>
  <c r="C4215" i="17" s="1"/>
  <c r="S596" i="2"/>
  <c r="C4226" i="17" s="1"/>
  <c r="S609" i="2"/>
  <c r="C4239" i="17" s="1"/>
  <c r="S620" i="2"/>
  <c r="C4250" i="17" s="1"/>
  <c r="S633" i="2"/>
  <c r="C4263" i="17" s="1"/>
  <c r="S644" i="2"/>
  <c r="C4274" i="17" s="1"/>
  <c r="S657" i="2"/>
  <c r="C4287" i="17" s="1"/>
  <c r="S668" i="2"/>
  <c r="C4298" i="17" s="1"/>
  <c r="S681" i="2"/>
  <c r="C4311" i="17" s="1"/>
  <c r="C5533" i="17"/>
  <c r="S693" i="2"/>
  <c r="C4323" i="17" s="1"/>
  <c r="S724" i="2"/>
  <c r="C4354" i="17" s="1"/>
  <c r="C5581" i="17"/>
  <c r="S741" i="2"/>
  <c r="C4371" i="17" s="1"/>
  <c r="S772" i="2"/>
  <c r="C4402" i="17" s="1"/>
  <c r="C5629" i="17"/>
  <c r="S789" i="2"/>
  <c r="C4419" i="17" s="1"/>
  <c r="S820" i="2"/>
  <c r="C4450" i="17" s="1"/>
  <c r="S834" i="2"/>
  <c r="C4464" i="17" s="1"/>
  <c r="S846" i="2"/>
  <c r="C4476" i="17" s="1"/>
  <c r="C5703" i="17"/>
  <c r="S863" i="2"/>
  <c r="C4493" i="17" s="1"/>
  <c r="C5717" i="17"/>
  <c r="S877" i="2"/>
  <c r="C4507" i="17" s="1"/>
  <c r="C5724" i="17"/>
  <c r="S884" i="2"/>
  <c r="C4514" i="17" s="1"/>
  <c r="C5731" i="17"/>
  <c r="S891" i="2"/>
  <c r="C4521" i="17" s="1"/>
  <c r="S902" i="2"/>
  <c r="C4532" i="17" s="1"/>
  <c r="C5745" i="17"/>
  <c r="S905" i="2"/>
  <c r="C4535" i="17" s="1"/>
  <c r="S916" i="2"/>
  <c r="C4546" i="17" s="1"/>
  <c r="S930" i="2"/>
  <c r="C4560" i="17" s="1"/>
  <c r="S942" i="2"/>
  <c r="C4572" i="17" s="1"/>
  <c r="C5799" i="17"/>
  <c r="S959" i="2"/>
  <c r="C4589" i="17" s="1"/>
  <c r="C5811" i="17"/>
  <c r="S971" i="2"/>
  <c r="C4601" i="17" s="1"/>
  <c r="C5823" i="17"/>
  <c r="S983" i="2"/>
  <c r="C4613" i="17" s="1"/>
  <c r="S992" i="2"/>
  <c r="C4622" i="17" s="1"/>
  <c r="C5885" i="17"/>
  <c r="S1045" i="2"/>
  <c r="C4675" i="17" s="1"/>
  <c r="C5895" i="17"/>
  <c r="S1055" i="2"/>
  <c r="C4685" i="17" s="1"/>
  <c r="C5933" i="17"/>
  <c r="S1093" i="2"/>
  <c r="C4723" i="17" s="1"/>
  <c r="C5943" i="17"/>
  <c r="S1103" i="2"/>
  <c r="C4733" i="17" s="1"/>
  <c r="C5981" i="17"/>
  <c r="S1141" i="2"/>
  <c r="C4771" i="17" s="1"/>
  <c r="C5991" i="17"/>
  <c r="S1151" i="2"/>
  <c r="C4781" i="17" s="1"/>
  <c r="C6029" i="17"/>
  <c r="S1189" i="2"/>
  <c r="C4819" i="17" s="1"/>
  <c r="C6047" i="17"/>
  <c r="S1207" i="2"/>
  <c r="C4837" i="17" s="1"/>
  <c r="E8" i="5"/>
  <c r="C5669" i="17"/>
  <c r="S829" i="2"/>
  <c r="C4459" i="17" s="1"/>
  <c r="C5676" i="17"/>
  <c r="S836" i="2"/>
  <c r="C4466" i="17" s="1"/>
  <c r="C5683" i="17"/>
  <c r="S843" i="2"/>
  <c r="C4473" i="17" s="1"/>
  <c r="C5751" i="17"/>
  <c r="S911" i="2"/>
  <c r="C4541" i="17" s="1"/>
  <c r="C5919" i="17"/>
  <c r="S1079" i="2"/>
  <c r="C4709" i="17" s="1"/>
  <c r="C5957" i="17"/>
  <c r="S1117" i="2"/>
  <c r="C4747" i="17" s="1"/>
  <c r="C5967" i="17"/>
  <c r="S1127" i="2"/>
  <c r="C4757" i="17" s="1"/>
  <c r="C6005" i="17"/>
  <c r="S1165" i="2"/>
  <c r="C4795" i="17" s="1"/>
  <c r="S7" i="2"/>
  <c r="C3637" i="17" s="1"/>
  <c r="S18" i="2"/>
  <c r="C3648" i="17" s="1"/>
  <c r="S31" i="2"/>
  <c r="C3661" i="17" s="1"/>
  <c r="S42" i="2"/>
  <c r="C3672" i="17" s="1"/>
  <c r="S55" i="2"/>
  <c r="C3685" i="17" s="1"/>
  <c r="S66" i="2"/>
  <c r="C3696" i="17" s="1"/>
  <c r="S79" i="2"/>
  <c r="C3709" i="17" s="1"/>
  <c r="S90" i="2"/>
  <c r="C3720" i="17" s="1"/>
  <c r="S103" i="2"/>
  <c r="C3733" i="17" s="1"/>
  <c r="S114" i="2"/>
  <c r="C3744" i="17" s="1"/>
  <c r="S127" i="2"/>
  <c r="C3757" i="17" s="1"/>
  <c r="S138" i="2"/>
  <c r="C3768" i="17" s="1"/>
  <c r="S151" i="2"/>
  <c r="C3781" i="17" s="1"/>
  <c r="S162" i="2"/>
  <c r="C3792" i="17" s="1"/>
  <c r="S175" i="2"/>
  <c r="C3805" i="17" s="1"/>
  <c r="S186" i="2"/>
  <c r="C3816" i="17" s="1"/>
  <c r="S199" i="2"/>
  <c r="C3829" i="17" s="1"/>
  <c r="S210" i="2"/>
  <c r="C3840" i="17" s="1"/>
  <c r="S223" i="2"/>
  <c r="C3853" i="17" s="1"/>
  <c r="S234" i="2"/>
  <c r="C3864" i="17" s="1"/>
  <c r="S247" i="2"/>
  <c r="C3877" i="17" s="1"/>
  <c r="S258" i="2"/>
  <c r="C3888" i="17" s="1"/>
  <c r="S271" i="2"/>
  <c r="C3901" i="17" s="1"/>
  <c r="S282" i="2"/>
  <c r="C3912" i="17" s="1"/>
  <c r="S295" i="2"/>
  <c r="C3925" i="17" s="1"/>
  <c r="S306" i="2"/>
  <c r="C3936" i="17" s="1"/>
  <c r="S319" i="2"/>
  <c r="C3949" i="17" s="1"/>
  <c r="S330" i="2"/>
  <c r="C3960" i="17" s="1"/>
  <c r="S343" i="2"/>
  <c r="C3973" i="17" s="1"/>
  <c r="S354" i="2"/>
  <c r="C3984" i="17" s="1"/>
  <c r="S367" i="2"/>
  <c r="C3997" i="17" s="1"/>
  <c r="S378" i="2"/>
  <c r="C4008" i="17" s="1"/>
  <c r="S391" i="2"/>
  <c r="C4021" i="17" s="1"/>
  <c r="S402" i="2"/>
  <c r="C4032" i="17" s="1"/>
  <c r="S415" i="2"/>
  <c r="C4045" i="17" s="1"/>
  <c r="S426" i="2"/>
  <c r="C4056" i="17" s="1"/>
  <c r="S439" i="2"/>
  <c r="C4069" i="17" s="1"/>
  <c r="S450" i="2"/>
  <c r="C4080" i="17" s="1"/>
  <c r="S463" i="2"/>
  <c r="C4093" i="17" s="1"/>
  <c r="S474" i="2"/>
  <c r="C4104" i="17" s="1"/>
  <c r="S487" i="2"/>
  <c r="C4117" i="17" s="1"/>
  <c r="S498" i="2"/>
  <c r="C4128" i="17" s="1"/>
  <c r="S511" i="2"/>
  <c r="C4141" i="17" s="1"/>
  <c r="S522" i="2"/>
  <c r="C4152" i="17" s="1"/>
  <c r="S535" i="2"/>
  <c r="C4165" i="17" s="1"/>
  <c r="S546" i="2"/>
  <c r="C4176" i="17" s="1"/>
  <c r="S559" i="2"/>
  <c r="C4189" i="17" s="1"/>
  <c r="S570" i="2"/>
  <c r="C4200" i="17" s="1"/>
  <c r="S583" i="2"/>
  <c r="C4213" i="17" s="1"/>
  <c r="S594" i="2"/>
  <c r="C4224" i="17" s="1"/>
  <c r="S607" i="2"/>
  <c r="C4237" i="17" s="1"/>
  <c r="S618" i="2"/>
  <c r="C4248" i="17" s="1"/>
  <c r="S631" i="2"/>
  <c r="C4261" i="17" s="1"/>
  <c r="S655" i="2"/>
  <c r="C4285" i="17" s="1"/>
  <c r="S679" i="2"/>
  <c r="C4309" i="17" s="1"/>
  <c r="S690" i="2"/>
  <c r="C4320" i="17" s="1"/>
  <c r="C5549" i="17"/>
  <c r="S709" i="2"/>
  <c r="C4339" i="17" s="1"/>
  <c r="C5556" i="17"/>
  <c r="S716" i="2"/>
  <c r="C4346" i="17" s="1"/>
  <c r="S738" i="2"/>
  <c r="C4368" i="17" s="1"/>
  <c r="C5597" i="17"/>
  <c r="S757" i="2"/>
  <c r="C4387" i="17" s="1"/>
  <c r="C5604" i="17"/>
  <c r="S764" i="2"/>
  <c r="C4394" i="17" s="1"/>
  <c r="S786" i="2"/>
  <c r="C4416" i="17" s="1"/>
  <c r="C5645" i="17"/>
  <c r="S805" i="2"/>
  <c r="C4435" i="17" s="1"/>
  <c r="C5652" i="17"/>
  <c r="S812" i="2"/>
  <c r="C4442" i="17" s="1"/>
  <c r="C5689" i="17"/>
  <c r="S849" i="2"/>
  <c r="C4479" i="17" s="1"/>
  <c r="C5701" i="17"/>
  <c r="S861" i="2"/>
  <c r="C4491" i="17" s="1"/>
  <c r="C5715" i="17"/>
  <c r="S875" i="2"/>
  <c r="C4505" i="17" s="1"/>
  <c r="S886" i="2"/>
  <c r="C4516" i="17" s="1"/>
  <c r="C5785" i="17"/>
  <c r="S945" i="2"/>
  <c r="C4575" i="17" s="1"/>
  <c r="C5797" i="17"/>
  <c r="S957" i="2"/>
  <c r="C4587" i="17" s="1"/>
  <c r="C5838" i="17"/>
  <c r="S998" i="2"/>
  <c r="C4628" i="17" s="1"/>
  <c r="S1002" i="2"/>
  <c r="C4632" i="17" s="1"/>
  <c r="C5848" i="17"/>
  <c r="S1008" i="2"/>
  <c r="C4638" i="17" s="1"/>
  <c r="C5855" i="17"/>
  <c r="S1015" i="2"/>
  <c r="C4645" i="17" s="1"/>
  <c r="C7070" i="17"/>
  <c r="S1020" i="2"/>
  <c r="C4650" i="17" s="1"/>
  <c r="C5875" i="17"/>
  <c r="S1035" i="2"/>
  <c r="C4665" i="17" s="1"/>
  <c r="C5905" i="17"/>
  <c r="S1065" i="2"/>
  <c r="C4695" i="17" s="1"/>
  <c r="C5923" i="17"/>
  <c r="S1083" i="2"/>
  <c r="C4713" i="17" s="1"/>
  <c r="C5953" i="17"/>
  <c r="S1113" i="2"/>
  <c r="C4743" i="17" s="1"/>
  <c r="C5971" i="17"/>
  <c r="S1131" i="2"/>
  <c r="C4761" i="17" s="1"/>
  <c r="C6001" i="17"/>
  <c r="S1161" i="2"/>
  <c r="C4791" i="17" s="1"/>
  <c r="C6019" i="17"/>
  <c r="S1179" i="2"/>
  <c r="C4809" i="17" s="1"/>
  <c r="E7" i="5"/>
  <c r="C5685" i="17"/>
  <c r="S845" i="2"/>
  <c r="C4475" i="17" s="1"/>
  <c r="C5709" i="17"/>
  <c r="S869" i="2"/>
  <c r="C4499" i="17" s="1"/>
  <c r="C5733" i="17"/>
  <c r="S893" i="2"/>
  <c r="C4523" i="17" s="1"/>
  <c r="C5757" i="17"/>
  <c r="S917" i="2"/>
  <c r="C4547" i="17" s="1"/>
  <c r="C5781" i="17"/>
  <c r="S941" i="2"/>
  <c r="C4571" i="17" s="1"/>
  <c r="C5805" i="17"/>
  <c r="S965" i="2"/>
  <c r="C4595" i="17" s="1"/>
  <c r="C5829" i="17"/>
  <c r="S989" i="2"/>
  <c r="C4619" i="17" s="1"/>
  <c r="C5853" i="17"/>
  <c r="S1013" i="2"/>
  <c r="C4643" i="17" s="1"/>
  <c r="C5877" i="17"/>
  <c r="S1037" i="2"/>
  <c r="C4667" i="17" s="1"/>
  <c r="C5901" i="17"/>
  <c r="S1061" i="2"/>
  <c r="C4691" i="17" s="1"/>
  <c r="C5925" i="17"/>
  <c r="S1085" i="2"/>
  <c r="C4715" i="17" s="1"/>
  <c r="C5949" i="17"/>
  <c r="S1109" i="2"/>
  <c r="C4739" i="17" s="1"/>
  <c r="C5973" i="17"/>
  <c r="S1133" i="2"/>
  <c r="C4763" i="17" s="1"/>
  <c r="C5997" i="17"/>
  <c r="S1157" i="2"/>
  <c r="C4787" i="17" s="1"/>
  <c r="C6021" i="17"/>
  <c r="S1181" i="2"/>
  <c r="C4811" i="17" s="1"/>
  <c r="C6045" i="17"/>
  <c r="S1205" i="2"/>
  <c r="C4835" i="17" s="1"/>
  <c r="C5537" i="17"/>
  <c r="S697" i="2"/>
  <c r="C4327" i="17" s="1"/>
  <c r="C5561" i="17"/>
  <c r="S721" i="2"/>
  <c r="C4351" i="17" s="1"/>
  <c r="C5585" i="17"/>
  <c r="S745" i="2"/>
  <c r="C4375" i="17" s="1"/>
  <c r="C5609" i="17"/>
  <c r="S769" i="2"/>
  <c r="C4399" i="17" s="1"/>
  <c r="C5633" i="17"/>
  <c r="S793" i="2"/>
  <c r="C4423" i="17" s="1"/>
  <c r="C5657" i="17"/>
  <c r="S817" i="2"/>
  <c r="C4447" i="17" s="1"/>
  <c r="C5681" i="17"/>
  <c r="S841" i="2"/>
  <c r="C4471" i="17" s="1"/>
  <c r="C5705" i="17"/>
  <c r="S865" i="2"/>
  <c r="C4495" i="17" s="1"/>
  <c r="C5729" i="17"/>
  <c r="S889" i="2"/>
  <c r="C4519" i="17" s="1"/>
  <c r="C5753" i="17"/>
  <c r="S913" i="2"/>
  <c r="C4543" i="17" s="1"/>
  <c r="C5777" i="17"/>
  <c r="S937" i="2"/>
  <c r="C4567" i="17" s="1"/>
  <c r="C5801" i="17"/>
  <c r="S961" i="2"/>
  <c r="C4591" i="17" s="1"/>
  <c r="C5825" i="17"/>
  <c r="S985" i="2"/>
  <c r="C4615" i="17" s="1"/>
  <c r="C5849" i="17"/>
  <c r="S1009" i="2"/>
  <c r="C4639" i="17" s="1"/>
  <c r="C5873" i="17"/>
  <c r="S1033" i="2"/>
  <c r="C4663" i="17" s="1"/>
  <c r="C5897" i="17"/>
  <c r="S1057" i="2"/>
  <c r="C4687" i="17" s="1"/>
  <c r="C5921" i="17"/>
  <c r="S1081" i="2"/>
  <c r="C4711" i="17" s="1"/>
  <c r="C5945" i="17"/>
  <c r="S1105" i="2"/>
  <c r="C4735" i="17" s="1"/>
  <c r="C5969" i="17"/>
  <c r="S1129" i="2"/>
  <c r="C4759" i="17" s="1"/>
  <c r="C5993" i="17"/>
  <c r="S1153" i="2"/>
  <c r="C4783" i="17" s="1"/>
  <c r="C6017" i="17"/>
  <c r="S1177" i="2"/>
  <c r="C4807" i="17" s="1"/>
  <c r="C6041" i="17"/>
  <c r="S1201" i="2"/>
  <c r="C4831" i="17" s="1"/>
  <c r="E15" i="5"/>
  <c r="C5841" i="17"/>
  <c r="C6039" i="17"/>
  <c r="S1199" i="2"/>
  <c r="C4829" i="17" s="1"/>
  <c r="E12" i="5"/>
  <c r="C5893" i="17"/>
  <c r="S1053" i="2"/>
  <c r="C4683" i="17" s="1"/>
  <c r="C5917" i="17"/>
  <c r="S1077" i="2"/>
  <c r="C4707" i="17" s="1"/>
  <c r="C5941" i="17"/>
  <c r="S1101" i="2"/>
  <c r="C4731" i="17" s="1"/>
  <c r="C5965" i="17"/>
  <c r="S1125" i="2"/>
  <c r="C4755" i="17" s="1"/>
  <c r="C5989" i="17"/>
  <c r="S1149" i="2"/>
  <c r="C4779" i="17" s="1"/>
  <c r="C6013" i="17"/>
  <c r="S1173" i="2"/>
  <c r="C4803" i="17" s="1"/>
  <c r="C6037" i="17"/>
  <c r="S1197" i="2"/>
  <c r="C4827" i="17" s="1"/>
  <c r="C5819" i="17"/>
  <c r="S979" i="2"/>
  <c r="C4609" i="17" s="1"/>
  <c r="C5843" i="17"/>
  <c r="S1003" i="2"/>
  <c r="C4633" i="17" s="1"/>
  <c r="C5867" i="17"/>
  <c r="S1027" i="2"/>
  <c r="C4657" i="17" s="1"/>
  <c r="C5891" i="17"/>
  <c r="S1051" i="2"/>
  <c r="C4681" i="17" s="1"/>
  <c r="C5915" i="17"/>
  <c r="S1075" i="2"/>
  <c r="C4705" i="17" s="1"/>
  <c r="C5939" i="17"/>
  <c r="S1099" i="2"/>
  <c r="C4729" i="17" s="1"/>
  <c r="C5963" i="17"/>
  <c r="S1123" i="2"/>
  <c r="C4753" i="17" s="1"/>
  <c r="C5987" i="17"/>
  <c r="S1147" i="2"/>
  <c r="C4777" i="17" s="1"/>
  <c r="C6011" i="17"/>
  <c r="S1171" i="2"/>
  <c r="C4801" i="17" s="1"/>
  <c r="C6035" i="17"/>
  <c r="S1195" i="2"/>
  <c r="C4825" i="17" s="1"/>
  <c r="E11" i="5"/>
  <c r="C5865" i="17"/>
  <c r="S1025" i="2"/>
  <c r="C4655" i="17" s="1"/>
  <c r="C5889" i="17"/>
  <c r="S1049" i="2"/>
  <c r="C4679" i="17" s="1"/>
  <c r="C5913" i="17"/>
  <c r="S1073" i="2"/>
  <c r="C4703" i="17" s="1"/>
  <c r="C5937" i="17"/>
  <c r="S1097" i="2"/>
  <c r="C4727" i="17" s="1"/>
  <c r="C5961" i="17"/>
  <c r="S1121" i="2"/>
  <c r="C4751" i="17" s="1"/>
  <c r="C5985" i="17"/>
  <c r="S1145" i="2"/>
  <c r="C4775" i="17" s="1"/>
  <c r="C6009" i="17"/>
  <c r="S1169" i="2"/>
  <c r="C4799" i="17" s="1"/>
  <c r="S1193" i="2"/>
  <c r="C4823" i="17" s="1"/>
  <c r="C6033" i="17"/>
  <c r="C5551" i="17"/>
  <c r="S711" i="2"/>
  <c r="C4341" i="17" s="1"/>
  <c r="C5575" i="17"/>
  <c r="S735" i="2"/>
  <c r="C4365" i="17" s="1"/>
  <c r="C5599" i="17"/>
  <c r="S759" i="2"/>
  <c r="C4389" i="17" s="1"/>
  <c r="C5623" i="17"/>
  <c r="S783" i="2"/>
  <c r="C4413" i="17" s="1"/>
  <c r="C5647" i="17"/>
  <c r="S807" i="2"/>
  <c r="C4437" i="17" s="1"/>
  <c r="C5671" i="17"/>
  <c r="S831" i="2"/>
  <c r="C4461" i="17" s="1"/>
  <c r="C5695" i="17"/>
  <c r="S855" i="2"/>
  <c r="C4485" i="17" s="1"/>
  <c r="C5719" i="17"/>
  <c r="S879" i="2"/>
  <c r="C4509" i="17" s="1"/>
  <c r="C5743" i="17"/>
  <c r="S903" i="2"/>
  <c r="C4533" i="17" s="1"/>
  <c r="C5767" i="17"/>
  <c r="S927" i="2"/>
  <c r="C4557" i="17" s="1"/>
  <c r="C5791" i="17"/>
  <c r="S951" i="2"/>
  <c r="C4581" i="17" s="1"/>
  <c r="C5815" i="17"/>
  <c r="S975" i="2"/>
  <c r="C4605" i="17" s="1"/>
  <c r="C5839" i="17"/>
  <c r="S999" i="2"/>
  <c r="C4629" i="17" s="1"/>
  <c r="C5863" i="17"/>
  <c r="S1023" i="2"/>
  <c r="C4653" i="17" s="1"/>
  <c r="C5887" i="17"/>
  <c r="S1047" i="2"/>
  <c r="C4677" i="17" s="1"/>
  <c r="C5911" i="17"/>
  <c r="S1071" i="2"/>
  <c r="C4701" i="17" s="1"/>
  <c r="C5935" i="17"/>
  <c r="S1095" i="2"/>
  <c r="C4725" i="17" s="1"/>
  <c r="C5959" i="17"/>
  <c r="S1119" i="2"/>
  <c r="C4749" i="17" s="1"/>
  <c r="C5983" i="17"/>
  <c r="S1143" i="2"/>
  <c r="C4773" i="17" s="1"/>
  <c r="C6007" i="17"/>
  <c r="S1167" i="2"/>
  <c r="C4797" i="17" s="1"/>
  <c r="C6031" i="17"/>
  <c r="S1191" i="2"/>
  <c r="C4821" i="17" s="1"/>
  <c r="S1210" i="2"/>
  <c r="C4840" i="17" s="1"/>
  <c r="F7" i="5" l="1"/>
  <c r="P20" i="3"/>
  <c r="P17" i="3" s="1"/>
  <c r="P19" i="3"/>
  <c r="P16" i="3" s="1"/>
  <c r="P21" i="3" s="1"/>
  <c r="R20" i="3"/>
  <c r="S15" i="3"/>
  <c r="T15" i="3"/>
  <c r="V20" i="3"/>
  <c r="V17" i="3" s="1"/>
  <c r="X19" i="3"/>
  <c r="X16" i="3" s="1"/>
  <c r="X21" i="3" s="1"/>
  <c r="U15" i="3"/>
  <c r="Y15" i="3"/>
  <c r="S20" i="3"/>
  <c r="S17" i="3" s="1"/>
  <c r="W20" i="3"/>
  <c r="W17" i="3" s="1"/>
  <c r="V15" i="3"/>
  <c r="V19" i="3"/>
  <c r="V16" i="3" s="1"/>
  <c r="Q19" i="3"/>
  <c r="Q16" i="3" s="1"/>
  <c r="U19" i="3"/>
  <c r="U16" i="3" s="1"/>
  <c r="R19" i="3"/>
  <c r="X20" i="3"/>
  <c r="Y19" i="3"/>
  <c r="Y16" i="3" s="1"/>
  <c r="T20" i="3"/>
  <c r="W19" i="3"/>
  <c r="W16" i="3" s="1"/>
  <c r="Q15" i="3"/>
  <c r="W15" i="3"/>
  <c r="Y20" i="3"/>
  <c r="Y17" i="3" s="1"/>
  <c r="Q20" i="3"/>
  <c r="Q17" i="3" s="1"/>
  <c r="S19" i="3"/>
  <c r="S16" i="3" s="1"/>
  <c r="R15" i="3"/>
  <c r="U20" i="3"/>
  <c r="U17" i="3" s="1"/>
  <c r="R17" i="3"/>
  <c r="T16" i="3"/>
  <c r="F11" i="5"/>
  <c r="F10" i="5"/>
  <c r="T17" i="3"/>
  <c r="E15" i="6"/>
  <c r="F6" i="4" s="1"/>
  <c r="E14" i="6"/>
  <c r="E6" i="4" s="1"/>
  <c r="B6" i="4"/>
  <c r="F8" i="5"/>
  <c r="H14" i="6"/>
  <c r="E7" i="4" s="1"/>
  <c r="B7" i="4"/>
  <c r="H15" i="6"/>
  <c r="F7" i="4" s="1"/>
  <c r="F16" i="5"/>
  <c r="F12" i="5"/>
  <c r="T21" i="3"/>
  <c r="F14" i="5"/>
  <c r="F9" i="5"/>
  <c r="B10" i="6"/>
  <c r="D5" i="4" s="1"/>
  <c r="B8" i="6"/>
  <c r="B9" i="6" s="1"/>
  <c r="C5" i="4" s="1"/>
  <c r="C3632" i="17"/>
  <c r="B6" i="6"/>
  <c r="B7" i="6" s="1"/>
  <c r="E32" i="5"/>
  <c r="F4" i="4" s="1"/>
  <c r="B4" i="4"/>
  <c r="E31" i="5"/>
  <c r="E4" i="4" s="1"/>
  <c r="X17" i="3"/>
  <c r="B2" i="4"/>
  <c r="O25" i="3"/>
  <c r="F2" i="4" s="1"/>
  <c r="O23" i="3"/>
  <c r="E2" i="4" s="1"/>
  <c r="P25" i="3"/>
  <c r="Q787" i="2"/>
  <c r="C1997" i="17" s="1"/>
  <c r="Q562" i="2"/>
  <c r="C1772" i="17" s="1"/>
  <c r="Q272" i="2"/>
  <c r="C1482" i="17" s="1"/>
  <c r="F15" i="5"/>
  <c r="J13" i="5"/>
  <c r="R16" i="3"/>
  <c r="F13" i="5"/>
  <c r="Q38" i="2" l="1"/>
  <c r="C1248" i="17" s="1"/>
  <c r="Q193" i="2"/>
  <c r="C1403" i="17" s="1"/>
  <c r="Q1035" i="2"/>
  <c r="C2245" i="17" s="1"/>
  <c r="Q759" i="2"/>
  <c r="C1969" i="17" s="1"/>
  <c r="Q996" i="2"/>
  <c r="C2206" i="17" s="1"/>
  <c r="Q69" i="2"/>
  <c r="C1279" i="17" s="1"/>
  <c r="Q751" i="2"/>
  <c r="C1961" i="17" s="1"/>
  <c r="Q827" i="2"/>
  <c r="C2037" i="17" s="1"/>
  <c r="Q245" i="2"/>
  <c r="C1455" i="17" s="1"/>
  <c r="Q507" i="2"/>
  <c r="C1717" i="17" s="1"/>
  <c r="Q890" i="2"/>
  <c r="C2100" i="17" s="1"/>
  <c r="Q485" i="2"/>
  <c r="C1695" i="17" s="1"/>
  <c r="Q151" i="2"/>
  <c r="C1361" i="17" s="1"/>
  <c r="Q711" i="2"/>
  <c r="C1921" i="17" s="1"/>
  <c r="Q762" i="2"/>
  <c r="C1972" i="17" s="1"/>
  <c r="Q223" i="2"/>
  <c r="C1433" i="17" s="1"/>
  <c r="Q1110" i="2"/>
  <c r="C2320" i="17" s="1"/>
  <c r="Q950" i="2"/>
  <c r="C2160" i="17" s="1"/>
  <c r="Q115" i="2"/>
  <c r="C1325" i="17" s="1"/>
  <c r="Q953" i="2"/>
  <c r="C2163" i="17" s="1"/>
  <c r="Q294" i="2"/>
  <c r="C1504" i="17" s="1"/>
  <c r="Q868" i="2"/>
  <c r="C2078" i="17" s="1"/>
  <c r="Q999" i="2"/>
  <c r="C2209" i="17" s="1"/>
  <c r="Q264" i="2"/>
  <c r="C1474" i="17" s="1"/>
  <c r="Q86" i="2"/>
  <c r="C1296" i="17" s="1"/>
  <c r="Q527" i="2"/>
  <c r="C1737" i="17" s="1"/>
  <c r="Q1142" i="2"/>
  <c r="C2352" i="17" s="1"/>
  <c r="Q1166" i="2"/>
  <c r="C2376" i="17" s="1"/>
  <c r="Q261" i="2"/>
  <c r="C1471" i="17" s="1"/>
  <c r="Q645" i="2"/>
  <c r="C1855" i="17" s="1"/>
  <c r="Q641" i="2"/>
  <c r="C1851" i="17" s="1"/>
  <c r="Q776" i="2"/>
  <c r="C1986" i="17" s="1"/>
  <c r="Q809" i="2"/>
  <c r="C2019" i="17" s="1"/>
  <c r="Q390" i="2"/>
  <c r="C1600" i="17" s="1"/>
  <c r="Q903" i="2"/>
  <c r="C2113" i="17" s="1"/>
  <c r="Q553" i="2"/>
  <c r="C1763" i="17" s="1"/>
  <c r="Q705" i="2"/>
  <c r="C1915" i="17" s="1"/>
  <c r="Q851" i="2"/>
  <c r="C2061" i="17" s="1"/>
  <c r="Q392" i="2"/>
  <c r="C1602" i="17" s="1"/>
  <c r="Q1025" i="2"/>
  <c r="C2235" i="17" s="1"/>
  <c r="Q37" i="2"/>
  <c r="C1247" i="17" s="1"/>
  <c r="Q786" i="2"/>
  <c r="C1996" i="17" s="1"/>
  <c r="Q873" i="2"/>
  <c r="C2083" i="17" s="1"/>
  <c r="Q154" i="2"/>
  <c r="C1364" i="17" s="1"/>
  <c r="Q442" i="2"/>
  <c r="C1652" i="17" s="1"/>
  <c r="Q1092" i="2"/>
  <c r="C2302" i="17" s="1"/>
  <c r="Q988" i="2"/>
  <c r="C2198" i="17" s="1"/>
  <c r="Q1169" i="2"/>
  <c r="C2379" i="17" s="1"/>
  <c r="Q915" i="2"/>
  <c r="C2125" i="17" s="1"/>
  <c r="Q910" i="2"/>
  <c r="C2120" i="17" s="1"/>
  <c r="Q1121" i="2"/>
  <c r="C2331" i="17" s="1"/>
  <c r="Q1179" i="2"/>
  <c r="C2389" i="17" s="1"/>
  <c r="Q279" i="2"/>
  <c r="C1489" i="17" s="1"/>
  <c r="Q445" i="2"/>
  <c r="C1655" i="17" s="1"/>
  <c r="Q323" i="2"/>
  <c r="C1533" i="17" s="1"/>
  <c r="Q731" i="2"/>
  <c r="C1941" i="17" s="1"/>
  <c r="Q1115" i="2"/>
  <c r="C2325" i="17" s="1"/>
  <c r="Q824" i="2"/>
  <c r="C2034" i="17" s="1"/>
  <c r="Q1124" i="2"/>
  <c r="C2334" i="17" s="1"/>
  <c r="Q158" i="2"/>
  <c r="C1368" i="17" s="1"/>
  <c r="Q446" i="2"/>
  <c r="C1656" i="17" s="1"/>
  <c r="Q1129" i="2"/>
  <c r="C2339" i="17" s="1"/>
  <c r="Q163" i="2"/>
  <c r="C1373" i="17" s="1"/>
  <c r="Q141" i="2"/>
  <c r="C1351" i="17" s="1"/>
  <c r="Q939" i="2"/>
  <c r="C2149" i="17" s="1"/>
  <c r="Q555" i="2"/>
  <c r="C1765" i="17" s="1"/>
  <c r="Q614" i="2"/>
  <c r="C1824" i="17" s="1"/>
  <c r="Q1030" i="2"/>
  <c r="C2240" i="17" s="1"/>
  <c r="Q359" i="2"/>
  <c r="C1569" i="17" s="1"/>
  <c r="Q247" i="2"/>
  <c r="C1457" i="17" s="1"/>
  <c r="Q675" i="2"/>
  <c r="C1885" i="17" s="1"/>
  <c r="Q1123" i="2"/>
  <c r="C2333" i="17" s="1"/>
  <c r="Q1060" i="2"/>
  <c r="C2270" i="17" s="1"/>
  <c r="Q840" i="2"/>
  <c r="C2050" i="17" s="1"/>
  <c r="Q319" i="2"/>
  <c r="C1529" i="17" s="1"/>
  <c r="Q678" i="2"/>
  <c r="C1888" i="17" s="1"/>
  <c r="Q337" i="2"/>
  <c r="C1547" i="17" s="1"/>
  <c r="Q1211" i="2"/>
  <c r="C2421" i="17" s="1"/>
  <c r="Q129" i="2"/>
  <c r="C1339" i="17" s="1"/>
  <c r="Q104" i="2"/>
  <c r="C1314" i="17" s="1"/>
  <c r="Q336" i="2"/>
  <c r="C1546" i="17" s="1"/>
  <c r="Q457" i="2"/>
  <c r="C1667" i="17" s="1"/>
  <c r="Q617" i="2"/>
  <c r="C1827" i="17" s="1"/>
  <c r="Q709" i="2"/>
  <c r="C1919" i="17" s="1"/>
  <c r="Q721" i="2"/>
  <c r="C1931" i="17" s="1"/>
  <c r="Q747" i="2"/>
  <c r="C1957" i="17" s="1"/>
  <c r="Q120" i="2"/>
  <c r="C1330" i="17" s="1"/>
  <c r="Q782" i="2"/>
  <c r="C1992" i="17" s="1"/>
  <c r="Q517" i="2"/>
  <c r="C1727" i="17" s="1"/>
  <c r="Q1186" i="2"/>
  <c r="C2396" i="17" s="1"/>
  <c r="Q649" i="2"/>
  <c r="C1859" i="17" s="1"/>
  <c r="Q293" i="2"/>
  <c r="C1503" i="17" s="1"/>
  <c r="Q48" i="2"/>
  <c r="C1258" i="17" s="1"/>
  <c r="Q21" i="2"/>
  <c r="C1231" i="17" s="1"/>
  <c r="Q790" i="2"/>
  <c r="C2000" i="17" s="1"/>
  <c r="Q341" i="2"/>
  <c r="C1551" i="17" s="1"/>
  <c r="Q54" i="2"/>
  <c r="C1264" i="17" s="1"/>
  <c r="Q23" i="2"/>
  <c r="C1233" i="17" s="1"/>
  <c r="Q187" i="2"/>
  <c r="C1397" i="17" s="1"/>
  <c r="Q977" i="2"/>
  <c r="C2187" i="17" s="1"/>
  <c r="Q743" i="2"/>
  <c r="C1953" i="17" s="1"/>
  <c r="Q326" i="2"/>
  <c r="C1536" i="17" s="1"/>
  <c r="Q335" i="2"/>
  <c r="C1545" i="17" s="1"/>
  <c r="Q761" i="2"/>
  <c r="C1971" i="17" s="1"/>
  <c r="Q1050" i="2"/>
  <c r="C2260" i="17" s="1"/>
  <c r="Q738" i="2"/>
  <c r="C1948" i="17" s="1"/>
  <c r="Q106" i="2"/>
  <c r="C1316" i="17" s="1"/>
  <c r="Q481" i="2"/>
  <c r="C1691" i="17" s="1"/>
  <c r="Q899" i="2"/>
  <c r="C2109" i="17" s="1"/>
  <c r="Q936" i="2"/>
  <c r="C2146" i="17" s="1"/>
  <c r="Q826" i="2"/>
  <c r="C2036" i="17" s="1"/>
  <c r="Q1152" i="2"/>
  <c r="C2362" i="17" s="1"/>
  <c r="Q321" i="2"/>
  <c r="C1531" i="17" s="1"/>
  <c r="Q65" i="2"/>
  <c r="C1275" i="17" s="1"/>
  <c r="Q964" i="2"/>
  <c r="C2174" i="17" s="1"/>
  <c r="Q1159" i="2"/>
  <c r="C2369" i="17" s="1"/>
  <c r="Q327" i="2"/>
  <c r="C1537" i="17" s="1"/>
  <c r="Q820" i="2"/>
  <c r="C2030" i="17" s="1"/>
  <c r="Q1135" i="2"/>
  <c r="C2345" i="17" s="1"/>
  <c r="Q1137" i="2"/>
  <c r="C2347" i="17" s="1"/>
  <c r="Q504" i="2"/>
  <c r="C1714" i="17" s="1"/>
  <c r="Q505" i="2"/>
  <c r="C1715" i="17" s="1"/>
  <c r="Q479" i="2"/>
  <c r="C1689" i="17" s="1"/>
  <c r="Q1189" i="2"/>
  <c r="C2399" i="17" s="1"/>
  <c r="Q139" i="2"/>
  <c r="C1349" i="17" s="1"/>
  <c r="Q499" i="2"/>
  <c r="C1709" i="17" s="1"/>
  <c r="Q730" i="2"/>
  <c r="C1940" i="17" s="1"/>
  <c r="Q375" i="2"/>
  <c r="C1585" i="17" s="1"/>
  <c r="Q541" i="2"/>
  <c r="C1751" i="17" s="1"/>
  <c r="Q419" i="2"/>
  <c r="C1629" i="17" s="1"/>
  <c r="Q834" i="2"/>
  <c r="C2044" i="17" s="1"/>
  <c r="Q1163" i="2"/>
  <c r="C2373" i="17" s="1"/>
  <c r="Q991" i="2"/>
  <c r="C2201" i="17" s="1"/>
  <c r="Q1161" i="2"/>
  <c r="C2371" i="17" s="1"/>
  <c r="Q216" i="2"/>
  <c r="C1426" i="17" s="1"/>
  <c r="Q510" i="2"/>
  <c r="C1720" i="17" s="1"/>
  <c r="Q1199" i="2"/>
  <c r="C2409" i="17" s="1"/>
  <c r="Q833" i="2"/>
  <c r="C2043" i="17" s="1"/>
  <c r="Q986" i="2"/>
  <c r="C2196" i="17" s="1"/>
  <c r="Q767" i="2"/>
  <c r="C1977" i="17" s="1"/>
  <c r="Q909" i="2"/>
  <c r="C2119" i="17" s="1"/>
  <c r="Q274" i="2"/>
  <c r="C1484" i="17" s="1"/>
  <c r="Q215" i="2"/>
  <c r="C1425" i="17" s="1"/>
  <c r="Q923" i="2"/>
  <c r="C2133" i="17" s="1"/>
  <c r="Q624" i="2"/>
  <c r="C1834" i="17" s="1"/>
  <c r="Q311" i="2"/>
  <c r="C1521" i="17" s="1"/>
  <c r="Q850" i="2"/>
  <c r="C2060" i="17" s="1"/>
  <c r="Q102" i="2"/>
  <c r="C1312" i="17" s="1"/>
  <c r="Q67" i="2"/>
  <c r="C1277" i="17" s="1"/>
  <c r="Q741" i="2"/>
  <c r="C1951" i="17" s="1"/>
  <c r="Q998" i="2"/>
  <c r="C2208" i="17" s="1"/>
  <c r="Q699" i="2"/>
  <c r="C1909" i="17" s="1"/>
  <c r="Q680" i="2"/>
  <c r="C1890" i="17" s="1"/>
  <c r="Q93" i="2"/>
  <c r="C1303" i="17" s="1"/>
  <c r="Q451" i="2"/>
  <c r="C1661" i="17" s="1"/>
  <c r="Q225" i="2"/>
  <c r="C1435" i="17" s="1"/>
  <c r="Q825" i="2"/>
  <c r="C2035" i="17" s="1"/>
  <c r="Q941" i="2"/>
  <c r="C2151" i="17" s="1"/>
  <c r="Q698" i="2"/>
  <c r="C1908" i="17" s="1"/>
  <c r="Q1091" i="2"/>
  <c r="C2301" i="17" s="1"/>
  <c r="Q249" i="2"/>
  <c r="C1459" i="17" s="1"/>
  <c r="Q836" i="2"/>
  <c r="C2046" i="17" s="1"/>
  <c r="Q965" i="2"/>
  <c r="C2175" i="17" s="1"/>
  <c r="Q165" i="2"/>
  <c r="C1375" i="17" s="1"/>
  <c r="Q1146" i="2"/>
  <c r="C2356" i="17" s="1"/>
  <c r="Q801" i="2"/>
  <c r="C2011" i="17" s="1"/>
  <c r="Q872" i="2"/>
  <c r="C2082" i="17" s="1"/>
  <c r="Q265" i="2"/>
  <c r="C1475" i="17" s="1"/>
  <c r="Q601" i="2"/>
  <c r="C1811" i="17" s="1"/>
  <c r="Q1108" i="2"/>
  <c r="C2318" i="17" s="1"/>
  <c r="Q395" i="2"/>
  <c r="C1605" i="17" s="1"/>
  <c r="Q974" i="2"/>
  <c r="C2184" i="17" s="1"/>
  <c r="Q176" i="2"/>
  <c r="C1386" i="17" s="1"/>
  <c r="Q647" i="2"/>
  <c r="C1857" i="17" s="1"/>
  <c r="Q757" i="2"/>
  <c r="C1967" i="17" s="1"/>
  <c r="Q333" i="2"/>
  <c r="C1543" i="17" s="1"/>
  <c r="Q599" i="2"/>
  <c r="C1809" i="17" s="1"/>
  <c r="Q113" i="2"/>
  <c r="C1323" i="17" s="1"/>
  <c r="Q1139" i="2"/>
  <c r="C2349" i="17" s="1"/>
  <c r="Q447" i="2"/>
  <c r="C1657" i="17" s="1"/>
  <c r="Q613" i="2"/>
  <c r="C1823" i="17" s="1"/>
  <c r="Q491" i="2"/>
  <c r="C1701" i="17" s="1"/>
  <c r="Q888" i="2"/>
  <c r="C2098" i="17" s="1"/>
  <c r="Q521" i="2"/>
  <c r="C1731" i="17" s="1"/>
  <c r="Q99" i="2"/>
  <c r="C1309" i="17" s="1"/>
  <c r="Q6" i="2"/>
  <c r="C1216" i="17" s="1"/>
  <c r="Q222" i="2"/>
  <c r="C1432" i="17" s="1"/>
  <c r="Q560" i="2"/>
  <c r="C1770" i="17" s="1"/>
  <c r="Q726" i="2"/>
  <c r="C1936" i="17" s="1"/>
  <c r="Q1158" i="2"/>
  <c r="C2368" i="17" s="1"/>
  <c r="Q1215" i="2"/>
  <c r="Q1213" i="2"/>
  <c r="Q1217" i="2"/>
  <c r="Q1218" i="2"/>
  <c r="Q1221" i="2"/>
  <c r="Q1216" i="2"/>
  <c r="Q1212" i="2"/>
  <c r="Q1219" i="2"/>
  <c r="Q1214" i="2"/>
  <c r="Q1220" i="2"/>
  <c r="E12" i="6"/>
  <c r="E13" i="6" s="1"/>
  <c r="G6" i="4" s="1"/>
  <c r="B12" i="6"/>
  <c r="E29" i="5"/>
  <c r="E30" i="5" s="1"/>
  <c r="G4" i="4" s="1"/>
  <c r="G2" i="4"/>
  <c r="H12" i="6"/>
  <c r="H13" i="6" s="1"/>
  <c r="G7" i="4" s="1"/>
  <c r="V21" i="3"/>
  <c r="Y21" i="3"/>
  <c r="U21" i="3"/>
  <c r="Q21" i="3"/>
  <c r="S21" i="3"/>
  <c r="W21" i="3"/>
  <c r="R21" i="3"/>
  <c r="Q168" i="2"/>
  <c r="C1378" i="17" s="1"/>
  <c r="Q224" i="2"/>
  <c r="C1434" i="17" s="1"/>
  <c r="Q278" i="2"/>
  <c r="C1488" i="17" s="1"/>
  <c r="Q342" i="2"/>
  <c r="C1552" i="17" s="1"/>
  <c r="Q394" i="2"/>
  <c r="C1604" i="17" s="1"/>
  <c r="Q456" i="2"/>
  <c r="C1666" i="17" s="1"/>
  <c r="Q512" i="2"/>
  <c r="C1722" i="17" s="1"/>
  <c r="Q566" i="2"/>
  <c r="C1776" i="17" s="1"/>
  <c r="Q630" i="2"/>
  <c r="C1840" i="17" s="1"/>
  <c r="Q682" i="2"/>
  <c r="C1892" i="17" s="1"/>
  <c r="Q1024" i="2"/>
  <c r="C2234" i="17" s="1"/>
  <c r="Q1140" i="2"/>
  <c r="C2350" i="17" s="1"/>
  <c r="Q822" i="2"/>
  <c r="C2032" i="17" s="1"/>
  <c r="Q1134" i="2"/>
  <c r="C2344" i="17" s="1"/>
  <c r="Q47" i="2"/>
  <c r="C1257" i="17" s="1"/>
  <c r="Q863" i="2"/>
  <c r="C2073" i="17" s="1"/>
  <c r="Q1015" i="2"/>
  <c r="C2225" i="17" s="1"/>
  <c r="Q852" i="2"/>
  <c r="C2062" i="17" s="1"/>
  <c r="Q45" i="2"/>
  <c r="C1255" i="17" s="1"/>
  <c r="Q1093" i="2"/>
  <c r="C2303" i="17" s="1"/>
  <c r="Q307" i="2"/>
  <c r="C1517" i="17" s="1"/>
  <c r="Q842" i="2"/>
  <c r="C2052" i="17" s="1"/>
  <c r="Q91" i="2"/>
  <c r="C1301" i="17" s="1"/>
  <c r="Q501" i="2"/>
  <c r="C1711" i="17" s="1"/>
  <c r="Q575" i="2"/>
  <c r="C1785" i="17" s="1"/>
  <c r="Q259" i="2"/>
  <c r="C1469" i="17" s="1"/>
  <c r="Q409" i="2"/>
  <c r="C1619" i="17" s="1"/>
  <c r="Q213" i="2"/>
  <c r="C1423" i="17" s="1"/>
  <c r="Q1119" i="2"/>
  <c r="C2329" i="17" s="1"/>
  <c r="Q423" i="2"/>
  <c r="C1633" i="17" s="1"/>
  <c r="Q815" i="2"/>
  <c r="C2025" i="17" s="1"/>
  <c r="Q920" i="2"/>
  <c r="C2130" i="17" s="1"/>
  <c r="Q565" i="2"/>
  <c r="C1775" i="17" s="1"/>
  <c r="Q958" i="2"/>
  <c r="C2168" i="17" s="1"/>
  <c r="Q753" i="2"/>
  <c r="C1963" i="17" s="1"/>
  <c r="Q443" i="2"/>
  <c r="C1653" i="17" s="1"/>
  <c r="Q937" i="2"/>
  <c r="C2147" i="17" s="1"/>
  <c r="Q273" i="2"/>
  <c r="C1483" i="17" s="1"/>
  <c r="Q855" i="2"/>
  <c r="C2065" i="17" s="1"/>
  <c r="Q271" i="2"/>
  <c r="C1481" i="17" s="1"/>
  <c r="Q754" i="2"/>
  <c r="C1964" i="17" s="1"/>
  <c r="Q1191" i="2"/>
  <c r="C2401" i="17" s="1"/>
  <c r="Q413" i="2"/>
  <c r="C1623" i="17" s="1"/>
  <c r="Q865" i="2"/>
  <c r="C2075" i="17" s="1"/>
  <c r="Q1071" i="2"/>
  <c r="C2281" i="17" s="1"/>
  <c r="Q727" i="2"/>
  <c r="C1937" i="17" s="1"/>
  <c r="Q849" i="2"/>
  <c r="C2059" i="17" s="1"/>
  <c r="Q56" i="2"/>
  <c r="C1266" i="17" s="1"/>
  <c r="Q110" i="2"/>
  <c r="C1320" i="17" s="1"/>
  <c r="Q174" i="2"/>
  <c r="C1384" i="17" s="1"/>
  <c r="Q226" i="2"/>
  <c r="C1436" i="17" s="1"/>
  <c r="Q288" i="2"/>
  <c r="C1498" i="17" s="1"/>
  <c r="Q344" i="2"/>
  <c r="C1554" i="17" s="1"/>
  <c r="Q398" i="2"/>
  <c r="C1608" i="17" s="1"/>
  <c r="Q462" i="2"/>
  <c r="C1672" i="17" s="1"/>
  <c r="Q514" i="2"/>
  <c r="C1724" i="17" s="1"/>
  <c r="Q576" i="2"/>
  <c r="C1786" i="17" s="1"/>
  <c r="Q632" i="2"/>
  <c r="C1842" i="17" s="1"/>
  <c r="Q686" i="2"/>
  <c r="C1896" i="17" s="1"/>
  <c r="Q1061" i="2"/>
  <c r="C2271" i="17" s="1"/>
  <c r="Q1153" i="2"/>
  <c r="C2363" i="17" s="1"/>
  <c r="Q1029" i="2"/>
  <c r="C2239" i="17" s="1"/>
  <c r="Q835" i="2"/>
  <c r="C2045" i="17" s="1"/>
  <c r="Q58" i="2"/>
  <c r="C1268" i="17" s="1"/>
  <c r="Q230" i="2"/>
  <c r="C1440" i="17" s="1"/>
  <c r="Q346" i="2"/>
  <c r="C1556" i="17" s="1"/>
  <c r="Q408" i="2"/>
  <c r="C1618" i="17" s="1"/>
  <c r="Q464" i="2"/>
  <c r="C1674" i="17" s="1"/>
  <c r="Q518" i="2"/>
  <c r="C1728" i="17" s="1"/>
  <c r="Q582" i="2"/>
  <c r="C1792" i="17" s="1"/>
  <c r="Q634" i="2"/>
  <c r="C1844" i="17" s="1"/>
  <c r="Q736" i="2"/>
  <c r="C1946" i="17" s="1"/>
  <c r="Q1072" i="2"/>
  <c r="C2282" i="17" s="1"/>
  <c r="Q1177" i="2"/>
  <c r="C2387" i="17" s="1"/>
  <c r="Q1064" i="2"/>
  <c r="C2274" i="17" s="1"/>
  <c r="Q846" i="2"/>
  <c r="C2056" i="17" s="1"/>
  <c r="Q1099" i="2"/>
  <c r="C2309" i="17" s="1"/>
  <c r="Q955" i="2"/>
  <c r="C2165" i="17" s="1"/>
  <c r="Q811" i="2"/>
  <c r="C2021" i="17" s="1"/>
  <c r="Q1197" i="2"/>
  <c r="C2407" i="17" s="1"/>
  <c r="Q1053" i="2"/>
  <c r="C2263" i="17" s="1"/>
  <c r="Q1162" i="2"/>
  <c r="C2372" i="17" s="1"/>
  <c r="Q1018" i="2"/>
  <c r="C2228" i="17" s="1"/>
  <c r="Q1116" i="2"/>
  <c r="C2326" i="17" s="1"/>
  <c r="Q1192" i="2"/>
  <c r="C2402" i="17" s="1"/>
  <c r="Q1048" i="2"/>
  <c r="C2258" i="17" s="1"/>
  <c r="Q904" i="2"/>
  <c r="C2114" i="17" s="1"/>
  <c r="Q760" i="2"/>
  <c r="C1970" i="17" s="1"/>
  <c r="Q676" i="2"/>
  <c r="C1886" i="17" s="1"/>
  <c r="Q652" i="2"/>
  <c r="C1862" i="17" s="1"/>
  <c r="Q628" i="2"/>
  <c r="C1838" i="17" s="1"/>
  <c r="Q604" i="2"/>
  <c r="C1814" i="17" s="1"/>
  <c r="Q580" i="2"/>
  <c r="C1790" i="17" s="1"/>
  <c r="Q556" i="2"/>
  <c r="C1766" i="17" s="1"/>
  <c r="Q532" i="2"/>
  <c r="C1742" i="17" s="1"/>
  <c r="Q508" i="2"/>
  <c r="C1718" i="17" s="1"/>
  <c r="Q484" i="2"/>
  <c r="C1694" i="17" s="1"/>
  <c r="Q460" i="2"/>
  <c r="C1670" i="17" s="1"/>
  <c r="Q436" i="2"/>
  <c r="C1646" i="17" s="1"/>
  <c r="Q412" i="2"/>
  <c r="C1622" i="17" s="1"/>
  <c r="Q388" i="2"/>
  <c r="C1598" i="17" s="1"/>
  <c r="Q364" i="2"/>
  <c r="C1574" i="17" s="1"/>
  <c r="Q340" i="2"/>
  <c r="C1550" i="17" s="1"/>
  <c r="Q316" i="2"/>
  <c r="C1526" i="17" s="1"/>
  <c r="Q292" i="2"/>
  <c r="C1502" i="17" s="1"/>
  <c r="Q268" i="2"/>
  <c r="C1478" i="17" s="1"/>
  <c r="Q244" i="2"/>
  <c r="C1454" i="17" s="1"/>
  <c r="Q220" i="2"/>
  <c r="C1430" i="17" s="1"/>
  <c r="Q196" i="2"/>
  <c r="C1406" i="17" s="1"/>
  <c r="Q172" i="2"/>
  <c r="C1382" i="17" s="1"/>
  <c r="Q148" i="2"/>
  <c r="C1358" i="17" s="1"/>
  <c r="Q124" i="2"/>
  <c r="C1334" i="17" s="1"/>
  <c r="Q100" i="2"/>
  <c r="C1310" i="17" s="1"/>
  <c r="Q76" i="2"/>
  <c r="C1286" i="17" s="1"/>
  <c r="Q52" i="2"/>
  <c r="C1262" i="17" s="1"/>
  <c r="Q28" i="2"/>
  <c r="C1238" i="17" s="1"/>
  <c r="Q4" i="2"/>
  <c r="C1214" i="17" s="1"/>
  <c r="Q1100" i="2"/>
  <c r="C2310" i="17" s="1"/>
  <c r="Q956" i="2"/>
  <c r="C2166" i="17" s="1"/>
  <c r="Q1202" i="2"/>
  <c r="C2412" i="17" s="1"/>
  <c r="Q898" i="2"/>
  <c r="C2108" i="17" s="1"/>
  <c r="Q718" i="2"/>
  <c r="C1928" i="17" s="1"/>
  <c r="Q435" i="2"/>
  <c r="C1645" i="17" s="1"/>
  <c r="Q147" i="2"/>
  <c r="C1357" i="17" s="1"/>
  <c r="Q785" i="2"/>
  <c r="C1995" i="17" s="1"/>
  <c r="Q1047" i="2"/>
  <c r="C2257" i="17" s="1"/>
  <c r="Q837" i="2"/>
  <c r="C2047" i="17" s="1"/>
  <c r="Q713" i="2"/>
  <c r="C1923" i="17" s="1"/>
  <c r="Q461" i="2"/>
  <c r="C1671" i="17" s="1"/>
  <c r="Q173" i="2"/>
  <c r="C1383" i="17" s="1"/>
  <c r="Q913" i="2"/>
  <c r="C2123" i="17" s="1"/>
  <c r="Q1087" i="2"/>
  <c r="C2297" i="17" s="1"/>
  <c r="Q881" i="2"/>
  <c r="C2091" i="17" s="1"/>
  <c r="Q722" i="2"/>
  <c r="C1932" i="17" s="1"/>
  <c r="Q487" i="2"/>
  <c r="C1697" i="17" s="1"/>
  <c r="Q199" i="2"/>
  <c r="C1409" i="17" s="1"/>
  <c r="Q997" i="2"/>
  <c r="C2207" i="17" s="1"/>
  <c r="Q779" i="2"/>
  <c r="C1989" i="17" s="1"/>
  <c r="Q489" i="2"/>
  <c r="C1699" i="17" s="1"/>
  <c r="Q177" i="2"/>
  <c r="C1387" i="17" s="1"/>
  <c r="Q1107" i="2"/>
  <c r="C2317" i="17" s="1"/>
  <c r="Q848" i="2"/>
  <c r="C2058" i="17" s="1"/>
  <c r="Q659" i="2"/>
  <c r="C1869" i="17" s="1"/>
  <c r="Q371" i="2"/>
  <c r="C1581" i="17" s="1"/>
  <c r="Q83" i="2"/>
  <c r="C1293" i="17" s="1"/>
  <c r="Q425" i="2"/>
  <c r="C1635" i="17" s="1"/>
  <c r="Q1084" i="2"/>
  <c r="C2294" i="17" s="1"/>
  <c r="Q925" i="2"/>
  <c r="C2135" i="17" s="1"/>
  <c r="Q758" i="2"/>
  <c r="C1968" i="17" s="1"/>
  <c r="Q493" i="2"/>
  <c r="C1703" i="17" s="1"/>
  <c r="Q205" i="2"/>
  <c r="C1415" i="17" s="1"/>
  <c r="Q769" i="2"/>
  <c r="C1979" i="17" s="1"/>
  <c r="Q906" i="2"/>
  <c r="C2116" i="17" s="1"/>
  <c r="Q742" i="2"/>
  <c r="C1952" i="17" s="1"/>
  <c r="Q495" i="2"/>
  <c r="C1705" i="17" s="1"/>
  <c r="Q207" i="2"/>
  <c r="C1417" i="17" s="1"/>
  <c r="Q817" i="2"/>
  <c r="C2027" i="17" s="1"/>
  <c r="Q734" i="2"/>
  <c r="C1944" i="17" s="1"/>
  <c r="Q1156" i="2"/>
  <c r="C2366" i="17" s="1"/>
  <c r="Q185" i="2"/>
  <c r="C1395" i="17" s="1"/>
  <c r="Q962" i="2"/>
  <c r="C2172" i="17" s="1"/>
  <c r="Q43" i="2"/>
  <c r="C1253" i="17" s="1"/>
  <c r="Q95" i="2"/>
  <c r="C1305" i="17" s="1"/>
  <c r="Q924" i="2"/>
  <c r="C2134" i="17" s="1"/>
  <c r="Q161" i="2"/>
  <c r="C1371" i="17" s="1"/>
  <c r="Q523" i="2"/>
  <c r="C1733" i="17" s="1"/>
  <c r="Q877" i="2"/>
  <c r="C2087" i="17" s="1"/>
  <c r="Q217" i="2"/>
  <c r="C1427" i="17" s="1"/>
  <c r="Q167" i="2"/>
  <c r="C1377" i="17" s="1"/>
  <c r="Q847" i="2"/>
  <c r="C2057" i="17" s="1"/>
  <c r="Q189" i="2"/>
  <c r="C1399" i="17" s="1"/>
  <c r="Q571" i="2"/>
  <c r="C1781" i="17" s="1"/>
  <c r="Q1073" i="2"/>
  <c r="C2283" i="17" s="1"/>
  <c r="Q431" i="2"/>
  <c r="C1641" i="17" s="1"/>
  <c r="Q901" i="2"/>
  <c r="C2111" i="17" s="1"/>
  <c r="Q263" i="2"/>
  <c r="C1473" i="17" s="1"/>
  <c r="Q971" i="2"/>
  <c r="C2181" i="17" s="1"/>
  <c r="Q1086" i="2"/>
  <c r="C2296" i="17" s="1"/>
  <c r="Q942" i="2"/>
  <c r="C2152" i="17" s="1"/>
  <c r="Q798" i="2"/>
  <c r="C2008" i="17" s="1"/>
  <c r="Q1184" i="2"/>
  <c r="C2394" i="17" s="1"/>
  <c r="Q1040" i="2"/>
  <c r="C2250" i="17" s="1"/>
  <c r="Q1151" i="2"/>
  <c r="C2361" i="17" s="1"/>
  <c r="Q1007" i="2"/>
  <c r="C2217" i="17" s="1"/>
  <c r="Q1105" i="2"/>
  <c r="C2315" i="17" s="1"/>
  <c r="Q1181" i="2"/>
  <c r="C2391" i="17" s="1"/>
  <c r="Q1037" i="2"/>
  <c r="C2247" i="17" s="1"/>
  <c r="Q893" i="2"/>
  <c r="C2103" i="17" s="1"/>
  <c r="Q749" i="2"/>
  <c r="C1959" i="17" s="1"/>
  <c r="Q674" i="2"/>
  <c r="C1884" i="17" s="1"/>
  <c r="Q650" i="2"/>
  <c r="C1860" i="17" s="1"/>
  <c r="Q626" i="2"/>
  <c r="C1836" i="17" s="1"/>
  <c r="Q602" i="2"/>
  <c r="C1812" i="17" s="1"/>
  <c r="Q578" i="2"/>
  <c r="C1788" i="17" s="1"/>
  <c r="Q554" i="2"/>
  <c r="C1764" i="17" s="1"/>
  <c r="Q530" i="2"/>
  <c r="C1740" i="17" s="1"/>
  <c r="Q506" i="2"/>
  <c r="C1716" i="17" s="1"/>
  <c r="Q482" i="2"/>
  <c r="C1692" i="17" s="1"/>
  <c r="Q458" i="2"/>
  <c r="C1668" i="17" s="1"/>
  <c r="Q434" i="2"/>
  <c r="C1644" i="17" s="1"/>
  <c r="Q410" i="2"/>
  <c r="C1620" i="17" s="1"/>
  <c r="Q386" i="2"/>
  <c r="C1596" i="17" s="1"/>
  <c r="Q362" i="2"/>
  <c r="C1572" i="17" s="1"/>
  <c r="Q338" i="2"/>
  <c r="C1548" i="17" s="1"/>
  <c r="Q314" i="2"/>
  <c r="C1524" i="17" s="1"/>
  <c r="Q290" i="2"/>
  <c r="C1500" i="17" s="1"/>
  <c r="Q266" i="2"/>
  <c r="C1476" i="17" s="1"/>
  <c r="Q242" i="2"/>
  <c r="C1452" i="17" s="1"/>
  <c r="Q218" i="2"/>
  <c r="C1428" i="17" s="1"/>
  <c r="Q194" i="2"/>
  <c r="C1404" i="17" s="1"/>
  <c r="Q170" i="2"/>
  <c r="C1380" i="17" s="1"/>
  <c r="Q146" i="2"/>
  <c r="C1356" i="17" s="1"/>
  <c r="Q122" i="2"/>
  <c r="C1332" i="17" s="1"/>
  <c r="Q98" i="2"/>
  <c r="C1308" i="17" s="1"/>
  <c r="Q74" i="2"/>
  <c r="C1284" i="17" s="1"/>
  <c r="Q50" i="2"/>
  <c r="C1260" i="17" s="1"/>
  <c r="Q26" i="2"/>
  <c r="C1236" i="17" s="1"/>
  <c r="Q2" i="2"/>
  <c r="Q1089" i="2"/>
  <c r="C2299" i="17" s="1"/>
  <c r="Q945" i="2"/>
  <c r="C2155" i="17" s="1"/>
  <c r="Q1194" i="2"/>
  <c r="C2404" i="17" s="1"/>
  <c r="Q879" i="2"/>
  <c r="C2089" i="17" s="1"/>
  <c r="Q695" i="2"/>
  <c r="C1905" i="17" s="1"/>
  <c r="Q411" i="2"/>
  <c r="C1621" i="17" s="1"/>
  <c r="Q123" i="2"/>
  <c r="C1333" i="17" s="1"/>
  <c r="Q737" i="2"/>
  <c r="C1947" i="17" s="1"/>
  <c r="Q1032" i="2"/>
  <c r="C2242" i="17" s="1"/>
  <c r="Q816" i="2"/>
  <c r="C2026" i="17" s="1"/>
  <c r="Q704" i="2"/>
  <c r="C1914" i="17" s="1"/>
  <c r="Q437" i="2"/>
  <c r="C1647" i="17" s="1"/>
  <c r="Q149" i="2"/>
  <c r="C1359" i="17" s="1"/>
  <c r="Q696" i="2"/>
  <c r="C1906" i="17" s="1"/>
  <c r="Q1067" i="2"/>
  <c r="C2277" i="17" s="1"/>
  <c r="Q867" i="2"/>
  <c r="C2077" i="17" s="1"/>
  <c r="Q706" i="2"/>
  <c r="C1916" i="17" s="1"/>
  <c r="Q463" i="2"/>
  <c r="C1673" i="17" s="1"/>
  <c r="Q175" i="2"/>
  <c r="C1385" i="17" s="1"/>
  <c r="Q987" i="2"/>
  <c r="C2197" i="17" s="1"/>
  <c r="Q772" i="2"/>
  <c r="C1982" i="17" s="1"/>
  <c r="Q465" i="2"/>
  <c r="C1675" i="17" s="1"/>
  <c r="Q153" i="2"/>
  <c r="C1363" i="17" s="1"/>
  <c r="Q1097" i="2"/>
  <c r="C2307" i="17" s="1"/>
  <c r="Q841" i="2"/>
  <c r="C2051" i="17" s="1"/>
  <c r="Q635" i="2"/>
  <c r="C1845" i="17" s="1"/>
  <c r="Q347" i="2"/>
  <c r="C1557" i="17" s="1"/>
  <c r="Q59" i="2"/>
  <c r="C1269" i="17" s="1"/>
  <c r="Q401" i="2"/>
  <c r="C1611" i="17" s="1"/>
  <c r="Q1074" i="2"/>
  <c r="C2284" i="17" s="1"/>
  <c r="Q911" i="2"/>
  <c r="C2121" i="17" s="1"/>
  <c r="Q735" i="2"/>
  <c r="C1945" i="17" s="1"/>
  <c r="Q469" i="2"/>
  <c r="C1679" i="17" s="1"/>
  <c r="Q181" i="2"/>
  <c r="C1391" i="17" s="1"/>
  <c r="Q744" i="2"/>
  <c r="C1954" i="17" s="1"/>
  <c r="Q892" i="2"/>
  <c r="C2102" i="17" s="1"/>
  <c r="Q719" i="2"/>
  <c r="C1929" i="17" s="1"/>
  <c r="Q471" i="2"/>
  <c r="C1681" i="17" s="1"/>
  <c r="Q183" i="2"/>
  <c r="C1393" i="17" s="1"/>
  <c r="Q728" i="2"/>
  <c r="C1938" i="17" s="1"/>
  <c r="Q723" i="2"/>
  <c r="C1933" i="17" s="1"/>
  <c r="Q1200" i="2"/>
  <c r="C2410" i="17" s="1"/>
  <c r="Q41" i="2"/>
  <c r="C1251" i="17" s="1"/>
  <c r="Q875" i="2"/>
  <c r="C2085" i="17" s="1"/>
  <c r="Q235" i="2"/>
  <c r="C1445" i="17" s="1"/>
  <c r="Q957" i="2"/>
  <c r="C2167" i="17" s="1"/>
  <c r="Q891" i="2"/>
  <c r="C2101" i="17" s="1"/>
  <c r="Q143" i="2"/>
  <c r="C1353" i="17" s="1"/>
  <c r="Q357" i="2"/>
  <c r="C1567" i="17" s="1"/>
  <c r="Q861" i="2"/>
  <c r="C2071" i="17" s="1"/>
  <c r="Q145" i="2"/>
  <c r="C1355" i="17" s="1"/>
  <c r="Q1174" i="2"/>
  <c r="C2384" i="17" s="1"/>
  <c r="Q812" i="2"/>
  <c r="C2022" i="17" s="1"/>
  <c r="Q117" i="2"/>
  <c r="C1327" i="17" s="1"/>
  <c r="Q453" i="2"/>
  <c r="C1663" i="17" s="1"/>
  <c r="Q819" i="2"/>
  <c r="C2029" i="17" s="1"/>
  <c r="Q211" i="2"/>
  <c r="C1421" i="17" s="1"/>
  <c r="Q882" i="2"/>
  <c r="C2092" i="17" s="1"/>
  <c r="Q209" i="2"/>
  <c r="C1419" i="17" s="1"/>
  <c r="Q838" i="2"/>
  <c r="C2048" i="17" s="1"/>
  <c r="Q1206" i="2"/>
  <c r="C2416" i="17" s="1"/>
  <c r="Q1062" i="2"/>
  <c r="C2272" i="17" s="1"/>
  <c r="Q918" i="2"/>
  <c r="C2128" i="17" s="1"/>
  <c r="Q774" i="2"/>
  <c r="C1984" i="17" s="1"/>
  <c r="Q1160" i="2"/>
  <c r="C2370" i="17" s="1"/>
  <c r="Q1016" i="2"/>
  <c r="C2226" i="17" s="1"/>
  <c r="Q1127" i="2"/>
  <c r="C2337" i="17" s="1"/>
  <c r="Q983" i="2"/>
  <c r="C2193" i="17" s="1"/>
  <c r="Q1081" i="2"/>
  <c r="C2291" i="17" s="1"/>
  <c r="Q1157" i="2"/>
  <c r="C2367" i="17" s="1"/>
  <c r="Q1013" i="2"/>
  <c r="C2223" i="17" s="1"/>
  <c r="Q869" i="2"/>
  <c r="C2079" i="17" s="1"/>
  <c r="Q725" i="2"/>
  <c r="C1935" i="17" s="1"/>
  <c r="Q670" i="2"/>
  <c r="C1880" i="17" s="1"/>
  <c r="Q646" i="2"/>
  <c r="C1856" i="17" s="1"/>
  <c r="Q622" i="2"/>
  <c r="C1832" i="17" s="1"/>
  <c r="Q598" i="2"/>
  <c r="C1808" i="17" s="1"/>
  <c r="Q574" i="2"/>
  <c r="C1784" i="17" s="1"/>
  <c r="Q550" i="2"/>
  <c r="C1760" i="17" s="1"/>
  <c r="Q526" i="2"/>
  <c r="C1736" i="17" s="1"/>
  <c r="Q502" i="2"/>
  <c r="C1712" i="17" s="1"/>
  <c r="Q478" i="2"/>
  <c r="C1688" i="17" s="1"/>
  <c r="Q454" i="2"/>
  <c r="C1664" i="17" s="1"/>
  <c r="Q430" i="2"/>
  <c r="C1640" i="17" s="1"/>
  <c r="Q406" i="2"/>
  <c r="C1616" i="17" s="1"/>
  <c r="Q382" i="2"/>
  <c r="C1592" i="17" s="1"/>
  <c r="Q358" i="2"/>
  <c r="C1568" i="17" s="1"/>
  <c r="Q334" i="2"/>
  <c r="C1544" i="17" s="1"/>
  <c r="Q310" i="2"/>
  <c r="C1520" i="17" s="1"/>
  <c r="Q286" i="2"/>
  <c r="C1496" i="17" s="1"/>
  <c r="Q262" i="2"/>
  <c r="C1472" i="17" s="1"/>
  <c r="Q238" i="2"/>
  <c r="C1448" i="17" s="1"/>
  <c r="Q214" i="2"/>
  <c r="C1424" i="17" s="1"/>
  <c r="Q190" i="2"/>
  <c r="C1400" i="17" s="1"/>
  <c r="Q166" i="2"/>
  <c r="C1376" i="17" s="1"/>
  <c r="Q142" i="2"/>
  <c r="C1352" i="17" s="1"/>
  <c r="Q118" i="2"/>
  <c r="C1328" i="17" s="1"/>
  <c r="Q94" i="2"/>
  <c r="C1304" i="17" s="1"/>
  <c r="Q70" i="2"/>
  <c r="C1280" i="17" s="1"/>
  <c r="Q46" i="2"/>
  <c r="C1256" i="17" s="1"/>
  <c r="Q22" i="2"/>
  <c r="C1232" i="17" s="1"/>
  <c r="Q1209" i="2"/>
  <c r="C2419" i="17" s="1"/>
  <c r="Q1065" i="2"/>
  <c r="C2275" i="17" s="1"/>
  <c r="Q921" i="2"/>
  <c r="C2131" i="17" s="1"/>
  <c r="Q1118" i="2"/>
  <c r="C2328" i="17" s="1"/>
  <c r="Q844" i="2"/>
  <c r="C2054" i="17" s="1"/>
  <c r="Q651" i="2"/>
  <c r="C1861" i="17" s="1"/>
  <c r="Q363" i="2"/>
  <c r="C1573" i="17" s="1"/>
  <c r="Q75" i="2"/>
  <c r="C1285" i="17" s="1"/>
  <c r="Q665" i="2"/>
  <c r="C1875" i="17" s="1"/>
  <c r="Q1012" i="2"/>
  <c r="C2222" i="17" s="1"/>
  <c r="Q800" i="2"/>
  <c r="C2010" i="17" s="1"/>
  <c r="Q677" i="2"/>
  <c r="C1887" i="17" s="1"/>
  <c r="Q389" i="2"/>
  <c r="C1599" i="17" s="1"/>
  <c r="Q101" i="2"/>
  <c r="C1311" i="17" s="1"/>
  <c r="Q473" i="2"/>
  <c r="C1683" i="17" s="1"/>
  <c r="Q1002" i="2"/>
  <c r="C2212" i="17" s="1"/>
  <c r="Q839" i="2"/>
  <c r="C2049" i="17" s="1"/>
  <c r="Q690" i="2"/>
  <c r="C1900" i="17" s="1"/>
  <c r="Q415" i="2"/>
  <c r="C1625" i="17" s="1"/>
  <c r="Q127" i="2"/>
  <c r="C1337" i="17" s="1"/>
  <c r="Q930" i="2"/>
  <c r="C2140" i="17" s="1"/>
  <c r="Q724" i="2"/>
  <c r="C1934" i="17" s="1"/>
  <c r="Q417" i="2"/>
  <c r="C1627" i="17" s="1"/>
  <c r="Q81" i="2"/>
  <c r="C1291" i="17" s="1"/>
  <c r="Q1059" i="2"/>
  <c r="C2269" i="17" s="1"/>
  <c r="Q804" i="2"/>
  <c r="C2014" i="17" s="1"/>
  <c r="Q587" i="2"/>
  <c r="C1797" i="17" s="1"/>
  <c r="Q299" i="2"/>
  <c r="C1509" i="17" s="1"/>
  <c r="Q11" i="2"/>
  <c r="C1221" i="17" s="1"/>
  <c r="Q1193" i="2"/>
  <c r="C2403" i="17" s="1"/>
  <c r="Q1054" i="2"/>
  <c r="C2264" i="17" s="1"/>
  <c r="Q876" i="2"/>
  <c r="C2086" i="17" s="1"/>
  <c r="Q710" i="2"/>
  <c r="C1920" i="17" s="1"/>
  <c r="Q421" i="2"/>
  <c r="C1631" i="17" s="1"/>
  <c r="Q133" i="2"/>
  <c r="C1343" i="17" s="1"/>
  <c r="Q1094" i="2"/>
  <c r="C2304" i="17" s="1"/>
  <c r="Q1195" i="2"/>
  <c r="C2405" i="17" s="1"/>
  <c r="Q1051" i="2"/>
  <c r="C2261" i="17" s="1"/>
  <c r="Q907" i="2"/>
  <c r="C2117" i="17" s="1"/>
  <c r="Q763" i="2"/>
  <c r="C1973" i="17" s="1"/>
  <c r="Q1149" i="2"/>
  <c r="C2359" i="17" s="1"/>
  <c r="Q1005" i="2"/>
  <c r="C2215" i="17" s="1"/>
  <c r="Q1114" i="2"/>
  <c r="C2324" i="17" s="1"/>
  <c r="Q970" i="2"/>
  <c r="C2180" i="17" s="1"/>
  <c r="Q1068" i="2"/>
  <c r="C2278" i="17" s="1"/>
  <c r="Q1144" i="2"/>
  <c r="C2354" i="17" s="1"/>
  <c r="Q1000" i="2"/>
  <c r="C2210" i="17" s="1"/>
  <c r="Q856" i="2"/>
  <c r="C2066" i="17" s="1"/>
  <c r="Q712" i="2"/>
  <c r="C1922" i="17" s="1"/>
  <c r="Q668" i="2"/>
  <c r="C1878" i="17" s="1"/>
  <c r="Q644" i="2"/>
  <c r="C1854" i="17" s="1"/>
  <c r="Q620" i="2"/>
  <c r="C1830" i="17" s="1"/>
  <c r="Q596" i="2"/>
  <c r="C1806" i="17" s="1"/>
  <c r="Q572" i="2"/>
  <c r="C1782" i="17" s="1"/>
  <c r="Q548" i="2"/>
  <c r="C1758" i="17" s="1"/>
  <c r="Q524" i="2"/>
  <c r="C1734" i="17" s="1"/>
  <c r="Q500" i="2"/>
  <c r="C1710" i="17" s="1"/>
  <c r="Q476" i="2"/>
  <c r="C1686" i="17" s="1"/>
  <c r="Q452" i="2"/>
  <c r="C1662" i="17" s="1"/>
  <c r="Q428" i="2"/>
  <c r="C1638" i="17" s="1"/>
  <c r="Q404" i="2"/>
  <c r="C1614" i="17" s="1"/>
  <c r="Q380" i="2"/>
  <c r="C1590" i="17" s="1"/>
  <c r="Q356" i="2"/>
  <c r="C1566" i="17" s="1"/>
  <c r="Q332" i="2"/>
  <c r="C1542" i="17" s="1"/>
  <c r="Q308" i="2"/>
  <c r="C1518" i="17" s="1"/>
  <c r="Q284" i="2"/>
  <c r="C1494" i="17" s="1"/>
  <c r="Q260" i="2"/>
  <c r="C1470" i="17" s="1"/>
  <c r="Q236" i="2"/>
  <c r="C1446" i="17" s="1"/>
  <c r="Q212" i="2"/>
  <c r="C1422" i="17" s="1"/>
  <c r="Q188" i="2"/>
  <c r="C1398" i="17" s="1"/>
  <c r="Q164" i="2"/>
  <c r="C1374" i="17" s="1"/>
  <c r="Q140" i="2"/>
  <c r="C1350" i="17" s="1"/>
  <c r="Q116" i="2"/>
  <c r="C1326" i="17" s="1"/>
  <c r="Q92" i="2"/>
  <c r="C1302" i="17" s="1"/>
  <c r="Q68" i="2"/>
  <c r="C1278" i="17" s="1"/>
  <c r="Q44" i="2"/>
  <c r="C1254" i="17" s="1"/>
  <c r="Q20" i="2"/>
  <c r="C1230" i="17" s="1"/>
  <c r="Q1196" i="2"/>
  <c r="C2406" i="17" s="1"/>
  <c r="Q1052" i="2"/>
  <c r="C2262" i="17" s="1"/>
  <c r="Q908" i="2"/>
  <c r="C2118" i="17" s="1"/>
  <c r="Q1070" i="2"/>
  <c r="C2280" i="17" s="1"/>
  <c r="Q830" i="2"/>
  <c r="C2040" i="17" s="1"/>
  <c r="Q627" i="2"/>
  <c r="C1837" i="17" s="1"/>
  <c r="Q339" i="2"/>
  <c r="C1549" i="17" s="1"/>
  <c r="Q51" i="2"/>
  <c r="C1261" i="17" s="1"/>
  <c r="Q593" i="2"/>
  <c r="C1803" i="17" s="1"/>
  <c r="Q995" i="2"/>
  <c r="C2205" i="17" s="1"/>
  <c r="Q793" i="2"/>
  <c r="C2003" i="17" s="1"/>
  <c r="Q653" i="2"/>
  <c r="C1863" i="17" s="1"/>
  <c r="Q365" i="2"/>
  <c r="C1575" i="17" s="1"/>
  <c r="Q77" i="2"/>
  <c r="C1287" i="17" s="1"/>
  <c r="Q353" i="2"/>
  <c r="C1563" i="17" s="1"/>
  <c r="Q985" i="2"/>
  <c r="C2195" i="17" s="1"/>
  <c r="Q818" i="2"/>
  <c r="C2028" i="17" s="1"/>
  <c r="Q679" i="2"/>
  <c r="C1889" i="17" s="1"/>
  <c r="Q391" i="2"/>
  <c r="C1601" i="17" s="1"/>
  <c r="Q103" i="2"/>
  <c r="C1313" i="17" s="1"/>
  <c r="Q916" i="2"/>
  <c r="C2126" i="17" s="1"/>
  <c r="Q681" i="2"/>
  <c r="C1891" i="17" s="1"/>
  <c r="Q393" i="2"/>
  <c r="C1603" i="17" s="1"/>
  <c r="Q33" i="2"/>
  <c r="C1243" i="17" s="1"/>
  <c r="Q1049" i="2"/>
  <c r="C2259" i="17" s="1"/>
  <c r="Q788" i="2"/>
  <c r="C1998" i="17" s="1"/>
  <c r="Q563" i="2"/>
  <c r="C1773" i="17" s="1"/>
  <c r="Q275" i="2"/>
  <c r="C1485" i="17" s="1"/>
  <c r="Q1198" i="2"/>
  <c r="C2408" i="17" s="1"/>
  <c r="Q1180" i="2"/>
  <c r="C2390" i="17" s="1"/>
  <c r="Q1036" i="2"/>
  <c r="C2246" i="17" s="1"/>
  <c r="Q862" i="2"/>
  <c r="C2072" i="17" s="1"/>
  <c r="Q685" i="2"/>
  <c r="C1895" i="17" s="1"/>
  <c r="Q397" i="2"/>
  <c r="C1607" i="17" s="1"/>
  <c r="Q109" i="2"/>
  <c r="C1319" i="17" s="1"/>
  <c r="Q1046" i="2"/>
  <c r="C2256" i="17" s="1"/>
  <c r="Q864" i="2"/>
  <c r="C2074" i="17" s="1"/>
  <c r="Q687" i="2"/>
  <c r="C1897" i="17" s="1"/>
  <c r="Q399" i="2"/>
  <c r="C1609" i="17" s="1"/>
  <c r="Q111" i="2"/>
  <c r="C1321" i="17" s="1"/>
  <c r="Q1020" i="2"/>
  <c r="C2230" i="17" s="1"/>
  <c r="Q577" i="2"/>
  <c r="C1787" i="17" s="1"/>
  <c r="Q1098" i="2"/>
  <c r="C2308" i="17" s="1"/>
  <c r="Q938" i="2"/>
  <c r="C2148" i="17" s="1"/>
  <c r="Q669" i="2"/>
  <c r="C1879" i="17" s="1"/>
  <c r="Q405" i="2"/>
  <c r="C1615" i="17" s="1"/>
  <c r="Q309" i="2"/>
  <c r="C1519" i="17" s="1"/>
  <c r="Q619" i="2"/>
  <c r="C1829" i="17" s="1"/>
  <c r="Q17" i="2"/>
  <c r="C1227" i="17" s="1"/>
  <c r="Q1045" i="2"/>
  <c r="C2255" i="17" s="1"/>
  <c r="Q796" i="2"/>
  <c r="C2006" i="17" s="1"/>
  <c r="Q1111" i="2"/>
  <c r="C2321" i="17" s="1"/>
  <c r="Q805" i="2"/>
  <c r="C2015" i="17" s="1"/>
  <c r="Q755" i="2"/>
  <c r="C1965" i="17" s="1"/>
  <c r="Q1126" i="2"/>
  <c r="C2336" i="17" s="1"/>
  <c r="Q1043" i="2"/>
  <c r="C2253" i="17" s="1"/>
  <c r="Q623" i="2"/>
  <c r="C1833" i="17" s="1"/>
  <c r="Q407" i="2"/>
  <c r="C1617" i="17" s="1"/>
  <c r="Q828" i="2"/>
  <c r="C2038" i="17" s="1"/>
  <c r="Q119" i="2"/>
  <c r="C1329" i="17" s="1"/>
  <c r="Q854" i="2"/>
  <c r="C2064" i="17" s="1"/>
  <c r="Q1182" i="2"/>
  <c r="C2392" i="17" s="1"/>
  <c r="Q1038" i="2"/>
  <c r="C2248" i="17" s="1"/>
  <c r="Q894" i="2"/>
  <c r="C2104" i="17" s="1"/>
  <c r="Q750" i="2"/>
  <c r="C1960" i="17" s="1"/>
  <c r="Q1136" i="2"/>
  <c r="C2346" i="17" s="1"/>
  <c r="Q992" i="2"/>
  <c r="C2202" i="17" s="1"/>
  <c r="Q1103" i="2"/>
  <c r="C2313" i="17" s="1"/>
  <c r="Q1201" i="2"/>
  <c r="C2411" i="17" s="1"/>
  <c r="Q1057" i="2"/>
  <c r="C2267" i="17" s="1"/>
  <c r="Q1133" i="2"/>
  <c r="C2343" i="17" s="1"/>
  <c r="Q989" i="2"/>
  <c r="C2199" i="17" s="1"/>
  <c r="Q845" i="2"/>
  <c r="C2055" i="17" s="1"/>
  <c r="Q701" i="2"/>
  <c r="C1911" i="17" s="1"/>
  <c r="Q666" i="2"/>
  <c r="C1876" i="17" s="1"/>
  <c r="Q642" i="2"/>
  <c r="C1852" i="17" s="1"/>
  <c r="Q618" i="2"/>
  <c r="C1828" i="17" s="1"/>
  <c r="Q594" i="2"/>
  <c r="C1804" i="17" s="1"/>
  <c r="Q570" i="2"/>
  <c r="C1780" i="17" s="1"/>
  <c r="Q546" i="2"/>
  <c r="C1756" i="17" s="1"/>
  <c r="Q522" i="2"/>
  <c r="C1732" i="17" s="1"/>
  <c r="Q498" i="2"/>
  <c r="C1708" i="17" s="1"/>
  <c r="Q474" i="2"/>
  <c r="C1684" i="17" s="1"/>
  <c r="Q450" i="2"/>
  <c r="C1660" i="17" s="1"/>
  <c r="Q426" i="2"/>
  <c r="C1636" i="17" s="1"/>
  <c r="Q402" i="2"/>
  <c r="C1612" i="17" s="1"/>
  <c r="Q378" i="2"/>
  <c r="C1588" i="17" s="1"/>
  <c r="Q354" i="2"/>
  <c r="C1564" i="17" s="1"/>
  <c r="Q330" i="2"/>
  <c r="C1540" i="17" s="1"/>
  <c r="Q306" i="2"/>
  <c r="C1516" i="17" s="1"/>
  <c r="Q282" i="2"/>
  <c r="C1492" i="17" s="1"/>
  <c r="Q258" i="2"/>
  <c r="C1468" i="17" s="1"/>
  <c r="Q234" i="2"/>
  <c r="C1444" i="17" s="1"/>
  <c r="Q210" i="2"/>
  <c r="C1420" i="17" s="1"/>
  <c r="Q186" i="2"/>
  <c r="C1396" i="17" s="1"/>
  <c r="Q162" i="2"/>
  <c r="C1372" i="17" s="1"/>
  <c r="Q138" i="2"/>
  <c r="C1348" i="17" s="1"/>
  <c r="Q114" i="2"/>
  <c r="C1324" i="17" s="1"/>
  <c r="Q90" i="2"/>
  <c r="C1300" i="17" s="1"/>
  <c r="Q66" i="2"/>
  <c r="C1276" i="17" s="1"/>
  <c r="Q42" i="2"/>
  <c r="C1252" i="17" s="1"/>
  <c r="Q18" i="2"/>
  <c r="C1228" i="17" s="1"/>
  <c r="Q1185" i="2"/>
  <c r="C2395" i="17" s="1"/>
  <c r="Q1041" i="2"/>
  <c r="C2251" i="17" s="1"/>
  <c r="Q897" i="2"/>
  <c r="C2107" i="17" s="1"/>
  <c r="Q1010" i="2"/>
  <c r="C2220" i="17" s="1"/>
  <c r="Q823" i="2"/>
  <c r="C2033" i="17" s="1"/>
  <c r="Q603" i="2"/>
  <c r="C1813" i="17" s="1"/>
  <c r="Q315" i="2"/>
  <c r="C1525" i="17" s="1"/>
  <c r="Q27" i="2"/>
  <c r="C1237" i="17" s="1"/>
  <c r="Q449" i="2"/>
  <c r="C1659" i="17" s="1"/>
  <c r="Q968" i="2"/>
  <c r="C2178" i="17" s="1"/>
  <c r="Q777" i="2"/>
  <c r="C1987" i="17" s="1"/>
  <c r="Q629" i="2"/>
  <c r="C1839" i="17" s="1"/>
  <c r="Q53" i="2"/>
  <c r="C1263" i="17" s="1"/>
  <c r="Q329" i="2"/>
  <c r="C1539" i="17" s="1"/>
  <c r="Q975" i="2"/>
  <c r="C2185" i="17" s="1"/>
  <c r="Q1171" i="2"/>
  <c r="C2381" i="17" s="1"/>
  <c r="Q1027" i="2"/>
  <c r="C2237" i="17" s="1"/>
  <c r="Q883" i="2"/>
  <c r="C2093" i="17" s="1"/>
  <c r="Q739" i="2"/>
  <c r="C1949" i="17" s="1"/>
  <c r="Q1125" i="2"/>
  <c r="C2335" i="17" s="1"/>
  <c r="Q981" i="2"/>
  <c r="C2191" i="17" s="1"/>
  <c r="Q1090" i="2"/>
  <c r="C2300" i="17" s="1"/>
  <c r="Q1188" i="2"/>
  <c r="C2398" i="17" s="1"/>
  <c r="Q1044" i="2"/>
  <c r="C2254" i="17" s="1"/>
  <c r="Q1120" i="2"/>
  <c r="C2330" i="17" s="1"/>
  <c r="Q976" i="2"/>
  <c r="C2186" i="17" s="1"/>
  <c r="Q832" i="2"/>
  <c r="C2042" i="17" s="1"/>
  <c r="Q688" i="2"/>
  <c r="C1898" i="17" s="1"/>
  <c r="Q664" i="2"/>
  <c r="C1874" i="17" s="1"/>
  <c r="Q640" i="2"/>
  <c r="C1850" i="17" s="1"/>
  <c r="Q616" i="2"/>
  <c r="C1826" i="17" s="1"/>
  <c r="Q592" i="2"/>
  <c r="C1802" i="17" s="1"/>
  <c r="Q568" i="2"/>
  <c r="C1778" i="17" s="1"/>
  <c r="Q544" i="2"/>
  <c r="C1754" i="17" s="1"/>
  <c r="Q520" i="2"/>
  <c r="C1730" i="17" s="1"/>
  <c r="Q496" i="2"/>
  <c r="C1706" i="17" s="1"/>
  <c r="Q472" i="2"/>
  <c r="C1682" i="17" s="1"/>
  <c r="Q448" i="2"/>
  <c r="C1658" i="17" s="1"/>
  <c r="Q424" i="2"/>
  <c r="C1634" i="17" s="1"/>
  <c r="Q400" i="2"/>
  <c r="C1610" i="17" s="1"/>
  <c r="Q376" i="2"/>
  <c r="C1586" i="17" s="1"/>
  <c r="Q352" i="2"/>
  <c r="C1562" i="17" s="1"/>
  <c r="Q328" i="2"/>
  <c r="C1538" i="17" s="1"/>
  <c r="Q304" i="2"/>
  <c r="C1514" i="17" s="1"/>
  <c r="Q280" i="2"/>
  <c r="C1490" i="17" s="1"/>
  <c r="Q256" i="2"/>
  <c r="C1466" i="17" s="1"/>
  <c r="Q232" i="2"/>
  <c r="C1442" i="17" s="1"/>
  <c r="Q208" i="2"/>
  <c r="C1418" i="17" s="1"/>
  <c r="Q184" i="2"/>
  <c r="C1394" i="17" s="1"/>
  <c r="Q160" i="2"/>
  <c r="C1370" i="17" s="1"/>
  <c r="Q136" i="2"/>
  <c r="C1346" i="17" s="1"/>
  <c r="Q112" i="2"/>
  <c r="C1322" i="17" s="1"/>
  <c r="Q88" i="2"/>
  <c r="C1298" i="17" s="1"/>
  <c r="Q64" i="2"/>
  <c r="C1274" i="17" s="1"/>
  <c r="Q40" i="2"/>
  <c r="C1250" i="17" s="1"/>
  <c r="Q16" i="2"/>
  <c r="C1226" i="17" s="1"/>
  <c r="Q1172" i="2"/>
  <c r="C2382" i="17" s="1"/>
  <c r="Q1028" i="2"/>
  <c r="C2238" i="17" s="1"/>
  <c r="Q884" i="2"/>
  <c r="C2094" i="17" s="1"/>
  <c r="Q973" i="2"/>
  <c r="C2183" i="17" s="1"/>
  <c r="Q814" i="2"/>
  <c r="C2024" i="17" s="1"/>
  <c r="Q579" i="2"/>
  <c r="C1789" i="17" s="1"/>
  <c r="Q291" i="2"/>
  <c r="C1501" i="17" s="1"/>
  <c r="Q3" i="2"/>
  <c r="C1213" i="17" s="1"/>
  <c r="Q377" i="2"/>
  <c r="C1587" i="17" s="1"/>
  <c r="Q961" i="2"/>
  <c r="C2171" i="17" s="1"/>
  <c r="Q768" i="2"/>
  <c r="C1978" i="17" s="1"/>
  <c r="Q605" i="2"/>
  <c r="C1815" i="17" s="1"/>
  <c r="Q317" i="2"/>
  <c r="C1527" i="17" s="1"/>
  <c r="Q29" i="2"/>
  <c r="C1239" i="17" s="1"/>
  <c r="Q1204" i="2"/>
  <c r="C2414" i="17" s="1"/>
  <c r="Q963" i="2"/>
  <c r="C2173" i="17" s="1"/>
  <c r="Q795" i="2"/>
  <c r="C2005" i="17" s="1"/>
  <c r="Q631" i="2"/>
  <c r="C1841" i="17" s="1"/>
  <c r="Q343" i="2"/>
  <c r="C1553" i="17" s="1"/>
  <c r="Q55" i="2"/>
  <c r="C1265" i="17" s="1"/>
  <c r="Q895" i="2"/>
  <c r="C2105" i="17" s="1"/>
  <c r="Q633" i="2"/>
  <c r="C1843" i="17" s="1"/>
  <c r="Q345" i="2"/>
  <c r="C1555" i="17" s="1"/>
  <c r="Q497" i="2"/>
  <c r="C1707" i="17" s="1"/>
  <c r="Q1019" i="2"/>
  <c r="C2229" i="17" s="1"/>
  <c r="Q756" i="2"/>
  <c r="C1966" i="17" s="1"/>
  <c r="Q515" i="2"/>
  <c r="C1725" i="17" s="1"/>
  <c r="Q227" i="2"/>
  <c r="C1437" i="17" s="1"/>
  <c r="Q885" i="2"/>
  <c r="C2095" i="17" s="1"/>
  <c r="Q1165" i="2"/>
  <c r="C2375" i="17" s="1"/>
  <c r="Q1009" i="2"/>
  <c r="C2219" i="17" s="1"/>
  <c r="Q843" i="2"/>
  <c r="C2053" i="17" s="1"/>
  <c r="Q637" i="2"/>
  <c r="C1847" i="17" s="1"/>
  <c r="Q349" i="2"/>
  <c r="C1559" i="17" s="1"/>
  <c r="Q61" i="2"/>
  <c r="C1271" i="17" s="1"/>
  <c r="Q1011" i="2"/>
  <c r="C2221" i="17" s="1"/>
  <c r="Q831" i="2"/>
  <c r="C2041" i="17" s="1"/>
  <c r="Q639" i="2"/>
  <c r="C1849" i="17" s="1"/>
  <c r="Q351" i="2"/>
  <c r="C1561" i="17" s="1"/>
  <c r="Q63" i="2"/>
  <c r="C1273" i="17" s="1"/>
  <c r="Q943" i="2"/>
  <c r="C2153" i="17" s="1"/>
  <c r="Q385" i="2"/>
  <c r="C1595" i="17" s="1"/>
  <c r="Q700" i="2"/>
  <c r="C1910" i="17" s="1"/>
  <c r="Q1187" i="2"/>
  <c r="C2397" i="17" s="1"/>
  <c r="Q1147" i="2"/>
  <c r="C2357" i="17" s="1"/>
  <c r="Q1003" i="2"/>
  <c r="C2213" i="17" s="1"/>
  <c r="Q859" i="2"/>
  <c r="C2069" i="17" s="1"/>
  <c r="Q715" i="2"/>
  <c r="C1925" i="17" s="1"/>
  <c r="Q1101" i="2"/>
  <c r="C2311" i="17" s="1"/>
  <c r="Q1210" i="2"/>
  <c r="C2420" i="17" s="1"/>
  <c r="Q1066" i="2"/>
  <c r="C2276" i="17" s="1"/>
  <c r="Q1164" i="2"/>
  <c r="C2374" i="17" s="1"/>
  <c r="Q1096" i="2"/>
  <c r="C2306" i="17" s="1"/>
  <c r="Q952" i="2"/>
  <c r="C2162" i="17" s="1"/>
  <c r="Q808" i="2"/>
  <c r="C2018" i="17" s="1"/>
  <c r="Q684" i="2"/>
  <c r="C1894" i="17" s="1"/>
  <c r="Q660" i="2"/>
  <c r="C1870" i="17" s="1"/>
  <c r="Q636" i="2"/>
  <c r="C1846" i="17" s="1"/>
  <c r="Q612" i="2"/>
  <c r="C1822" i="17" s="1"/>
  <c r="Q588" i="2"/>
  <c r="C1798" i="17" s="1"/>
  <c r="Q564" i="2"/>
  <c r="C1774" i="17" s="1"/>
  <c r="Q540" i="2"/>
  <c r="C1750" i="17" s="1"/>
  <c r="Q516" i="2"/>
  <c r="C1726" i="17" s="1"/>
  <c r="Q492" i="2"/>
  <c r="C1702" i="17" s="1"/>
  <c r="Q468" i="2"/>
  <c r="C1678" i="17" s="1"/>
  <c r="Q444" i="2"/>
  <c r="C1654" i="17" s="1"/>
  <c r="Q420" i="2"/>
  <c r="C1630" i="17" s="1"/>
  <c r="Q396" i="2"/>
  <c r="C1606" i="17" s="1"/>
  <c r="Q372" i="2"/>
  <c r="C1582" i="17" s="1"/>
  <c r="Q348" i="2"/>
  <c r="C1558" i="17" s="1"/>
  <c r="Q324" i="2"/>
  <c r="C1534" i="17" s="1"/>
  <c r="Q300" i="2"/>
  <c r="C1510" i="17" s="1"/>
  <c r="Q276" i="2"/>
  <c r="C1486" i="17" s="1"/>
  <c r="Q252" i="2"/>
  <c r="C1462" i="17" s="1"/>
  <c r="Q228" i="2"/>
  <c r="C1438" i="17" s="1"/>
  <c r="Q204" i="2"/>
  <c r="C1414" i="17" s="1"/>
  <c r="Q180" i="2"/>
  <c r="C1390" i="17" s="1"/>
  <c r="Q156" i="2"/>
  <c r="C1366" i="17" s="1"/>
  <c r="Q132" i="2"/>
  <c r="C1342" i="17" s="1"/>
  <c r="Q108" i="2"/>
  <c r="C1318" i="17" s="1"/>
  <c r="Q84" i="2"/>
  <c r="C1294" i="17" s="1"/>
  <c r="Q60" i="2"/>
  <c r="C1270" i="17" s="1"/>
  <c r="Q36" i="2"/>
  <c r="C1246" i="17" s="1"/>
  <c r="Q12" i="2"/>
  <c r="C1222" i="17" s="1"/>
  <c r="Q1148" i="2"/>
  <c r="C2358" i="17" s="1"/>
  <c r="Q1004" i="2"/>
  <c r="C2214" i="17" s="1"/>
  <c r="Q860" i="2"/>
  <c r="C2070" i="17" s="1"/>
  <c r="Q940" i="2"/>
  <c r="C2150" i="17" s="1"/>
  <c r="Q775" i="2"/>
  <c r="C1985" i="17" s="1"/>
  <c r="Q531" i="2"/>
  <c r="C1741" i="17" s="1"/>
  <c r="Q243" i="2"/>
  <c r="C1453" i="17" s="1"/>
  <c r="Q1001" i="2"/>
  <c r="C2211" i="17" s="1"/>
  <c r="Q1143" i="2"/>
  <c r="C2353" i="17" s="1"/>
  <c r="Q933" i="2"/>
  <c r="C2143" i="17" s="1"/>
  <c r="Q752" i="2"/>
  <c r="C1962" i="17" s="1"/>
  <c r="Q557" i="2"/>
  <c r="C1767" i="17" s="1"/>
  <c r="Q269" i="2"/>
  <c r="C1479" i="17" s="1"/>
  <c r="Q201" i="2"/>
  <c r="C1411" i="17" s="1"/>
  <c r="Q1183" i="2"/>
  <c r="C2393" i="17" s="1"/>
  <c r="Q935" i="2"/>
  <c r="C2145" i="17" s="1"/>
  <c r="Q770" i="2"/>
  <c r="C1980" i="17" s="1"/>
  <c r="Q583" i="2"/>
  <c r="C1793" i="17" s="1"/>
  <c r="Q295" i="2"/>
  <c r="C1505" i="17" s="1"/>
  <c r="Q7" i="2"/>
  <c r="C1217" i="17" s="1"/>
  <c r="Q874" i="2"/>
  <c r="C2084" i="17" s="1"/>
  <c r="Q585" i="2"/>
  <c r="C1795" i="17" s="1"/>
  <c r="Q297" i="2"/>
  <c r="C1507" i="17" s="1"/>
  <c r="Q1178" i="2"/>
  <c r="C2388" i="17" s="1"/>
  <c r="Q944" i="2"/>
  <c r="C2154" i="17" s="1"/>
  <c r="Q733" i="2"/>
  <c r="C1943" i="17" s="1"/>
  <c r="Q467" i="2"/>
  <c r="C1677" i="17" s="1"/>
  <c r="Q179" i="2"/>
  <c r="C1389" i="17" s="1"/>
  <c r="Q792" i="2"/>
  <c r="C2002" i="17" s="1"/>
  <c r="Q1132" i="2"/>
  <c r="C2342" i="17" s="1"/>
  <c r="Q982" i="2"/>
  <c r="C2192" i="17" s="1"/>
  <c r="Q813" i="2"/>
  <c r="C2023" i="17" s="1"/>
  <c r="Q589" i="2"/>
  <c r="C1799" i="17" s="1"/>
  <c r="Q301" i="2"/>
  <c r="C1511" i="17" s="1"/>
  <c r="Q13" i="2"/>
  <c r="C1223" i="17" s="1"/>
  <c r="Q967" i="2"/>
  <c r="C2177" i="17" s="1"/>
  <c r="Q799" i="2"/>
  <c r="C2009" i="17" s="1"/>
  <c r="Q591" i="2"/>
  <c r="C1801" i="17" s="1"/>
  <c r="Q303" i="2"/>
  <c r="C1513" i="17" s="1"/>
  <c r="Q15" i="2"/>
  <c r="C1225" i="17" s="1"/>
  <c r="Q889" i="2"/>
  <c r="C2099" i="17" s="1"/>
  <c r="Q285" i="2"/>
  <c r="C1495" i="17" s="1"/>
  <c r="Q803" i="2"/>
  <c r="C2013" i="17" s="1"/>
  <c r="Q137" i="2"/>
  <c r="C1347" i="17" s="1"/>
  <c r="Q97" i="2"/>
  <c r="C1307" i="17" s="1"/>
  <c r="Q237" i="2"/>
  <c r="C1447" i="17" s="1"/>
  <c r="Q19" i="2"/>
  <c r="C1229" i="17" s="1"/>
  <c r="Q289" i="2"/>
  <c r="C1499" i="17" s="1"/>
  <c r="Q25" i="2"/>
  <c r="C1235" i="17" s="1"/>
  <c r="Q503" i="2"/>
  <c r="C1713" i="17" s="1"/>
  <c r="Q948" i="2"/>
  <c r="C2158" i="17" s="1"/>
  <c r="Q621" i="2"/>
  <c r="C1831" i="17" s="1"/>
  <c r="Q780" i="2"/>
  <c r="C1990" i="17" s="1"/>
  <c r="Q239" i="2"/>
  <c r="C1449" i="17" s="1"/>
  <c r="Q361" i="2"/>
  <c r="C1571" i="17" s="1"/>
  <c r="Q1207" i="2"/>
  <c r="C2417" i="17" s="1"/>
  <c r="Q525" i="2"/>
  <c r="C1735" i="17" s="1"/>
  <c r="Q1167" i="2"/>
  <c r="C2377" i="17" s="1"/>
  <c r="Q519" i="2"/>
  <c r="C1729" i="17" s="1"/>
  <c r="Q871" i="2"/>
  <c r="C2081" i="17" s="1"/>
  <c r="Q85" i="2"/>
  <c r="C1295" i="17" s="1"/>
  <c r="Q661" i="2"/>
  <c r="C1871" i="17" s="1"/>
  <c r="Q1026" i="2"/>
  <c r="C2236" i="17" s="1"/>
  <c r="Q984" i="2"/>
  <c r="C2194" i="17" s="1"/>
  <c r="Q539" i="2"/>
  <c r="C1749" i="17" s="1"/>
  <c r="Q1034" i="2"/>
  <c r="C2244" i="17" s="1"/>
  <c r="Q369" i="2"/>
  <c r="C1579" i="17" s="1"/>
  <c r="Q902" i="2"/>
  <c r="C2112" i="17" s="1"/>
  <c r="Q367" i="2"/>
  <c r="C1577" i="17" s="1"/>
  <c r="Q802" i="2"/>
  <c r="C2012" i="17" s="1"/>
  <c r="Q1056" i="2"/>
  <c r="C2266" i="17" s="1"/>
  <c r="Q509" i="2"/>
  <c r="C1719" i="17" s="1"/>
  <c r="Q947" i="2"/>
  <c r="C2157" i="17" s="1"/>
  <c r="Q171" i="2"/>
  <c r="C1381" i="17" s="1"/>
  <c r="Q766" i="2"/>
  <c r="C1976" i="17" s="1"/>
  <c r="Q932" i="2"/>
  <c r="C2142" i="17" s="1"/>
  <c r="Q8" i="2"/>
  <c r="C1218" i="17" s="1"/>
  <c r="Q62" i="2"/>
  <c r="C1272" i="17" s="1"/>
  <c r="Q126" i="2"/>
  <c r="C1336" i="17" s="1"/>
  <c r="Q178" i="2"/>
  <c r="C1388" i="17" s="1"/>
  <c r="Q240" i="2"/>
  <c r="C1450" i="17" s="1"/>
  <c r="Q296" i="2"/>
  <c r="C1506" i="17" s="1"/>
  <c r="Q350" i="2"/>
  <c r="C1560" i="17" s="1"/>
  <c r="Q414" i="2"/>
  <c r="C1624" i="17" s="1"/>
  <c r="Q466" i="2"/>
  <c r="C1676" i="17" s="1"/>
  <c r="Q528" i="2"/>
  <c r="C1738" i="17" s="1"/>
  <c r="Q584" i="2"/>
  <c r="C1794" i="17" s="1"/>
  <c r="Q638" i="2"/>
  <c r="C1848" i="17" s="1"/>
  <c r="Q773" i="2"/>
  <c r="C1983" i="17" s="1"/>
  <c r="Q1085" i="2"/>
  <c r="C2295" i="17" s="1"/>
  <c r="Q994" i="2"/>
  <c r="C2204" i="17" s="1"/>
  <c r="Q1077" i="2"/>
  <c r="C2287" i="17" s="1"/>
  <c r="Q870" i="2"/>
  <c r="C2080" i="17" s="1"/>
  <c r="Q807" i="2"/>
  <c r="C2017" i="17" s="1"/>
  <c r="Q611" i="2"/>
  <c r="C1821" i="17" s="1"/>
  <c r="Q791" i="2"/>
  <c r="C2001" i="17" s="1"/>
  <c r="Q298" i="2"/>
  <c r="C1508" i="17" s="1"/>
  <c r="Q470" i="2"/>
  <c r="C1680" i="17" s="1"/>
  <c r="Q534" i="2"/>
  <c r="C1744" i="17" s="1"/>
  <c r="Q586" i="2"/>
  <c r="C1796" i="17" s="1"/>
  <c r="Q648" i="2"/>
  <c r="C1858" i="17" s="1"/>
  <c r="Q1109" i="2"/>
  <c r="C2319" i="17" s="1"/>
  <c r="Q1031" i="2"/>
  <c r="C2241" i="17" s="1"/>
  <c r="Q381" i="2"/>
  <c r="C1591" i="17" s="1"/>
  <c r="Q169" i="2"/>
  <c r="C1379" i="17" s="1"/>
  <c r="Q673" i="2"/>
  <c r="C1883" i="17" s="1"/>
  <c r="Q625" i="2"/>
  <c r="C1835" i="17" s="1"/>
  <c r="Q157" i="2"/>
  <c r="C1367" i="17" s="1"/>
  <c r="Q951" i="2"/>
  <c r="C2161" i="17" s="1"/>
  <c r="Q10" i="2"/>
  <c r="C1220" i="17" s="1"/>
  <c r="Q784" i="2"/>
  <c r="C1994" i="17" s="1"/>
  <c r="Q477" i="2"/>
  <c r="C1687" i="17" s="1"/>
  <c r="Q707" i="2"/>
  <c r="C1917" i="17" s="1"/>
  <c r="Q1130" i="2"/>
  <c r="C2340" i="17" s="1"/>
  <c r="Q1080" i="2"/>
  <c r="C2290" i="17" s="1"/>
  <c r="Q14" i="2"/>
  <c r="C1224" i="17" s="1"/>
  <c r="Q130" i="2"/>
  <c r="C1340" i="17" s="1"/>
  <c r="Q248" i="2"/>
  <c r="C1458" i="17" s="1"/>
  <c r="Q302" i="2"/>
  <c r="C1512" i="17" s="1"/>
  <c r="Q366" i="2"/>
  <c r="C1576" i="17" s="1"/>
  <c r="Q418" i="2"/>
  <c r="C1628" i="17" s="1"/>
  <c r="Q480" i="2"/>
  <c r="C1690" i="17" s="1"/>
  <c r="Q536" i="2"/>
  <c r="C1746" i="17" s="1"/>
  <c r="Q590" i="2"/>
  <c r="C1800" i="17" s="1"/>
  <c r="Q654" i="2"/>
  <c r="C1864" i="17" s="1"/>
  <c r="Q797" i="2"/>
  <c r="C2007" i="17" s="1"/>
  <c r="Q1168" i="2"/>
  <c r="C2378" i="17" s="1"/>
  <c r="Q1042" i="2"/>
  <c r="C2252" i="17" s="1"/>
  <c r="Q1112" i="2"/>
  <c r="C2322" i="17" s="1"/>
  <c r="Q966" i="2"/>
  <c r="C2176" i="17" s="1"/>
  <c r="Q241" i="2"/>
  <c r="C1451" i="17" s="1"/>
  <c r="Q403" i="2"/>
  <c r="C1613" i="17" s="1"/>
  <c r="Q978" i="2"/>
  <c r="C2188" i="17" s="1"/>
  <c r="Q475" i="2"/>
  <c r="C1685" i="17" s="1"/>
  <c r="Q39" i="2"/>
  <c r="C1249" i="17" s="1"/>
  <c r="Q878" i="2"/>
  <c r="C2088" i="17" s="1"/>
  <c r="Q1069" i="2"/>
  <c r="C2279" i="17" s="1"/>
  <c r="Q1082" i="2"/>
  <c r="C2292" i="17" s="1"/>
  <c r="Q439" i="2"/>
  <c r="C1649" i="17" s="1"/>
  <c r="Q1104" i="2"/>
  <c r="C2314" i="17" s="1"/>
  <c r="Q1022" i="2"/>
  <c r="C2232" i="17" s="1"/>
  <c r="Q969" i="2"/>
  <c r="C2179" i="17" s="1"/>
  <c r="Q128" i="2"/>
  <c r="C1338" i="17" s="1"/>
  <c r="Q182" i="2"/>
  <c r="C1392" i="17" s="1"/>
  <c r="Q360" i="2"/>
  <c r="C1570" i="17" s="1"/>
  <c r="Q931" i="2"/>
  <c r="C2141" i="17" s="1"/>
  <c r="Q281" i="2"/>
  <c r="C1491" i="17" s="1"/>
  <c r="Q573" i="2"/>
  <c r="C1783" i="17" s="1"/>
  <c r="Q778" i="2"/>
  <c r="C1988" i="17" s="1"/>
  <c r="Q1058" i="2"/>
  <c r="C2268" i="17" s="1"/>
  <c r="Q929" i="2"/>
  <c r="C2139" i="17" s="1"/>
  <c r="Q551" i="2"/>
  <c r="C1761" i="17" s="1"/>
  <c r="Q87" i="2"/>
  <c r="C1297" i="17" s="1"/>
  <c r="Q927" i="2"/>
  <c r="C2137" i="17" s="1"/>
  <c r="Q765" i="2"/>
  <c r="C1975" i="17" s="1"/>
  <c r="Q107" i="2"/>
  <c r="C1317" i="17" s="1"/>
  <c r="Q513" i="2"/>
  <c r="C1723" i="17" s="1"/>
  <c r="Q511" i="2"/>
  <c r="C1721" i="17" s="1"/>
  <c r="Q886" i="2"/>
  <c r="C2096" i="17" s="1"/>
  <c r="Q581" i="2"/>
  <c r="C1791" i="17" s="1"/>
  <c r="Q858" i="2"/>
  <c r="C2068" i="17" s="1"/>
  <c r="Q980" i="2"/>
  <c r="C2190" i="17" s="1"/>
  <c r="Q192" i="2"/>
  <c r="C1402" i="17" s="1"/>
  <c r="Q283" i="2"/>
  <c r="C1493" i="17" s="1"/>
  <c r="Q355" i="2"/>
  <c r="C1565" i="17" s="1"/>
  <c r="Q922" i="2"/>
  <c r="C2132" i="17" s="1"/>
  <c r="Q716" i="2"/>
  <c r="C1926" i="17" s="1"/>
  <c r="Q896" i="2"/>
  <c r="C2106" i="17" s="1"/>
  <c r="Q529" i="2"/>
  <c r="C1739" i="17" s="1"/>
  <c r="Q1023" i="2"/>
  <c r="C2233" i="17" s="1"/>
  <c r="Q313" i="2"/>
  <c r="C1523" i="17" s="1"/>
  <c r="Q1154" i="2"/>
  <c r="C2364" i="17" s="1"/>
  <c r="Q71" i="2"/>
  <c r="C1281" i="17" s="1"/>
  <c r="Q959" i="2"/>
  <c r="C2169" i="17" s="1"/>
  <c r="Q1141" i="2"/>
  <c r="C2351" i="17" s="1"/>
  <c r="Q693" i="2"/>
  <c r="C1903" i="17" s="1"/>
  <c r="Q1106" i="2"/>
  <c r="C2316" i="17" s="1"/>
  <c r="Q764" i="2"/>
  <c r="C1974" i="17" s="1"/>
  <c r="Q135" i="2"/>
  <c r="C1345" i="17" s="1"/>
  <c r="Q615" i="2"/>
  <c r="C1825" i="17" s="1"/>
  <c r="Q946" i="2"/>
  <c r="C2156" i="17" s="1"/>
  <c r="Q253" i="2"/>
  <c r="C1463" i="17" s="1"/>
  <c r="Q783" i="2"/>
  <c r="C1993" i="17" s="1"/>
  <c r="Q1117" i="2"/>
  <c r="C2327" i="17" s="1"/>
  <c r="Q131" i="2"/>
  <c r="C1341" i="17" s="1"/>
  <c r="Q692" i="2"/>
  <c r="C1902" i="17" s="1"/>
  <c r="Q1145" i="2"/>
  <c r="C2355" i="17" s="1"/>
  <c r="Q537" i="2"/>
  <c r="C1747" i="17" s="1"/>
  <c r="Q569" i="2"/>
  <c r="C1779" i="17" s="1"/>
  <c r="Q535" i="2"/>
  <c r="C1745" i="17" s="1"/>
  <c r="Q900" i="2"/>
  <c r="C2110" i="17" s="1"/>
  <c r="Q5" i="2"/>
  <c r="C1215" i="17" s="1"/>
  <c r="Q697" i="2"/>
  <c r="C1907" i="17" s="1"/>
  <c r="Q1095" i="2"/>
  <c r="C2305" i="17" s="1"/>
  <c r="Q267" i="2"/>
  <c r="C1477" i="17" s="1"/>
  <c r="Q912" i="2"/>
  <c r="C2122" i="17" s="1"/>
  <c r="Q993" i="2"/>
  <c r="C2203" i="17" s="1"/>
  <c r="Q24" i="2"/>
  <c r="C1234" i="17" s="1"/>
  <c r="Q80" i="2"/>
  <c r="C1290" i="17" s="1"/>
  <c r="Q134" i="2"/>
  <c r="C1344" i="17" s="1"/>
  <c r="Q198" i="2"/>
  <c r="C1408" i="17" s="1"/>
  <c r="Q250" i="2"/>
  <c r="C1460" i="17" s="1"/>
  <c r="Q312" i="2"/>
  <c r="C1522" i="17" s="1"/>
  <c r="Q368" i="2"/>
  <c r="C1578" i="17" s="1"/>
  <c r="Q422" i="2"/>
  <c r="C1632" i="17" s="1"/>
  <c r="Q486" i="2"/>
  <c r="C1696" i="17" s="1"/>
  <c r="Q538" i="2"/>
  <c r="C1748" i="17" s="1"/>
  <c r="Q600" i="2"/>
  <c r="C1810" i="17" s="1"/>
  <c r="Q656" i="2"/>
  <c r="C1866" i="17" s="1"/>
  <c r="Q821" i="2"/>
  <c r="C2031" i="17" s="1"/>
  <c r="Q1205" i="2"/>
  <c r="C2415" i="17" s="1"/>
  <c r="Q1055" i="2"/>
  <c r="C2265" i="17" s="1"/>
  <c r="Q1173" i="2"/>
  <c r="C2383" i="17" s="1"/>
  <c r="Q979" i="2"/>
  <c r="C2189" i="17" s="1"/>
  <c r="Q191" i="2"/>
  <c r="C1401" i="17" s="1"/>
  <c r="Q379" i="2"/>
  <c r="C1589" i="17" s="1"/>
  <c r="Q73" i="2"/>
  <c r="C1283" i="17" s="1"/>
  <c r="Q257" i="2"/>
  <c r="C1467" i="17" s="1"/>
  <c r="Q643" i="2"/>
  <c r="C1853" i="17" s="1"/>
  <c r="Q543" i="2"/>
  <c r="C1753" i="17" s="1"/>
  <c r="Q717" i="2"/>
  <c r="C1927" i="17" s="1"/>
  <c r="Q35" i="2"/>
  <c r="C1245" i="17" s="1"/>
  <c r="Q441" i="2"/>
  <c r="C1651" i="17" s="1"/>
  <c r="Q853" i="2"/>
  <c r="C2063" i="17" s="1"/>
  <c r="Q533" i="2"/>
  <c r="C1743" i="17" s="1"/>
  <c r="Q195" i="2"/>
  <c r="C1405" i="17" s="1"/>
  <c r="Q72" i="2"/>
  <c r="C1282" i="17" s="1"/>
  <c r="Q246" i="2"/>
  <c r="C1456" i="17" s="1"/>
  <c r="Q416" i="2"/>
  <c r="C1626" i="17" s="1"/>
  <c r="Q1088" i="2"/>
  <c r="C2298" i="17" s="1"/>
  <c r="Q549" i="2"/>
  <c r="C1759" i="17" s="1"/>
  <c r="Q383" i="2"/>
  <c r="C1593" i="17" s="1"/>
  <c r="Q866" i="2"/>
  <c r="C2076" i="17" s="1"/>
  <c r="Q287" i="2"/>
  <c r="C1497" i="17" s="1"/>
  <c r="Q714" i="2"/>
  <c r="C1924" i="17" s="1"/>
  <c r="Q732" i="2"/>
  <c r="C1942" i="17" s="1"/>
  <c r="Q887" i="2"/>
  <c r="C2097" i="17" s="1"/>
  <c r="Q567" i="2"/>
  <c r="C1777" i="17" s="1"/>
  <c r="Q229" i="2"/>
  <c r="C1439" i="17" s="1"/>
  <c r="Q1102" i="2"/>
  <c r="C2312" i="17" s="1"/>
  <c r="Q683" i="2"/>
  <c r="C1893" i="17" s="1"/>
  <c r="Q545" i="2"/>
  <c r="C1755" i="17" s="1"/>
  <c r="Q57" i="2"/>
  <c r="C1267" i="17" s="1"/>
  <c r="Q219" i="2"/>
  <c r="C1429" i="17" s="1"/>
  <c r="Q78" i="2"/>
  <c r="C1288" i="17" s="1"/>
  <c r="F17" i="5"/>
  <c r="Q789" i="2"/>
  <c r="C1999" i="17" s="1"/>
  <c r="Q429" i="2"/>
  <c r="C1639" i="17" s="1"/>
  <c r="Q746" i="2"/>
  <c r="C1956" i="17" s="1"/>
  <c r="Q934" i="2"/>
  <c r="C2144" i="17" s="1"/>
  <c r="Q671" i="2"/>
  <c r="C1881" i="17" s="1"/>
  <c r="Q1078" i="2"/>
  <c r="C2288" i="17" s="1"/>
  <c r="Q427" i="2"/>
  <c r="C1637" i="17" s="1"/>
  <c r="Q748" i="2"/>
  <c r="C1958" i="17" s="1"/>
  <c r="Q89" i="2"/>
  <c r="C1299" i="17" s="1"/>
  <c r="Q1006" i="2"/>
  <c r="C2216" i="17" s="1"/>
  <c r="Q49" i="2"/>
  <c r="C1259" i="17" s="1"/>
  <c r="Q810" i="2"/>
  <c r="C2020" i="17" s="1"/>
  <c r="Q331" i="2"/>
  <c r="C1541" i="17" s="1"/>
  <c r="Q794" i="2"/>
  <c r="C2004" i="17" s="1"/>
  <c r="Q159" i="2"/>
  <c r="C1369" i="17" s="1"/>
  <c r="Q663" i="2"/>
  <c r="C1873" i="17" s="1"/>
  <c r="Q960" i="2"/>
  <c r="C2170" i="17" s="1"/>
  <c r="Q277" i="2"/>
  <c r="C1487" i="17" s="1"/>
  <c r="Q806" i="2"/>
  <c r="C2016" i="17" s="1"/>
  <c r="Q1122" i="2"/>
  <c r="C2332" i="17" s="1"/>
  <c r="Q155" i="2"/>
  <c r="C1365" i="17" s="1"/>
  <c r="Q708" i="2"/>
  <c r="C1918" i="17" s="1"/>
  <c r="Q1155" i="2"/>
  <c r="C2365" i="17" s="1"/>
  <c r="Q561" i="2"/>
  <c r="C1771" i="17" s="1"/>
  <c r="Q105" i="2"/>
  <c r="C1315" i="17" s="1"/>
  <c r="Q559" i="2"/>
  <c r="C1769" i="17" s="1"/>
  <c r="Q914" i="2"/>
  <c r="C2124" i="17" s="1"/>
  <c r="Q125" i="2"/>
  <c r="C1335" i="17" s="1"/>
  <c r="Q720" i="2"/>
  <c r="C1930" i="17" s="1"/>
  <c r="Q1128" i="2"/>
  <c r="C2338" i="17" s="1"/>
  <c r="Q387" i="2"/>
  <c r="C1597" i="17" s="1"/>
  <c r="Q919" i="2"/>
  <c r="C2129" i="17" s="1"/>
  <c r="Q1017" i="2"/>
  <c r="C2227" i="17" s="1"/>
  <c r="Q30" i="2"/>
  <c r="C1240" i="17" s="1"/>
  <c r="Q82" i="2"/>
  <c r="C1292" i="17" s="1"/>
  <c r="Q144" i="2"/>
  <c r="C1354" i="17" s="1"/>
  <c r="Q200" i="2"/>
  <c r="C1410" i="17" s="1"/>
  <c r="Q254" i="2"/>
  <c r="C1464" i="17" s="1"/>
  <c r="Q318" i="2"/>
  <c r="C1528" i="17" s="1"/>
  <c r="Q370" i="2"/>
  <c r="C1580" i="17" s="1"/>
  <c r="Q432" i="2"/>
  <c r="C1642" i="17" s="1"/>
  <c r="Q488" i="2"/>
  <c r="C1698" i="17" s="1"/>
  <c r="Q542" i="2"/>
  <c r="C1752" i="17" s="1"/>
  <c r="Q606" i="2"/>
  <c r="C1816" i="17" s="1"/>
  <c r="Q658" i="2"/>
  <c r="C1868" i="17" s="1"/>
  <c r="Q880" i="2"/>
  <c r="C2090" i="17" s="1"/>
  <c r="Q1190" i="2"/>
  <c r="C2400" i="17" s="1"/>
  <c r="Q1079" i="2"/>
  <c r="C2289" i="17" s="1"/>
  <c r="Q1208" i="2"/>
  <c r="C2418" i="17" s="1"/>
  <c r="Q990" i="2"/>
  <c r="C2200" i="17" s="1"/>
  <c r="Q694" i="2"/>
  <c r="C1904" i="17" s="1"/>
  <c r="Q972" i="2"/>
  <c r="C2182" i="17" s="1"/>
  <c r="Q829" i="2"/>
  <c r="C2039" i="17" s="1"/>
  <c r="Q203" i="2"/>
  <c r="C1413" i="17" s="1"/>
  <c r="Q305" i="2"/>
  <c r="C1515" i="17" s="1"/>
  <c r="Q607" i="2"/>
  <c r="C1817" i="17" s="1"/>
  <c r="Q197" i="2"/>
  <c r="C1407" i="17" s="1"/>
  <c r="Q1176" i="2"/>
  <c r="C2386" i="17" s="1"/>
  <c r="Q459" i="2"/>
  <c r="C1669" i="17" s="1"/>
  <c r="Q926" i="2"/>
  <c r="C2136" i="17" s="1"/>
  <c r="Q1076" i="2"/>
  <c r="C2286" i="17" s="1"/>
  <c r="Q32" i="2"/>
  <c r="C1242" i="17" s="1"/>
  <c r="Q150" i="2"/>
  <c r="C1360" i="17" s="1"/>
  <c r="Q202" i="2"/>
  <c r="C1412" i="17" s="1"/>
  <c r="Q320" i="2"/>
  <c r="C1530" i="17" s="1"/>
  <c r="Q374" i="2"/>
  <c r="C1584" i="17" s="1"/>
  <c r="Q438" i="2"/>
  <c r="C1648" i="17" s="1"/>
  <c r="Q490" i="2"/>
  <c r="C1700" i="17" s="1"/>
  <c r="Q552" i="2"/>
  <c r="C1762" i="17" s="1"/>
  <c r="Q608" i="2"/>
  <c r="C1818" i="17" s="1"/>
  <c r="Q662" i="2"/>
  <c r="C1872" i="17" s="1"/>
  <c r="Q917" i="2"/>
  <c r="C2127" i="17" s="1"/>
  <c r="Q1203" i="2"/>
  <c r="C2413" i="17" s="1"/>
  <c r="Q1138" i="2"/>
  <c r="C2348" i="17" s="1"/>
  <c r="Q691" i="2"/>
  <c r="C1901" i="17" s="1"/>
  <c r="Q1014" i="2"/>
  <c r="C2224" i="17" s="1"/>
  <c r="Q231" i="2"/>
  <c r="C1441" i="17" s="1"/>
  <c r="Q325" i="2"/>
  <c r="C1535" i="17" s="1"/>
  <c r="Q1150" i="2"/>
  <c r="C2360" i="17" s="1"/>
  <c r="Q740" i="2"/>
  <c r="C1950" i="17" s="1"/>
  <c r="Q609" i="2"/>
  <c r="C1819" i="17" s="1"/>
  <c r="Q31" i="2"/>
  <c r="C1241" i="17" s="1"/>
  <c r="Q949" i="2"/>
  <c r="C2159" i="17" s="1"/>
  <c r="Q729" i="2"/>
  <c r="C1939" i="17" s="1"/>
  <c r="Q455" i="2"/>
  <c r="C1665" i="17" s="1"/>
  <c r="Q597" i="2"/>
  <c r="C1807" i="17" s="1"/>
  <c r="Q433" i="2"/>
  <c r="C1643" i="17" s="1"/>
  <c r="Q121" i="2"/>
  <c r="C1331" i="17" s="1"/>
  <c r="Q1008" i="2"/>
  <c r="C2218" i="17" s="1"/>
  <c r="Q771" i="2"/>
  <c r="C1981" i="17" s="1"/>
  <c r="Q667" i="2"/>
  <c r="C1877" i="17" s="1"/>
  <c r="Q595" i="2"/>
  <c r="C1805" i="17" s="1"/>
  <c r="Q233" i="2"/>
  <c r="C1443" i="17" s="1"/>
  <c r="Q1063" i="2"/>
  <c r="C2273" i="17" s="1"/>
  <c r="Q547" i="2"/>
  <c r="C1757" i="17" s="1"/>
  <c r="Q1083" i="2"/>
  <c r="C2293" i="17" s="1"/>
  <c r="Q1131" i="2"/>
  <c r="C2341" i="17" s="1"/>
  <c r="Q905" i="2"/>
  <c r="C2115" i="17" s="1"/>
  <c r="Q255" i="2"/>
  <c r="C1465" i="17" s="1"/>
  <c r="Q703" i="2"/>
  <c r="C1913" i="17" s="1"/>
  <c r="Q1021" i="2"/>
  <c r="C2231" i="17" s="1"/>
  <c r="Q373" i="2"/>
  <c r="C1583" i="17" s="1"/>
  <c r="Q857" i="2"/>
  <c r="C2067" i="17" s="1"/>
  <c r="Q1170" i="2"/>
  <c r="C2380" i="17" s="1"/>
  <c r="Q251" i="2"/>
  <c r="C1461" i="17" s="1"/>
  <c r="Q781" i="2"/>
  <c r="C1991" i="17" s="1"/>
  <c r="Q9" i="2"/>
  <c r="C1219" i="17" s="1"/>
  <c r="Q657" i="2"/>
  <c r="C1867" i="17" s="1"/>
  <c r="Q79" i="2"/>
  <c r="C1289" i="17" s="1"/>
  <c r="Q655" i="2"/>
  <c r="C1865" i="17" s="1"/>
  <c r="Q1039" i="2"/>
  <c r="C2249" i="17" s="1"/>
  <c r="Q221" i="2"/>
  <c r="C1431" i="17" s="1"/>
  <c r="Q745" i="2"/>
  <c r="C1955" i="17" s="1"/>
  <c r="Q689" i="2"/>
  <c r="C1899" i="17" s="1"/>
  <c r="Q483" i="2"/>
  <c r="C1693" i="17" s="1"/>
  <c r="Q954" i="2"/>
  <c r="C2164" i="17" s="1"/>
  <c r="Q1113" i="2"/>
  <c r="C2323" i="17" s="1"/>
  <c r="Q34" i="2"/>
  <c r="C1244" i="17" s="1"/>
  <c r="Q96" i="2"/>
  <c r="C1306" i="17" s="1"/>
  <c r="Q152" i="2"/>
  <c r="C1362" i="17" s="1"/>
  <c r="Q206" i="2"/>
  <c r="C1416" i="17" s="1"/>
  <c r="Q270" i="2"/>
  <c r="C1480" i="17" s="1"/>
  <c r="Q322" i="2"/>
  <c r="C1532" i="17" s="1"/>
  <c r="Q384" i="2"/>
  <c r="C1594" i="17" s="1"/>
  <c r="Q440" i="2"/>
  <c r="C1650" i="17" s="1"/>
  <c r="Q494" i="2"/>
  <c r="C1704" i="17" s="1"/>
  <c r="Q558" i="2"/>
  <c r="C1768" i="17" s="1"/>
  <c r="Q610" i="2"/>
  <c r="C1820" i="17" s="1"/>
  <c r="Q672" i="2"/>
  <c r="C1882" i="17" s="1"/>
  <c r="Q928" i="2"/>
  <c r="C2138" i="17" s="1"/>
  <c r="Q1033" i="2"/>
  <c r="C2243" i="17" s="1"/>
  <c r="Q1175" i="2"/>
  <c r="C2385" i="17" s="1"/>
  <c r="Q702" i="2"/>
  <c r="C1912" i="17" s="1"/>
  <c r="Q1075" i="2"/>
  <c r="C2285" i="17" s="1"/>
  <c r="B14" i="6"/>
  <c r="E5" i="4" s="1"/>
  <c r="B13" i="6"/>
  <c r="G5" i="4" s="1"/>
  <c r="B15" i="6"/>
  <c r="F5" i="4" s="1"/>
  <c r="B5" i="4"/>
  <c r="J11" i="5" l="1"/>
  <c r="D3" i="4" s="1"/>
  <c r="C1212" i="17"/>
  <c r="J7" i="5"/>
  <c r="J8" i="5" s="1"/>
  <c r="J9" i="5"/>
  <c r="J10" i="5" s="1"/>
  <c r="C3" i="4" s="1"/>
  <c r="J16" i="5" l="1"/>
  <c r="F3" i="4" s="1"/>
  <c r="J15" i="5"/>
  <c r="E3" i="4" s="1"/>
  <c r="J14" i="5"/>
  <c r="G3" i="4" s="1"/>
  <c r="B3" i="4"/>
</calcChain>
</file>

<file path=xl/sharedStrings.xml><?xml version="1.0" encoding="utf-8"?>
<sst xmlns="http://schemas.openxmlformats.org/spreadsheetml/2006/main" count="8474" uniqueCount="212">
  <si>
    <t xml:space="preserve">Date  </t>
  </si>
  <si>
    <t>ABBOTINDIA</t>
  </si>
  <si>
    <t>ALKEM</t>
  </si>
  <si>
    <t>AUROPHARMA</t>
  </si>
  <si>
    <t>LUPIN</t>
  </si>
  <si>
    <t>ZYDUSLIFE</t>
  </si>
  <si>
    <t>TORNTPHARM</t>
  </si>
  <si>
    <t>DRREDDY</t>
  </si>
  <si>
    <t>SUNPHARMA</t>
  </si>
  <si>
    <t>CIPLA</t>
  </si>
  <si>
    <t>DIVISLAB</t>
  </si>
  <si>
    <t>Portfolio Return</t>
  </si>
  <si>
    <t>SBI Net Asset Value</t>
  </si>
  <si>
    <t>Nippon Net Asset Value</t>
  </si>
  <si>
    <t>Return of SBI</t>
  </si>
  <si>
    <t>Return of Nippon</t>
  </si>
  <si>
    <t>Portfolio 2 Return</t>
  </si>
  <si>
    <t>Portfolio 3 Return</t>
  </si>
  <si>
    <t>Portfolio 4 Return (SBI/Nippon Blend)</t>
  </si>
  <si>
    <t>-</t>
  </si>
  <si>
    <t>Company</t>
  </si>
  <si>
    <t>Years</t>
  </si>
  <si>
    <t>EBITDA Margin</t>
  </si>
  <si>
    <t>Free Cashflow</t>
  </si>
  <si>
    <t>Net Debt</t>
  </si>
  <si>
    <t>ROE</t>
  </si>
  <si>
    <t>Revenue Growth</t>
  </si>
  <si>
    <t>Sun Pharmaceutical</t>
  </si>
  <si>
    <t>Dr Reddy</t>
  </si>
  <si>
    <t>Divi's Laboratories</t>
  </si>
  <si>
    <t>Cipla</t>
  </si>
  <si>
    <t>Torrent Pharma</t>
  </si>
  <si>
    <t>Zydus Lifesciences Ltd</t>
  </si>
  <si>
    <t>Lupin</t>
  </si>
  <si>
    <t>Aurobindo Pharma Ltd</t>
  </si>
  <si>
    <t>Alkem Labs</t>
  </si>
  <si>
    <t>Abbott India</t>
  </si>
  <si>
    <t>Statistic</t>
  </si>
  <si>
    <t xml:space="preserve">Portfolio </t>
  </si>
  <si>
    <t>Beta according to SBI</t>
  </si>
  <si>
    <t>Average daily return</t>
  </si>
  <si>
    <t>Annualised Return</t>
  </si>
  <si>
    <t>Std Dev</t>
  </si>
  <si>
    <t>Annualised Std Dev</t>
  </si>
  <si>
    <t>Beta according to Nippon</t>
  </si>
  <si>
    <t>Covariance</t>
  </si>
  <si>
    <t>SBI MF</t>
  </si>
  <si>
    <t>Nippon MF</t>
  </si>
  <si>
    <t xml:space="preserve">Start date </t>
  </si>
  <si>
    <t>End Date</t>
  </si>
  <si>
    <t>Time</t>
  </si>
  <si>
    <t>Actual Return</t>
  </si>
  <si>
    <t>Expected Return</t>
  </si>
  <si>
    <t>SBI</t>
  </si>
  <si>
    <t>Nippon</t>
  </si>
  <si>
    <t>Rf</t>
  </si>
  <si>
    <t>Rm</t>
  </si>
  <si>
    <t>Jenson Alpha</t>
  </si>
  <si>
    <t>Correlation</t>
  </si>
  <si>
    <t>Sharp Ratio of portfolio</t>
  </si>
  <si>
    <t>Treynor Ratio</t>
  </si>
  <si>
    <t>A</t>
  </si>
  <si>
    <t>B</t>
  </si>
  <si>
    <t>Stock</t>
  </si>
  <si>
    <t>Weight</t>
  </si>
  <si>
    <t>Portfolio</t>
  </si>
  <si>
    <t>Return</t>
  </si>
  <si>
    <t>StdDev</t>
  </si>
  <si>
    <t>Beta</t>
  </si>
  <si>
    <t>Sharpe</t>
  </si>
  <si>
    <t>Treynor</t>
  </si>
  <si>
    <t>Alpha</t>
  </si>
  <si>
    <t>Portfolio 1 - Equal Weight</t>
  </si>
  <si>
    <t>Portfolio 2 - Fundamentals</t>
  </si>
  <si>
    <t>Portfolio 3 - Markowitz</t>
  </si>
  <si>
    <t>Portfolio 4 - SBI/Nippon Blend</t>
  </si>
  <si>
    <t>Portfolio 5 - SBI Healthcare Fund</t>
  </si>
  <si>
    <t>Portfolio 6 - Nippon Pharma Fund</t>
  </si>
  <si>
    <t>Portfolio 2 (Fundamentals-Weighted) and Portfolio 3 (Markowitz-Optimal)</t>
  </si>
  <si>
    <t>PORTFOLIO 2: Fundamentals-Weighted</t>
  </si>
  <si>
    <t>ROE FY26</t>
  </si>
  <si>
    <t>Rev Growth FY26</t>
  </si>
  <si>
    <t>Net Debt FY26</t>
  </si>
  <si>
    <t>Score</t>
  </si>
  <si>
    <t>Portfolio 2 — Performance Stats</t>
  </si>
  <si>
    <t>Average Daily Return</t>
  </si>
  <si>
    <t>Daily Std Dev</t>
  </si>
  <si>
    <t>Beta (vs SBI)</t>
  </si>
  <si>
    <t>Rf (assumption)</t>
  </si>
  <si>
    <t>Rm - SBI</t>
  </si>
  <si>
    <t>Jensen's Alpha</t>
  </si>
  <si>
    <t>Sharpe Ratio</t>
  </si>
  <si>
    <t>Total</t>
  </si>
  <si>
    <t>PORTFOLIO 3: Markowitz Mean-Variance Optimal (Max Sharpe)</t>
  </si>
  <si>
    <t>Portfolio 3 — Performance Stats</t>
  </si>
  <si>
    <t>Portfolio 4 (SBI/Nippon Blend), Portfolio 5 (SBI Fund), Portfolio 6 (Nippon Fund)</t>
  </si>
  <si>
    <t>PORTFOLIO 4: Benchmark Blend (50% SBI Healthcare + 50% Nippon India Pharma)</t>
  </si>
  <si>
    <t>Sales -</t>
  </si>
  <si>
    <t>Sales Growth %</t>
  </si>
  <si>
    <t>Expenses -</t>
  </si>
  <si>
    <t>Material Cost % -</t>
  </si>
  <si>
    <t>Raw material cost</t>
  </si>
  <si>
    <t>Change in inventory</t>
  </si>
  <si>
    <t>Manufacturing Cost %</t>
  </si>
  <si>
    <t>Employee Cost %</t>
  </si>
  <si>
    <t>Other Cost %</t>
  </si>
  <si>
    <t>Operating Profit</t>
  </si>
  <si>
    <t>OPM %</t>
  </si>
  <si>
    <t>Other Income -</t>
  </si>
  <si>
    <t>Exceptional items</t>
  </si>
  <si>
    <t>Other income normal</t>
  </si>
  <si>
    <t>Interest</t>
  </si>
  <si>
    <t>Depreciation</t>
  </si>
  <si>
    <t>Profit before tax</t>
  </si>
  <si>
    <t>Tax %</t>
  </si>
  <si>
    <t>Net Profit -</t>
  </si>
  <si>
    <t>Minority share</t>
  </si>
  <si>
    <t>Exceptional items AT</t>
  </si>
  <si>
    <t>Profit excl Excep</t>
  </si>
  <si>
    <t>Profit for PE</t>
  </si>
  <si>
    <t>Profit for EPS</t>
  </si>
  <si>
    <t>Profit Growth %</t>
  </si>
  <si>
    <t>EPS in Rs</t>
  </si>
  <si>
    <t>Dividend Payout %</t>
  </si>
  <si>
    <t>Equity Capital</t>
  </si>
  <si>
    <t>Reserves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</si>
  <si>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</si>
  <si>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</si>
  <si>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</si>
  <si>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</si>
  <si>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</si>
  <si>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</si>
  <si>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</si>
  <si>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</si>
  <si>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</si>
  <si>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</si>
  <si>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</si>
  <si>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</si>
  <si>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</si>
  <si>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</si>
  <si>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</si>
  <si>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</si>
  <si>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</si>
  <si>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</si>
  <si>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</si>
  <si>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</si>
  <si>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</si>
  <si>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</si>
  <si>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</si>
  <si>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</si>
  <si>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</si>
  <si>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</si>
  <si>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</si>
  <si>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</si>
  <si>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</si>
  <si>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</si>
  <si>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</si>
  <si>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</si>
  <si>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Cash from Operating Activity -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</si>
  <si>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</si>
  <si>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</si>
  <si>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</si>
  <si>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</si>
  <si>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</si>
  <si>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</si>
  <si>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</si>
  <si>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</si>
  <si>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</si>
  <si>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</si>
  <si>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</si>
  <si>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</si>
  <si>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</si>
  <si>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</si>
  <si>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Acquisition of companies</t>
  </si>
  <si>
    <t>Inter corporate deposits</t>
  </si>
  <si>
    <t>Other investing items</t>
  </si>
  <si>
    <t>Cash from Financing Activity -</t>
  </si>
  <si>
    <t>Proceeds from borrowings</t>
  </si>
  <si>
    <t>Repayment of borrowings</t>
  </si>
  <si>
    <t>Investment subsidy</t>
  </si>
  <si>
    <t>Interest paid fin</t>
  </si>
  <si>
    <t>Dividends paid</t>
  </si>
  <si>
    <t>Financial liabilities</t>
  </si>
  <si>
    <t>Net Cash Flow</t>
  </si>
  <si>
    <t>Free Cash Flow</t>
  </si>
  <si>
    <t>CFO/OP</t>
  </si>
  <si>
    <t>Material Cost % +</t>
  </si>
  <si>
    <t>Profit from Associates</t>
  </si>
  <si>
    <t>Trade receivables +</t>
  </si>
  <si>
    <t>Subsidy received</t>
  </si>
  <si>
    <t>Dividends received</t>
  </si>
  <si>
    <t>Investment in group cos</t>
  </si>
  <si>
    <t>Proceeds from shares</t>
  </si>
  <si>
    <t>Proceeds from debentures</t>
  </si>
  <si>
    <t>Other financing items</t>
  </si>
  <si>
    <t>Preference Capital</t>
  </si>
  <si>
    <t>Redemp n Canc of Shares</t>
  </si>
  <si>
    <t>Other operating items</t>
  </si>
  <si>
    <t>Exceptional CF items</t>
  </si>
  <si>
    <t>Profit &amp; Loss</t>
  </si>
  <si>
    <t>Balance Sheet</t>
  </si>
  <si>
    <t xml:space="preserve">Cash flow </t>
  </si>
  <si>
    <t>Share application money</t>
  </si>
  <si>
    <t>Date</t>
  </si>
  <si>
    <t>Daily Return</t>
  </si>
  <si>
    <t>CASH FLOW STATEMENT</t>
  </si>
  <si>
    <t>YEAR</t>
  </si>
  <si>
    <t>BALANCE SHEET</t>
  </si>
  <si>
    <t xml:space="preserve">Sun Pharmaceutical </t>
  </si>
  <si>
    <t xml:space="preserve"> </t>
  </si>
  <si>
    <t>Divis Laboratories</t>
  </si>
  <si>
    <t>*Dr Reddy stock was split in 1:5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</si>
</sst>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-mmm\-yy"/>
    <numFmt numFmtId="165" formatCode="0.000%"/>
    <numFmt numFmtId="166" formatCode="0.0000"/>
    <numFmt numFmtId="167" formatCode="0.000"/>
    <numFmt numFmtId="168" formatCode="0.0%"/>
    <numFmt numFmtId="169" formatCode="mmm\ yyyy"/>
    <numFmt numFmtId="170" formatCode="0.00000000"/>
    <numFmt numFmtId="171" formatCode="0.00000"/>
  </numFmts>
  <fonts count="43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1F1F1F"/>
      <name val="Arial"/>
      <family val="2"/>
      <charset val="1"/>
    </font>
    <font>
      <b/>
      <sz val="11"/>
      <color rgb="FF1F1F1F"/>
      <name val="&quot;Google Sans&quot;"/>
      <charset val="1"/>
    </font>
    <font>
      <b/>
      <sz val="11"/>
      <color theme="0"/>
      <name val="Arial"/>
      <family val="2"/>
      <charset val="1"/>
    </font>
    <font>
      <b/>
      <sz val="11"/>
      <name val="Arial"/>
      <family val="2"/>
    </font>
    <font>
      <b/>
      <sz val="14"/>
      <color rgb="FF000000"/>
      <name val="Arial"/>
      <family val="2"/>
      <charset val="1"/>
    </font>
    <font>
      <sz val="10"/>
      <color rgb="FF606F7B"/>
      <name val="InterVariable"/>
      <charset val="1"/>
    </font>
    <font>
      <sz val="10"/>
      <color rgb="FF22222F"/>
      <name val="InterVariable"/>
      <charset val="1"/>
    </font>
    <font>
      <sz val="13"/>
      <color rgb="FF606F7B"/>
      <name val="Arial"/>
      <family val="2"/>
      <charset val="1"/>
    </font>
    <font>
      <sz val="13"/>
      <color theme="1"/>
      <name val="Arial"/>
      <family val="2"/>
      <charset val="1"/>
    </font>
    <font>
      <b/>
      <sz val="14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  <charset val="1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Calibri"/>
      <family val="2"/>
      <charset val="1"/>
    </font>
    <font>
      <b/>
      <sz val="11"/>
      <color rgb="FF000000"/>
      <name val="Arial"/>
      <family val="2"/>
    </font>
    <font>
      <b/>
      <sz val="10"/>
      <color rgb="FF606F7B"/>
      <name val="InterVariable"/>
      <charset val="1"/>
    </font>
    <font>
      <b/>
      <sz val="10"/>
      <color theme="1"/>
      <name val="InterVariable"/>
      <charset val="1"/>
    </font>
    <font>
      <b/>
      <sz val="10"/>
      <color rgb="FF22222F"/>
      <name val="InterVariable"/>
      <charset val="1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606F7B"/>
      <name val="InterVariable"/>
    </font>
    <font>
      <b/>
      <sz val="10"/>
      <color theme="1"/>
      <name val="InterVariable"/>
    </font>
    <font>
      <b/>
      <sz val="11"/>
      <color rgb="FF0000FF"/>
      <name val="Arial"/>
      <family val="2"/>
    </font>
    <font>
      <b/>
      <sz val="10"/>
      <color rgb="FF22222F"/>
      <name val="InterVariable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3"/>
      <color theme="1"/>
      <name val="Arial"/>
      <family val="2"/>
      <charset val="1"/>
    </font>
    <font>
      <b/>
      <sz val="10"/>
      <color rgb="FF22222F"/>
      <name val="Arial"/>
      <family val="2"/>
      <charset val="1"/>
    </font>
    <font>
      <b/>
      <sz val="13"/>
      <color rgb="FF606F7B"/>
      <name val="Arial"/>
      <family val="2"/>
      <charset val="1"/>
    </font>
    <font>
      <b/>
      <sz val="12"/>
      <color rgb="FF22222F"/>
      <name val="InterVariable"/>
      <charset val="1"/>
    </font>
    <font>
      <b/>
      <sz val="11"/>
      <color theme="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theme="4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DBE4F0"/>
      </patternFill>
    </fill>
    <fill>
      <patternFill patternType="solid">
        <fgColor rgb="FFFFFFFF"/>
        <bgColor rgb="FFF8F8FC"/>
      </patternFill>
    </fill>
    <fill>
      <patternFill patternType="solid">
        <fgColor rgb="FFF8F8F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rgb="FFFF99CC"/>
      </patternFill>
    </fill>
    <fill>
      <patternFill patternType="solid">
        <fgColor theme="4" tint="0.79998168889431442"/>
        <bgColor rgb="FF0066CC"/>
      </patternFill>
    </fill>
    <fill>
      <patternFill patternType="solid">
        <fgColor theme="4" tint="0.79998168889431442"/>
        <bgColor rgb="FF8EB6F8"/>
      </patternFill>
    </fill>
    <fill>
      <patternFill patternType="solid">
        <fgColor theme="8" tint="0.79998168889431442"/>
        <bgColor rgb="FFDBE4F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rgb="FFF8F8FC"/>
      </patternFill>
    </fill>
    <fill>
      <patternFill patternType="solid">
        <fgColor theme="4" tint="0.79998168889431442"/>
        <bgColor rgb="FFF8F8F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rgb="FFF8F8FC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F8F8FC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F8F8FC"/>
      </patternFill>
    </fill>
    <fill>
      <patternFill patternType="solid">
        <fgColor theme="2" tint="-0.249977111117893"/>
        <bgColor rgb="FFF8F8FC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9" tint="0.79998168889431442"/>
        <bgColor rgb="FFF8F8FC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2" tint="-4.9989318521683403E-2"/>
        <bgColor rgb="FFF8F8FC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rgb="FF0066CC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BE4F0"/>
      </bottom>
      <diagonal/>
    </border>
    <border>
      <left/>
      <right/>
      <top style="medium">
        <color rgb="FFDBE4F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/>
  </cellStyleXfs>
  <cellXfs count="464">
    <xf numFmtId="0" fontId="0" fillId="0" borderId="0" xfId="0"/>
    <xf numFmtId="0" fontId="2" fillId="0" borderId="0" xfId="0" applyFont="1"/>
    <xf numFmtId="10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10" fontId="0" fillId="0" borderId="0" xfId="0" applyNumberFormat="1" applyAlignment="1">
      <alignment horizontal="righ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5" xfId="0" applyFont="1" applyBorder="1"/>
    <xf numFmtId="169" fontId="9" fillId="5" borderId="0" xfId="0" applyNumberFormat="1" applyFont="1" applyFill="1" applyAlignment="1">
      <alignment horizontal="right"/>
    </xf>
    <xf numFmtId="0" fontId="9" fillId="5" borderId="7" xfId="0" applyFont="1" applyFill="1" applyBorder="1" applyAlignment="1">
      <alignment horizontal="right"/>
    </xf>
    <xf numFmtId="3" fontId="10" fillId="6" borderId="8" xfId="0" applyNumberFormat="1" applyFont="1" applyFill="1" applyBorder="1" applyAlignment="1">
      <alignment horizontal="right"/>
    </xf>
    <xf numFmtId="0" fontId="10" fillId="6" borderId="0" xfId="0" applyFont="1" applyFill="1" applyAlignment="1">
      <alignment horizontal="right"/>
    </xf>
    <xf numFmtId="3" fontId="10" fillId="5" borderId="8" xfId="0" applyNumberFormat="1" applyFont="1" applyFill="1" applyBorder="1" applyAlignment="1">
      <alignment horizontal="right"/>
    </xf>
    <xf numFmtId="0" fontId="10" fillId="5" borderId="8" xfId="0" applyFont="1" applyFill="1" applyBorder="1" applyAlignment="1">
      <alignment horizontal="right"/>
    </xf>
    <xf numFmtId="0" fontId="10" fillId="5" borderId="0" xfId="0" applyFont="1" applyFill="1" applyAlignment="1">
      <alignment horizontal="right"/>
    </xf>
    <xf numFmtId="9" fontId="10" fillId="5" borderId="0" xfId="0" applyNumberFormat="1" applyFont="1" applyFill="1" applyAlignment="1">
      <alignment horizontal="right"/>
    </xf>
    <xf numFmtId="0" fontId="10" fillId="6" borderId="8" xfId="0" applyFont="1" applyFill="1" applyBorder="1" applyAlignment="1">
      <alignment horizontal="right"/>
    </xf>
    <xf numFmtId="3" fontId="10" fillId="6" borderId="0" xfId="0" applyNumberFormat="1" applyFont="1" applyFill="1" applyAlignment="1">
      <alignment horizontal="right"/>
    </xf>
    <xf numFmtId="0" fontId="10" fillId="5" borderId="0" xfId="0" applyFont="1" applyFill="1"/>
    <xf numFmtId="0" fontId="11" fillId="0" borderId="0" xfId="0" applyFont="1" applyAlignment="1">
      <alignment horizontal="left"/>
    </xf>
    <xf numFmtId="0" fontId="9" fillId="5" borderId="0" xfId="0" applyFont="1" applyFill="1" applyAlignment="1">
      <alignment horizontal="right"/>
    </xf>
    <xf numFmtId="0" fontId="12" fillId="0" borderId="0" xfId="0" applyFont="1"/>
    <xf numFmtId="0" fontId="19" fillId="8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20" fillId="9" borderId="1" xfId="0" applyFont="1" applyFill="1" applyBorder="1" applyAlignment="1">
      <alignment horizontal="center"/>
    </xf>
    <xf numFmtId="167" fontId="20" fillId="9" borderId="1" xfId="0" applyNumberFormat="1" applyFont="1" applyFill="1" applyBorder="1" applyAlignment="1">
      <alignment horizontal="center"/>
    </xf>
    <xf numFmtId="3" fontId="20" fillId="9" borderId="1" xfId="0" applyNumberFormat="1" applyFont="1" applyFill="1" applyBorder="1" applyAlignment="1">
      <alignment horizontal="center"/>
    </xf>
    <xf numFmtId="10" fontId="20" fillId="9" borderId="1" xfId="0" applyNumberFormat="1" applyFont="1" applyFill="1" applyBorder="1" applyAlignment="1">
      <alignment horizontal="center"/>
    </xf>
    <xf numFmtId="0" fontId="4" fillId="10" borderId="1" xfId="0" applyFont="1" applyFill="1" applyBorder="1"/>
    <xf numFmtId="0" fontId="20" fillId="10" borderId="1" xfId="0" applyFont="1" applyFill="1" applyBorder="1" applyAlignment="1">
      <alignment horizontal="center"/>
    </xf>
    <xf numFmtId="167" fontId="20" fillId="10" borderId="1" xfId="0" applyNumberFormat="1" applyFont="1" applyFill="1" applyBorder="1" applyAlignment="1">
      <alignment horizontal="center"/>
    </xf>
    <xf numFmtId="3" fontId="20" fillId="10" borderId="1" xfId="0" applyNumberFormat="1" applyFont="1" applyFill="1" applyBorder="1" applyAlignment="1">
      <alignment horizontal="center"/>
    </xf>
    <xf numFmtId="10" fontId="20" fillId="10" borderId="1" xfId="0" applyNumberFormat="1" applyFont="1" applyFill="1" applyBorder="1" applyAlignment="1">
      <alignment horizontal="center"/>
    </xf>
    <xf numFmtId="0" fontId="4" fillId="11" borderId="1" xfId="0" applyFont="1" applyFill="1" applyBorder="1"/>
    <xf numFmtId="0" fontId="20" fillId="11" borderId="1" xfId="0" applyFont="1" applyFill="1" applyBorder="1" applyAlignment="1">
      <alignment horizontal="center"/>
    </xf>
    <xf numFmtId="167" fontId="20" fillId="11" borderId="1" xfId="0" applyNumberFormat="1" applyFont="1" applyFill="1" applyBorder="1" applyAlignment="1">
      <alignment horizontal="center"/>
    </xf>
    <xf numFmtId="3" fontId="20" fillId="11" borderId="1" xfId="0" applyNumberFormat="1" applyFont="1" applyFill="1" applyBorder="1" applyAlignment="1">
      <alignment horizontal="center"/>
    </xf>
    <xf numFmtId="10" fontId="20" fillId="11" borderId="1" xfId="0" applyNumberFormat="1" applyFont="1" applyFill="1" applyBorder="1" applyAlignment="1">
      <alignment horizontal="center"/>
    </xf>
    <xf numFmtId="0" fontId="4" fillId="12" borderId="1" xfId="0" applyFont="1" applyFill="1" applyBorder="1"/>
    <xf numFmtId="0" fontId="20" fillId="12" borderId="1" xfId="0" applyFont="1" applyFill="1" applyBorder="1" applyAlignment="1">
      <alignment horizontal="center"/>
    </xf>
    <xf numFmtId="167" fontId="20" fillId="12" borderId="1" xfId="0" applyNumberFormat="1" applyFont="1" applyFill="1" applyBorder="1" applyAlignment="1">
      <alignment horizontal="center"/>
    </xf>
    <xf numFmtId="3" fontId="20" fillId="12" borderId="1" xfId="0" applyNumberFormat="1" applyFont="1" applyFill="1" applyBorder="1" applyAlignment="1">
      <alignment horizontal="center"/>
    </xf>
    <xf numFmtId="10" fontId="20" fillId="12" borderId="1" xfId="0" applyNumberFormat="1" applyFont="1" applyFill="1" applyBorder="1" applyAlignment="1">
      <alignment horizontal="center"/>
    </xf>
    <xf numFmtId="0" fontId="5" fillId="13" borderId="1" xfId="0" applyFont="1" applyFill="1" applyBorder="1"/>
    <xf numFmtId="0" fontId="20" fillId="13" borderId="1" xfId="0" applyFont="1" applyFill="1" applyBorder="1" applyAlignment="1">
      <alignment horizontal="center"/>
    </xf>
    <xf numFmtId="167" fontId="20" fillId="13" borderId="1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10" fontId="20" fillId="13" borderId="1" xfId="0" applyNumberFormat="1" applyFont="1" applyFill="1" applyBorder="1" applyAlignment="1">
      <alignment horizontal="center"/>
    </xf>
    <xf numFmtId="0" fontId="2" fillId="14" borderId="1" xfId="0" applyFont="1" applyFill="1" applyBorder="1"/>
    <xf numFmtId="0" fontId="20" fillId="14" borderId="1" xfId="0" applyFont="1" applyFill="1" applyBorder="1" applyAlignment="1">
      <alignment horizontal="center"/>
    </xf>
    <xf numFmtId="167" fontId="21" fillId="14" borderId="1" xfId="0" applyNumberFormat="1" applyFont="1" applyFill="1" applyBorder="1" applyAlignment="1">
      <alignment horizontal="center"/>
    </xf>
    <xf numFmtId="3" fontId="21" fillId="14" borderId="1" xfId="0" applyNumberFormat="1" applyFont="1" applyFill="1" applyBorder="1" applyAlignment="1">
      <alignment horizontal="center"/>
    </xf>
    <xf numFmtId="10" fontId="21" fillId="14" borderId="1" xfId="0" applyNumberFormat="1" applyFont="1" applyFill="1" applyBorder="1" applyAlignment="1">
      <alignment horizontal="center"/>
    </xf>
    <xf numFmtId="0" fontId="2" fillId="15" borderId="1" xfId="0" applyFont="1" applyFill="1" applyBorder="1"/>
    <xf numFmtId="0" fontId="20" fillId="15" borderId="1" xfId="0" applyFont="1" applyFill="1" applyBorder="1" applyAlignment="1">
      <alignment horizontal="center"/>
    </xf>
    <xf numFmtId="167" fontId="21" fillId="15" borderId="1" xfId="0" applyNumberFormat="1" applyFont="1" applyFill="1" applyBorder="1" applyAlignment="1">
      <alignment horizontal="center"/>
    </xf>
    <xf numFmtId="0" fontId="21" fillId="15" borderId="1" xfId="0" applyFont="1" applyFill="1" applyBorder="1" applyAlignment="1">
      <alignment horizontal="center"/>
    </xf>
    <xf numFmtId="3" fontId="21" fillId="15" borderId="1" xfId="0" applyNumberFormat="1" applyFont="1" applyFill="1" applyBorder="1" applyAlignment="1">
      <alignment horizontal="center"/>
    </xf>
    <xf numFmtId="10" fontId="21" fillId="15" borderId="1" xfId="0" applyNumberFormat="1" applyFont="1" applyFill="1" applyBorder="1" applyAlignment="1">
      <alignment horizontal="center"/>
    </xf>
    <xf numFmtId="0" fontId="2" fillId="16" borderId="1" xfId="0" applyFont="1" applyFill="1" applyBorder="1"/>
    <xf numFmtId="0" fontId="20" fillId="16" borderId="1" xfId="0" applyFont="1" applyFill="1" applyBorder="1" applyAlignment="1">
      <alignment horizontal="center"/>
    </xf>
    <xf numFmtId="167" fontId="21" fillId="16" borderId="1" xfId="0" applyNumberFormat="1" applyFont="1" applyFill="1" applyBorder="1" applyAlignment="1">
      <alignment horizontal="center"/>
    </xf>
    <xf numFmtId="3" fontId="21" fillId="16" borderId="1" xfId="0" applyNumberFormat="1" applyFont="1" applyFill="1" applyBorder="1" applyAlignment="1">
      <alignment horizontal="center"/>
    </xf>
    <xf numFmtId="10" fontId="21" fillId="16" borderId="1" xfId="0" applyNumberFormat="1" applyFont="1" applyFill="1" applyBorder="1" applyAlignment="1">
      <alignment horizontal="center"/>
    </xf>
    <xf numFmtId="0" fontId="2" fillId="17" borderId="1" xfId="0" applyFont="1" applyFill="1" applyBorder="1"/>
    <xf numFmtId="0" fontId="20" fillId="17" borderId="1" xfId="0" applyFont="1" applyFill="1" applyBorder="1" applyAlignment="1">
      <alignment horizontal="center"/>
    </xf>
    <xf numFmtId="167" fontId="21" fillId="17" borderId="1" xfId="0" applyNumberFormat="1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3" fontId="21" fillId="17" borderId="1" xfId="0" applyNumberFormat="1" applyFont="1" applyFill="1" applyBorder="1" applyAlignment="1">
      <alignment horizontal="center"/>
    </xf>
    <xf numFmtId="10" fontId="21" fillId="17" borderId="1" xfId="0" applyNumberFormat="1" applyFont="1" applyFill="1" applyBorder="1" applyAlignment="1">
      <alignment horizontal="center"/>
    </xf>
    <xf numFmtId="0" fontId="2" fillId="18" borderId="1" xfId="0" applyFont="1" applyFill="1" applyBorder="1"/>
    <xf numFmtId="0" fontId="20" fillId="18" borderId="1" xfId="0" applyFont="1" applyFill="1" applyBorder="1" applyAlignment="1">
      <alignment horizontal="center"/>
    </xf>
    <xf numFmtId="167" fontId="21" fillId="18" borderId="1" xfId="0" applyNumberFormat="1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3" fontId="21" fillId="18" borderId="1" xfId="0" applyNumberFormat="1" applyFont="1" applyFill="1" applyBorder="1" applyAlignment="1">
      <alignment horizontal="center"/>
    </xf>
    <xf numFmtId="10" fontId="21" fillId="18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0" fillId="0" borderId="1" xfId="0" applyBorder="1"/>
    <xf numFmtId="0" fontId="21" fillId="0" borderId="1" xfId="0" applyFont="1" applyBorder="1"/>
    <xf numFmtId="164" fontId="21" fillId="4" borderId="1" xfId="0" applyNumberFormat="1" applyFont="1" applyFill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10" fontId="21" fillId="9" borderId="1" xfId="0" applyNumberFormat="1" applyFont="1" applyFill="1" applyBorder="1" applyAlignment="1">
      <alignment horizontal="center"/>
    </xf>
    <xf numFmtId="165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10" fontId="20" fillId="14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22" fillId="9" borderId="0" xfId="0" applyFont="1" applyFill="1"/>
    <xf numFmtId="166" fontId="21" fillId="13" borderId="1" xfId="0" applyNumberFormat="1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/>
    </xf>
    <xf numFmtId="166" fontId="20" fillId="16" borderId="1" xfId="0" applyNumberFormat="1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/>
    </xf>
    <xf numFmtId="0" fontId="21" fillId="25" borderId="1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/>
    </xf>
    <xf numFmtId="165" fontId="2" fillId="11" borderId="16" xfId="0" applyNumberFormat="1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2" fillId="11" borderId="23" xfId="0" applyFont="1" applyFill="1" applyBorder="1"/>
    <xf numFmtId="0" fontId="2" fillId="11" borderId="24" xfId="0" applyFont="1" applyFill="1" applyBorder="1"/>
    <xf numFmtId="165" fontId="2" fillId="11" borderId="24" xfId="0" applyNumberFormat="1" applyFont="1" applyFill="1" applyBorder="1"/>
    <xf numFmtId="0" fontId="2" fillId="11" borderId="25" xfId="0" applyFont="1" applyFill="1" applyBorder="1"/>
    <xf numFmtId="0" fontId="2" fillId="11" borderId="26" xfId="0" applyFont="1" applyFill="1" applyBorder="1"/>
    <xf numFmtId="165" fontId="2" fillId="11" borderId="26" xfId="0" applyNumberFormat="1" applyFont="1" applyFill="1" applyBorder="1"/>
    <xf numFmtId="0" fontId="2" fillId="11" borderId="27" xfId="0" applyFont="1" applyFill="1" applyBorder="1"/>
    <xf numFmtId="0" fontId="2" fillId="11" borderId="24" xfId="0" applyFont="1" applyFill="1" applyBorder="1" applyAlignment="1">
      <alignment horizontal="center"/>
    </xf>
    <xf numFmtId="165" fontId="2" fillId="11" borderId="24" xfId="0" applyNumberFormat="1" applyFont="1" applyFill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2" fillId="11" borderId="18" xfId="0" applyFont="1" applyFill="1" applyBorder="1"/>
    <xf numFmtId="0" fontId="2" fillId="11" borderId="20" xfId="0" applyFont="1" applyFill="1" applyBorder="1"/>
    <xf numFmtId="0" fontId="2" fillId="11" borderId="23" xfId="0" applyFont="1" applyFill="1" applyBorder="1" applyAlignment="1">
      <alignment horizontal="center"/>
    </xf>
    <xf numFmtId="167" fontId="21" fillId="13" borderId="1" xfId="0" applyNumberFormat="1" applyFont="1" applyFill="1" applyBorder="1" applyAlignment="1">
      <alignment horizontal="center" vertical="center" wrapText="1"/>
    </xf>
    <xf numFmtId="167" fontId="21" fillId="13" borderId="1" xfId="0" applyNumberFormat="1" applyFont="1" applyFill="1" applyBorder="1" applyAlignment="1">
      <alignment horizontal="center"/>
    </xf>
    <xf numFmtId="0" fontId="21" fillId="9" borderId="1" xfId="0" applyFont="1" applyFill="1" applyBorder="1"/>
    <xf numFmtId="0" fontId="21" fillId="9" borderId="19" xfId="0" applyFont="1" applyFill="1" applyBorder="1" applyAlignment="1">
      <alignment horizontal="center"/>
    </xf>
    <xf numFmtId="0" fontId="21" fillId="9" borderId="21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2" fontId="21" fillId="9" borderId="1" xfId="0" applyNumberFormat="1" applyFont="1" applyFill="1" applyBorder="1" applyAlignment="1">
      <alignment horizontal="center"/>
    </xf>
    <xf numFmtId="10" fontId="21" fillId="9" borderId="21" xfId="0" applyNumberFormat="1" applyFont="1" applyFill="1" applyBorder="1" applyAlignment="1">
      <alignment horizontal="center"/>
    </xf>
    <xf numFmtId="170" fontId="21" fillId="9" borderId="1" xfId="0" applyNumberFormat="1" applyFont="1" applyFill="1" applyBorder="1" applyAlignment="1">
      <alignment horizontal="center" vertical="center" wrapText="1"/>
    </xf>
    <xf numFmtId="170" fontId="21" fillId="9" borderId="19" xfId="0" applyNumberFormat="1" applyFont="1" applyFill="1" applyBorder="1" applyAlignment="1">
      <alignment horizontal="center" vertical="center" wrapText="1"/>
    </xf>
    <xf numFmtId="170" fontId="21" fillId="9" borderId="1" xfId="0" applyNumberFormat="1" applyFont="1" applyFill="1" applyBorder="1" applyAlignment="1">
      <alignment horizontal="center"/>
    </xf>
    <xf numFmtId="170" fontId="21" fillId="9" borderId="19" xfId="0" applyNumberFormat="1" applyFont="1" applyFill="1" applyBorder="1" applyAlignment="1">
      <alignment horizontal="center"/>
    </xf>
    <xf numFmtId="170" fontId="21" fillId="9" borderId="21" xfId="0" applyNumberFormat="1" applyFont="1" applyFill="1" applyBorder="1" applyAlignment="1">
      <alignment horizontal="center"/>
    </xf>
    <xf numFmtId="170" fontId="21" fillId="9" borderId="22" xfId="0" applyNumberFormat="1" applyFont="1" applyFill="1" applyBorder="1" applyAlignment="1">
      <alignment horizontal="center"/>
    </xf>
    <xf numFmtId="165" fontId="21" fillId="26" borderId="1" xfId="0" applyNumberFormat="1" applyFont="1" applyFill="1" applyBorder="1" applyAlignment="1">
      <alignment horizontal="center" vertical="center" wrapText="1"/>
    </xf>
    <xf numFmtId="165" fontId="21" fillId="26" borderId="19" xfId="0" applyNumberFormat="1" applyFont="1" applyFill="1" applyBorder="1" applyAlignment="1">
      <alignment horizontal="center" vertical="center" wrapText="1"/>
    </xf>
    <xf numFmtId="10" fontId="21" fillId="26" borderId="1" xfId="0" applyNumberFormat="1" applyFont="1" applyFill="1" applyBorder="1" applyAlignment="1">
      <alignment horizontal="center" vertical="center" wrapText="1"/>
    </xf>
    <xf numFmtId="10" fontId="21" fillId="26" borderId="19" xfId="0" applyNumberFormat="1" applyFont="1" applyFill="1" applyBorder="1" applyAlignment="1">
      <alignment horizontal="center" vertical="center" wrapText="1"/>
    </xf>
    <xf numFmtId="10" fontId="21" fillId="26" borderId="21" xfId="0" applyNumberFormat="1" applyFont="1" applyFill="1" applyBorder="1" applyAlignment="1">
      <alignment horizontal="center" vertical="center" wrapText="1"/>
    </xf>
    <xf numFmtId="10" fontId="21" fillId="26" borderId="22" xfId="0" applyNumberFormat="1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168" fontId="18" fillId="26" borderId="1" xfId="0" applyNumberFormat="1" applyFont="1" applyFill="1" applyBorder="1" applyAlignment="1">
      <alignment horizontal="center"/>
    </xf>
    <xf numFmtId="2" fontId="18" fillId="26" borderId="1" xfId="0" applyNumberFormat="1" applyFont="1" applyFill="1" applyBorder="1" applyAlignment="1">
      <alignment horizontal="center"/>
    </xf>
    <xf numFmtId="168" fontId="18" fillId="26" borderId="19" xfId="0" applyNumberFormat="1" applyFont="1" applyFill="1" applyBorder="1" applyAlignment="1">
      <alignment horizontal="center"/>
    </xf>
    <xf numFmtId="168" fontId="18" fillId="26" borderId="21" xfId="0" applyNumberFormat="1" applyFont="1" applyFill="1" applyBorder="1" applyAlignment="1">
      <alignment horizontal="center"/>
    </xf>
    <xf numFmtId="2" fontId="18" fillId="26" borderId="21" xfId="0" applyNumberFormat="1" applyFont="1" applyFill="1" applyBorder="1" applyAlignment="1">
      <alignment horizontal="center"/>
    </xf>
    <xf numFmtId="168" fontId="18" fillId="26" borderId="22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0" fontId="2" fillId="12" borderId="1" xfId="0" applyFont="1" applyFill="1" applyBorder="1"/>
    <xf numFmtId="171" fontId="21" fillId="27" borderId="1" xfId="0" applyNumberFormat="1" applyFont="1" applyFill="1" applyBorder="1" applyAlignment="1">
      <alignment horizontal="center"/>
    </xf>
    <xf numFmtId="171" fontId="21" fillId="27" borderId="20" xfId="0" applyNumberFormat="1" applyFont="1" applyFill="1" applyBorder="1"/>
    <xf numFmtId="171" fontId="21" fillId="27" borderId="21" xfId="0" applyNumberFormat="1" applyFont="1" applyFill="1" applyBorder="1"/>
    <xf numFmtId="0" fontId="0" fillId="28" borderId="0" xfId="0" applyFill="1"/>
    <xf numFmtId="171" fontId="21" fillId="27" borderId="32" xfId="0" applyNumberFormat="1" applyFont="1" applyFill="1" applyBorder="1"/>
    <xf numFmtId="0" fontId="0" fillId="28" borderId="1" xfId="0" applyFill="1" applyBorder="1"/>
    <xf numFmtId="0" fontId="0" fillId="12" borderId="9" xfId="0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1" fillId="11" borderId="15" xfId="0" applyFont="1" applyFill="1" applyBorder="1"/>
    <xf numFmtId="0" fontId="21" fillId="11" borderId="18" xfId="0" applyFont="1" applyFill="1" applyBorder="1"/>
    <xf numFmtId="0" fontId="21" fillId="11" borderId="20" xfId="0" applyFont="1" applyFill="1" applyBorder="1"/>
    <xf numFmtId="0" fontId="21" fillId="11" borderId="16" xfId="0" applyFont="1" applyFill="1" applyBorder="1" applyAlignment="1">
      <alignment horizontal="center"/>
    </xf>
    <xf numFmtId="0" fontId="0" fillId="11" borderId="0" xfId="0" applyFill="1"/>
    <xf numFmtId="4" fontId="21" fillId="9" borderId="1" xfId="0" applyNumberFormat="1" applyFont="1" applyFill="1" applyBorder="1" applyAlignment="1">
      <alignment horizontal="center"/>
    </xf>
    <xf numFmtId="9" fontId="21" fillId="9" borderId="1" xfId="0" applyNumberFormat="1" applyFont="1" applyFill="1" applyBorder="1" applyAlignment="1">
      <alignment horizontal="center"/>
    </xf>
    <xf numFmtId="164" fontId="21" fillId="27" borderId="1" xfId="0" applyNumberFormat="1" applyFont="1" applyFill="1" applyBorder="1" applyAlignment="1">
      <alignment horizontal="center"/>
    </xf>
    <xf numFmtId="167" fontId="21" fillId="27" borderId="1" xfId="0" applyNumberFormat="1" applyFont="1" applyFill="1" applyBorder="1" applyAlignment="1">
      <alignment horizontal="center"/>
    </xf>
    <xf numFmtId="0" fontId="21" fillId="27" borderId="1" xfId="0" applyFont="1" applyFill="1" applyBorder="1" applyAlignment="1">
      <alignment horizontal="center"/>
    </xf>
    <xf numFmtId="0" fontId="21" fillId="27" borderId="2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vertical="center" wrapText="1"/>
    </xf>
    <xf numFmtId="0" fontId="21" fillId="13" borderId="1" xfId="0" applyFont="1" applyFill="1" applyBorder="1" applyAlignment="1">
      <alignment horizontal="right" vertical="center" wrapText="1"/>
    </xf>
    <xf numFmtId="9" fontId="21" fillId="13" borderId="1" xfId="0" applyNumberFormat="1" applyFont="1" applyFill="1" applyBorder="1" applyAlignment="1">
      <alignment horizontal="right" vertical="center" wrapText="1"/>
    </xf>
    <xf numFmtId="169" fontId="25" fillId="5" borderId="1" xfId="0" applyNumberFormat="1" applyFont="1" applyFill="1" applyBorder="1" applyAlignment="1">
      <alignment horizontal="right"/>
    </xf>
    <xf numFmtId="169" fontId="25" fillId="29" borderId="1" xfId="0" applyNumberFormat="1" applyFont="1" applyFill="1" applyBorder="1" applyAlignment="1">
      <alignment horizontal="center"/>
    </xf>
    <xf numFmtId="0" fontId="26" fillId="11" borderId="1" xfId="0" applyFont="1" applyFill="1" applyBorder="1" applyAlignment="1">
      <alignment horizontal="left"/>
    </xf>
    <xf numFmtId="0" fontId="27" fillId="11" borderId="1" xfId="0" applyFont="1" applyFill="1" applyBorder="1" applyAlignment="1">
      <alignment horizontal="left"/>
    </xf>
    <xf numFmtId="169" fontId="25" fillId="29" borderId="1" xfId="0" applyNumberFormat="1" applyFont="1" applyFill="1" applyBorder="1" applyAlignment="1">
      <alignment horizontal="right"/>
    </xf>
    <xf numFmtId="0" fontId="25" fillId="11" borderId="1" xfId="0" applyFont="1" applyFill="1" applyBorder="1" applyAlignment="1">
      <alignment horizontal="left"/>
    </xf>
    <xf numFmtId="0" fontId="21" fillId="11" borderId="1" xfId="0" applyFont="1" applyFill="1" applyBorder="1"/>
    <xf numFmtId="3" fontId="27" fillId="31" borderId="1" xfId="0" applyNumberFormat="1" applyFont="1" applyFill="1" applyBorder="1" applyAlignment="1">
      <alignment horizontal="right"/>
    </xf>
    <xf numFmtId="10" fontId="27" fillId="31" borderId="1" xfId="0" applyNumberFormat="1" applyFont="1" applyFill="1" applyBorder="1" applyAlignment="1">
      <alignment horizontal="right"/>
    </xf>
    <xf numFmtId="3" fontId="27" fillId="30" borderId="1" xfId="0" applyNumberFormat="1" applyFont="1" applyFill="1" applyBorder="1" applyAlignment="1">
      <alignment horizontal="right"/>
    </xf>
    <xf numFmtId="10" fontId="27" fillId="30" borderId="1" xfId="0" applyNumberFormat="1" applyFont="1" applyFill="1" applyBorder="1" applyAlignment="1">
      <alignment horizontal="right"/>
    </xf>
    <xf numFmtId="0" fontId="27" fillId="30" borderId="1" xfId="0" applyFont="1" applyFill="1" applyBorder="1" applyAlignment="1">
      <alignment horizontal="right"/>
    </xf>
    <xf numFmtId="9" fontId="27" fillId="30" borderId="1" xfId="0" applyNumberFormat="1" applyFont="1" applyFill="1" applyBorder="1" applyAlignment="1">
      <alignment horizontal="right"/>
    </xf>
    <xf numFmtId="0" fontId="27" fillId="31" borderId="1" xfId="0" applyFont="1" applyFill="1" applyBorder="1" applyAlignment="1">
      <alignment horizontal="right"/>
    </xf>
    <xf numFmtId="9" fontId="27" fillId="31" borderId="1" xfId="0" applyNumberFormat="1" applyFont="1" applyFill="1" applyBorder="1" applyAlignment="1">
      <alignment horizontal="right"/>
    </xf>
    <xf numFmtId="169" fontId="25" fillId="30" borderId="1" xfId="0" applyNumberFormat="1" applyFont="1" applyFill="1" applyBorder="1" applyAlignment="1">
      <alignment horizontal="right"/>
    </xf>
    <xf numFmtId="3" fontId="25" fillId="31" borderId="1" xfId="0" applyNumberFormat="1" applyFont="1" applyFill="1" applyBorder="1" applyAlignment="1">
      <alignment horizontal="right"/>
    </xf>
    <xf numFmtId="9" fontId="25" fillId="30" borderId="1" xfId="0" applyNumberFormat="1" applyFont="1" applyFill="1" applyBorder="1" applyAlignment="1">
      <alignment horizontal="right"/>
    </xf>
    <xf numFmtId="169" fontId="31" fillId="30" borderId="1" xfId="0" applyNumberFormat="1" applyFont="1" applyFill="1" applyBorder="1" applyAlignment="1">
      <alignment horizontal="center"/>
    </xf>
    <xf numFmtId="3" fontId="26" fillId="31" borderId="1" xfId="0" applyNumberFormat="1" applyFont="1" applyFill="1" applyBorder="1" applyAlignment="1">
      <alignment horizontal="right"/>
    </xf>
    <xf numFmtId="9" fontId="26" fillId="30" borderId="1" xfId="0" applyNumberFormat="1" applyFont="1" applyFill="1" applyBorder="1" applyAlignment="1">
      <alignment horizontal="right"/>
    </xf>
    <xf numFmtId="168" fontId="7" fillId="0" borderId="22" xfId="0" applyNumberFormat="1" applyFont="1" applyBorder="1"/>
    <xf numFmtId="0" fontId="7" fillId="9" borderId="20" xfId="0" applyFont="1" applyFill="1" applyBorder="1"/>
    <xf numFmtId="0" fontId="7" fillId="9" borderId="15" xfId="0" applyFont="1" applyFill="1" applyBorder="1"/>
    <xf numFmtId="0" fontId="7" fillId="9" borderId="18" xfId="0" applyFont="1" applyFill="1" applyBorder="1"/>
    <xf numFmtId="168" fontId="17" fillId="26" borderId="16" xfId="0" applyNumberFormat="1" applyFont="1" applyFill="1" applyBorder="1"/>
    <xf numFmtId="3" fontId="17" fillId="26" borderId="16" xfId="0" applyNumberFormat="1" applyFont="1" applyFill="1" applyBorder="1"/>
    <xf numFmtId="1" fontId="17" fillId="26" borderId="16" xfId="0" applyNumberFormat="1" applyFont="1" applyFill="1" applyBorder="1"/>
    <xf numFmtId="168" fontId="17" fillId="26" borderId="17" xfId="0" applyNumberFormat="1" applyFont="1" applyFill="1" applyBorder="1"/>
    <xf numFmtId="168" fontId="17" fillId="26" borderId="1" xfId="0" applyNumberFormat="1" applyFont="1" applyFill="1" applyBorder="1"/>
    <xf numFmtId="3" fontId="17" fillId="26" borderId="1" xfId="0" applyNumberFormat="1" applyFont="1" applyFill="1" applyBorder="1"/>
    <xf numFmtId="1" fontId="17" fillId="26" borderId="1" xfId="0" applyNumberFormat="1" applyFont="1" applyFill="1" applyBorder="1"/>
    <xf numFmtId="168" fontId="17" fillId="26" borderId="19" xfId="0" applyNumberFormat="1" applyFont="1" applyFill="1" applyBorder="1"/>
    <xf numFmtId="0" fontId="0" fillId="26" borderId="21" xfId="0" applyFill="1" applyBorder="1"/>
    <xf numFmtId="168" fontId="7" fillId="26" borderId="22" xfId="0" applyNumberFormat="1" applyFont="1" applyFill="1" applyBorder="1"/>
    <xf numFmtId="0" fontId="16" fillId="7" borderId="34" xfId="0" applyFont="1" applyFill="1" applyBorder="1" applyAlignment="1">
      <alignment horizontal="center" vertical="center" wrapText="1"/>
    </xf>
    <xf numFmtId="0" fontId="17" fillId="9" borderId="1" xfId="0" applyFont="1" applyFill="1" applyBorder="1"/>
    <xf numFmtId="10" fontId="17" fillId="13" borderId="1" xfId="0" applyNumberFormat="1" applyFont="1" applyFill="1" applyBorder="1"/>
    <xf numFmtId="168" fontId="17" fillId="13" borderId="1" xfId="0" applyNumberFormat="1" applyFont="1" applyFill="1" applyBorder="1"/>
    <xf numFmtId="2" fontId="17" fillId="13" borderId="1" xfId="0" applyNumberFormat="1" applyFont="1" applyFill="1" applyBorder="1"/>
    <xf numFmtId="0" fontId="7" fillId="9" borderId="1" xfId="0" applyFont="1" applyFill="1" applyBorder="1"/>
    <xf numFmtId="10" fontId="7" fillId="13" borderId="1" xfId="0" applyNumberFormat="1" applyFont="1" applyFill="1" applyBorder="1" applyAlignment="1">
      <alignment horizontal="center"/>
    </xf>
    <xf numFmtId="168" fontId="7" fillId="13" borderId="1" xfId="0" applyNumberFormat="1" applyFont="1" applyFill="1" applyBorder="1" applyAlignment="1">
      <alignment horizontal="center"/>
    </xf>
    <xf numFmtId="2" fontId="7" fillId="13" borderId="1" xfId="0" applyNumberFormat="1" applyFont="1" applyFill="1" applyBorder="1" applyAlignment="1">
      <alignment horizontal="center"/>
    </xf>
    <xf numFmtId="0" fontId="16" fillId="7" borderId="15" xfId="0" applyFont="1" applyFill="1" applyBorder="1"/>
    <xf numFmtId="0" fontId="16" fillId="7" borderId="17" xfId="0" applyFont="1" applyFill="1" applyBorder="1"/>
    <xf numFmtId="168" fontId="32" fillId="3" borderId="19" xfId="0" applyNumberFormat="1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7" fillId="9" borderId="6" xfId="0" applyFont="1" applyFill="1" applyBorder="1"/>
    <xf numFmtId="10" fontId="7" fillId="13" borderId="6" xfId="0" applyNumberFormat="1" applyFont="1" applyFill="1" applyBorder="1" applyAlignment="1">
      <alignment horizontal="center"/>
    </xf>
    <xf numFmtId="0" fontId="17" fillId="11" borderId="35" xfId="0" applyFont="1" applyFill="1" applyBorder="1"/>
    <xf numFmtId="0" fontId="17" fillId="11" borderId="37" xfId="0" applyFont="1" applyFill="1" applyBorder="1"/>
    <xf numFmtId="0" fontId="17" fillId="11" borderId="39" xfId="0" applyFont="1" applyFill="1" applyBorder="1"/>
    <xf numFmtId="10" fontId="7" fillId="9" borderId="36" xfId="0" applyNumberFormat="1" applyFont="1" applyFill="1" applyBorder="1"/>
    <xf numFmtId="10" fontId="7" fillId="9" borderId="38" xfId="0" applyNumberFormat="1" applyFont="1" applyFill="1" applyBorder="1"/>
    <xf numFmtId="10" fontId="7" fillId="9" borderId="40" xfId="0" applyNumberFormat="1" applyFont="1" applyFill="1" applyBorder="1"/>
    <xf numFmtId="10" fontId="7" fillId="12" borderId="36" xfId="0" applyNumberFormat="1" applyFont="1" applyFill="1" applyBorder="1"/>
    <xf numFmtId="10" fontId="7" fillId="12" borderId="38" xfId="0" applyNumberFormat="1" applyFont="1" applyFill="1" applyBorder="1"/>
    <xf numFmtId="10" fontId="7" fillId="12" borderId="40" xfId="0" applyNumberFormat="1" applyFont="1" applyFill="1" applyBorder="1"/>
    <xf numFmtId="0" fontId="10" fillId="5" borderId="1" xfId="0" applyFont="1" applyFill="1" applyBorder="1"/>
    <xf numFmtId="169" fontId="30" fillId="34" borderId="1" xfId="0" applyNumberFormat="1" applyFont="1" applyFill="1" applyBorder="1" applyAlignment="1">
      <alignment horizontal="right"/>
    </xf>
    <xf numFmtId="0" fontId="31" fillId="10" borderId="1" xfId="0" applyFont="1" applyFill="1" applyBorder="1" applyAlignment="1">
      <alignment horizontal="left"/>
    </xf>
    <xf numFmtId="0" fontId="33" fillId="10" borderId="1" xfId="0" applyFont="1" applyFill="1" applyBorder="1" applyAlignment="1">
      <alignment horizontal="left"/>
    </xf>
    <xf numFmtId="3" fontId="10" fillId="35" borderId="1" xfId="0" applyNumberFormat="1" applyFont="1" applyFill="1" applyBorder="1" applyAlignment="1">
      <alignment horizontal="right"/>
    </xf>
    <xf numFmtId="0" fontId="10" fillId="35" borderId="1" xfId="0" applyFont="1" applyFill="1" applyBorder="1" applyAlignment="1">
      <alignment horizontal="right"/>
    </xf>
    <xf numFmtId="3" fontId="10" fillId="36" borderId="1" xfId="0" applyNumberFormat="1" applyFont="1" applyFill="1" applyBorder="1" applyAlignment="1">
      <alignment horizontal="right"/>
    </xf>
    <xf numFmtId="0" fontId="10" fillId="36" borderId="1" xfId="0" applyFont="1" applyFill="1" applyBorder="1" applyAlignment="1">
      <alignment horizontal="right"/>
    </xf>
    <xf numFmtId="9" fontId="10" fillId="36" borderId="1" xfId="0" applyNumberFormat="1" applyFont="1" applyFill="1" applyBorder="1" applyAlignment="1">
      <alignment horizontal="right"/>
    </xf>
    <xf numFmtId="3" fontId="27" fillId="35" borderId="1" xfId="0" applyNumberFormat="1" applyFont="1" applyFill="1" applyBorder="1" applyAlignment="1">
      <alignment horizontal="center"/>
    </xf>
    <xf numFmtId="0" fontId="27" fillId="35" borderId="1" xfId="0" applyFont="1" applyFill="1" applyBorder="1" applyAlignment="1">
      <alignment horizontal="center"/>
    </xf>
    <xf numFmtId="3" fontId="27" fillId="36" borderId="1" xfId="0" applyNumberFormat="1" applyFont="1" applyFill="1" applyBorder="1" applyAlignment="1">
      <alignment horizontal="center"/>
    </xf>
    <xf numFmtId="0" fontId="27" fillId="36" borderId="1" xfId="0" applyFont="1" applyFill="1" applyBorder="1" applyAlignment="1">
      <alignment horizontal="center"/>
    </xf>
    <xf numFmtId="0" fontId="25" fillId="35" borderId="1" xfId="0" applyFont="1" applyFill="1" applyBorder="1" applyAlignment="1">
      <alignment horizontal="center"/>
    </xf>
    <xf numFmtId="3" fontId="25" fillId="35" borderId="1" xfId="0" applyNumberFormat="1" applyFont="1" applyFill="1" applyBorder="1" applyAlignment="1">
      <alignment horizontal="center"/>
    </xf>
    <xf numFmtId="9" fontId="25" fillId="36" borderId="1" xfId="0" applyNumberFormat="1" applyFont="1" applyFill="1" applyBorder="1" applyAlignment="1">
      <alignment horizontal="center"/>
    </xf>
    <xf numFmtId="3" fontId="33" fillId="35" borderId="1" xfId="0" applyNumberFormat="1" applyFont="1" applyFill="1" applyBorder="1" applyAlignment="1">
      <alignment horizontal="center"/>
    </xf>
    <xf numFmtId="10" fontId="33" fillId="35" borderId="1" xfId="0" applyNumberFormat="1" applyFont="1" applyFill="1" applyBorder="1" applyAlignment="1">
      <alignment horizontal="center"/>
    </xf>
    <xf numFmtId="3" fontId="33" fillId="36" borderId="1" xfId="0" applyNumberFormat="1" applyFont="1" applyFill="1" applyBorder="1" applyAlignment="1">
      <alignment horizontal="center"/>
    </xf>
    <xf numFmtId="10" fontId="33" fillId="36" borderId="1" xfId="0" applyNumberFormat="1" applyFont="1" applyFill="1" applyBorder="1" applyAlignment="1">
      <alignment horizontal="center"/>
    </xf>
    <xf numFmtId="9" fontId="33" fillId="36" borderId="1" xfId="0" applyNumberFormat="1" applyFont="1" applyFill="1" applyBorder="1" applyAlignment="1">
      <alignment horizontal="center"/>
    </xf>
    <xf numFmtId="0" fontId="33" fillId="35" borderId="1" xfId="0" applyFont="1" applyFill="1" applyBorder="1" applyAlignment="1">
      <alignment horizontal="center"/>
    </xf>
    <xf numFmtId="0" fontId="33" fillId="36" borderId="1" xfId="0" applyFont="1" applyFill="1" applyBorder="1" applyAlignment="1">
      <alignment horizontal="center"/>
    </xf>
    <xf numFmtId="9" fontId="33" fillId="35" borderId="1" xfId="0" applyNumberFormat="1" applyFont="1" applyFill="1" applyBorder="1" applyAlignment="1">
      <alignment horizontal="center"/>
    </xf>
    <xf numFmtId="169" fontId="25" fillId="34" borderId="1" xfId="0" applyNumberFormat="1" applyFont="1" applyFill="1" applyBorder="1" applyAlignment="1">
      <alignment horizontal="right"/>
    </xf>
    <xf numFmtId="0" fontId="26" fillId="10" borderId="1" xfId="0" applyFont="1" applyFill="1" applyBorder="1" applyAlignment="1">
      <alignment horizontal="left"/>
    </xf>
    <xf numFmtId="0" fontId="27" fillId="10" borderId="1" xfId="0" applyFont="1" applyFill="1" applyBorder="1" applyAlignment="1">
      <alignment horizontal="left"/>
    </xf>
    <xf numFmtId="0" fontId="25" fillId="10" borderId="1" xfId="0" applyFont="1" applyFill="1" applyBorder="1" applyAlignment="1">
      <alignment horizontal="left"/>
    </xf>
    <xf numFmtId="0" fontId="21" fillId="10" borderId="1" xfId="0" applyFont="1" applyFill="1" applyBorder="1"/>
    <xf numFmtId="169" fontId="26" fillId="5" borderId="1" xfId="0" applyNumberFormat="1" applyFont="1" applyFill="1" applyBorder="1" applyAlignment="1">
      <alignment horizontal="right"/>
    </xf>
    <xf numFmtId="0" fontId="20" fillId="0" borderId="1" xfId="0" applyFont="1" applyBorder="1"/>
    <xf numFmtId="169" fontId="26" fillId="34" borderId="1" xfId="0" applyNumberFormat="1" applyFont="1" applyFill="1" applyBorder="1" applyAlignment="1">
      <alignment horizontal="center"/>
    </xf>
    <xf numFmtId="169" fontId="31" fillId="34" borderId="1" xfId="0" applyNumberFormat="1" applyFont="1" applyFill="1" applyBorder="1" applyAlignment="1">
      <alignment horizontal="right"/>
    </xf>
    <xf numFmtId="0" fontId="31" fillId="34" borderId="1" xfId="0" applyFont="1" applyFill="1" applyBorder="1" applyAlignment="1">
      <alignment horizontal="right"/>
    </xf>
    <xf numFmtId="169" fontId="30" fillId="29" borderId="1" xfId="0" applyNumberFormat="1" applyFont="1" applyFill="1" applyBorder="1" applyAlignment="1">
      <alignment horizontal="left"/>
    </xf>
    <xf numFmtId="0" fontId="31" fillId="11" borderId="1" xfId="0" applyFont="1" applyFill="1" applyBorder="1" applyAlignment="1">
      <alignment horizontal="left"/>
    </xf>
    <xf numFmtId="0" fontId="33" fillId="11" borderId="1" xfId="0" applyFont="1" applyFill="1" applyBorder="1" applyAlignment="1">
      <alignment horizontal="left"/>
    </xf>
    <xf numFmtId="169" fontId="30" fillId="29" borderId="1" xfId="0" applyNumberFormat="1" applyFont="1" applyFill="1" applyBorder="1" applyAlignment="1">
      <alignment horizontal="center"/>
    </xf>
    <xf numFmtId="0" fontId="30" fillId="29" borderId="1" xfId="0" applyFont="1" applyFill="1" applyBorder="1" applyAlignment="1">
      <alignment horizontal="center"/>
    </xf>
    <xf numFmtId="3" fontId="33" fillId="37" borderId="1" xfId="0" applyNumberFormat="1" applyFont="1" applyFill="1" applyBorder="1" applyAlignment="1">
      <alignment horizontal="center"/>
    </xf>
    <xf numFmtId="10" fontId="33" fillId="37" borderId="1" xfId="0" applyNumberFormat="1" applyFont="1" applyFill="1" applyBorder="1" applyAlignment="1">
      <alignment horizontal="center"/>
    </xf>
    <xf numFmtId="0" fontId="33" fillId="37" borderId="1" xfId="0" applyFont="1" applyFill="1" applyBorder="1" applyAlignment="1">
      <alignment horizontal="center"/>
    </xf>
    <xf numFmtId="3" fontId="33" fillId="38" borderId="1" xfId="0" applyNumberFormat="1" applyFont="1" applyFill="1" applyBorder="1" applyAlignment="1">
      <alignment horizontal="center"/>
    </xf>
    <xf numFmtId="9" fontId="33" fillId="38" borderId="1" xfId="0" applyNumberFormat="1" applyFont="1" applyFill="1" applyBorder="1" applyAlignment="1">
      <alignment horizontal="center"/>
    </xf>
    <xf numFmtId="0" fontId="33" fillId="38" borderId="1" xfId="0" applyFont="1" applyFill="1" applyBorder="1" applyAlignment="1">
      <alignment horizontal="center"/>
    </xf>
    <xf numFmtId="9" fontId="33" fillId="37" borderId="1" xfId="0" applyNumberFormat="1" applyFont="1" applyFill="1" applyBorder="1" applyAlignment="1">
      <alignment horizontal="center"/>
    </xf>
    <xf numFmtId="169" fontId="25" fillId="29" borderId="15" xfId="0" applyNumberFormat="1" applyFont="1" applyFill="1" applyBorder="1" applyAlignment="1">
      <alignment horizontal="right"/>
    </xf>
    <xf numFmtId="0" fontId="27" fillId="11" borderId="18" xfId="0" applyFont="1" applyFill="1" applyBorder="1" applyAlignment="1">
      <alignment horizontal="left"/>
    </xf>
    <xf numFmtId="0" fontId="26" fillId="11" borderId="18" xfId="0" applyFont="1" applyFill="1" applyBorder="1" applyAlignment="1">
      <alignment horizontal="left"/>
    </xf>
    <xf numFmtId="0" fontId="27" fillId="40" borderId="1" xfId="0" applyFont="1" applyFill="1" applyBorder="1" applyAlignment="1">
      <alignment horizontal="right"/>
    </xf>
    <xf numFmtId="0" fontId="21" fillId="27" borderId="19" xfId="0" applyFont="1" applyFill="1" applyBorder="1"/>
    <xf numFmtId="3" fontId="27" fillId="39" borderId="1" xfId="0" applyNumberFormat="1" applyFont="1" applyFill="1" applyBorder="1" applyAlignment="1">
      <alignment horizontal="right"/>
    </xf>
    <xf numFmtId="0" fontId="27" fillId="39" borderId="1" xfId="0" applyFont="1" applyFill="1" applyBorder="1" applyAlignment="1">
      <alignment horizontal="right"/>
    </xf>
    <xf numFmtId="3" fontId="27" fillId="40" borderId="1" xfId="0" applyNumberFormat="1" applyFont="1" applyFill="1" applyBorder="1" applyAlignment="1">
      <alignment horizontal="right"/>
    </xf>
    <xf numFmtId="0" fontId="21" fillId="27" borderId="21" xfId="0" applyFont="1" applyFill="1" applyBorder="1"/>
    <xf numFmtId="0" fontId="21" fillId="27" borderId="22" xfId="0" applyFont="1" applyFill="1" applyBorder="1"/>
    <xf numFmtId="169" fontId="25" fillId="29" borderId="1" xfId="0" applyNumberFormat="1" applyFont="1" applyFill="1" applyBorder="1" applyAlignment="1">
      <alignment horizontal="left"/>
    </xf>
    <xf numFmtId="0" fontId="27" fillId="40" borderId="1" xfId="0" applyFont="1" applyFill="1" applyBorder="1" applyAlignment="1">
      <alignment horizontal="center"/>
    </xf>
    <xf numFmtId="3" fontId="27" fillId="40" borderId="1" xfId="0" applyNumberFormat="1" applyFont="1" applyFill="1" applyBorder="1" applyAlignment="1">
      <alignment horizontal="center"/>
    </xf>
    <xf numFmtId="0" fontId="27" fillId="39" borderId="1" xfId="0" applyFont="1" applyFill="1" applyBorder="1" applyAlignment="1">
      <alignment horizontal="center"/>
    </xf>
    <xf numFmtId="0" fontId="25" fillId="40" borderId="1" xfId="0" applyFont="1" applyFill="1" applyBorder="1" applyAlignment="1">
      <alignment horizontal="center"/>
    </xf>
    <xf numFmtId="3" fontId="25" fillId="40" borderId="1" xfId="0" applyNumberFormat="1" applyFont="1" applyFill="1" applyBorder="1" applyAlignment="1">
      <alignment horizontal="center"/>
    </xf>
    <xf numFmtId="9" fontId="25" fillId="39" borderId="1" xfId="0" applyNumberFormat="1" applyFont="1" applyFill="1" applyBorder="1" applyAlignment="1">
      <alignment horizontal="center"/>
    </xf>
    <xf numFmtId="169" fontId="25" fillId="29" borderId="16" xfId="0" applyNumberFormat="1" applyFont="1" applyFill="1" applyBorder="1" applyAlignment="1">
      <alignment horizontal="right"/>
    </xf>
    <xf numFmtId="0" fontId="21" fillId="11" borderId="17" xfId="0" applyFont="1" applyFill="1" applyBorder="1"/>
    <xf numFmtId="0" fontId="25" fillId="5" borderId="1" xfId="0" applyFont="1" applyFill="1" applyBorder="1" applyAlignment="1">
      <alignment horizontal="right"/>
    </xf>
    <xf numFmtId="169" fontId="25" fillId="5" borderId="16" xfId="0" applyNumberFormat="1" applyFont="1" applyFill="1" applyBorder="1"/>
    <xf numFmtId="0" fontId="25" fillId="5" borderId="17" xfId="0" applyFont="1" applyFill="1" applyBorder="1"/>
    <xf numFmtId="169" fontId="25" fillId="29" borderId="15" xfId="0" applyNumberFormat="1" applyFont="1" applyFill="1" applyBorder="1"/>
    <xf numFmtId="0" fontId="26" fillId="11" borderId="18" xfId="0" applyFont="1" applyFill="1" applyBorder="1"/>
    <xf numFmtId="0" fontId="27" fillId="11" borderId="18" xfId="0" applyFont="1" applyFill="1" applyBorder="1"/>
    <xf numFmtId="0" fontId="27" fillId="11" borderId="20" xfId="0" applyFont="1" applyFill="1" applyBorder="1"/>
    <xf numFmtId="0" fontId="25" fillId="11" borderId="18" xfId="0" applyFont="1" applyFill="1" applyBorder="1"/>
    <xf numFmtId="0" fontId="25" fillId="11" borderId="20" xfId="0" applyFont="1" applyFill="1" applyBorder="1"/>
    <xf numFmtId="3" fontId="27" fillId="42" borderId="1" xfId="0" applyNumberFormat="1" applyFont="1" applyFill="1" applyBorder="1"/>
    <xf numFmtId="3" fontId="27" fillId="42" borderId="19" xfId="0" applyNumberFormat="1" applyFont="1" applyFill="1" applyBorder="1"/>
    <xf numFmtId="10" fontId="27" fillId="42" borderId="1" xfId="0" applyNumberFormat="1" applyFont="1" applyFill="1" applyBorder="1"/>
    <xf numFmtId="0" fontId="27" fillId="42" borderId="19" xfId="0" applyFont="1" applyFill="1" applyBorder="1"/>
    <xf numFmtId="3" fontId="27" fillId="41" borderId="1" xfId="0" applyNumberFormat="1" applyFont="1" applyFill="1" applyBorder="1"/>
    <xf numFmtId="3" fontId="27" fillId="41" borderId="19" xfId="0" applyNumberFormat="1" applyFont="1" applyFill="1" applyBorder="1"/>
    <xf numFmtId="10" fontId="27" fillId="41" borderId="1" xfId="0" applyNumberFormat="1" applyFont="1" applyFill="1" applyBorder="1"/>
    <xf numFmtId="0" fontId="27" fillId="41" borderId="19" xfId="0" applyFont="1" applyFill="1" applyBorder="1"/>
    <xf numFmtId="9" fontId="27" fillId="41" borderId="1" xfId="0" applyNumberFormat="1" applyFont="1" applyFill="1" applyBorder="1"/>
    <xf numFmtId="9" fontId="27" fillId="41" borderId="19" xfId="0" applyNumberFormat="1" applyFont="1" applyFill="1" applyBorder="1"/>
    <xf numFmtId="0" fontId="27" fillId="42" borderId="1" xfId="0" applyFont="1" applyFill="1" applyBorder="1"/>
    <xf numFmtId="0" fontId="27" fillId="41" borderId="1" xfId="0" applyFont="1" applyFill="1" applyBorder="1"/>
    <xf numFmtId="9" fontId="27" fillId="42" borderId="1" xfId="0" applyNumberFormat="1" applyFont="1" applyFill="1" applyBorder="1"/>
    <xf numFmtId="9" fontId="27" fillId="41" borderId="21" xfId="0" applyNumberFormat="1" applyFont="1" applyFill="1" applyBorder="1"/>
    <xf numFmtId="0" fontId="27" fillId="41" borderId="22" xfId="0" applyFont="1" applyFill="1" applyBorder="1"/>
    <xf numFmtId="169" fontId="25" fillId="41" borderId="16" xfId="0" applyNumberFormat="1" applyFont="1" applyFill="1" applyBorder="1"/>
    <xf numFmtId="0" fontId="21" fillId="15" borderId="17" xfId="0" applyFont="1" applyFill="1" applyBorder="1"/>
    <xf numFmtId="0" fontId="21" fillId="15" borderId="19" xfId="0" applyFont="1" applyFill="1" applyBorder="1"/>
    <xf numFmtId="3" fontId="27" fillId="41" borderId="21" xfId="0" applyNumberFormat="1" applyFont="1" applyFill="1" applyBorder="1"/>
    <xf numFmtId="0" fontId="21" fillId="15" borderId="22" xfId="0" applyFont="1" applyFill="1" applyBorder="1"/>
    <xf numFmtId="3" fontId="25" fillId="42" borderId="1" xfId="0" applyNumberFormat="1" applyFont="1" applyFill="1" applyBorder="1"/>
    <xf numFmtId="0" fontId="25" fillId="42" borderId="1" xfId="0" applyFont="1" applyFill="1" applyBorder="1"/>
    <xf numFmtId="9" fontId="25" fillId="41" borderId="21" xfId="0" applyNumberFormat="1" applyFont="1" applyFill="1" applyBorder="1"/>
    <xf numFmtId="169" fontId="30" fillId="29" borderId="1" xfId="0" applyNumberFormat="1" applyFont="1" applyFill="1" applyBorder="1" applyAlignment="1">
      <alignment horizontal="right"/>
    </xf>
    <xf numFmtId="0" fontId="30" fillId="11" borderId="1" xfId="0" applyFont="1" applyFill="1" applyBorder="1" applyAlignment="1">
      <alignment horizontal="left"/>
    </xf>
    <xf numFmtId="169" fontId="9" fillId="43" borderId="1" xfId="0" applyNumberFormat="1" applyFont="1" applyFill="1" applyBorder="1" applyAlignment="1">
      <alignment horizontal="right"/>
    </xf>
    <xf numFmtId="0" fontId="9" fillId="43" borderId="1" xfId="0" applyFont="1" applyFill="1" applyBorder="1" applyAlignment="1">
      <alignment horizontal="right"/>
    </xf>
    <xf numFmtId="3" fontId="10" fillId="44" borderId="1" xfId="0" applyNumberFormat="1" applyFont="1" applyFill="1" applyBorder="1" applyAlignment="1">
      <alignment horizontal="right"/>
    </xf>
    <xf numFmtId="10" fontId="10" fillId="44" borderId="1" xfId="0" applyNumberFormat="1" applyFont="1" applyFill="1" applyBorder="1" applyAlignment="1">
      <alignment horizontal="right"/>
    </xf>
    <xf numFmtId="0" fontId="10" fillId="44" borderId="1" xfId="0" applyFont="1" applyFill="1" applyBorder="1" applyAlignment="1">
      <alignment horizontal="right"/>
    </xf>
    <xf numFmtId="3" fontId="10" fillId="43" borderId="1" xfId="0" applyNumberFormat="1" applyFont="1" applyFill="1" applyBorder="1" applyAlignment="1">
      <alignment horizontal="right"/>
    </xf>
    <xf numFmtId="10" fontId="10" fillId="43" borderId="1" xfId="0" applyNumberFormat="1" applyFont="1" applyFill="1" applyBorder="1" applyAlignment="1">
      <alignment horizontal="right"/>
    </xf>
    <xf numFmtId="0" fontId="10" fillId="43" borderId="1" xfId="0" applyFont="1" applyFill="1" applyBorder="1" applyAlignment="1">
      <alignment horizontal="right"/>
    </xf>
    <xf numFmtId="9" fontId="10" fillId="43" borderId="1" xfId="0" applyNumberFormat="1" applyFont="1" applyFill="1" applyBorder="1" applyAlignment="1">
      <alignment horizontal="right"/>
    </xf>
    <xf numFmtId="9" fontId="10" fillId="44" borderId="1" xfId="0" applyNumberFormat="1" applyFont="1" applyFill="1" applyBorder="1" applyAlignment="1">
      <alignment horizontal="right"/>
    </xf>
    <xf numFmtId="0" fontId="0" fillId="21" borderId="1" xfId="0" applyFill="1" applyBorder="1"/>
    <xf numFmtId="3" fontId="9" fillId="44" borderId="1" xfId="0" applyNumberFormat="1" applyFont="1" applyFill="1" applyBorder="1" applyAlignment="1">
      <alignment horizontal="right"/>
    </xf>
    <xf numFmtId="0" fontId="9" fillId="44" borderId="1" xfId="0" applyFont="1" applyFill="1" applyBorder="1" applyAlignment="1">
      <alignment horizontal="right"/>
    </xf>
    <xf numFmtId="9" fontId="9" fillId="43" borderId="1" xfId="0" applyNumberFormat="1" applyFont="1" applyFill="1" applyBorder="1" applyAlignment="1">
      <alignment horizontal="right"/>
    </xf>
    <xf numFmtId="0" fontId="0" fillId="0" borderId="9" xfId="0" applyBorder="1"/>
    <xf numFmtId="169" fontId="25" fillId="5" borderId="1" xfId="0" applyNumberFormat="1" applyFont="1" applyFill="1" applyBorder="1"/>
    <xf numFmtId="0" fontId="25" fillId="5" borderId="1" xfId="0" applyFont="1" applyFill="1" applyBorder="1"/>
    <xf numFmtId="169" fontId="25" fillId="29" borderId="1" xfId="0" applyNumberFormat="1" applyFont="1" applyFill="1" applyBorder="1"/>
    <xf numFmtId="0" fontId="26" fillId="11" borderId="1" xfId="0" applyFont="1" applyFill="1" applyBorder="1"/>
    <xf numFmtId="0" fontId="27" fillId="11" borderId="1" xfId="0" applyFont="1" applyFill="1" applyBorder="1"/>
    <xf numFmtId="0" fontId="25" fillId="11" borderId="1" xfId="0" applyFont="1" applyFill="1" applyBorder="1"/>
    <xf numFmtId="169" fontId="25" fillId="30" borderId="1" xfId="0" applyNumberFormat="1" applyFont="1" applyFill="1" applyBorder="1"/>
    <xf numFmtId="0" fontId="25" fillId="30" borderId="1" xfId="0" applyFont="1" applyFill="1" applyBorder="1"/>
    <xf numFmtId="3" fontId="27" fillId="31" borderId="1" xfId="0" applyNumberFormat="1" applyFont="1" applyFill="1" applyBorder="1"/>
    <xf numFmtId="10" fontId="27" fillId="31" borderId="1" xfId="0" applyNumberFormat="1" applyFont="1" applyFill="1" applyBorder="1"/>
    <xf numFmtId="0" fontId="27" fillId="31" borderId="1" xfId="0" applyFont="1" applyFill="1" applyBorder="1"/>
    <xf numFmtId="3" fontId="27" fillId="30" borderId="1" xfId="0" applyNumberFormat="1" applyFont="1" applyFill="1" applyBorder="1"/>
    <xf numFmtId="10" fontId="27" fillId="30" borderId="1" xfId="0" applyNumberFormat="1" applyFont="1" applyFill="1" applyBorder="1"/>
    <xf numFmtId="0" fontId="27" fillId="30" borderId="1" xfId="0" applyFont="1" applyFill="1" applyBorder="1"/>
    <xf numFmtId="9" fontId="27" fillId="30" borderId="1" xfId="0" applyNumberFormat="1" applyFont="1" applyFill="1" applyBorder="1"/>
    <xf numFmtId="9" fontId="27" fillId="31" borderId="1" xfId="0" applyNumberFormat="1" applyFont="1" applyFill="1" applyBorder="1"/>
    <xf numFmtId="0" fontId="25" fillId="31" borderId="1" xfId="0" applyFont="1" applyFill="1" applyBorder="1"/>
    <xf numFmtId="3" fontId="25" fillId="31" borderId="1" xfId="0" applyNumberFormat="1" applyFont="1" applyFill="1" applyBorder="1"/>
    <xf numFmtId="9" fontId="25" fillId="30" borderId="1" xfId="0" applyNumberFormat="1" applyFont="1" applyFill="1" applyBorder="1"/>
    <xf numFmtId="0" fontId="38" fillId="0" borderId="1" xfId="0" applyFont="1" applyBorder="1"/>
    <xf numFmtId="0" fontId="26" fillId="9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left"/>
    </xf>
    <xf numFmtId="0" fontId="25" fillId="9" borderId="1" xfId="0" applyFont="1" applyFill="1" applyBorder="1" applyAlignment="1">
      <alignment horizontal="left"/>
    </xf>
    <xf numFmtId="169" fontId="25" fillId="38" borderId="1" xfId="0" applyNumberFormat="1" applyFont="1" applyFill="1" applyBorder="1" applyAlignment="1">
      <alignment horizontal="right"/>
    </xf>
    <xf numFmtId="0" fontId="21" fillId="26" borderId="1" xfId="0" applyFont="1" applyFill="1" applyBorder="1"/>
    <xf numFmtId="3" fontId="27" fillId="37" borderId="1" xfId="0" applyNumberFormat="1" applyFont="1" applyFill="1" applyBorder="1" applyAlignment="1">
      <alignment horizontal="right"/>
    </xf>
    <xf numFmtId="0" fontId="27" fillId="37" borderId="1" xfId="0" applyFont="1" applyFill="1" applyBorder="1" applyAlignment="1">
      <alignment horizontal="right"/>
    </xf>
    <xf numFmtId="3" fontId="27" fillId="38" borderId="1" xfId="0" applyNumberFormat="1" applyFont="1" applyFill="1" applyBorder="1" applyAlignment="1">
      <alignment horizontal="right"/>
    </xf>
    <xf numFmtId="0" fontId="27" fillId="38" borderId="1" xfId="0" applyFont="1" applyFill="1" applyBorder="1" applyAlignment="1">
      <alignment horizontal="right"/>
    </xf>
    <xf numFmtId="3" fontId="25" fillId="37" borderId="1" xfId="0" applyNumberFormat="1" applyFont="1" applyFill="1" applyBorder="1" applyAlignment="1">
      <alignment horizontal="right"/>
    </xf>
    <xf numFmtId="9" fontId="25" fillId="38" borderId="1" xfId="0" applyNumberFormat="1" applyFont="1" applyFill="1" applyBorder="1" applyAlignment="1">
      <alignment horizontal="right"/>
    </xf>
    <xf numFmtId="3" fontId="39" fillId="37" borderId="1" xfId="0" applyNumberFormat="1" applyFont="1" applyFill="1" applyBorder="1" applyAlignment="1">
      <alignment horizontal="right"/>
    </xf>
    <xf numFmtId="0" fontId="25" fillId="38" borderId="1" xfId="0" applyFont="1" applyFill="1" applyBorder="1" applyAlignment="1">
      <alignment horizontal="right"/>
    </xf>
    <xf numFmtId="10" fontId="27" fillId="37" borderId="1" xfId="0" applyNumberFormat="1" applyFont="1" applyFill="1" applyBorder="1" applyAlignment="1">
      <alignment horizontal="right"/>
    </xf>
    <xf numFmtId="10" fontId="27" fillId="38" borderId="1" xfId="0" applyNumberFormat="1" applyFont="1" applyFill="1" applyBorder="1" applyAlignment="1">
      <alignment horizontal="right"/>
    </xf>
    <xf numFmtId="9" fontId="27" fillId="38" borderId="1" xfId="0" applyNumberFormat="1" applyFont="1" applyFill="1" applyBorder="1" applyAlignment="1">
      <alignment horizontal="right"/>
    </xf>
    <xf numFmtId="9" fontId="27" fillId="37" borderId="1" xfId="0" applyNumberFormat="1" applyFont="1" applyFill="1" applyBorder="1" applyAlignment="1">
      <alignment horizontal="right"/>
    </xf>
    <xf numFmtId="0" fontId="34" fillId="0" borderId="0" xfId="0" applyFont="1" applyAlignment="1">
      <alignment horizontal="left"/>
    </xf>
    <xf numFmtId="169" fontId="26" fillId="38" borderId="1" xfId="0" applyNumberFormat="1" applyFont="1" applyFill="1" applyBorder="1" applyAlignment="1">
      <alignment horizontal="right"/>
    </xf>
    <xf numFmtId="0" fontId="40" fillId="0" borderId="1" xfId="0" applyFont="1" applyBorder="1" applyAlignment="1">
      <alignment horizontal="left"/>
    </xf>
    <xf numFmtId="0" fontId="25" fillId="37" borderId="1" xfId="0" applyFont="1" applyFill="1" applyBorder="1" applyAlignment="1">
      <alignment horizontal="right"/>
    </xf>
    <xf numFmtId="0" fontId="18" fillId="0" borderId="0" xfId="0" applyFont="1"/>
    <xf numFmtId="0" fontId="41" fillId="11" borderId="1" xfId="0" applyFont="1" applyFill="1" applyBorder="1"/>
    <xf numFmtId="0" fontId="0" fillId="26" borderId="0" xfId="0" applyFill="1"/>
    <xf numFmtId="3" fontId="27" fillId="37" borderId="1" xfId="0" applyNumberFormat="1" applyFont="1" applyFill="1" applyBorder="1"/>
    <xf numFmtId="10" fontId="27" fillId="37" borderId="1" xfId="0" applyNumberFormat="1" applyFont="1" applyFill="1" applyBorder="1"/>
    <xf numFmtId="0" fontId="27" fillId="37" borderId="1" xfId="0" applyFont="1" applyFill="1" applyBorder="1"/>
    <xf numFmtId="3" fontId="27" fillId="38" borderId="1" xfId="0" applyNumberFormat="1" applyFont="1" applyFill="1" applyBorder="1"/>
    <xf numFmtId="10" fontId="27" fillId="38" borderId="1" xfId="0" applyNumberFormat="1" applyFont="1" applyFill="1" applyBorder="1"/>
    <xf numFmtId="0" fontId="27" fillId="38" borderId="1" xfId="0" applyFont="1" applyFill="1" applyBorder="1"/>
    <xf numFmtId="9" fontId="27" fillId="38" borderId="1" xfId="0" applyNumberFormat="1" applyFont="1" applyFill="1" applyBorder="1"/>
    <xf numFmtId="9" fontId="27" fillId="37" borderId="1" xfId="0" applyNumberFormat="1" applyFont="1" applyFill="1" applyBorder="1"/>
    <xf numFmtId="3" fontId="25" fillId="37" borderId="1" xfId="0" applyNumberFormat="1" applyFont="1" applyFill="1" applyBorder="1"/>
    <xf numFmtId="0" fontId="25" fillId="37" borderId="1" xfId="0" applyFont="1" applyFill="1" applyBorder="1"/>
    <xf numFmtId="9" fontId="25" fillId="38" borderId="1" xfId="0" applyNumberFormat="1" applyFont="1" applyFill="1" applyBorder="1"/>
    <xf numFmtId="0" fontId="42" fillId="2" borderId="1" xfId="0" applyFont="1" applyFill="1" applyBorder="1" applyAlignment="1">
      <alignment horizontal="center"/>
    </xf>
    <xf numFmtId="0" fontId="42" fillId="46" borderId="1" xfId="0" applyFont="1" applyFill="1" applyBorder="1" applyAlignment="1">
      <alignment horizontal="center"/>
    </xf>
    <xf numFmtId="15" fontId="21" fillId="11" borderId="1" xfId="0" applyNumberFormat="1" applyFont="1" applyFill="1" applyBorder="1" applyAlignment="1">
      <alignment horizontal="center"/>
    </xf>
    <xf numFmtId="15" fontId="0" fillId="11" borderId="0" xfId="0" applyNumberFormat="1" applyFill="1"/>
    <xf numFmtId="0" fontId="21" fillId="14" borderId="1" xfId="0" applyFont="1" applyFill="1" applyBorder="1" applyAlignment="1">
      <alignment horizontal="center"/>
    </xf>
    <xf numFmtId="166" fontId="21" fillId="15" borderId="1" xfId="0" applyNumberFormat="1" applyFont="1" applyFill="1" applyBorder="1" applyAlignment="1">
      <alignment horizontal="center"/>
    </xf>
    <xf numFmtId="0" fontId="8" fillId="16" borderId="28" xfId="0" applyFont="1" applyFill="1" applyBorder="1" applyAlignment="1">
      <alignment horizontal="center" vertical="center"/>
    </xf>
    <xf numFmtId="0" fontId="0" fillId="16" borderId="10" xfId="0" applyFill="1" applyBorder="1"/>
    <xf numFmtId="0" fontId="0" fillId="16" borderId="11" xfId="0" applyFill="1" applyBorder="1"/>
    <xf numFmtId="0" fontId="0" fillId="16" borderId="12" xfId="0" applyFill="1" applyBorder="1"/>
    <xf numFmtId="0" fontId="0" fillId="16" borderId="13" xfId="0" applyFill="1" applyBorder="1"/>
    <xf numFmtId="0" fontId="0" fillId="16" borderId="14" xfId="0" applyFill="1" applyBorder="1"/>
    <xf numFmtId="0" fontId="8" fillId="12" borderId="29" xfId="0" applyFont="1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" fillId="12" borderId="1" xfId="0" applyFont="1" applyFill="1" applyBorder="1"/>
    <xf numFmtId="0" fontId="21" fillId="11" borderId="18" xfId="0" applyFont="1" applyFill="1" applyBorder="1" applyAlignment="1">
      <alignment vertical="center"/>
    </xf>
    <xf numFmtId="0" fontId="21" fillId="11" borderId="18" xfId="0" applyFont="1" applyFill="1" applyBorder="1"/>
    <xf numFmtId="0" fontId="15" fillId="0" borderId="0" xfId="0" applyFont="1" applyAlignment="1">
      <alignment vertical="top" wrapText="1"/>
    </xf>
    <xf numFmtId="0" fontId="0" fillId="0" borderId="0" xfId="0"/>
    <xf numFmtId="0" fontId="15" fillId="0" borderId="0" xfId="0" applyFont="1"/>
    <xf numFmtId="0" fontId="7" fillId="33" borderId="29" xfId="0" applyFont="1" applyFill="1" applyBorder="1" applyAlignment="1">
      <alignment horizontal="center" vertical="center"/>
    </xf>
    <xf numFmtId="0" fontId="7" fillId="33" borderId="31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4" fillId="12" borderId="0" xfId="0" applyFont="1" applyFill="1" applyAlignment="1">
      <alignment horizontal="center" vertical="top"/>
    </xf>
    <xf numFmtId="0" fontId="29" fillId="32" borderId="2" xfId="0" applyFont="1" applyFill="1" applyBorder="1" applyAlignment="1">
      <alignment horizontal="center" vertical="center"/>
    </xf>
    <xf numFmtId="0" fontId="29" fillId="32" borderId="33" xfId="0" applyFont="1" applyFill="1" applyBorder="1" applyAlignment="1">
      <alignment horizontal="center" vertical="center"/>
    </xf>
    <xf numFmtId="0" fontId="29" fillId="32" borderId="3" xfId="0" applyFont="1" applyFill="1" applyBorder="1" applyAlignment="1">
      <alignment horizontal="center" vertical="center"/>
    </xf>
    <xf numFmtId="0" fontId="21" fillId="32" borderId="2" xfId="0" applyFont="1" applyFill="1" applyBorder="1" applyAlignment="1">
      <alignment horizontal="center"/>
    </xf>
    <xf numFmtId="0" fontId="21" fillId="32" borderId="33" xfId="0" applyFont="1" applyFill="1" applyBorder="1" applyAlignment="1">
      <alignment horizontal="center"/>
    </xf>
    <xf numFmtId="0" fontId="21" fillId="32" borderId="3" xfId="0" applyFont="1" applyFill="1" applyBorder="1" applyAlignment="1">
      <alignment horizontal="center"/>
    </xf>
    <xf numFmtId="0" fontId="35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29" fillId="12" borderId="0" xfId="0" applyFont="1" applyFill="1" applyAlignment="1">
      <alignment horizontal="center"/>
    </xf>
    <xf numFmtId="0" fontId="29" fillId="12" borderId="13" xfId="0" applyFont="1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29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37" fillId="45" borderId="4" xfId="0" applyFont="1" applyFill="1" applyBorder="1" applyAlignment="1">
      <alignment horizontal="center"/>
    </xf>
    <xf numFmtId="0" fontId="0" fillId="45" borderId="4" xfId="0" applyFill="1" applyBorder="1" applyAlignment="1">
      <alignment horizontal="center"/>
    </xf>
    <xf numFmtId="0" fontId="37" fillId="12" borderId="29" xfId="0" applyFont="1" applyFill="1" applyBorder="1" applyAlignment="1">
      <alignment horizontal="center"/>
    </xf>
    <xf numFmtId="0" fontId="28" fillId="13" borderId="29" xfId="0" applyFont="1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29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36" fillId="12" borderId="4" xfId="0" applyFont="1" applyFill="1" applyBorder="1" applyAlignment="1">
      <alignment horizontal="center"/>
    </xf>
    <xf numFmtId="0" fontId="21" fillId="16" borderId="29" xfId="0" applyFont="1" applyFill="1" applyBorder="1" applyAlignment="1"/>
    <xf numFmtId="167" fontId="21" fillId="27" borderId="41" xfId="0" applyNumberFormat="1" applyFont="1" applyFill="1" applyBorder="1" applyAlignment="1">
      <alignment horizontal="center"/>
    </xf>
    <xf numFmtId="0" fontId="21" fillId="27" borderId="41" xfId="0" applyFont="1" applyFill="1" applyBorder="1" applyAlignment="1">
      <alignment horizontal="center"/>
    </xf>
    <xf numFmtId="0" fontId="21" fillId="27" borderId="42" xfId="0" applyFont="1" applyFill="1" applyBorder="1" applyAlignment="1">
      <alignment horizontal="center"/>
    </xf>
    <xf numFmtId="167" fontId="21" fillId="27" borderId="43" xfId="0" applyNumberFormat="1" applyFont="1" applyFill="1" applyBorder="1" applyAlignment="1">
      <alignment horizontal="center"/>
    </xf>
    <xf numFmtId="0" fontId="21" fillId="27" borderId="44" xfId="0" applyFont="1" applyFill="1" applyBorder="1" applyAlignment="1">
      <alignment horizontal="center"/>
    </xf>
    <xf numFmtId="167" fontId="21" fillId="27" borderId="4" xfId="0" applyNumberFormat="1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</cellXfs>
  <cellStyles count="2">
    <cellStyle name="Normal" xfId="0" builtinId="0"/>
    <cellStyle name="Percent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8F8FC"/>
      <rgbColor rgb="FFD9E7FD"/>
      <rgbColor rgb="FF660066"/>
      <rgbColor rgb="FFFF8080"/>
      <rgbColor rgb="FF0066CC"/>
      <rgbColor rgb="FFB3C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4F0"/>
      <rgbColor rgb="FFCCFFCC"/>
      <rgbColor rgb="FFFFFF99"/>
      <rgbColor rgb="FF8EB6F8"/>
      <rgbColor rgb="FFFF99CC"/>
      <rgbColor rgb="FFCC99FF"/>
      <rgbColor rgb="FFF7B4AE"/>
      <rgbColor rgb="FF4285F4"/>
      <rgbColor rgb="FF33CCCC"/>
      <rgbColor rgb="FF99CC00"/>
      <rgbColor rgb="FFFFCC00"/>
      <rgbColor rgb="FFFF9900"/>
      <rgbColor rgb="FFFF6600"/>
      <rgbColor rgb="FF606F7B"/>
      <rgbColor rgb="FF969696"/>
      <rgbColor rgb="FF003366"/>
      <rgbColor rgb="FF339966"/>
      <rgbColor rgb="FF003300"/>
      <rgbColor rgb="FF1F1F1F"/>
      <rgbColor rgb="FF993300"/>
      <rgbColor rgb="FF993366"/>
      <rgbColor rgb="FF1F4E78"/>
      <rgbColor rgb="FF2222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45" sqref="J45"/>
    </sheetView>
  </sheetViews>
  <sheetFormatPr defaultColWidth="12.6640625" defaultRowHeight="13.2"/>
  <cols>
    <col min="1" max="1" width="23.21875" style="1" customWidth="1"/>
    <col min="2" max="2" width="13.44140625" customWidth="1"/>
    <col min="3" max="3" width="26.21875" customWidth="1"/>
    <col min="4" max="4" width="19.21875" customWidth="1"/>
    <col min="5" max="6" width="16.6640625" customWidth="1"/>
    <col min="7" max="7" width="24.88671875" customWidth="1"/>
  </cols>
  <sheetData>
    <row r="1" spans="1:7" ht="30.6" customHeight="1">
      <c r="A1" s="23" t="s">
        <v>20</v>
      </c>
      <c r="B1" s="23" t="s">
        <v>21</v>
      </c>
      <c r="C1" s="23" t="s">
        <v>22</v>
      </c>
      <c r="D1" s="23" t="s">
        <v>23</v>
      </c>
      <c r="E1" s="23" t="s">
        <v>24</v>
      </c>
      <c r="F1" s="23" t="s">
        <v>25</v>
      </c>
      <c r="G1" s="23" t="s">
        <v>26</v>
      </c>
    </row>
    <row r="2" spans="1:7" ht="15.75" customHeight="1">
      <c r="A2" s="24" t="s">
        <v>27</v>
      </c>
      <c r="B2" s="25">
        <v>2022</v>
      </c>
      <c r="C2" s="26">
        <f>(('Sun Pharmaceutical '!B13+'Sun Pharmaceutical '!B19)/'Sun Pharmaceutical '!B4)*100</f>
        <v>32.084648419309772</v>
      </c>
      <c r="D2" s="27">
        <f>'Sun Pharmaceutical '!B100</f>
        <v>7550</v>
      </c>
      <c r="E2" s="27">
        <f>'Sun Pharmaceutical '!B37-'Sun Pharmaceutical '!B64</f>
        <v>-3743</v>
      </c>
      <c r="F2" s="26">
        <f>('Sun Pharmaceutical '!B22/('Sun Pharmaceutical '!B35+'Sun Pharmaceutical '!B36))*100</f>
        <v>7.0587990252233865</v>
      </c>
      <c r="G2" s="28">
        <f>'Sun Pharmaceutical '!B5</f>
        <v>0.15390000000000001</v>
      </c>
    </row>
    <row r="3" spans="1:7" ht="15.75" customHeight="1">
      <c r="A3" s="24" t="s">
        <v>27</v>
      </c>
      <c r="B3" s="25">
        <v>2023</v>
      </c>
      <c r="C3" s="26">
        <f>(('Sun Pharmaceutical '!C13+'Sun Pharmaceutical '!C19)/'Sun Pharmaceutical '!C4)*100</f>
        <v>32.30870892767625</v>
      </c>
      <c r="D3" s="27">
        <f>'Sun Pharmaceutical '!C100</f>
        <v>2895</v>
      </c>
      <c r="E3" s="27">
        <f>'Sun Pharmaceutical '!C37-'Sun Pharmaceutical '!C64</f>
        <v>1116</v>
      </c>
      <c r="F3" s="26">
        <f>('Sun Pharmaceutical '!C22/('Sun Pharmaceutical '!C35+'Sun Pharmaceutical '!C36))*100</f>
        <v>15.20314313778016</v>
      </c>
      <c r="G3" s="28">
        <f>'Sun Pharmaceutical '!C5</f>
        <v>0.1353</v>
      </c>
    </row>
    <row r="4" spans="1:7" ht="15.75" customHeight="1">
      <c r="A4" s="24" t="s">
        <v>27</v>
      </c>
      <c r="B4" s="25">
        <v>2024</v>
      </c>
      <c r="C4" s="26">
        <f>(('Sun Pharmaceutical '!D13+'Sun Pharmaceutical '!D19)/'Sun Pharmaceutical '!D4)*100</f>
        <v>32.115388580736955</v>
      </c>
      <c r="D4" s="27">
        <f>'Sun Pharmaceutical '!D100</f>
        <v>9964</v>
      </c>
      <c r="E4" s="27">
        <f>'Sun Pharmaceutical '!D37-'Sun Pharmaceutical '!D64</f>
        <v>-7247</v>
      </c>
      <c r="F4" s="26">
        <f>('Sun Pharmaceutical '!D22/('Sun Pharmaceutical '!D35+'Sun Pharmaceutical '!D36))*100</f>
        <v>15.094161810671148</v>
      </c>
      <c r="G4" s="28">
        <f>'Sun Pharmaceutical '!D5</f>
        <v>0.1051</v>
      </c>
    </row>
    <row r="5" spans="1:7" ht="15.75" customHeight="1">
      <c r="A5" s="24" t="s">
        <v>27</v>
      </c>
      <c r="B5" s="25">
        <v>2025</v>
      </c>
      <c r="C5" s="26">
        <f>(('Sun Pharmaceutical '!E13+'Sun Pharmaceutical '!E19)/'Sun Pharmaceutical '!E4)*100</f>
        <v>33.643348929209935</v>
      </c>
      <c r="D5" s="27">
        <f>'Sun Pharmaceutical '!E100</f>
        <v>12005</v>
      </c>
      <c r="E5" s="27">
        <f>'Sun Pharmaceutical '!E37-'Sun Pharmaceutical '!E64</f>
        <v>-8970</v>
      </c>
      <c r="F5" s="26">
        <f>('Sun Pharmaceutical '!E22/('Sun Pharmaceutical '!E35+'Sun Pharmaceutical '!E36))*100</f>
        <v>15.183195325265169</v>
      </c>
      <c r="G5" s="28">
        <f>'Sun Pharmaceutical '!E5</f>
        <v>8.4199999999999997E-2</v>
      </c>
    </row>
    <row r="6" spans="1:7" ht="15.75" customHeight="1">
      <c r="A6" s="24" t="s">
        <v>27</v>
      </c>
      <c r="B6" s="25">
        <v>2026</v>
      </c>
      <c r="C6" s="26">
        <f>(('Sun Pharmaceutical '!F13+'Sun Pharmaceutical '!F19)/'Sun Pharmaceutical '!F4)*100</f>
        <v>33.250658547432522</v>
      </c>
      <c r="D6" s="27">
        <f>'Sun Pharmaceutical '!F100</f>
        <v>8906</v>
      </c>
      <c r="E6" s="27">
        <f>'Sun Pharmaceutical '!F37-'Sun Pharmaceutical '!F64</f>
        <v>-6976</v>
      </c>
      <c r="F6" s="26">
        <f>('Sun Pharmaceutical '!F22/('Sun Pharmaceutical '!F35+'Sun Pharmaceutical '!F36))*100</f>
        <v>13.77168840493</v>
      </c>
      <c r="G6" s="28">
        <f>'Sun Pharmaceutical '!F5</f>
        <v>0.1119</v>
      </c>
    </row>
    <row r="7" spans="1:7" ht="15.75" customHeight="1">
      <c r="A7" s="29" t="s">
        <v>28</v>
      </c>
      <c r="B7" s="30">
        <v>2022</v>
      </c>
      <c r="C7" s="31">
        <f>(('Dr Reddy'!B11+'Dr Reddy'!B17)/'Dr Reddy'!B4)*100</f>
        <v>22.896263634253888</v>
      </c>
      <c r="D7" s="32">
        <f>'Dr Reddy'!B96</f>
        <v>1238</v>
      </c>
      <c r="E7" s="32">
        <f>'Dr Reddy'!B35-'Dr Reddy'!B62</f>
        <v>965</v>
      </c>
      <c r="F7" s="31">
        <f>('Dr Reddy'!B20/('Dr Reddy'!B33+'Dr Reddy'!B34))*100</f>
        <v>11.35748490526754</v>
      </c>
      <c r="G7" s="33">
        <f>'Dr Reddy'!B5</f>
        <v>0.13109999999999999</v>
      </c>
    </row>
    <row r="8" spans="1:7" ht="15.75" customHeight="1">
      <c r="A8" s="29" t="s">
        <v>28</v>
      </c>
      <c r="B8" s="30">
        <v>2023</v>
      </c>
      <c r="C8" s="31">
        <f>(('Dr Reddy'!C11+'Dr Reddy'!C17)/'Dr Reddy'!C4)*100</f>
        <v>31.293068504256183</v>
      </c>
      <c r="D8" s="32">
        <f>'Dr Reddy'!C96</f>
        <v>4009</v>
      </c>
      <c r="E8" s="32">
        <f>'Dr Reddy'!C35-'Dr Reddy'!C62</f>
        <v>-383</v>
      </c>
      <c r="F8" s="31">
        <f>('Dr Reddy'!C20/('Dr Reddy'!C33+'Dr Reddy'!C34))*100</f>
        <v>19.354977239543071</v>
      </c>
      <c r="G8" s="33">
        <f>'Dr Reddy'!C5</f>
        <v>0.14499999999999999</v>
      </c>
    </row>
    <row r="9" spans="1:7" ht="15.75" customHeight="1">
      <c r="A9" s="29" t="s">
        <v>28</v>
      </c>
      <c r="B9" s="30">
        <v>2024</v>
      </c>
      <c r="C9" s="31">
        <f>(('Dr Reddy'!D11+'Dr Reddy'!D17)/'Dr Reddy'!D4)*100</f>
        <v>33.568955053371887</v>
      </c>
      <c r="D9" s="32">
        <f>'Dr Reddy'!D96</f>
        <v>1908</v>
      </c>
      <c r="E9" s="32">
        <f>'Dr Reddy'!D35-'Dr Reddy'!D62</f>
        <v>274</v>
      </c>
      <c r="F9" s="31">
        <f>('Dr Reddy'!D20/('Dr Reddy'!D33+'Dr Reddy'!D34))*100</f>
        <v>19.742337368160261</v>
      </c>
      <c r="G9" s="33">
        <f>'Dr Reddy'!D5</f>
        <v>0.13539999999999999</v>
      </c>
    </row>
    <row r="10" spans="1:7" ht="15.75" customHeight="1">
      <c r="A10" s="29" t="s">
        <v>28</v>
      </c>
      <c r="B10" s="30">
        <v>2025</v>
      </c>
      <c r="C10" s="31">
        <f>(('Dr Reddy'!E11+'Dr Reddy'!E17)/'Dr Reddy'!E4)*100</f>
        <v>31.402401666462442</v>
      </c>
      <c r="D10" s="32">
        <f>'Dr Reddy'!E96</f>
        <v>1327</v>
      </c>
      <c r="E10" s="32">
        <f>'Dr Reddy'!E35-'Dr Reddy'!E62</f>
        <v>2217</v>
      </c>
      <c r="F10" s="31">
        <f>('Dr Reddy'!E20/('Dr Reddy'!E33+'Dr Reddy'!E34))*100</f>
        <v>17.064592089182987</v>
      </c>
      <c r="G10" s="33">
        <f>'Dr Reddy'!E5</f>
        <v>0.16539999999999999</v>
      </c>
    </row>
    <row r="11" spans="1:7" ht="15.75" customHeight="1">
      <c r="A11" s="29" t="s">
        <v>28</v>
      </c>
      <c r="B11" s="30">
        <v>2026</v>
      </c>
      <c r="C11" s="31">
        <f>(('Dr Reddy'!F11+'Dr Reddy'!F17)/'Dr Reddy'!F4)*100</f>
        <v>25.26112759643917</v>
      </c>
      <c r="D11" s="32">
        <f>'Dr Reddy'!F96</f>
        <v>2004</v>
      </c>
      <c r="E11" s="32">
        <f>'Dr Reddy'!F35-'Dr Reddy'!F62</f>
        <v>4385</v>
      </c>
      <c r="F11" s="31">
        <f>('Dr Reddy'!F20/('Dr Reddy'!F33+'Dr Reddy'!F34))*100</f>
        <v>10.97329251557057</v>
      </c>
      <c r="G11" s="33">
        <f>'Dr Reddy'!F5</f>
        <v>3.2399999999999998E-2</v>
      </c>
    </row>
    <row r="12" spans="1:7" ht="15.75" customHeight="1">
      <c r="A12" s="34" t="s">
        <v>29</v>
      </c>
      <c r="B12" s="35">
        <v>2022</v>
      </c>
      <c r="C12" s="36">
        <f>(('Divis Laboratories'!B11+'Divis Laboratories'!B17)/'Divis Laboratories'!B4)*100</f>
        <v>46.841517857142854</v>
      </c>
      <c r="D12" s="37">
        <f>'Divis Laboratories'!B91</f>
        <v>1199</v>
      </c>
      <c r="E12" s="37">
        <f>'Divis Laboratories'!B33-'Divis Laboratories'!B59</f>
        <v>-2815</v>
      </c>
      <c r="F12" s="36">
        <f>('Divis Laboratories'!B20/('Divis Laboratories'!B31+'Divis Laboratories'!B32))*100</f>
        <v>25.238744884038201</v>
      </c>
      <c r="G12" s="38">
        <f>'Divis Laboratories'!B5</f>
        <v>0.28560000000000002</v>
      </c>
    </row>
    <row r="13" spans="1:7" ht="15.75" customHeight="1">
      <c r="A13" s="34" t="s">
        <v>29</v>
      </c>
      <c r="B13" s="35">
        <v>2023</v>
      </c>
      <c r="C13" s="36">
        <f>(('Divis Laboratories'!C11+'Divis Laboratories'!C17)/'Divis Laboratories'!C4)*100</f>
        <v>34.925334706488158</v>
      </c>
      <c r="D13" s="37">
        <f>'Divis Laboratories'!C91</f>
        <v>1987</v>
      </c>
      <c r="E13" s="37">
        <f>'Divis Laboratories'!C33-'Divis Laboratories'!C59</f>
        <v>-4210</v>
      </c>
      <c r="F13" s="36">
        <f>('Divis Laboratories'!C20/('Divis Laboratories'!C31+'Divis Laboratories'!C32))*100</f>
        <v>14.279000548288556</v>
      </c>
      <c r="G13" s="38">
        <f>'Divis Laboratories'!C5</f>
        <v>-0.1331</v>
      </c>
    </row>
    <row r="14" spans="1:7" ht="15.75" customHeight="1">
      <c r="A14" s="34" t="s">
        <v>29</v>
      </c>
      <c r="B14" s="35">
        <v>2024</v>
      </c>
      <c r="C14" s="36">
        <f>(('Divis Laboratories'!D11+'Divis Laboratories'!D17)/'Divis Laboratories'!D4)*100</f>
        <v>32.989165073295091</v>
      </c>
      <c r="D14" s="35">
        <f>'Divis Laboratories'!D91</f>
        <v>258</v>
      </c>
      <c r="E14" s="37">
        <f>'Divis Laboratories'!D33-'Divis Laboratories'!D59</f>
        <v>-3977</v>
      </c>
      <c r="F14" s="36">
        <f>('Divis Laboratories'!D20/('Divis Laboratories'!D31+'Divis Laboratories'!D32))*100</f>
        <v>11.789845995136689</v>
      </c>
      <c r="G14" s="38">
        <f>'Divis Laboratories'!D5</f>
        <v>0.01</v>
      </c>
    </row>
    <row r="15" spans="1:7" ht="15.75" customHeight="1">
      <c r="A15" s="34" t="s">
        <v>29</v>
      </c>
      <c r="B15" s="35">
        <v>2025</v>
      </c>
      <c r="C15" s="36">
        <f>(('Divis Laboratories'!E11+'Divis Laboratories'!E17)/'Divis Laboratories'!E4)*100</f>
        <v>36.057692307692307</v>
      </c>
      <c r="D15" s="35">
        <f>'Divis Laboratories'!E91</f>
        <v>215</v>
      </c>
      <c r="E15" s="37">
        <f>'Divis Laboratories'!E33-'Divis Laboratories'!E59</f>
        <v>-3711</v>
      </c>
      <c r="F15" s="36">
        <f>('Divis Laboratories'!E20/('Divis Laboratories'!E31+'Divis Laboratories'!E32))*100</f>
        <v>14.636916293673591</v>
      </c>
      <c r="G15" s="38">
        <f>'Divis Laboratories'!E5</f>
        <v>0.19309999999999999</v>
      </c>
    </row>
    <row r="16" spans="1:7" ht="15.75" customHeight="1">
      <c r="A16" s="34" t="s">
        <v>29</v>
      </c>
      <c r="B16" s="35">
        <v>2026</v>
      </c>
      <c r="C16" s="36">
        <f>(('Divis Laboratories'!F11+'Divis Laboratories'!F17)/'Divis Laboratories'!F4)*100</f>
        <v>36.979166666666671</v>
      </c>
      <c r="D16" s="35">
        <f>'Divis Laboratories'!F91</f>
        <v>221</v>
      </c>
      <c r="E16" s="37">
        <f>'Divis Laboratories'!F33-'Divis Laboratories'!F59</f>
        <v>-3407</v>
      </c>
      <c r="F16" s="36">
        <f>('Divis Laboratories'!F20/('Divis Laboratories'!F31+'Divis Laboratories'!F32))*100</f>
        <v>15.321281546447111</v>
      </c>
      <c r="G16" s="38">
        <f>'Divis Laboratories'!F5</f>
        <v>0.12820000000000001</v>
      </c>
    </row>
    <row r="17" spans="1:7" ht="15.75" customHeight="1">
      <c r="A17" s="39" t="s">
        <v>30</v>
      </c>
      <c r="B17" s="40">
        <v>2022</v>
      </c>
      <c r="C17" s="41">
        <f>((Cipla!B11+Cipla!B17)/Cipla!B4)*100</f>
        <v>25.754721315995038</v>
      </c>
      <c r="D17" s="42">
        <f>Cipla!B100</f>
        <v>2645</v>
      </c>
      <c r="E17" s="42">
        <f>Cipla!B35-Cipla!B63</f>
        <v>-872</v>
      </c>
      <c r="F17" s="41">
        <f>(Cipla!B20/(Cipla!B33+Cipla!B34))*100</f>
        <v>12.221102634230602</v>
      </c>
      <c r="G17" s="43">
        <f>Cipla!B5</f>
        <v>0.13589999999999999</v>
      </c>
    </row>
    <row r="18" spans="1:7" ht="15.75" customHeight="1">
      <c r="A18" s="39" t="s">
        <v>30</v>
      </c>
      <c r="B18" s="40">
        <v>2023</v>
      </c>
      <c r="C18" s="41">
        <f>((Cipla!C11+Cipla!C17)/Cipla!C4)*100</f>
        <v>27.244758932887969</v>
      </c>
      <c r="D18" s="42">
        <f>Cipla!C100</f>
        <v>2102</v>
      </c>
      <c r="E18" s="42">
        <f>Cipla!C35-Cipla!C63</f>
        <v>-762</v>
      </c>
      <c r="F18" s="41">
        <f>(Cipla!C20/(Cipla!C33+Cipla!C34))*100</f>
        <v>12.103216986371597</v>
      </c>
      <c r="G18" s="43">
        <f>Cipla!C5</f>
        <v>4.5499999999999999E-2</v>
      </c>
    </row>
    <row r="19" spans="1:7" ht="15.75" customHeight="1">
      <c r="A19" s="39" t="s">
        <v>30</v>
      </c>
      <c r="B19" s="40">
        <v>2024</v>
      </c>
      <c r="C19" s="41">
        <f>((Cipla!D11+Cipla!D17)/Cipla!D4)*100</f>
        <v>28.48607123457748</v>
      </c>
      <c r="D19" s="42">
        <f>Cipla!D100</f>
        <v>2819</v>
      </c>
      <c r="E19" s="40">
        <f>Cipla!D35-Cipla!D63</f>
        <v>-316</v>
      </c>
      <c r="F19" s="41">
        <f>(Cipla!D20/(Cipla!D33+Cipla!D34))*100</f>
        <v>15.554557028383135</v>
      </c>
      <c r="G19" s="43">
        <f>Cipla!D5</f>
        <v>0.1328</v>
      </c>
    </row>
    <row r="20" spans="1:7" ht="15.75" customHeight="1">
      <c r="A20" s="39" t="s">
        <v>30</v>
      </c>
      <c r="B20" s="40">
        <v>2025</v>
      </c>
      <c r="C20" s="41">
        <f>((Cipla!E11+Cipla!E17)/Cipla!E4)*100</f>
        <v>29.893277188906637</v>
      </c>
      <c r="D20" s="42">
        <f>Cipla!E100</f>
        <v>3490</v>
      </c>
      <c r="E20" s="40">
        <f>Cipla!E35-Cipla!E63</f>
        <v>-362</v>
      </c>
      <c r="F20" s="41">
        <f>(Cipla!E20/(Cipla!E33+Cipla!E34))*100</f>
        <v>16.891068795281143</v>
      </c>
      <c r="G20" s="43">
        <f>Cipla!E5</f>
        <v>6.88E-2</v>
      </c>
    </row>
    <row r="21" spans="1:7" ht="15.75" customHeight="1">
      <c r="A21" s="39" t="s">
        <v>30</v>
      </c>
      <c r="B21" s="40">
        <v>2026</v>
      </c>
      <c r="C21" s="41">
        <f>((Cipla!F11+Cipla!F17)/Cipla!F4)*100</f>
        <v>25.189077868124844</v>
      </c>
      <c r="D21" s="40">
        <f>Cipla!F100</f>
        <v>928</v>
      </c>
      <c r="E21" s="42">
        <f>Cipla!F35-Cipla!F63</f>
        <v>-693</v>
      </c>
      <c r="F21" s="41">
        <f>(Cipla!F20/(Cipla!F33+Cipla!F34))*100</f>
        <v>11.216310408921933</v>
      </c>
      <c r="G21" s="43">
        <f>Cipla!F5</f>
        <v>2.23E-2</v>
      </c>
    </row>
    <row r="22" spans="1:7" ht="15.75" customHeight="1">
      <c r="A22" s="44" t="s">
        <v>31</v>
      </c>
      <c r="B22" s="45">
        <v>2022</v>
      </c>
      <c r="C22" s="46">
        <f>(('Torrent Pharma'!B12+'Torrent Pharma'!B18)/'Torrent Pharma'!B3)*100</f>
        <v>36.354019746121295</v>
      </c>
      <c r="D22" s="47">
        <f>'Torrent Pharma'!B96</f>
        <v>1607</v>
      </c>
      <c r="E22" s="47">
        <f>'Torrent Pharma'!E35-'Torrent Pharma'!B63</f>
        <v>2799</v>
      </c>
      <c r="F22" s="46">
        <f>'Torrent Pharma'!B21/('Torrent Pharma'!B33+'Torrent Pharma'!B34)*100</f>
        <v>13.052242566773057</v>
      </c>
      <c r="G22" s="48">
        <f>'Torrent Pharma'!B4</f>
        <v>6.2899999999999998E-2</v>
      </c>
    </row>
    <row r="23" spans="1:7" ht="15.75" customHeight="1">
      <c r="A23" s="44" t="s">
        <v>31</v>
      </c>
      <c r="B23" s="45">
        <v>2023</v>
      </c>
      <c r="C23" s="46">
        <f>(('Torrent Pharma'!C12+'Torrent Pharma'!C18)/'Torrent Pharma'!C3)*100</f>
        <v>36.891891891891895</v>
      </c>
      <c r="D23" s="47">
        <f>'Torrent Pharma'!C96</f>
        <v>1953</v>
      </c>
      <c r="E23" s="47">
        <f>'Torrent Pharma'!F35-'Torrent Pharma'!C63</f>
        <v>14455</v>
      </c>
      <c r="F23" s="46">
        <f>'Torrent Pharma'!C21/('Torrent Pharma'!C33+'Torrent Pharma'!C34)*100</f>
        <v>20.087124878993222</v>
      </c>
      <c r="G23" s="48">
        <f>'Torrent Pharma'!C4</f>
        <v>0.13070000000000001</v>
      </c>
    </row>
    <row r="24" spans="1:7" ht="15.75" customHeight="1">
      <c r="A24" s="44" t="s">
        <v>31</v>
      </c>
      <c r="B24" s="45">
        <v>2024</v>
      </c>
      <c r="C24" s="46">
        <f>(('Torrent Pharma'!D12+'Torrent Pharma'!D18)/'Torrent Pharma'!D3)*100</f>
        <v>38.926174496644293</v>
      </c>
      <c r="D24" s="47">
        <f>'Torrent Pharma'!D96</f>
        <v>2967</v>
      </c>
      <c r="E24" s="45">
        <f>'Torrent Pharma'!G35-'Torrent Pharma'!D63</f>
        <v>-839</v>
      </c>
      <c r="F24" s="46">
        <f>'Torrent Pharma'!D21/('Torrent Pharma'!D33+'Torrent Pharma'!D34)*100</f>
        <v>24.154025670945156</v>
      </c>
      <c r="G24" s="48">
        <f>'Torrent Pharma'!D4</f>
        <v>0.11509999999999999</v>
      </c>
    </row>
    <row r="25" spans="1:7" ht="15.75" customHeight="1">
      <c r="A25" s="44" t="s">
        <v>31</v>
      </c>
      <c r="B25" s="45">
        <v>2025</v>
      </c>
      <c r="C25" s="46">
        <f>(('Torrent Pharma'!E12+'Torrent Pharma'!E18)/'Torrent Pharma'!E3)*100</f>
        <v>39.215005210142415</v>
      </c>
      <c r="D25" s="47">
        <f>'Torrent Pharma'!E96</f>
        <v>1991</v>
      </c>
      <c r="E25" s="45">
        <f>'Torrent Pharma'!H35-'Torrent Pharma'!E63</f>
        <v>-579</v>
      </c>
      <c r="F25" s="46">
        <f>'Torrent Pharma'!E21/('Torrent Pharma'!E33+'Torrent Pharma'!E34)*100</f>
        <v>25.177865612648219</v>
      </c>
      <c r="G25" s="48">
        <f>'Torrent Pharma'!E4</f>
        <v>7.3499999999999996E-2</v>
      </c>
    </row>
    <row r="26" spans="1:7" ht="15.75" customHeight="1">
      <c r="A26" s="44" t="s">
        <v>31</v>
      </c>
      <c r="B26" s="45">
        <v>2026</v>
      </c>
      <c r="C26" s="46">
        <f>(('Torrent Pharma'!F12+'Torrent Pharma'!F18)/'Torrent Pharma'!F3)*100</f>
        <v>40.608011444921317</v>
      </c>
      <c r="D26" s="47">
        <f>'Torrent Pharma'!F96</f>
        <v>2386</v>
      </c>
      <c r="E26" s="47">
        <f>'Torrent Pharma'!I35-'Torrent Pharma'!F63</f>
        <v>-1165</v>
      </c>
      <c r="F26" s="46">
        <f>'Torrent Pharma'!F21/('Torrent Pharma'!F33+'Torrent Pharma'!F34)*100</f>
        <v>25.488793514544589</v>
      </c>
      <c r="G26" s="48">
        <f>'Torrent Pharma'!F4</f>
        <v>0.21390000000000001</v>
      </c>
    </row>
    <row r="27" spans="1:7" ht="15.75" customHeight="1">
      <c r="A27" s="49" t="s">
        <v>32</v>
      </c>
      <c r="B27" s="50">
        <v>2022</v>
      </c>
      <c r="C27" s="51">
        <f>(('Zydus Lifesciences Ltd'!B19+'Zydus Lifesciences Ltd'!B16)/'Zydus Lifesciences Ltd'!B3)*100</f>
        <v>34.923026531280712</v>
      </c>
      <c r="D27" s="52">
        <f>'Zydus Lifesciences Ltd'!B98</f>
        <v>1050</v>
      </c>
      <c r="E27" s="52">
        <f>'Zydus Lifesciences Ltd'!B34-'Zydus Lifesciences Ltd'!B61</f>
        <v>3114</v>
      </c>
      <c r="F27" s="51">
        <f>'Zydus Lifesciences Ltd'!B19/('Zydus Lifesciences Ltd'!B32+'Zydus Lifesciences Ltd'!B33)*100</f>
        <v>27.166303900229426</v>
      </c>
      <c r="G27" s="53">
        <f>'Zydus Lifesciences Ltd'!B4</f>
        <v>1.0800000000000001E-2</v>
      </c>
    </row>
    <row r="28" spans="1:7" ht="15.75" customHeight="1">
      <c r="A28" s="49" t="s">
        <v>32</v>
      </c>
      <c r="B28" s="50">
        <v>2023</v>
      </c>
      <c r="C28" s="51">
        <f>(('Zydus Lifesciences Ltd'!C19+'Zydus Lifesciences Ltd'!C16)/'Zydus Lifesciences Ltd'!C3)*100</f>
        <v>16.331148111620351</v>
      </c>
      <c r="D28" s="52">
        <f>'Zydus Lifesciences Ltd'!C98</f>
        <v>1697</v>
      </c>
      <c r="E28" s="52">
        <f>'Zydus Lifesciences Ltd'!C34-'Zydus Lifesciences Ltd'!C61</f>
        <v>622</v>
      </c>
      <c r="F28" s="51">
        <f>'Zydus Lifesciences Ltd'!C19/('Zydus Lifesciences Ltd'!C32+'Zydus Lifesciences Ltd'!C33)*100</f>
        <v>11.943366065311716</v>
      </c>
      <c r="G28" s="53">
        <f>'Zydus Lifesciences Ltd'!C4</f>
        <v>0.12920000000000001</v>
      </c>
    </row>
    <row r="29" spans="1:7" ht="15.75" customHeight="1">
      <c r="A29" s="49" t="s">
        <v>32</v>
      </c>
      <c r="B29" s="50">
        <v>2024</v>
      </c>
      <c r="C29" s="51">
        <f>(('Zydus Lifesciences Ltd'!D19+'Zydus Lifesciences Ltd'!D16)/'Zydus Lifesciences Ltd'!D3)*100</f>
        <v>24.233897784826315</v>
      </c>
      <c r="D29" s="52">
        <f>'Zydus Lifesciences Ltd'!D98</f>
        <v>2345</v>
      </c>
      <c r="E29" s="52">
        <f>'Zydus Lifesciences Ltd'!D34-'Zydus Lifesciences Ltd'!D61</f>
        <v>-301</v>
      </c>
      <c r="F29" s="51">
        <f>'Zydus Lifesciences Ltd'!D19/('Zydus Lifesciences Ltd'!D32+'Zydus Lifesciences Ltd'!D33)*100</f>
        <v>20.035300050428642</v>
      </c>
      <c r="G29" s="53">
        <f>'Zydus Lifesciences Ltd'!D4</f>
        <v>0.13400000000000001</v>
      </c>
    </row>
    <row r="30" spans="1:7" ht="15.75" customHeight="1">
      <c r="A30" s="49" t="s">
        <v>32</v>
      </c>
      <c r="B30" s="50">
        <v>2025</v>
      </c>
      <c r="C30" s="51">
        <f>(('Zydus Lifesciences Ltd'!E19+'Zydus Lifesciences Ltd'!E16)/'Zydus Lifesciences Ltd'!E3)*100</f>
        <v>24.046983908441614</v>
      </c>
      <c r="D30" s="52">
        <f>'Zydus Lifesciences Ltd'!E98</f>
        <v>5139</v>
      </c>
      <c r="E30" s="52">
        <f>'Zydus Lifesciences Ltd'!E34-'Zydus Lifesciences Ltd'!E61</f>
        <v>256</v>
      </c>
      <c r="F30" s="51">
        <f>'Zydus Lifesciences Ltd'!E19/('Zydus Lifesciences Ltd'!E32+'Zydus Lifesciences Ltd'!E33)*100</f>
        <v>19.509038533795351</v>
      </c>
      <c r="G30" s="53">
        <f>'Zydus Lifesciences Ltd'!E4</f>
        <v>0.189</v>
      </c>
    </row>
    <row r="31" spans="1:7" ht="15.75" customHeight="1">
      <c r="A31" s="49" t="s">
        <v>32</v>
      </c>
      <c r="B31" s="50">
        <v>2026</v>
      </c>
      <c r="C31" s="51">
        <f>(('Zydus Lifesciences Ltd'!F19+'Zydus Lifesciences Ltd'!F16)/'Zydus Lifesciences Ltd'!F3)*100</f>
        <v>24.060704287608665</v>
      </c>
      <c r="D31" s="52">
        <f>'Zydus Lifesciences Ltd'!F98</f>
        <v>-530</v>
      </c>
      <c r="E31" s="52">
        <f>'Zydus Lifesciences Ltd'!F34-'Zydus Lifesciences Ltd'!F61</f>
        <v>11079</v>
      </c>
      <c r="F31" s="51">
        <f>'Zydus Lifesciences Ltd'!F19/('Zydus Lifesciences Ltd'!F32+'Zydus Lifesciences Ltd'!F33)*100</f>
        <v>18.899380348185304</v>
      </c>
      <c r="G31" s="53">
        <f>'Zydus Lifesciences Ltd'!F4</f>
        <v>0.1681</v>
      </c>
    </row>
    <row r="32" spans="1:7" ht="15.75" customHeight="1">
      <c r="A32" s="54" t="s">
        <v>33</v>
      </c>
      <c r="B32" s="55">
        <v>2022</v>
      </c>
      <c r="C32" s="56">
        <f>((Lupin!B19+Lupin!B16)/Lupin!B3)*100</f>
        <v>0.79853703139286802</v>
      </c>
      <c r="D32" s="57">
        <f>Lupin!B96</f>
        <v>-531</v>
      </c>
      <c r="E32" s="58">
        <f>Lupin!B34-Lupin!B61</f>
        <v>3060</v>
      </c>
      <c r="F32" s="56">
        <f>Lupin!B19/(Lupin!B32+Lupin!B33)*100</f>
        <v>-12.573027236073397</v>
      </c>
      <c r="G32" s="59">
        <f>Lupin!B4</f>
        <v>8.1900000000000001E-2</v>
      </c>
    </row>
    <row r="33" spans="1:7" ht="15.75" customHeight="1">
      <c r="A33" s="54" t="s">
        <v>33</v>
      </c>
      <c r="B33" s="55">
        <v>2023</v>
      </c>
      <c r="C33" s="56">
        <f>((Lupin!C19+Lupin!C16)/Lupin!C3)*100</f>
        <v>7.9858190121379637</v>
      </c>
      <c r="D33" s="57">
        <f>Lupin!C96</f>
        <v>436</v>
      </c>
      <c r="E33" s="58">
        <f>Lupin!C34-Lupin!C61</f>
        <v>3249</v>
      </c>
      <c r="F33" s="56">
        <f>Lupin!C19/(Lupin!C32+Lupin!C33)*100</f>
        <v>3.5940633774568789</v>
      </c>
      <c r="G33" s="59">
        <f>Lupin!C4</f>
        <v>1.44E-2</v>
      </c>
    </row>
    <row r="34" spans="1:7" ht="15.75" customHeight="1">
      <c r="A34" s="54" t="s">
        <v>33</v>
      </c>
      <c r="B34" s="55">
        <v>2024</v>
      </c>
      <c r="C34" s="56">
        <f>((Lupin!D19+Lupin!D16)/Lupin!D3)*100</f>
        <v>15.656388986057667</v>
      </c>
      <c r="D34" s="58">
        <f>Lupin!D96</f>
        <v>2732</v>
      </c>
      <c r="E34" s="58">
        <f>Lupin!D34-Lupin!D61</f>
        <v>1719</v>
      </c>
      <c r="F34" s="56">
        <f>Lupin!D19/(Lupin!D32+Lupin!D33)*100</f>
        <v>13.547935619314206</v>
      </c>
      <c r="G34" s="59">
        <f>Lupin!D4</f>
        <v>0.20250000000000001</v>
      </c>
    </row>
    <row r="35" spans="1:7" ht="15.75" customHeight="1">
      <c r="A35" s="54" t="s">
        <v>33</v>
      </c>
      <c r="B35" s="55">
        <v>2025</v>
      </c>
      <c r="C35" s="56">
        <f>((Lupin!E19+Lupin!E16)/Lupin!E3)*100</f>
        <v>19.706711291174916</v>
      </c>
      <c r="D35" s="58">
        <f>Lupin!E96</f>
        <v>1347</v>
      </c>
      <c r="E35" s="58">
        <f>Lupin!E34-Lupin!E61</f>
        <v>2306</v>
      </c>
      <c r="F35" s="56">
        <f>Lupin!E19/(Lupin!E32+Lupin!E33)*100</f>
        <v>19.217578329361157</v>
      </c>
      <c r="G35" s="59">
        <f>Lupin!E4</f>
        <v>0.1348</v>
      </c>
    </row>
    <row r="36" spans="1:7" ht="15.75" customHeight="1">
      <c r="A36" s="54" t="s">
        <v>33</v>
      </c>
      <c r="B36" s="55">
        <v>2026</v>
      </c>
      <c r="C36" s="56">
        <f>((Lupin!F19+Lupin!F16)/Lupin!F3)*100</f>
        <v>24.075398812504471</v>
      </c>
      <c r="D36" s="58">
        <f>Lupin!F96</f>
        <v>5527</v>
      </c>
      <c r="E36" s="58">
        <f>Lupin!F34-Lupin!F61</f>
        <v>963</v>
      </c>
      <c r="F36" s="56">
        <f>Lupin!F19/(Lupin!F32+Lupin!F33)*100</f>
        <v>23.855131860299359</v>
      </c>
      <c r="G36" s="59">
        <f>Lupin!F4</f>
        <v>0.23119999999999999</v>
      </c>
    </row>
    <row r="37" spans="1:7" ht="15.75" customHeight="1">
      <c r="A37" s="60" t="s">
        <v>34</v>
      </c>
      <c r="B37" s="61">
        <v>2022</v>
      </c>
      <c r="C37" s="62">
        <f>(('Aurobindo Pharma Ltd'!B19+'Aurobindo Pharma Ltd'!B16)/'Aurobindo Pharma Ltd'!B3)*100</f>
        <v>16.090385845235559</v>
      </c>
      <c r="D37" s="63">
        <f>'Aurobindo Pharma Ltd'!B97</f>
        <v>2693</v>
      </c>
      <c r="E37" s="63">
        <f>'Aurobindo Pharma Ltd'!B33-'Aurobindo Pharma Ltd'!B61</f>
        <v>-1339</v>
      </c>
      <c r="F37" s="62">
        <f>'Aurobindo Pharma Ltd'!B19/('Aurobindo Pharma Ltd'!B31+'Aurobindo Pharma Ltd'!B32)*100</f>
        <v>10.770670572916668</v>
      </c>
      <c r="G37" s="64">
        <f>'Aurobindo Pharma Ltd'!B4</f>
        <v>-5.3199999999999997E-2</v>
      </c>
    </row>
    <row r="38" spans="1:7" ht="15.75" customHeight="1">
      <c r="A38" s="60" t="s">
        <v>34</v>
      </c>
      <c r="B38" s="61">
        <v>2023</v>
      </c>
      <c r="C38" s="62">
        <f>(('Aurobindo Pharma Ltd'!C19+'Aurobindo Pharma Ltd'!C16)/'Aurobindo Pharma Ltd'!C3)*100</f>
        <v>12.766043049688191</v>
      </c>
      <c r="D38" s="63">
        <f>'Aurobindo Pharma Ltd'!C97</f>
        <v>-323</v>
      </c>
      <c r="E38" s="63">
        <f>'Aurobindo Pharma Ltd'!C33-'Aurobindo Pharma Ltd'!C61</f>
        <v>-798</v>
      </c>
      <c r="F38" s="62">
        <f>'Aurobindo Pharma Ltd'!C19/('Aurobindo Pharma Ltd'!C31+'Aurobindo Pharma Ltd'!C32)*100</f>
        <v>7.1833084947839048</v>
      </c>
      <c r="G38" s="64">
        <f>'Aurobindo Pharma Ltd'!C4</f>
        <v>5.9700000000000003E-2</v>
      </c>
    </row>
    <row r="39" spans="1:7" ht="15.75" customHeight="1">
      <c r="A39" s="60" t="s">
        <v>34</v>
      </c>
      <c r="B39" s="61">
        <v>2024</v>
      </c>
      <c r="C39" s="62">
        <f>(('Aurobindo Pharma Ltd'!D19+'Aurobindo Pharma Ltd'!D16)/'Aurobindo Pharma Ltd'!D3)*100</f>
        <v>16.174746569202124</v>
      </c>
      <c r="D39" s="63">
        <f>'Aurobindo Pharma Ltd'!D97</f>
        <v>-1067</v>
      </c>
      <c r="E39" s="63">
        <f>'Aurobindo Pharma Ltd'!D33-'Aurobindo Pharma Ltd'!D61</f>
        <v>370</v>
      </c>
      <c r="F39" s="62">
        <f>'Aurobindo Pharma Ltd'!D19/('Aurobindo Pharma Ltd'!D31+'Aurobindo Pharma Ltd'!D32)*100</f>
        <v>10.618905606004759</v>
      </c>
      <c r="G39" s="64">
        <f>'Aurobindo Pharma Ltd'!D4</f>
        <v>0.1668</v>
      </c>
    </row>
    <row r="40" spans="1:7" ht="15.75" customHeight="1">
      <c r="A40" s="60" t="s">
        <v>34</v>
      </c>
      <c r="B40" s="61">
        <v>2025</v>
      </c>
      <c r="C40" s="62">
        <f>(('Aurobindo Pharma Ltd'!E19+'Aurobindo Pharma Ltd'!E16)/'Aurobindo Pharma Ltd'!E3)*100</f>
        <v>16.180179044256715</v>
      </c>
      <c r="D40" s="63">
        <f>'Aurobindo Pharma Ltd'!E97</f>
        <v>1408</v>
      </c>
      <c r="E40" s="63">
        <f>'Aurobindo Pharma Ltd'!E33-'Aurobindo Pharma Ltd'!E61</f>
        <v>28</v>
      </c>
      <c r="F40" s="62">
        <f>'Aurobindo Pharma Ltd'!E19/('Aurobindo Pharma Ltd'!E31+'Aurobindo Pharma Ltd'!E32)*100</f>
        <v>10.669770005818762</v>
      </c>
      <c r="G40" s="64">
        <f>'Aurobindo Pharma Ltd'!E4</f>
        <v>9.3899999999999997E-2</v>
      </c>
    </row>
    <row r="41" spans="1:7" ht="15.75" customHeight="1">
      <c r="A41" s="60" t="s">
        <v>34</v>
      </c>
      <c r="B41" s="61">
        <v>2026</v>
      </c>
      <c r="C41" s="62">
        <f>(('Aurobindo Pharma Ltd'!F19+'Aurobindo Pharma Ltd'!F16)/'Aurobindo Pharma Ltd'!F3)*100</f>
        <v>15.692508840222269</v>
      </c>
      <c r="D41" s="63">
        <f>'Aurobindo Pharma Ltd'!F97</f>
        <v>2468</v>
      </c>
      <c r="E41" s="63">
        <f>'Aurobindo Pharma Ltd'!F33-'Aurobindo Pharma Ltd'!F61</f>
        <v>-1797</v>
      </c>
      <c r="F41" s="62">
        <f>'Aurobindo Pharma Ltd'!F19/('Aurobindo Pharma Ltd'!F31+'Aurobindo Pharma Ltd'!F32)*100</f>
        <v>9.2449394315272748</v>
      </c>
      <c r="G41" s="64">
        <f>'Aurobindo Pharma Ltd'!F4</f>
        <v>6.08E-2</v>
      </c>
    </row>
    <row r="42" spans="1:7" ht="15.75" customHeight="1">
      <c r="A42" s="65" t="s">
        <v>35</v>
      </c>
      <c r="B42" s="66">
        <v>2022</v>
      </c>
      <c r="C42" s="67">
        <f>('Alkem Labs'!B19+'Alkem Labs'!B16)/'Alkem Labs'!B3*100</f>
        <v>18.657137483543352</v>
      </c>
      <c r="D42" s="68">
        <f>'Alkem Labs'!B98</f>
        <v>783</v>
      </c>
      <c r="E42" s="69">
        <f>'Alkem Labs'!B34-'Alkem Labs'!B61</f>
        <v>89</v>
      </c>
      <c r="F42" s="67">
        <f>'Alkem Labs'!B19/('Alkem Labs'!B32+'Alkem Labs'!B33)*100</f>
        <v>19.448946515397083</v>
      </c>
      <c r="G42" s="70">
        <f>'Alkem Labs'!B4</f>
        <v>0.1996</v>
      </c>
    </row>
    <row r="43" spans="1:7" ht="15.75" customHeight="1">
      <c r="A43" s="65" t="s">
        <v>35</v>
      </c>
      <c r="B43" s="66">
        <v>2023</v>
      </c>
      <c r="C43" s="67">
        <f>('Alkem Labs'!C19+'Alkem Labs'!C16)/'Alkem Labs'!C3*100</f>
        <v>11.354427105784982</v>
      </c>
      <c r="D43" s="69">
        <f>'Alkem Labs'!C98</f>
        <v>1453</v>
      </c>
      <c r="E43" s="69">
        <f>'Alkem Labs'!C34-'Alkem Labs'!C61</f>
        <v>-1220</v>
      </c>
      <c r="F43" s="67">
        <f>'Alkem Labs'!C19/('Alkem Labs'!C32+'Alkem Labs'!C33)*100</f>
        <v>11.13322277501382</v>
      </c>
      <c r="G43" s="70">
        <f>'Alkem Labs'!C4</f>
        <v>9.0800000000000006E-2</v>
      </c>
    </row>
    <row r="44" spans="1:7" ht="15.75" customHeight="1">
      <c r="A44" s="65" t="s">
        <v>35</v>
      </c>
      <c r="B44" s="66">
        <v>2024</v>
      </c>
      <c r="C44" s="67">
        <f>('Alkem Labs'!D19+'Alkem Labs'!D16)/'Alkem Labs'!D3*100</f>
        <v>16.656141458793812</v>
      </c>
      <c r="D44" s="69">
        <f>'Alkem Labs'!D98</f>
        <v>1761</v>
      </c>
      <c r="E44" s="69">
        <f>'Alkem Labs'!D34-'Alkem Labs'!D61</f>
        <v>-161</v>
      </c>
      <c r="F44" s="67">
        <f>'Alkem Labs'!D19/('Alkem Labs'!D32+'Alkem Labs'!D33)*100</f>
        <v>17.562063615205588</v>
      </c>
      <c r="G44" s="70">
        <f>'Alkem Labs'!D4</f>
        <v>9.2100000000000001E-2</v>
      </c>
    </row>
    <row r="45" spans="1:7" ht="15.75" customHeight="1">
      <c r="A45" s="65" t="s">
        <v>35</v>
      </c>
      <c r="B45" s="66">
        <v>2025</v>
      </c>
      <c r="C45" s="67">
        <f>('Alkem Labs'!E19+'Alkem Labs'!E16)/'Alkem Labs'!E3*100</f>
        <v>19.838025453143075</v>
      </c>
      <c r="D45" s="69">
        <f>'Alkem Labs'!E98</f>
        <v>1278</v>
      </c>
      <c r="E45" s="69">
        <f>'Alkem Labs'!E34-'Alkem Labs'!E61</f>
        <v>-182</v>
      </c>
      <c r="F45" s="67">
        <f>'Alkem Labs'!E19/('Alkem Labs'!E32+'Alkem Labs'!E33)*100</f>
        <v>18.481435127242388</v>
      </c>
      <c r="G45" s="70">
        <f>'Alkem Labs'!E4</f>
        <v>2.3400000000000001E-2</v>
      </c>
    </row>
    <row r="46" spans="1:7" ht="15.75" customHeight="1">
      <c r="A46" s="65" t="s">
        <v>35</v>
      </c>
      <c r="B46" s="66">
        <v>2026</v>
      </c>
      <c r="C46" s="67">
        <f>('Alkem Labs'!F19+'Alkem Labs'!F16)/'Alkem Labs'!F3*100</f>
        <v>18.576672104404569</v>
      </c>
      <c r="D46" s="69">
        <f>'Alkem Labs'!F98</f>
        <v>1476</v>
      </c>
      <c r="E46" s="69">
        <f>'Alkem Labs'!F34-'Alkem Labs'!F61</f>
        <v>314</v>
      </c>
      <c r="F46" s="67">
        <f>'Alkem Labs'!F19/('Alkem Labs'!F32+'Alkem Labs'!F33)*100</f>
        <v>17.011577424023155</v>
      </c>
      <c r="G46" s="70">
        <f>'Alkem Labs'!F4</f>
        <v>0.1348</v>
      </c>
    </row>
    <row r="47" spans="1:7" ht="15.75" customHeight="1">
      <c r="A47" s="71" t="s">
        <v>36</v>
      </c>
      <c r="B47" s="72">
        <v>2022</v>
      </c>
      <c r="C47" s="73">
        <f>('Abbott India'!B21+'Abbott India'!B18)/'Abbott India'!B3*100</f>
        <v>17.584874974588331</v>
      </c>
      <c r="D47" s="74">
        <f>'Abbott India'!B85</f>
        <v>904</v>
      </c>
      <c r="E47" s="75">
        <f>'Abbott India'!B34-'Abbott India'!B57</f>
        <v>-2597</v>
      </c>
      <c r="F47" s="73">
        <f>'Abbott India'!B21/('Abbott India'!B32+'Abbott India'!B33)*100</f>
        <v>28.333333333333332</v>
      </c>
      <c r="G47" s="76">
        <f>'Abbott India'!B4</f>
        <v>0.1414</v>
      </c>
    </row>
    <row r="48" spans="1:7" ht="15.75" customHeight="1">
      <c r="A48" s="71" t="s">
        <v>36</v>
      </c>
      <c r="B48" s="72">
        <v>2023</v>
      </c>
      <c r="C48" s="73">
        <f>('Abbott India'!C21+'Abbott India'!C18)/'Abbott India'!C3*100</f>
        <v>19.050289773789494</v>
      </c>
      <c r="D48" s="74">
        <f>'Abbott India'!C85</f>
        <v>860</v>
      </c>
      <c r="E48" s="75">
        <f>'Abbott India'!C34-'Abbott India'!C57</f>
        <v>-1824</v>
      </c>
      <c r="F48" s="73">
        <f>'Abbott India'!C21/('Abbott India'!C32+'Abbott India'!C33)*100</f>
        <v>29.767879548306148</v>
      </c>
      <c r="G48" s="76">
        <f>'Abbott India'!C4</f>
        <v>8.7300000000000003E-2</v>
      </c>
    </row>
    <row r="49" spans="1:7" ht="15.75" customHeight="1">
      <c r="A49" s="71" t="s">
        <v>36</v>
      </c>
      <c r="B49" s="72">
        <v>2024</v>
      </c>
      <c r="C49" s="73">
        <f>('Abbott India'!D21+'Abbott India'!D18)/'Abbott India'!D3*100</f>
        <v>21.747307232005472</v>
      </c>
      <c r="D49" s="75">
        <f>'Abbott India'!D85</f>
        <v>1165</v>
      </c>
      <c r="E49" s="75">
        <f>'Abbott India'!D34-'Abbott India'!D57</f>
        <v>-2051</v>
      </c>
      <c r="F49" s="73">
        <f>'Abbott India'!D21/('Abbott India'!D32+'Abbott India'!D33)*100</f>
        <v>32.468234658015682</v>
      </c>
      <c r="G49" s="76">
        <f>'Abbott India'!D4</f>
        <v>9.35E-2</v>
      </c>
    </row>
    <row r="50" spans="1:7" ht="15.75" customHeight="1">
      <c r="A50" s="71" t="s">
        <v>36</v>
      </c>
      <c r="B50" s="72">
        <v>2025</v>
      </c>
      <c r="C50" s="73">
        <f>('Abbott India'!E21+'Abbott India'!E18)/'Abbott India'!E3*100</f>
        <v>23.186144484318927</v>
      </c>
      <c r="D50" s="74">
        <f>'Abbott India'!E85</f>
        <v>960</v>
      </c>
      <c r="E50" s="75">
        <f>'Abbott India'!E34-'Abbott India'!E57</f>
        <v>-1429</v>
      </c>
      <c r="F50" s="73">
        <f>'Abbott India'!E21/('Abbott India'!E32+'Abbott India'!E33)*100</f>
        <v>33.404205055516186</v>
      </c>
      <c r="G50" s="76">
        <f>'Abbott India'!E4</f>
        <v>9.5799999999999996E-2</v>
      </c>
    </row>
    <row r="51" spans="1:7" ht="15.75" customHeight="1">
      <c r="A51" s="71" t="s">
        <v>36</v>
      </c>
      <c r="B51" s="72">
        <v>2026</v>
      </c>
      <c r="C51" s="73">
        <f>('Abbott India'!F21+'Abbott India'!F18)/'Abbott India'!F3*100</f>
        <v>23.49545388945014</v>
      </c>
      <c r="D51" s="75">
        <f>'Abbott India'!F85</f>
        <v>1307</v>
      </c>
      <c r="E51" s="75">
        <f>'Abbott India'!F34-'Abbott India'!F57</f>
        <v>-2083</v>
      </c>
      <c r="F51" s="73">
        <f>'Abbott India'!F21/('Abbott India'!F32+'Abbott India'!F33)*100</f>
        <v>32.509426057813158</v>
      </c>
      <c r="G51" s="76">
        <f>'Abbott India'!F4</f>
        <v>8.1100000000000005E-2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0"/>
  <sheetViews>
    <sheetView zoomScale="105" zoomScaleNormal="100" workbookViewId="0">
      <selection activeCell="N27" sqref="N27"/>
    </sheetView>
  </sheetViews>
  <sheetFormatPr defaultColWidth="8.6640625" defaultRowHeight="13.2"/>
  <cols>
    <col min="1" max="1" width="19.77734375" customWidth="1"/>
    <col min="2" max="2" width="16.44140625" customWidth="1"/>
    <col min="3" max="3" width="13.5546875" customWidth="1"/>
    <col min="4" max="4" width="17.6640625" style="2" customWidth="1"/>
    <col min="5" max="5" width="11.88671875" customWidth="1"/>
    <col min="6" max="6" width="12.6640625" customWidth="1"/>
    <col min="7" max="7" width="17.109375" customWidth="1"/>
    <col min="8" max="8" width="13.88671875" customWidth="1"/>
    <col min="9" max="9" width="17" customWidth="1"/>
    <col min="10" max="10" width="12.6640625" customWidth="1"/>
    <col min="11" max="11" width="14.5546875" customWidth="1"/>
    <col min="12" max="12" width="21.5546875" customWidth="1"/>
    <col min="13" max="13" width="20.6640625" customWidth="1"/>
    <col min="14" max="14" width="24.44140625" bestFit="1" customWidth="1"/>
    <col min="15" max="15" width="21.44140625" customWidth="1"/>
    <col min="16" max="16" width="21.6640625" customWidth="1"/>
    <col min="17" max="17" width="20.44140625" customWidth="1"/>
    <col min="18" max="18" width="22.6640625" customWidth="1"/>
    <col min="19" max="19" width="46.21875" customWidth="1"/>
  </cols>
  <sheetData>
    <row r="1" spans="1:20" ht="27.6" customHeight="1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88" t="s">
        <v>11</v>
      </c>
      <c r="M1" s="89" t="s">
        <v>12</v>
      </c>
      <c r="N1" s="89" t="s">
        <v>13</v>
      </c>
      <c r="O1" s="90" t="s">
        <v>14</v>
      </c>
      <c r="P1" s="90" t="s">
        <v>15</v>
      </c>
      <c r="Q1" s="91" t="s">
        <v>16</v>
      </c>
      <c r="R1" s="91" t="s">
        <v>17</v>
      </c>
      <c r="S1" s="91" t="s">
        <v>18</v>
      </c>
      <c r="T1" s="92"/>
    </row>
    <row r="2" spans="1:20" ht="12.75" customHeight="1">
      <c r="A2" s="81">
        <v>46080</v>
      </c>
      <c r="B2" s="53">
        <v>6.6E-3</v>
      </c>
      <c r="C2" s="53">
        <v>-1.9558414464534098E-2</v>
      </c>
      <c r="D2" s="53">
        <v>-2.45760629147163E-4</v>
      </c>
      <c r="E2" s="53">
        <v>-1.206E-2</v>
      </c>
      <c r="F2" s="53">
        <v>-1.7900905700586001E-2</v>
      </c>
      <c r="G2" s="53">
        <v>-1.51143233783354E-2</v>
      </c>
      <c r="H2" s="87">
        <v>-2.50132646100205E-2</v>
      </c>
      <c r="I2" s="53">
        <v>-2.72722181777455E-2</v>
      </c>
      <c r="J2" s="53">
        <v>-7.2895957587805196E-3</v>
      </c>
      <c r="K2" s="53">
        <v>-1.01173926475131E-2</v>
      </c>
      <c r="L2" s="95">
        <f>IFERROR(B2*'Stock Statistics'!$C$41+C2*'Stock Statistics'!$C$42+D2*'Stock Statistics'!$C$43+E2*'Stock Statistics'!$C$44+F2*'Stock Statistics'!$C$45+G2*'Stock Statistics'!$C$46+H2*'Stock Statistics'!$C$47+I2*'Stock Statistics'!$C$48+J2*'Stock Statistics'!$C$49+K2*'Stock Statistics'!$C$50,"")</f>
        <v>-1.2797187536666229E-2</v>
      </c>
      <c r="M2" s="96">
        <v>497.13409999999999</v>
      </c>
      <c r="N2" s="97">
        <v>576.9248</v>
      </c>
      <c r="O2" s="93">
        <f t="shared" ref="O2:O65" si="0">M2/M3-1</f>
        <v>-1.01774888266839E-2</v>
      </c>
      <c r="P2" s="93">
        <f t="shared" ref="P2:P65" si="1">N2/N3-1</f>
        <v>-8.8691148442656687E-3</v>
      </c>
      <c r="Q2" s="93">
        <f>B2*'Portfolio 2 &amp; 3'!$F$7+C2*'Portfolio 2 &amp; 3'!$F$8+D2*'Portfolio 2 &amp; 3'!$F$9+E2*'Portfolio 2 &amp; 3'!$F$10+F2*'Portfolio 2 &amp; 3'!$F$11+G2*'Portfolio 2 &amp; 3'!$F$12+H2*'Portfolio 2 &amp; 3'!$F$13+I2*'Portfolio 2 &amp; 3'!$F$14+J2*'Portfolio 2 &amp; 3'!$F$15+K2*'Portfolio 2 &amp; 3'!$F$16</f>
        <v>-1.3299704691976711E-2</v>
      </c>
      <c r="R2" s="93">
        <f>B2*'Portfolio 2 &amp; 3'!$B$23+C2*'Portfolio 2 &amp; 3'!$B$24+D2*'Portfolio 2 &amp; 3'!$B$25+E2*'Portfolio 2 &amp; 3'!$B$26+F2*'Portfolio 2 &amp; 3'!$B$27+G2*'Portfolio 2 &amp; 3'!$B$28+H2*'Portfolio 2 &amp; 3'!$B$29+I2*'Portfolio 2 &amp; 3'!$B$30+J2*'Portfolio 2 &amp; 3'!$B$31+K2*'Portfolio 2 &amp; 3'!$B$32</f>
        <v>-1.5965014460804221E-2</v>
      </c>
      <c r="S2" s="93">
        <f t="shared" ref="S2:S65" si="2">IFERROR(AVERAGE(O2,P2),"")</f>
        <v>-9.5233018354747845E-3</v>
      </c>
    </row>
    <row r="3" spans="1:20" ht="12.75" customHeight="1">
      <c r="A3" s="82">
        <v>46079</v>
      </c>
      <c r="B3" s="53">
        <v>-2.0999999999999999E-3</v>
      </c>
      <c r="C3" s="53">
        <v>2.2577777777777801E-2</v>
      </c>
      <c r="D3" s="53">
        <v>7.5938918695832597E-3</v>
      </c>
      <c r="E3" s="53">
        <v>1.3520000000000001E-2</v>
      </c>
      <c r="F3" s="53">
        <v>2.0496928179198699E-2</v>
      </c>
      <c r="G3" s="53">
        <v>-4.3223426644638501E-3</v>
      </c>
      <c r="H3" s="87">
        <v>9.7971680061232896E-3</v>
      </c>
      <c r="I3" s="53">
        <v>1.2186826890375301E-2</v>
      </c>
      <c r="J3" s="53">
        <v>8.9146422999777392E-3</v>
      </c>
      <c r="K3" s="53">
        <v>1.2274255335783101E-2</v>
      </c>
      <c r="L3" s="95">
        <f>IFERROR(B3*'Stock Statistics'!$C$41+C3*'Stock Statistics'!$C$42+D3*'Stock Statistics'!$C$43+E3*'Stock Statistics'!$C$44+F3*'Stock Statistics'!$C$45+G3*'Stock Statistics'!$C$46+H3*'Stock Statistics'!$C$47+I3*'Stock Statistics'!$C$48+J3*'Stock Statistics'!$C$49+K3*'Stock Statistics'!$C$50,"")</f>
        <v>1.0093914769435535E-2</v>
      </c>
      <c r="M3" s="97">
        <v>502.2457</v>
      </c>
      <c r="N3" s="96">
        <v>582.0874</v>
      </c>
      <c r="O3" s="93">
        <f t="shared" si="0"/>
        <v>1.1710969478196276E-2</v>
      </c>
      <c r="P3" s="93">
        <f t="shared" si="1"/>
        <v>7.8702501289948934E-3</v>
      </c>
      <c r="Q3" s="93">
        <f>B3*'Portfolio 2 &amp; 3'!$F$7+C3*'Portfolio 2 &amp; 3'!$F$8+D3*'Portfolio 2 &amp; 3'!$F$9+E3*'Portfolio 2 &amp; 3'!$F$10+F3*'Portfolio 2 &amp; 3'!$F$11+G3*'Portfolio 2 &amp; 3'!$F$12+H3*'Portfolio 2 &amp; 3'!$F$13+I3*'Portfolio 2 &amp; 3'!$F$14+J3*'Portfolio 2 &amp; 3'!$F$15+K3*'Portfolio 2 &amp; 3'!$F$16</f>
        <v>1.0822137017192174E-2</v>
      </c>
      <c r="R3" s="93">
        <f>B3*'Portfolio 2 &amp; 3'!$B$23+C3*'Portfolio 2 &amp; 3'!$B$24+D3*'Portfolio 2 &amp; 3'!$B$25+E3*'Portfolio 2 &amp; 3'!$B$26+F3*'Portfolio 2 &amp; 3'!$B$27+G3*'Portfolio 2 &amp; 3'!$B$28+H3*'Portfolio 2 &amp; 3'!$B$29+I3*'Portfolio 2 &amp; 3'!$B$30+J3*'Portfolio 2 &amp; 3'!$B$31+K3*'Portfolio 2 &amp; 3'!$B$32</f>
        <v>1.1591660180978083E-2</v>
      </c>
      <c r="S3" s="93">
        <f t="shared" si="2"/>
        <v>9.7906098035955846E-3</v>
      </c>
    </row>
    <row r="4" spans="1:20" ht="12.75" customHeight="1">
      <c r="A4" s="81">
        <v>46078</v>
      </c>
      <c r="B4" s="53">
        <v>1.6999999999999999E-3</v>
      </c>
      <c r="C4" s="53">
        <v>2.3564734783004401E-2</v>
      </c>
      <c r="D4" s="53">
        <v>4.0450017176228099E-2</v>
      </c>
      <c r="E4" s="53">
        <v>1.103E-2</v>
      </c>
      <c r="F4" s="53">
        <v>1.7480776677545998E-2</v>
      </c>
      <c r="G4" s="53">
        <v>4.7750062529843297E-3</v>
      </c>
      <c r="H4" s="87">
        <v>4.8454083987079502E-3</v>
      </c>
      <c r="I4" s="53">
        <v>1.8708857835777901E-2</v>
      </c>
      <c r="J4" s="53">
        <v>1.46227481721564E-2</v>
      </c>
      <c r="K4" s="53">
        <v>2.2380305331308501E-2</v>
      </c>
      <c r="L4" s="95">
        <f>IFERROR(B4*'Stock Statistics'!$C$41+C4*'Stock Statistics'!$C$42+D4*'Stock Statistics'!$C$43+E4*'Stock Statistics'!$C$44+F4*'Stock Statistics'!$C$45+G4*'Stock Statistics'!$C$46+H4*'Stock Statistics'!$C$47+I4*'Stock Statistics'!$C$48+J4*'Stock Statistics'!$C$49+K4*'Stock Statistics'!$C$50,"")</f>
        <v>1.595578546277136E-2</v>
      </c>
      <c r="M4" s="96">
        <v>496.43200000000002</v>
      </c>
      <c r="N4" s="97">
        <v>577.54200000000003</v>
      </c>
      <c r="O4" s="93">
        <f t="shared" si="0"/>
        <v>1.4566179315260941E-2</v>
      </c>
      <c r="P4" s="93">
        <f t="shared" si="1"/>
        <v>1.3631874622767715E-2</v>
      </c>
      <c r="Q4" s="93">
        <f>B4*'Portfolio 2 &amp; 3'!$F$7+C4*'Portfolio 2 &amp; 3'!$F$8+D4*'Portfolio 2 &amp; 3'!$F$9+E4*'Portfolio 2 &amp; 3'!$F$10+F4*'Portfolio 2 &amp; 3'!$F$11+G4*'Portfolio 2 &amp; 3'!$F$12+H4*'Portfolio 2 &amp; 3'!$F$13+I4*'Portfolio 2 &amp; 3'!$F$14+J4*'Portfolio 2 &amp; 3'!$F$15+K4*'Portfolio 2 &amp; 3'!$F$16</f>
        <v>1.692596579457575E-2</v>
      </c>
      <c r="R4" s="93">
        <f>B4*'Portfolio 2 &amp; 3'!$B$23+C4*'Portfolio 2 &amp; 3'!$B$24+D4*'Portfolio 2 &amp; 3'!$B$25+E4*'Portfolio 2 &amp; 3'!$B$26+F4*'Portfolio 2 &amp; 3'!$B$27+G4*'Portfolio 2 &amp; 3'!$B$28+H4*'Portfolio 2 &amp; 3'!$B$29+I4*'Portfolio 2 &amp; 3'!$B$30+J4*'Portfolio 2 &amp; 3'!$B$31+K4*'Portfolio 2 &amp; 3'!$B$32</f>
        <v>1.5724575003340669E-2</v>
      </c>
      <c r="S4" s="93">
        <f t="shared" si="2"/>
        <v>1.4099026969014328E-2</v>
      </c>
    </row>
    <row r="5" spans="1:20" ht="12.75" customHeight="1">
      <c r="A5" s="82">
        <v>46077</v>
      </c>
      <c r="B5" s="53">
        <v>-4.0000000000000001E-3</v>
      </c>
      <c r="C5" s="53">
        <v>9.1066387396421299E-4</v>
      </c>
      <c r="D5" s="53">
        <v>1.1993742395272299E-2</v>
      </c>
      <c r="E5" s="53">
        <v>-1.0200000000000001E-3</v>
      </c>
      <c r="F5" s="53">
        <v>-4.51566716228868E-3</v>
      </c>
      <c r="G5" s="53">
        <v>2.0962949206054401E-2</v>
      </c>
      <c r="H5" s="87">
        <v>-5.5071133547498503E-3</v>
      </c>
      <c r="I5" s="53">
        <v>-2.8863360849740199E-4</v>
      </c>
      <c r="J5" s="53">
        <v>1.5077271013952401E-4</v>
      </c>
      <c r="K5" s="53">
        <v>-6.0379756892031703E-3</v>
      </c>
      <c r="L5" s="95">
        <f>IFERROR(B5*'Stock Statistics'!$C$41+C5*'Stock Statistics'!$C$42+D5*'Stock Statistics'!$C$43+E5*'Stock Statistics'!$C$44+F5*'Stock Statistics'!$C$45+G5*'Stock Statistics'!$C$46+H5*'Stock Statistics'!$C$47+I5*'Stock Statistics'!$C$48+J5*'Stock Statistics'!$C$49+K5*'Stock Statistics'!$C$50,"")</f>
        <v>1.2648738370691333E-3</v>
      </c>
      <c r="M5" s="97">
        <v>489.30470000000003</v>
      </c>
      <c r="N5" s="96">
        <v>569.7749</v>
      </c>
      <c r="O5" s="93">
        <f t="shared" si="0"/>
        <v>2.7319212839436169E-3</v>
      </c>
      <c r="P5" s="93">
        <f t="shared" si="1"/>
        <v>-2.375459526315904E-3</v>
      </c>
      <c r="Q5" s="93">
        <f>B5*'Portfolio 2 &amp; 3'!$F$7+C5*'Portfolio 2 &amp; 3'!$F$8+D5*'Portfolio 2 &amp; 3'!$F$9+E5*'Portfolio 2 &amp; 3'!$F$10+F5*'Portfolio 2 &amp; 3'!$F$11+G5*'Portfolio 2 &amp; 3'!$F$12+H5*'Portfolio 2 &amp; 3'!$F$13+I5*'Portfolio 2 &amp; 3'!$F$14+J5*'Portfolio 2 &amp; 3'!$F$15+K5*'Portfolio 2 &amp; 3'!$F$16</f>
        <v>6.4536415613028963E-4</v>
      </c>
      <c r="R5" s="93">
        <f>B5*'Portfolio 2 &amp; 3'!$B$23+C5*'Portfolio 2 &amp; 3'!$B$24+D5*'Portfolio 2 &amp; 3'!$B$25+E5*'Portfolio 2 &amp; 3'!$B$26+F5*'Portfolio 2 &amp; 3'!$B$27+G5*'Portfolio 2 &amp; 3'!$B$28+H5*'Portfolio 2 &amp; 3'!$B$29+I5*'Portfolio 2 &amp; 3'!$B$30+J5*'Portfolio 2 &amp; 3'!$B$31+K5*'Portfolio 2 &amp; 3'!$B$32</f>
        <v>5.5071234028757857E-4</v>
      </c>
      <c r="S5" s="93">
        <f t="shared" si="2"/>
        <v>1.7823087881385646E-4</v>
      </c>
    </row>
    <row r="6" spans="1:20" ht="12.75" customHeight="1">
      <c r="A6" s="81">
        <v>46076</v>
      </c>
      <c r="B6" s="53">
        <v>6.7000000000000002E-3</v>
      </c>
      <c r="C6" s="53">
        <v>1.8267804154302701E-2</v>
      </c>
      <c r="D6" s="53">
        <v>-7.0762858129099796E-3</v>
      </c>
      <c r="E6" s="53">
        <v>9.6399999999999993E-3</v>
      </c>
      <c r="F6" s="53">
        <v>7.9933388842632399E-3</v>
      </c>
      <c r="G6" s="53">
        <v>1.5536223683900501E-2</v>
      </c>
      <c r="H6" s="87">
        <v>2.1087160262418098E-2</v>
      </c>
      <c r="I6" s="53">
        <v>4.5813036418462802E-3</v>
      </c>
      <c r="J6" s="53">
        <v>-1.0886585638654699E-2</v>
      </c>
      <c r="K6" s="53">
        <v>3.9739310125575E-4</v>
      </c>
      <c r="L6" s="95">
        <f>IFERROR(B6*'Stock Statistics'!$C$41+C6*'Stock Statistics'!$C$42+D6*'Stock Statistics'!$C$43+E6*'Stock Statistics'!$C$44+F6*'Stock Statistics'!$C$45+G6*'Stock Statistics'!$C$46+H6*'Stock Statistics'!$C$47+I6*'Stock Statistics'!$C$48+J6*'Stock Statistics'!$C$49+K6*'Stock Statistics'!$C$50,"")</f>
        <v>6.6240352276421893E-3</v>
      </c>
      <c r="M6" s="96">
        <v>487.97160000000002</v>
      </c>
      <c r="N6" s="97">
        <v>571.13160000000005</v>
      </c>
      <c r="O6" s="93">
        <f t="shared" si="0"/>
        <v>6.1263879630590878E-3</v>
      </c>
      <c r="P6" s="93">
        <f t="shared" si="1"/>
        <v>8.1770621781882546E-3</v>
      </c>
      <c r="Q6" s="93">
        <f>B6*'Portfolio 2 &amp; 3'!$F$7+C6*'Portfolio 2 &amp; 3'!$F$8+D6*'Portfolio 2 &amp; 3'!$F$9+E6*'Portfolio 2 &amp; 3'!$F$10+F6*'Portfolio 2 &amp; 3'!$F$11+G6*'Portfolio 2 &amp; 3'!$F$12+H6*'Portfolio 2 &amp; 3'!$F$13+I6*'Portfolio 2 &amp; 3'!$F$14+J6*'Portfolio 2 &amp; 3'!$F$15+K6*'Portfolio 2 &amp; 3'!$F$16</f>
        <v>5.9338120353463735E-3</v>
      </c>
      <c r="R6" s="93">
        <f>B6*'Portfolio 2 &amp; 3'!$B$23+C6*'Portfolio 2 &amp; 3'!$B$24+D6*'Portfolio 2 &amp; 3'!$B$25+E6*'Portfolio 2 &amp; 3'!$B$26+F6*'Portfolio 2 &amp; 3'!$B$27+G6*'Portfolio 2 &amp; 3'!$B$28+H6*'Portfolio 2 &amp; 3'!$B$29+I6*'Portfolio 2 &amp; 3'!$B$30+J6*'Portfolio 2 &amp; 3'!$B$31+K6*'Portfolio 2 &amp; 3'!$B$32</f>
        <v>8.6659228257213831E-3</v>
      </c>
      <c r="S6" s="93">
        <f t="shared" si="2"/>
        <v>7.1517250706236712E-3</v>
      </c>
    </row>
    <row r="7" spans="1:20" ht="12.75" customHeight="1">
      <c r="A7" s="82">
        <v>46073</v>
      </c>
      <c r="B7" s="53">
        <v>-3.8E-3</v>
      </c>
      <c r="C7" s="53">
        <v>2.7896596615213402E-3</v>
      </c>
      <c r="D7" s="53">
        <v>-1.0756359911217501E-2</v>
      </c>
      <c r="E7" s="53">
        <v>6.3000000000000003E-4</v>
      </c>
      <c r="F7" s="53">
        <v>-1.8284574468084901E-3</v>
      </c>
      <c r="G7" s="53">
        <v>3.6201022146507E-3</v>
      </c>
      <c r="H7" s="87">
        <v>-1.4817125477657499E-3</v>
      </c>
      <c r="I7" s="53">
        <v>6.4199836582234902E-3</v>
      </c>
      <c r="J7" s="53">
        <v>9.1805252464442991E-3</v>
      </c>
      <c r="K7" s="53">
        <v>-1.03215561730841E-3</v>
      </c>
      <c r="L7" s="95">
        <f>IFERROR(B7*'Stock Statistics'!$C$41+C7*'Stock Statistics'!$C$42+D7*'Stock Statistics'!$C$43+E7*'Stock Statistics'!$C$44+F7*'Stock Statistics'!$C$45+G7*'Stock Statistics'!$C$46+H7*'Stock Statistics'!$C$47+I7*'Stock Statistics'!$C$48+J7*'Stock Statistics'!$C$49+K7*'Stock Statistics'!$C$50,"")</f>
        <v>3.7415852577396796E-4</v>
      </c>
      <c r="M7" s="97">
        <v>485.00029999999998</v>
      </c>
      <c r="N7" s="96">
        <v>566.49929999999995</v>
      </c>
      <c r="O7" s="93">
        <f t="shared" si="0"/>
        <v>-1.7318398153143288E-3</v>
      </c>
      <c r="P7" s="93">
        <f t="shared" si="1"/>
        <v>-2.6136182747860115E-4</v>
      </c>
      <c r="Q7" s="93">
        <f>B7*'Portfolio 2 &amp; 3'!$F$7+C7*'Portfolio 2 &amp; 3'!$F$8+D7*'Portfolio 2 &amp; 3'!$F$9+E7*'Portfolio 2 &amp; 3'!$F$10+F7*'Portfolio 2 &amp; 3'!$F$11+G7*'Portfolio 2 &amp; 3'!$F$12+H7*'Portfolio 2 &amp; 3'!$F$13+I7*'Portfolio 2 &amp; 3'!$F$14+J7*'Portfolio 2 &amp; 3'!$F$15+K7*'Portfolio 2 &amp; 3'!$F$16</f>
        <v>1.9418118296227795E-4</v>
      </c>
      <c r="R7" s="93">
        <f>B7*'Portfolio 2 &amp; 3'!$B$23+C7*'Portfolio 2 &amp; 3'!$B$24+D7*'Portfolio 2 &amp; 3'!$B$25+E7*'Portfolio 2 &amp; 3'!$B$26+F7*'Portfolio 2 &amp; 3'!$B$27+G7*'Portfolio 2 &amp; 3'!$B$28+H7*'Portfolio 2 &amp; 3'!$B$29+I7*'Portfolio 2 &amp; 3'!$B$30+J7*'Portfolio 2 &amp; 3'!$B$31+K7*'Portfolio 2 &amp; 3'!$B$32</f>
        <v>1.7615928314221139E-3</v>
      </c>
      <c r="S7" s="93">
        <f t="shared" si="2"/>
        <v>-9.96600821396465E-4</v>
      </c>
    </row>
    <row r="8" spans="1:20" ht="12.75" customHeight="1">
      <c r="A8" s="81">
        <v>46072</v>
      </c>
      <c r="B8" s="53">
        <v>-2.5000000000000001E-3</v>
      </c>
      <c r="C8" s="53">
        <v>-1.5922401171303099E-2</v>
      </c>
      <c r="D8" s="53">
        <v>1.01759227319767E-2</v>
      </c>
      <c r="E8" s="53">
        <v>-2.3700000000000001E-3</v>
      </c>
      <c r="F8" s="53">
        <v>-8.4061315312344807E-3</v>
      </c>
      <c r="G8" s="53">
        <v>3.7047591906525E-3</v>
      </c>
      <c r="H8" s="87">
        <v>1.56213387487303E-3</v>
      </c>
      <c r="I8" s="53">
        <v>-6.3790303873810803E-3</v>
      </c>
      <c r="J8" s="53">
        <v>-1.5483775374129399E-2</v>
      </c>
      <c r="K8" s="53">
        <v>2.2280576112039302E-3</v>
      </c>
      <c r="L8" s="95">
        <f>IFERROR(B8*'Stock Statistics'!$C$41+C8*'Stock Statistics'!$C$42+D8*'Stock Statistics'!$C$43+E8*'Stock Statistics'!$C$44+F8*'Stock Statistics'!$C$45+G8*'Stock Statistics'!$C$46+H8*'Stock Statistics'!$C$47+I8*'Stock Statistics'!$C$48+J8*'Stock Statistics'!$C$49+K8*'Stock Statistics'!$C$50,"")</f>
        <v>-3.3390465055341901E-3</v>
      </c>
      <c r="M8" s="96">
        <v>485.8417</v>
      </c>
      <c r="N8" s="97">
        <v>566.64739999999995</v>
      </c>
      <c r="O8" s="93">
        <f t="shared" si="0"/>
        <v>-6.1605393683544785E-3</v>
      </c>
      <c r="P8" s="93">
        <f t="shared" si="1"/>
        <v>-5.3610521718738813E-3</v>
      </c>
      <c r="Q8" s="93">
        <f>B8*'Portfolio 2 &amp; 3'!$F$7+C8*'Portfolio 2 &amp; 3'!$F$8+D8*'Portfolio 2 &amp; 3'!$F$9+E8*'Portfolio 2 &amp; 3'!$F$10+F8*'Portfolio 2 &amp; 3'!$F$11+G8*'Portfolio 2 &amp; 3'!$F$12+H8*'Portfolio 2 &amp; 3'!$F$13+I8*'Portfolio 2 &amp; 3'!$F$14+J8*'Portfolio 2 &amp; 3'!$F$15+K8*'Portfolio 2 &amp; 3'!$F$16</f>
        <v>-3.5525102593193551E-3</v>
      </c>
      <c r="R8" s="93">
        <f>B8*'Portfolio 2 &amp; 3'!$B$23+C8*'Portfolio 2 &amp; 3'!$B$24+D8*'Portfolio 2 &amp; 3'!$B$25+E8*'Portfolio 2 &amp; 3'!$B$26+F8*'Portfolio 2 &amp; 3'!$B$27+G8*'Portfolio 2 &amp; 3'!$B$28+H8*'Portfolio 2 &amp; 3'!$B$29+I8*'Portfolio 2 &amp; 3'!$B$30+J8*'Portfolio 2 &amp; 3'!$B$31+K8*'Portfolio 2 &amp; 3'!$B$32</f>
        <v>-6.0508028201105421E-3</v>
      </c>
      <c r="S8" s="93">
        <f t="shared" si="2"/>
        <v>-5.7607957701141799E-3</v>
      </c>
    </row>
    <row r="9" spans="1:20" ht="12.75" customHeight="1">
      <c r="A9" s="82">
        <v>46071</v>
      </c>
      <c r="B9" s="53">
        <v>-6.0000000000000001E-3</v>
      </c>
      <c r="C9" s="53">
        <v>1.37450746815726E-3</v>
      </c>
      <c r="D9" s="53">
        <v>-2.28364371787311E-2</v>
      </c>
      <c r="E9" s="53">
        <v>-1.255E-2</v>
      </c>
      <c r="F9" s="53">
        <v>3.7500689350906699E-3</v>
      </c>
      <c r="G9" s="53">
        <v>-1.11779071951905E-2</v>
      </c>
      <c r="H9" s="87">
        <v>-3.5024906600249501E-3</v>
      </c>
      <c r="I9" s="53">
        <v>4.2513540271389401E-3</v>
      </c>
      <c r="J9" s="53">
        <v>4.3902076047324101E-3</v>
      </c>
      <c r="K9" s="53">
        <v>1.5515151515151499E-2</v>
      </c>
      <c r="L9" s="95">
        <f>IFERROR(B9*'Stock Statistics'!$C$41+C9*'Stock Statistics'!$C$42+D9*'Stock Statistics'!$C$43+E9*'Stock Statistics'!$C$44+F9*'Stock Statistics'!$C$45+G9*'Stock Statistics'!$C$46+H9*'Stock Statistics'!$C$47+I9*'Stock Statistics'!$C$48+J9*'Stock Statistics'!$C$49+K9*'Stock Statistics'!$C$50,"")</f>
        <v>-2.6785545483675767E-3</v>
      </c>
      <c r="M9" s="97">
        <v>488.85329999999999</v>
      </c>
      <c r="N9" s="96">
        <v>569.70159999999998</v>
      </c>
      <c r="O9" s="93">
        <f t="shared" si="0"/>
        <v>5.0751997184121933E-3</v>
      </c>
      <c r="P9" s="93">
        <f t="shared" si="1"/>
        <v>8.3559494008733637E-5</v>
      </c>
      <c r="Q9" s="93">
        <f>B9*'Portfolio 2 &amp; 3'!$F$7+C9*'Portfolio 2 &amp; 3'!$F$8+D9*'Portfolio 2 &amp; 3'!$F$9+E9*'Portfolio 2 &amp; 3'!$F$10+F9*'Portfolio 2 &amp; 3'!$F$11+G9*'Portfolio 2 &amp; 3'!$F$12+H9*'Portfolio 2 &amp; 3'!$F$13+I9*'Portfolio 2 &amp; 3'!$F$14+J9*'Portfolio 2 &amp; 3'!$F$15+K9*'Portfolio 2 &amp; 3'!$F$16</f>
        <v>-2.7990656395874072E-3</v>
      </c>
      <c r="R9" s="93">
        <f>B9*'Portfolio 2 &amp; 3'!$B$23+C9*'Portfolio 2 &amp; 3'!$B$24+D9*'Portfolio 2 &amp; 3'!$B$25+E9*'Portfolio 2 &amp; 3'!$B$26+F9*'Portfolio 2 &amp; 3'!$B$27+G9*'Portfolio 2 &amp; 3'!$B$28+H9*'Portfolio 2 &amp; 3'!$B$29+I9*'Portfolio 2 &amp; 3'!$B$30+J9*'Portfolio 2 &amp; 3'!$B$31+K9*'Portfolio 2 &amp; 3'!$B$32</f>
        <v>1.0160792661611667E-3</v>
      </c>
      <c r="S9" s="93">
        <f t="shared" si="2"/>
        <v>2.5793796062104635E-3</v>
      </c>
    </row>
    <row r="10" spans="1:20" ht="12.75" customHeight="1">
      <c r="A10" s="81">
        <v>46070</v>
      </c>
      <c r="B10" s="53">
        <v>1.26E-2</v>
      </c>
      <c r="C10" s="53">
        <v>-4.3791624851746702E-3</v>
      </c>
      <c r="D10" s="53">
        <v>1.77275029545854E-3</v>
      </c>
      <c r="E10" s="53">
        <v>5.5900000000000004E-3</v>
      </c>
      <c r="F10" s="53">
        <v>-4.1737602284584998E-3</v>
      </c>
      <c r="G10" s="53">
        <v>-7.2744338847829904E-4</v>
      </c>
      <c r="H10" s="87">
        <v>1.21317157712304E-2</v>
      </c>
      <c r="I10" s="53">
        <v>9.7618347544838908E-3</v>
      </c>
      <c r="J10" s="53">
        <v>-9.2155706281332704E-3</v>
      </c>
      <c r="K10" s="53">
        <v>6.1793641759493303E-3</v>
      </c>
      <c r="L10" s="95">
        <f>IFERROR(B10*'Stock Statistics'!$C$41+C10*'Stock Statistics'!$C$42+D10*'Stock Statistics'!$C$43+E10*'Stock Statistics'!$C$44+F10*'Stock Statistics'!$C$45+G10*'Stock Statistics'!$C$46+H10*'Stock Statistics'!$C$47+I10*'Stock Statistics'!$C$48+J10*'Stock Statistics'!$C$49+K10*'Stock Statistics'!$C$50,"")</f>
        <v>2.953972826687743E-3</v>
      </c>
      <c r="M10" s="96">
        <v>486.38479999999998</v>
      </c>
      <c r="N10" s="97">
        <v>569.654</v>
      </c>
      <c r="O10" s="93">
        <f t="shared" si="0"/>
        <v>6.4350538378881161E-3</v>
      </c>
      <c r="P10" s="93">
        <f t="shared" si="1"/>
        <v>5.0446837276354461E-3</v>
      </c>
      <c r="Q10" s="93">
        <f>B10*'Portfolio 2 &amp; 3'!$F$7+C10*'Portfolio 2 &amp; 3'!$F$8+D10*'Portfolio 2 &amp; 3'!$F$9+E10*'Portfolio 2 &amp; 3'!$F$10+F10*'Portfolio 2 &amp; 3'!$F$11+G10*'Portfolio 2 &amp; 3'!$F$12+H10*'Portfolio 2 &amp; 3'!$F$13+I10*'Portfolio 2 &amp; 3'!$F$14+J10*'Portfolio 2 &amp; 3'!$F$15+K10*'Portfolio 2 &amp; 3'!$F$16</f>
        <v>2.5484426906383761E-3</v>
      </c>
      <c r="R10" s="93">
        <f>B10*'Portfolio 2 &amp; 3'!$B$23+C10*'Portfolio 2 &amp; 3'!$B$24+D10*'Portfolio 2 &amp; 3'!$B$25+E10*'Portfolio 2 &amp; 3'!$B$26+F10*'Portfolio 2 &amp; 3'!$B$27+G10*'Portfolio 2 &amp; 3'!$B$28+H10*'Portfolio 2 &amp; 3'!$B$29+I10*'Portfolio 2 &amp; 3'!$B$30+J10*'Portfolio 2 &amp; 3'!$B$31+K10*'Portfolio 2 &amp; 3'!$B$32</f>
        <v>3.1671350314203357E-3</v>
      </c>
      <c r="S10" s="93">
        <f t="shared" si="2"/>
        <v>5.7398687827617811E-3</v>
      </c>
    </row>
    <row r="11" spans="1:20" ht="12.75" customHeight="1">
      <c r="A11" s="82">
        <v>46069</v>
      </c>
      <c r="B11" s="53">
        <v>-6.4000000000000003E-3</v>
      </c>
      <c r="C11" s="53">
        <v>1.44377602961592E-2</v>
      </c>
      <c r="D11" s="53">
        <v>3.40432960893855E-2</v>
      </c>
      <c r="E11" s="53">
        <v>9.8999999999999999E-4</v>
      </c>
      <c r="F11" s="53">
        <v>6.3556980214436497E-3</v>
      </c>
      <c r="G11" s="53">
        <v>4.4997547817557701E-2</v>
      </c>
      <c r="H11" s="87">
        <v>1.0251557448151E-3</v>
      </c>
      <c r="I11" s="53">
        <v>1.76730486008836E-3</v>
      </c>
      <c r="J11" s="53">
        <v>1.8700713481036399E-2</v>
      </c>
      <c r="K11" s="53">
        <v>-3.08016535624545E-3</v>
      </c>
      <c r="L11" s="95">
        <f>IFERROR(B11*'Stock Statistics'!$C$41+C11*'Stock Statistics'!$C$42+D11*'Stock Statistics'!$C$43+E11*'Stock Statistics'!$C$44+F11*'Stock Statistics'!$C$45+G11*'Stock Statistics'!$C$46+H11*'Stock Statistics'!$C$47+I11*'Stock Statistics'!$C$48+J11*'Stock Statistics'!$C$49+K11*'Stock Statistics'!$C$50,"")</f>
        <v>1.1283731095424047E-2</v>
      </c>
      <c r="M11" s="97">
        <v>483.2749</v>
      </c>
      <c r="N11" s="96">
        <v>566.79470000000003</v>
      </c>
      <c r="O11" s="93">
        <f t="shared" si="0"/>
        <v>4.9656156227970705E-3</v>
      </c>
      <c r="P11" s="93">
        <f t="shared" si="1"/>
        <v>7.3962916876766371E-3</v>
      </c>
      <c r="Q11" s="93">
        <f>B11*'Portfolio 2 &amp; 3'!$F$7+C11*'Portfolio 2 &amp; 3'!$F$8+D11*'Portfolio 2 &amp; 3'!$F$9+E11*'Portfolio 2 &amp; 3'!$F$10+F11*'Portfolio 2 &amp; 3'!$F$11+G11*'Portfolio 2 &amp; 3'!$F$12+H11*'Portfolio 2 &amp; 3'!$F$13+I11*'Portfolio 2 &amp; 3'!$F$14+J11*'Portfolio 2 &amp; 3'!$F$15+K11*'Portfolio 2 &amp; 3'!$F$16</f>
        <v>1.1488835893894043E-2</v>
      </c>
      <c r="R11" s="93">
        <f>B11*'Portfolio 2 &amp; 3'!$B$23+C11*'Portfolio 2 &amp; 3'!$B$24+D11*'Portfolio 2 &amp; 3'!$B$25+E11*'Portfolio 2 &amp; 3'!$B$26+F11*'Portfolio 2 &amp; 3'!$B$27+G11*'Portfolio 2 &amp; 3'!$B$28+H11*'Portfolio 2 &amp; 3'!$B$29+I11*'Portfolio 2 &amp; 3'!$B$30+J11*'Portfolio 2 &amp; 3'!$B$31+K11*'Portfolio 2 &amp; 3'!$B$32</f>
        <v>8.9305979531314663E-3</v>
      </c>
      <c r="S11" s="93">
        <f t="shared" si="2"/>
        <v>6.1809536552368538E-3</v>
      </c>
    </row>
    <row r="12" spans="1:20" ht="12.75" customHeight="1">
      <c r="A12" s="81">
        <v>46066</v>
      </c>
      <c r="B12" s="53">
        <v>-7.4999999999999997E-3</v>
      </c>
      <c r="C12" s="53">
        <v>-7.9720637083723705E-2</v>
      </c>
      <c r="D12" s="53">
        <v>-1.0622678987823E-2</v>
      </c>
      <c r="E12" s="53">
        <v>-4.8399999999999997E-3</v>
      </c>
      <c r="F12" s="53">
        <v>-1.7644823280308398E-2</v>
      </c>
      <c r="G12" s="53">
        <v>1.9621308741291099E-4</v>
      </c>
      <c r="H12" s="87">
        <v>-5.3337516667973902E-3</v>
      </c>
      <c r="I12" s="53">
        <v>-1.0146364219488099E-2</v>
      </c>
      <c r="J12" s="53">
        <v>1.1278195488722E-3</v>
      </c>
      <c r="K12" s="53">
        <v>-2.6677445432498098E-3</v>
      </c>
      <c r="L12" s="95">
        <f>IFERROR(B12*'Stock Statistics'!$C$41+C12*'Stock Statistics'!$C$42+D12*'Stock Statistics'!$C$43+E12*'Stock Statistics'!$C$44+F12*'Stock Statistics'!$C$45+G12*'Stock Statistics'!$C$46+H12*'Stock Statistics'!$C$47+I12*'Stock Statistics'!$C$48+J12*'Stock Statistics'!$C$49+K12*'Stock Statistics'!$C$50,"")</f>
        <v>-1.3715196714510531E-2</v>
      </c>
      <c r="M12" s="96">
        <v>480.887</v>
      </c>
      <c r="N12" s="97">
        <v>562.63329999999996</v>
      </c>
      <c r="O12" s="93">
        <f t="shared" si="0"/>
        <v>-1.0106898582514567E-2</v>
      </c>
      <c r="P12" s="93">
        <f t="shared" si="1"/>
        <v>-7.9195986350092396E-3</v>
      </c>
      <c r="Q12" s="93">
        <f>B12*'Portfolio 2 &amp; 3'!$F$7+C12*'Portfolio 2 &amp; 3'!$F$8+D12*'Portfolio 2 &amp; 3'!$F$9+E12*'Portfolio 2 &amp; 3'!$F$10+F12*'Portfolio 2 &amp; 3'!$F$11+G12*'Portfolio 2 &amp; 3'!$F$12+H12*'Portfolio 2 &amp; 3'!$F$13+I12*'Portfolio 2 &amp; 3'!$F$14+J12*'Portfolio 2 &amp; 3'!$F$15+K12*'Portfolio 2 &amp; 3'!$F$16</f>
        <v>-1.3585930987975087E-2</v>
      </c>
      <c r="R12" s="93">
        <f>B12*'Portfolio 2 &amp; 3'!$B$23+C12*'Portfolio 2 &amp; 3'!$B$24+D12*'Portfolio 2 &amp; 3'!$B$25+E12*'Portfolio 2 &amp; 3'!$B$26+F12*'Portfolio 2 &amp; 3'!$B$27+G12*'Portfolio 2 &amp; 3'!$B$28+H12*'Portfolio 2 &amp; 3'!$B$29+I12*'Portfolio 2 &amp; 3'!$B$30+J12*'Portfolio 2 &amp; 3'!$B$31+K12*'Portfolio 2 &amp; 3'!$B$32</f>
        <v>-2.2028215429261574E-2</v>
      </c>
      <c r="S12" s="93">
        <f t="shared" si="2"/>
        <v>-9.0132486087619035E-3</v>
      </c>
    </row>
    <row r="13" spans="1:20" ht="12.75" customHeight="1">
      <c r="A13" s="82">
        <v>46065</v>
      </c>
      <c r="B13" s="53">
        <v>-9.4999999999999998E-3</v>
      </c>
      <c r="C13" s="53">
        <v>-3.31069609507639E-3</v>
      </c>
      <c r="D13" s="53">
        <v>9.8552241409386506E-3</v>
      </c>
      <c r="E13" s="53">
        <v>-3.1099999999999999E-3</v>
      </c>
      <c r="F13" s="53">
        <v>2.5214293665813299E-2</v>
      </c>
      <c r="G13" s="53">
        <v>5.0533685014912998E-3</v>
      </c>
      <c r="H13" s="87">
        <v>3.6211918444462002E-3</v>
      </c>
      <c r="I13" s="53">
        <v>2.2207936415172798E-3</v>
      </c>
      <c r="J13" s="53">
        <v>-1.47418327283503E-2</v>
      </c>
      <c r="K13" s="53">
        <v>-3.1550927738197801E-2</v>
      </c>
      <c r="L13" s="95">
        <f>IFERROR(B13*'Stock Statistics'!$C$41+C13*'Stock Statistics'!$C$42+D13*'Stock Statistics'!$C$43+E13*'Stock Statistics'!$C$44+F13*'Stock Statistics'!$C$45+G13*'Stock Statistics'!$C$46+H13*'Stock Statistics'!$C$47+I13*'Stock Statistics'!$C$48+J13*'Stock Statistics'!$C$49+K13*'Stock Statistics'!$C$50,"")</f>
        <v>-1.624858476741777E-3</v>
      </c>
      <c r="M13" s="97">
        <v>485.79689999999999</v>
      </c>
      <c r="N13" s="96">
        <v>567.12469999999996</v>
      </c>
      <c r="O13" s="93">
        <f t="shared" si="0"/>
        <v>-3.2031894418477203E-3</v>
      </c>
      <c r="P13" s="93">
        <f t="shared" si="1"/>
        <v>-6.1762988540069452E-3</v>
      </c>
      <c r="Q13" s="93">
        <f>B13*'Portfolio 2 &amp; 3'!$F$7+C13*'Portfolio 2 &amp; 3'!$F$8+D13*'Portfolio 2 &amp; 3'!$F$9+E13*'Portfolio 2 &amp; 3'!$F$10+F13*'Portfolio 2 &amp; 3'!$F$11+G13*'Portfolio 2 &amp; 3'!$F$12+H13*'Portfolio 2 &amp; 3'!$F$13+I13*'Portfolio 2 &amp; 3'!$F$14+J13*'Portfolio 2 &amp; 3'!$F$15+K13*'Portfolio 2 &amp; 3'!$F$16</f>
        <v>-8.4215547202432395E-4</v>
      </c>
      <c r="R13" s="93">
        <f>B13*'Portfolio 2 &amp; 3'!$B$23+C13*'Portfolio 2 &amp; 3'!$B$24+D13*'Portfolio 2 &amp; 3'!$B$25+E13*'Portfolio 2 &amp; 3'!$B$26+F13*'Portfolio 2 &amp; 3'!$B$27+G13*'Portfolio 2 &amp; 3'!$B$28+H13*'Portfolio 2 &amp; 3'!$B$29+I13*'Portfolio 2 &amp; 3'!$B$30+J13*'Portfolio 2 &amp; 3'!$B$31+K13*'Portfolio 2 &amp; 3'!$B$32</f>
        <v>1.9966470816495724E-4</v>
      </c>
      <c r="S13" s="93">
        <f t="shared" si="2"/>
        <v>-4.6897441479273327E-3</v>
      </c>
    </row>
    <row r="14" spans="1:20" ht="12.75" customHeight="1">
      <c r="A14" s="81">
        <v>46064</v>
      </c>
      <c r="B14" s="53">
        <v>-1.3899999999999999E-2</v>
      </c>
      <c r="C14" s="53">
        <v>1.35077002495052E-2</v>
      </c>
      <c r="D14" s="53">
        <v>2.0016012810248202E-2</v>
      </c>
      <c r="E14" s="53">
        <v>-2.66E-3</v>
      </c>
      <c r="F14" s="53">
        <v>1.2397159923363E-2</v>
      </c>
      <c r="G14" s="53">
        <v>-5.61329542111977E-3</v>
      </c>
      <c r="H14" s="87">
        <v>1.13853503184713E-2</v>
      </c>
      <c r="I14" s="53">
        <v>1.93231057500887E-3</v>
      </c>
      <c r="J14" s="53">
        <v>5.8117874972059003E-3</v>
      </c>
      <c r="K14" s="53">
        <v>3.4167273904946997E-2</v>
      </c>
      <c r="L14" s="95">
        <f>IFERROR(B14*'Stock Statistics'!$C$41+C14*'Stock Statistics'!$C$42+D14*'Stock Statistics'!$C$43+E14*'Stock Statistics'!$C$44+F14*'Stock Statistics'!$C$45+G14*'Stock Statistics'!$C$46+H14*'Stock Statistics'!$C$47+I14*'Stock Statistics'!$C$48+J14*'Stock Statistics'!$C$49+K14*'Stock Statistics'!$C$50,"")</f>
        <v>7.7044299857629717E-3</v>
      </c>
      <c r="M14" s="96">
        <v>487.358</v>
      </c>
      <c r="N14" s="97">
        <v>570.64919999999995</v>
      </c>
      <c r="O14" s="93">
        <f t="shared" si="0"/>
        <v>1.1019904950960058E-2</v>
      </c>
      <c r="P14" s="93">
        <f t="shared" si="1"/>
        <v>9.8993815651735595E-3</v>
      </c>
      <c r="Q14" s="93">
        <f>B14*'Portfolio 2 &amp; 3'!$F$7+C14*'Portfolio 2 &amp; 3'!$F$8+D14*'Portfolio 2 &amp; 3'!$F$9+E14*'Portfolio 2 &amp; 3'!$F$10+F14*'Portfolio 2 &amp; 3'!$F$11+G14*'Portfolio 2 &amp; 3'!$F$12+H14*'Portfolio 2 &amp; 3'!$F$13+I14*'Portfolio 2 &amp; 3'!$F$14+J14*'Portfolio 2 &amp; 3'!$F$15+K14*'Portfolio 2 &amp; 3'!$F$16</f>
        <v>9.3939503822468989E-3</v>
      </c>
      <c r="R14" s="93">
        <f>B14*'Portfolio 2 &amp; 3'!$B$23+C14*'Portfolio 2 &amp; 3'!$B$24+D14*'Portfolio 2 &amp; 3'!$B$25+E14*'Portfolio 2 &amp; 3'!$B$26+F14*'Portfolio 2 &amp; 3'!$B$27+G14*'Portfolio 2 &amp; 3'!$B$28+H14*'Portfolio 2 &amp; 3'!$B$29+I14*'Portfolio 2 &amp; 3'!$B$30+J14*'Portfolio 2 &amp; 3'!$B$31+K14*'Portfolio 2 &amp; 3'!$B$32</f>
        <v>6.2807657831432766E-3</v>
      </c>
      <c r="S14" s="93">
        <f t="shared" si="2"/>
        <v>1.0459643258066809E-2</v>
      </c>
    </row>
    <row r="15" spans="1:20" ht="12.75" customHeight="1">
      <c r="A15" s="82">
        <v>46063</v>
      </c>
      <c r="B15" s="53">
        <v>-6.7000000000000002E-3</v>
      </c>
      <c r="C15" s="53">
        <v>1.0607773237109701E-2</v>
      </c>
      <c r="D15" s="53">
        <v>-6.6129434244413199E-2</v>
      </c>
      <c r="E15" s="53">
        <v>-4.47E-3</v>
      </c>
      <c r="F15" s="53">
        <v>-3.9146678217553799E-2</v>
      </c>
      <c r="G15" s="53">
        <v>2.06144301010707E-2</v>
      </c>
      <c r="H15" s="87">
        <v>-1.52881223049785E-2</v>
      </c>
      <c r="I15" s="53">
        <v>1.87727326058895E-3</v>
      </c>
      <c r="J15" s="53">
        <v>-2.9795158286782803E-4</v>
      </c>
      <c r="K15" s="53">
        <v>1.01414901447616E-2</v>
      </c>
      <c r="L15" s="95">
        <f>IFERROR(B15*'Stock Statistics'!$C$41+C15*'Stock Statistics'!$C$42+D15*'Stock Statistics'!$C$43+E15*'Stock Statistics'!$C$44+F15*'Stock Statistics'!$C$45+G15*'Stock Statistics'!$C$46+H15*'Stock Statistics'!$C$47+I15*'Stock Statistics'!$C$48+J15*'Stock Statistics'!$C$49+K15*'Stock Statistics'!$C$50,"")</f>
        <v>-8.8791219606282369E-3</v>
      </c>
      <c r="M15" s="97">
        <v>482.04590000000002</v>
      </c>
      <c r="N15" s="96">
        <v>565.05550000000005</v>
      </c>
      <c r="O15" s="93">
        <f t="shared" si="0"/>
        <v>5.1667323160151657E-3</v>
      </c>
      <c r="P15" s="93">
        <f t="shared" si="1"/>
        <v>4.6918948174903274E-3</v>
      </c>
      <c r="Q15" s="93">
        <f>B15*'Portfolio 2 &amp; 3'!$F$7+C15*'Portfolio 2 &amp; 3'!$F$8+D15*'Portfolio 2 &amp; 3'!$F$9+E15*'Portfolio 2 &amp; 3'!$F$10+F15*'Portfolio 2 &amp; 3'!$F$11+G15*'Portfolio 2 &amp; 3'!$F$12+H15*'Portfolio 2 &amp; 3'!$F$13+I15*'Portfolio 2 &amp; 3'!$F$14+J15*'Portfolio 2 &amp; 3'!$F$15+K15*'Portfolio 2 &amp; 3'!$F$16</f>
        <v>-1.305597444281948E-2</v>
      </c>
      <c r="R15" s="93">
        <f>B15*'Portfolio 2 &amp; 3'!$B$23+C15*'Portfolio 2 &amp; 3'!$B$24+D15*'Portfolio 2 &amp; 3'!$B$25+E15*'Portfolio 2 &amp; 3'!$B$26+F15*'Portfolio 2 &amp; 3'!$B$27+G15*'Portfolio 2 &amp; 3'!$B$28+H15*'Portfolio 2 &amp; 3'!$B$29+I15*'Portfolio 2 &amp; 3'!$B$30+J15*'Portfolio 2 &amp; 3'!$B$31+K15*'Portfolio 2 &amp; 3'!$B$32</f>
        <v>-2.8004113775133227E-3</v>
      </c>
      <c r="S15" s="93">
        <f t="shared" si="2"/>
        <v>4.9293135667527466E-3</v>
      </c>
    </row>
    <row r="16" spans="1:20" ht="12.75" customHeight="1">
      <c r="A16" s="81">
        <v>46062</v>
      </c>
      <c r="B16" s="53">
        <v>4.1999999999999997E-3</v>
      </c>
      <c r="C16" s="53">
        <v>1.1699507389162599E-2</v>
      </c>
      <c r="D16" s="53">
        <v>1.0663308144416499E-2</v>
      </c>
      <c r="E16" s="53">
        <v>3.15E-3</v>
      </c>
      <c r="F16" s="53">
        <v>3.9745538478860497E-2</v>
      </c>
      <c r="G16" s="53">
        <v>1.47753236862147E-2</v>
      </c>
      <c r="H16" s="87">
        <v>2.7634547212375099E-2</v>
      </c>
      <c r="I16" s="53">
        <v>5.6043891215857801E-3</v>
      </c>
      <c r="J16" s="53">
        <v>9.3984962406015206E-3</v>
      </c>
      <c r="K16" s="53">
        <v>1.47730102083161E-2</v>
      </c>
      <c r="L16" s="95">
        <f>IFERROR(B16*'Stock Statistics'!$C$41+C16*'Stock Statistics'!$C$42+D16*'Stock Statistics'!$C$43+E16*'Stock Statistics'!$C$44+F16*'Stock Statistics'!$C$45+G16*'Stock Statistics'!$C$46+H16*'Stock Statistics'!$C$47+I16*'Stock Statistics'!$C$48+J16*'Stock Statistics'!$C$49+K16*'Stock Statistics'!$C$50,"")</f>
        <v>1.4164412048153278E-2</v>
      </c>
      <c r="M16" s="96">
        <v>479.56810000000002</v>
      </c>
      <c r="N16" s="97">
        <v>562.41669999999999</v>
      </c>
      <c r="O16" s="93">
        <f t="shared" si="0"/>
        <v>1.251561839556703E-2</v>
      </c>
      <c r="P16" s="93">
        <f t="shared" si="1"/>
        <v>1.2577626695823518E-2</v>
      </c>
      <c r="Q16" s="93">
        <f>B16*'Portfolio 2 &amp; 3'!$F$7+C16*'Portfolio 2 &amp; 3'!$F$8+D16*'Portfolio 2 &amp; 3'!$F$9+E16*'Portfolio 2 &amp; 3'!$F$10+F16*'Portfolio 2 &amp; 3'!$F$11+G16*'Portfolio 2 &amp; 3'!$F$12+H16*'Portfolio 2 &amp; 3'!$F$13+I16*'Portfolio 2 &amp; 3'!$F$14+J16*'Portfolio 2 &amp; 3'!$F$15+K16*'Portfolio 2 &amp; 3'!$F$16</f>
        <v>1.5494813512964847E-2</v>
      </c>
      <c r="R16" s="93">
        <f>B16*'Portfolio 2 &amp; 3'!$B$23+C16*'Portfolio 2 &amp; 3'!$B$24+D16*'Portfolio 2 &amp; 3'!$B$25+E16*'Portfolio 2 &amp; 3'!$B$26+F16*'Portfolio 2 &amp; 3'!$B$27+G16*'Portfolio 2 &amp; 3'!$B$28+H16*'Portfolio 2 &amp; 3'!$B$29+I16*'Portfolio 2 &amp; 3'!$B$30+J16*'Portfolio 2 &amp; 3'!$B$31+K16*'Portfolio 2 &amp; 3'!$B$32</f>
        <v>1.4576487427368799E-2</v>
      </c>
      <c r="S16" s="93">
        <f t="shared" si="2"/>
        <v>1.2546622545695274E-2</v>
      </c>
    </row>
    <row r="17" spans="1:19" ht="12.75" customHeight="1">
      <c r="A17" s="82">
        <v>46059</v>
      </c>
      <c r="B17" s="53">
        <v>5.4999999999999997E-3</v>
      </c>
      <c r="C17" s="53">
        <v>3.7969094922736301E-3</v>
      </c>
      <c r="D17" s="53">
        <v>7.9553148273527902E-3</v>
      </c>
      <c r="E17" s="53">
        <v>-1.8200000000000001E-2</v>
      </c>
      <c r="F17" s="53">
        <v>-1.86187845303868E-2</v>
      </c>
      <c r="G17" s="53">
        <v>-9.4054924051906203E-3</v>
      </c>
      <c r="H17" s="87">
        <v>-2.97212627520282E-3</v>
      </c>
      <c r="I17" s="53">
        <v>-4.4050276048396304E-3</v>
      </c>
      <c r="J17" s="53">
        <v>-2.4750618765468899E-3</v>
      </c>
      <c r="K17" s="53">
        <v>-1.90507205080193E-2</v>
      </c>
      <c r="L17" s="95">
        <f>IFERROR(B17*'Stock Statistics'!$C$41+C17*'Stock Statistics'!$C$42+D17*'Stock Statistics'!$C$43+E17*'Stock Statistics'!$C$44+F17*'Stock Statistics'!$C$45+G17*'Stock Statistics'!$C$46+H17*'Stock Statistics'!$C$47+I17*'Stock Statistics'!$C$48+J17*'Stock Statistics'!$C$49+K17*'Stock Statistics'!$C$50,"")</f>
        <v>-5.7874988880559641E-3</v>
      </c>
      <c r="M17" s="97">
        <v>473.64019999999999</v>
      </c>
      <c r="N17" s="96">
        <v>555.4307</v>
      </c>
      <c r="O17" s="93">
        <f t="shared" si="0"/>
        <v>7.5345944799276587E-4</v>
      </c>
      <c r="P17" s="93">
        <f t="shared" si="1"/>
        <v>-1.6317403882707415E-3</v>
      </c>
      <c r="Q17" s="93">
        <f>B17*'Portfolio 2 &amp; 3'!$F$7+C17*'Portfolio 2 &amp; 3'!$F$8+D17*'Portfolio 2 &amp; 3'!$F$9+E17*'Portfolio 2 &amp; 3'!$F$10+F17*'Portfolio 2 &amp; 3'!$F$11+G17*'Portfolio 2 &amp; 3'!$F$12+H17*'Portfolio 2 &amp; 3'!$F$13+I17*'Portfolio 2 &amp; 3'!$F$14+J17*'Portfolio 2 &amp; 3'!$F$15+K17*'Portfolio 2 &amp; 3'!$F$16</f>
        <v>-4.6804844734833874E-3</v>
      </c>
      <c r="R17" s="93">
        <f>B17*'Portfolio 2 &amp; 3'!$B$23+C17*'Portfolio 2 &amp; 3'!$B$24+D17*'Portfolio 2 &amp; 3'!$B$25+E17*'Portfolio 2 &amp; 3'!$B$26+F17*'Portfolio 2 &amp; 3'!$B$27+G17*'Portfolio 2 &amp; 3'!$B$28+H17*'Portfolio 2 &amp; 3'!$B$29+I17*'Portfolio 2 &amp; 3'!$B$30+J17*'Portfolio 2 &amp; 3'!$B$31+K17*'Portfolio 2 &amp; 3'!$B$32</f>
        <v>-5.2828377319345922E-3</v>
      </c>
      <c r="S17" s="93">
        <f t="shared" si="2"/>
        <v>-4.3914047013898783E-4</v>
      </c>
    </row>
    <row r="18" spans="1:19" ht="12.75" customHeight="1">
      <c r="A18" s="81">
        <v>46058</v>
      </c>
      <c r="B18" s="53">
        <v>4.1999999999999997E-3</v>
      </c>
      <c r="C18" s="53">
        <v>1.5919342000529899E-3</v>
      </c>
      <c r="D18" s="53">
        <v>-2.56452543910284E-2</v>
      </c>
      <c r="E18" s="53">
        <v>6.5799999999999999E-3</v>
      </c>
      <c r="F18" s="53">
        <v>-2.7616680475006698E-4</v>
      </c>
      <c r="G18" s="53">
        <v>-1.17062259227041E-2</v>
      </c>
      <c r="H18" s="87">
        <v>3.7897113368812198E-3</v>
      </c>
      <c r="I18" s="53">
        <v>-1.0560901196903199E-3</v>
      </c>
      <c r="J18" s="53">
        <v>4.97474937815623E-3</v>
      </c>
      <c r="K18" s="53">
        <v>1.43694772483276E-2</v>
      </c>
      <c r="L18" s="95">
        <f>IFERROR(B18*'Stock Statistics'!$C$41+C18*'Stock Statistics'!$C$42+D18*'Stock Statistics'!$C$43+E18*'Stock Statistics'!$C$44+F18*'Stock Statistics'!$C$45+G18*'Stock Statistics'!$C$46+H18*'Stock Statistics'!$C$47+I18*'Stock Statistics'!$C$48+J18*'Stock Statistics'!$C$49+K18*'Stock Statistics'!$C$50,"")</f>
        <v>-3.1778650747548527E-4</v>
      </c>
      <c r="M18" s="96">
        <v>473.28359999999998</v>
      </c>
      <c r="N18" s="97">
        <v>556.33849999999995</v>
      </c>
      <c r="O18" s="93">
        <f t="shared" si="0"/>
        <v>-7.3538121059835149E-4</v>
      </c>
      <c r="P18" s="93">
        <f t="shared" si="1"/>
        <v>8.880175027241588E-4</v>
      </c>
      <c r="Q18" s="93">
        <f>B18*'Portfolio 2 &amp; 3'!$F$7+C18*'Portfolio 2 &amp; 3'!$F$8+D18*'Portfolio 2 &amp; 3'!$F$9+E18*'Portfolio 2 &amp; 3'!$F$10+F18*'Portfolio 2 &amp; 3'!$F$11+G18*'Portfolio 2 &amp; 3'!$F$12+H18*'Portfolio 2 &amp; 3'!$F$13+I18*'Portfolio 2 &amp; 3'!$F$14+J18*'Portfolio 2 &amp; 3'!$F$15+K18*'Portfolio 2 &amp; 3'!$F$16</f>
        <v>-7.8715990704683733E-4</v>
      </c>
      <c r="R18" s="93">
        <f>B18*'Portfolio 2 &amp; 3'!$B$23+C18*'Portfolio 2 &amp; 3'!$B$24+D18*'Portfolio 2 &amp; 3'!$B$25+E18*'Portfolio 2 &amp; 3'!$B$26+F18*'Portfolio 2 &amp; 3'!$B$27+G18*'Portfolio 2 &amp; 3'!$B$28+H18*'Portfolio 2 &amp; 3'!$B$29+I18*'Portfolio 2 &amp; 3'!$B$30+J18*'Portfolio 2 &amp; 3'!$B$31+K18*'Portfolio 2 &amp; 3'!$B$32</f>
        <v>5.092601268576562E-4</v>
      </c>
      <c r="S18" s="93">
        <f t="shared" si="2"/>
        <v>7.6318146062903658E-5</v>
      </c>
    </row>
    <row r="19" spans="1:19" ht="12.75" customHeight="1">
      <c r="A19" s="82">
        <v>46057</v>
      </c>
      <c r="B19" s="53">
        <v>8.2000000000000007E-3</v>
      </c>
      <c r="C19" s="53">
        <v>-8.5927224901358699E-3</v>
      </c>
      <c r="D19" s="53">
        <v>-1.09289617486338E-2</v>
      </c>
      <c r="E19" s="53">
        <v>-5.0000000000000001E-4</v>
      </c>
      <c r="F19" s="53">
        <v>2.60272455421418E-3</v>
      </c>
      <c r="G19" s="53">
        <v>-5.4627249357326298E-3</v>
      </c>
      <c r="H19" s="87">
        <v>3.8853812530354999E-3</v>
      </c>
      <c r="I19" s="53">
        <v>1.3512719581694199E-3</v>
      </c>
      <c r="J19" s="53">
        <v>2.9482915028726801E-3</v>
      </c>
      <c r="K19" s="53">
        <v>-2.4883234015139401E-2</v>
      </c>
      <c r="L19" s="95">
        <f>IFERROR(B19*'Stock Statistics'!$C$41+C19*'Stock Statistics'!$C$42+D19*'Stock Statistics'!$C$43+E19*'Stock Statistics'!$C$44+F19*'Stock Statistics'!$C$45+G19*'Stock Statistics'!$C$46+H19*'Stock Statistics'!$C$47+I19*'Stock Statistics'!$C$48+J19*'Stock Statistics'!$C$49+K19*'Stock Statistics'!$C$50,"")</f>
        <v>-3.137997392134992E-3</v>
      </c>
      <c r="M19" s="97">
        <v>473.63189999999997</v>
      </c>
      <c r="N19" s="96">
        <v>555.84490000000005</v>
      </c>
      <c r="O19" s="93">
        <f t="shared" si="0"/>
        <v>-4.1301843875120037E-3</v>
      </c>
      <c r="P19" s="93">
        <f t="shared" si="1"/>
        <v>-3.3436750338032839E-3</v>
      </c>
      <c r="Q19" s="93">
        <f>B19*'Portfolio 2 &amp; 3'!$F$7+C19*'Portfolio 2 &amp; 3'!$F$8+D19*'Portfolio 2 &amp; 3'!$F$9+E19*'Portfolio 2 &amp; 3'!$F$10+F19*'Portfolio 2 &amp; 3'!$F$11+G19*'Portfolio 2 &amp; 3'!$F$12+H19*'Portfolio 2 &amp; 3'!$F$13+I19*'Portfolio 2 &amp; 3'!$F$14+J19*'Portfolio 2 &amp; 3'!$F$15+K19*'Portfolio 2 &amp; 3'!$F$16</f>
        <v>-2.5911446678400464E-3</v>
      </c>
      <c r="R19" s="93">
        <f>B19*'Portfolio 2 &amp; 3'!$B$23+C19*'Portfolio 2 &amp; 3'!$B$24+D19*'Portfolio 2 &amp; 3'!$B$25+E19*'Portfolio 2 &amp; 3'!$B$26+F19*'Portfolio 2 &amp; 3'!$B$27+G19*'Portfolio 2 &amp; 3'!$B$28+H19*'Portfolio 2 &amp; 3'!$B$29+I19*'Portfolio 2 &amp; 3'!$B$30+J19*'Portfolio 2 &amp; 3'!$B$31+K19*'Portfolio 2 &amp; 3'!$B$32</f>
        <v>-2.43707097609481E-3</v>
      </c>
      <c r="S19" s="93">
        <f t="shared" si="2"/>
        <v>-3.7369297106576438E-3</v>
      </c>
    </row>
    <row r="20" spans="1:19" ht="12.75" customHeight="1">
      <c r="A20" s="81">
        <v>46056</v>
      </c>
      <c r="B20" s="53">
        <v>-1.6299999999999999E-2</v>
      </c>
      <c r="C20" s="53">
        <v>3.2780947206375102E-2</v>
      </c>
      <c r="D20" s="53">
        <v>4.7053800170794101E-2</v>
      </c>
      <c r="E20" s="53">
        <v>-1.7569999999999999E-2</v>
      </c>
      <c r="F20" s="53">
        <v>2.6430966861820102E-2</v>
      </c>
      <c r="G20" s="53">
        <v>1.46468699839486E-2</v>
      </c>
      <c r="H20" s="87">
        <v>4.4735729386892201E-2</v>
      </c>
      <c r="I20" s="53">
        <v>4.5580195343694299E-2</v>
      </c>
      <c r="J20" s="53">
        <v>8.5391887770662808E-3</v>
      </c>
      <c r="K20" s="53">
        <v>4.3091138177236497E-2</v>
      </c>
      <c r="L20" s="95">
        <f>IFERROR(B20*'Stock Statistics'!$C$41+C20*'Stock Statistics'!$C$42+D20*'Stock Statistics'!$C$43+E20*'Stock Statistics'!$C$44+F20*'Stock Statistics'!$C$45+G20*'Stock Statistics'!$C$46+H20*'Stock Statistics'!$C$47+I20*'Stock Statistics'!$C$48+J20*'Stock Statistics'!$C$49+K20*'Stock Statistics'!$C$50,"")</f>
        <v>2.2898883590782716E-2</v>
      </c>
      <c r="M20" s="96">
        <v>475.59620000000001</v>
      </c>
      <c r="N20" s="97">
        <v>557.7097</v>
      </c>
      <c r="O20" s="93">
        <f t="shared" si="0"/>
        <v>2.3774753977814367E-2</v>
      </c>
      <c r="P20" s="93">
        <f t="shared" si="1"/>
        <v>2.7096874711093566E-2</v>
      </c>
      <c r="Q20" s="93">
        <f>B20*'Portfolio 2 &amp; 3'!$F$7+C20*'Portfolio 2 &amp; 3'!$F$8+D20*'Portfolio 2 &amp; 3'!$F$9+E20*'Portfolio 2 &amp; 3'!$F$10+F20*'Portfolio 2 &amp; 3'!$F$11+G20*'Portfolio 2 &amp; 3'!$F$12+H20*'Portfolio 2 &amp; 3'!$F$13+I20*'Portfolio 2 &amp; 3'!$F$14+J20*'Portfolio 2 &amp; 3'!$F$15+K20*'Portfolio 2 &amp; 3'!$F$16</f>
        <v>2.6435150186529859E-2</v>
      </c>
      <c r="R20" s="93">
        <f>B20*'Portfolio 2 &amp; 3'!$B$23+C20*'Portfolio 2 &amp; 3'!$B$24+D20*'Portfolio 2 &amp; 3'!$B$25+E20*'Portfolio 2 &amp; 3'!$B$26+F20*'Portfolio 2 &amp; 3'!$B$27+G20*'Portfolio 2 &amp; 3'!$B$28+H20*'Portfolio 2 &amp; 3'!$B$29+I20*'Portfolio 2 &amp; 3'!$B$30+J20*'Portfolio 2 &amp; 3'!$B$31+K20*'Portfolio 2 &amp; 3'!$B$32</f>
        <v>2.7113494092101571E-2</v>
      </c>
      <c r="S20" s="93">
        <f t="shared" si="2"/>
        <v>2.5435814344453966E-2</v>
      </c>
    </row>
    <row r="21" spans="1:19" ht="12.75" customHeight="1">
      <c r="A21" s="82">
        <v>46055</v>
      </c>
      <c r="B21" s="53">
        <v>2.8999999999999998E-3</v>
      </c>
      <c r="C21" s="53">
        <v>-7.8167115902965101E-3</v>
      </c>
      <c r="D21" s="53">
        <v>-9.3848647726291201E-4</v>
      </c>
      <c r="E21" s="53">
        <v>-2.7599999999999999E-3</v>
      </c>
      <c r="F21" s="53">
        <v>1.7651748092470899E-3</v>
      </c>
      <c r="G21" s="53">
        <v>-2.47679567686576E-3</v>
      </c>
      <c r="H21" s="87">
        <v>3.2238907270723E-3</v>
      </c>
      <c r="I21" s="53">
        <v>1.10552139618658E-2</v>
      </c>
      <c r="J21" s="53">
        <v>-1.3018285800286101E-2</v>
      </c>
      <c r="K21" s="53">
        <v>-1.7090488771466399E-2</v>
      </c>
      <c r="L21" s="95">
        <f>IFERROR(B21*'Stock Statistics'!$C$41+C21*'Stock Statistics'!$C$42+D21*'Stock Statistics'!$C$43+E21*'Stock Statistics'!$C$44+F21*'Stock Statistics'!$C$45+G21*'Stock Statistics'!$C$46+H21*'Stock Statistics'!$C$47+I21*'Stock Statistics'!$C$48+J21*'Stock Statistics'!$C$49+K21*'Stock Statistics'!$C$50,"")</f>
        <v>-2.5156488817992496E-3</v>
      </c>
      <c r="M21" s="97">
        <v>464.55160000000001</v>
      </c>
      <c r="N21" s="96">
        <v>542.99620000000004</v>
      </c>
      <c r="O21" s="93">
        <f t="shared" si="0"/>
        <v>-6.0560727507535939E-3</v>
      </c>
      <c r="P21" s="93">
        <f t="shared" si="1"/>
        <v>-4.5900999834829204E-3</v>
      </c>
      <c r="Q21" s="93">
        <f>B21*'Portfolio 2 &amp; 3'!$F$7+C21*'Portfolio 2 &amp; 3'!$F$8+D21*'Portfolio 2 &amp; 3'!$F$9+E21*'Portfolio 2 &amp; 3'!$F$10+F21*'Portfolio 2 &amp; 3'!$F$11+G21*'Portfolio 2 &amp; 3'!$F$12+H21*'Portfolio 2 &amp; 3'!$F$13+I21*'Portfolio 2 &amp; 3'!$F$14+J21*'Portfolio 2 &amp; 3'!$F$15+K21*'Portfolio 2 &amp; 3'!$F$16</f>
        <v>-2.6182693661695503E-3</v>
      </c>
      <c r="R21" s="93">
        <f>B21*'Portfolio 2 &amp; 3'!$B$23+C21*'Portfolio 2 &amp; 3'!$B$24+D21*'Portfolio 2 &amp; 3'!$B$25+E21*'Portfolio 2 &amp; 3'!$B$26+F21*'Portfolio 2 &amp; 3'!$B$27+G21*'Portfolio 2 &amp; 3'!$B$28+H21*'Portfolio 2 &amp; 3'!$B$29+I21*'Portfolio 2 &amp; 3'!$B$30+J21*'Portfolio 2 &amp; 3'!$B$31+K21*'Portfolio 2 &amp; 3'!$B$32</f>
        <v>-1.3869449786738791E-4</v>
      </c>
      <c r="S21" s="93">
        <f t="shared" si="2"/>
        <v>-5.3230863671182571E-3</v>
      </c>
    </row>
    <row r="22" spans="1:19" ht="12.75" customHeight="1">
      <c r="A22" s="81">
        <v>46054</v>
      </c>
      <c r="B22" s="53">
        <v>-1.1599999999999999E-2</v>
      </c>
      <c r="C22" s="53">
        <v>-1.9815059445178401E-2</v>
      </c>
      <c r="D22" s="53">
        <v>-2.94775192514698E-2</v>
      </c>
      <c r="E22" s="53">
        <v>-8.2699999999999996E-3</v>
      </c>
      <c r="F22" s="53">
        <v>-8.1328363266688405E-3</v>
      </c>
      <c r="G22" s="53">
        <v>9.1648151888505999E-3</v>
      </c>
      <c r="H22" s="87">
        <v>-3.2345456038092101E-2</v>
      </c>
      <c r="I22" s="53">
        <v>9.2772519275370301E-3</v>
      </c>
      <c r="J22" s="53">
        <v>3.7009063444108899E-3</v>
      </c>
      <c r="K22" s="53">
        <v>8.26309700875827E-4</v>
      </c>
      <c r="L22" s="95">
        <f>IFERROR(B22*'Stock Statistics'!$C$41+C22*'Stock Statistics'!$C$42+D22*'Stock Statistics'!$C$43+E22*'Stock Statistics'!$C$44+F22*'Stock Statistics'!$C$45+G22*'Stock Statistics'!$C$46+H22*'Stock Statistics'!$C$47+I22*'Stock Statistics'!$C$48+J22*'Stock Statistics'!$C$49+K22*'Stock Statistics'!$C$50,"")</f>
        <v>-8.6671587899734785E-3</v>
      </c>
      <c r="M22" s="96">
        <v>467.38209999999998</v>
      </c>
      <c r="N22" s="97">
        <v>545.50009999999997</v>
      </c>
      <c r="O22" s="93">
        <f t="shared" si="0"/>
        <v>-2.3534793303636725E-5</v>
      </c>
      <c r="P22" s="93">
        <f t="shared" si="1"/>
        <v>1.1551526904762133E-2</v>
      </c>
      <c r="Q22" s="93">
        <f>B22*'Portfolio 2 &amp; 3'!$F$7+C22*'Portfolio 2 &amp; 3'!$F$8+D22*'Portfolio 2 &amp; 3'!$F$9+E22*'Portfolio 2 &amp; 3'!$F$10+F22*'Portfolio 2 &amp; 3'!$F$11+G22*'Portfolio 2 &amp; 3'!$F$12+H22*'Portfolio 2 &amp; 3'!$F$13+I22*'Portfolio 2 &amp; 3'!$F$14+J22*'Portfolio 2 &amp; 3'!$F$15+K22*'Portfolio 2 &amp; 3'!$F$16</f>
        <v>-1.1466928867725004E-2</v>
      </c>
      <c r="R22" s="93">
        <f>B22*'Portfolio 2 &amp; 3'!$B$23+C22*'Portfolio 2 &amp; 3'!$B$24+D22*'Portfolio 2 &amp; 3'!$B$25+E22*'Portfolio 2 &amp; 3'!$B$26+F22*'Portfolio 2 &amp; 3'!$B$27+G22*'Portfolio 2 &amp; 3'!$B$28+H22*'Portfolio 2 &amp; 3'!$B$29+I22*'Portfolio 2 &amp; 3'!$B$30+J22*'Portfolio 2 &amp; 3'!$B$31+K22*'Portfolio 2 &amp; 3'!$B$32</f>
        <v>-4.4737963975182322E-3</v>
      </c>
      <c r="S22" s="93">
        <f t="shared" si="2"/>
        <v>5.763996055729248E-3</v>
      </c>
    </row>
    <row r="23" spans="1:19" ht="12.75" customHeight="1">
      <c r="A23" s="82">
        <v>46052</v>
      </c>
      <c r="B23" s="53">
        <v>3.49E-2</v>
      </c>
      <c r="C23" s="53">
        <v>-6.21389812707862E-3</v>
      </c>
      <c r="D23" s="53">
        <v>4.9626281939857603E-2</v>
      </c>
      <c r="E23" s="53">
        <v>1.0699999999999999E-2</v>
      </c>
      <c r="F23" s="53">
        <v>-6.0626473560122501E-3</v>
      </c>
      <c r="G23" s="53">
        <v>7.8115060685479704E-3</v>
      </c>
      <c r="H23" s="87">
        <v>7.6102241707336499E-3</v>
      </c>
      <c r="I23" s="53">
        <v>3.7752469640721701E-3</v>
      </c>
      <c r="J23" s="53">
        <v>2.3468846998258002E-3</v>
      </c>
      <c r="K23" s="53">
        <v>1.6553550736633201E-3</v>
      </c>
      <c r="L23" s="95">
        <f>IFERROR(B23*'Stock Statistics'!$C$41+C23*'Stock Statistics'!$C$42+D23*'Stock Statistics'!$C$43+E23*'Stock Statistics'!$C$44+F23*'Stock Statistics'!$C$45+G23*'Stock Statistics'!$C$46+H23*'Stock Statistics'!$C$47+I23*'Stock Statistics'!$C$48+J23*'Stock Statistics'!$C$49+K23*'Stock Statistics'!$C$50,"")</f>
        <v>1.0614895343360966E-2</v>
      </c>
      <c r="M23" s="97">
        <v>467.3931</v>
      </c>
      <c r="N23" s="96">
        <v>539.27070000000003</v>
      </c>
      <c r="O23" s="93">
        <f t="shared" si="0"/>
        <v>8.6123908372448543E-3</v>
      </c>
      <c r="P23" s="93">
        <f t="shared" si="1"/>
        <v>-1.0878542748490982E-2</v>
      </c>
      <c r="Q23" s="93">
        <f>B23*'Portfolio 2 &amp; 3'!$F$7+C23*'Portfolio 2 &amp; 3'!$F$8+D23*'Portfolio 2 &amp; 3'!$F$9+E23*'Portfolio 2 &amp; 3'!$F$10+F23*'Portfolio 2 &amp; 3'!$F$11+G23*'Portfolio 2 &amp; 3'!$F$12+H23*'Portfolio 2 &amp; 3'!$F$13+I23*'Portfolio 2 &amp; 3'!$F$14+J23*'Portfolio 2 &amp; 3'!$F$15+K23*'Portfolio 2 &amp; 3'!$F$16</f>
        <v>1.0957992370112692E-2</v>
      </c>
      <c r="R23" s="93">
        <f>B23*'Portfolio 2 &amp; 3'!$B$23+C23*'Portfolio 2 &amp; 3'!$B$24+D23*'Portfolio 2 &amp; 3'!$B$25+E23*'Portfolio 2 &amp; 3'!$B$26+F23*'Portfolio 2 &amp; 3'!$B$27+G23*'Portfolio 2 &amp; 3'!$B$28+H23*'Portfolio 2 &amp; 3'!$B$29+I23*'Portfolio 2 &amp; 3'!$B$30+J23*'Portfolio 2 &amp; 3'!$B$31+K23*'Portfolio 2 &amp; 3'!$B$32</f>
        <v>5.3619170041854644E-3</v>
      </c>
      <c r="S23" s="93">
        <f t="shared" si="2"/>
        <v>-1.1330759556230641E-3</v>
      </c>
    </row>
    <row r="24" spans="1:19" ht="12.75" customHeight="1">
      <c r="A24" s="81">
        <v>46051</v>
      </c>
      <c r="B24" s="53">
        <v>-3.5299999999999998E-2</v>
      </c>
      <c r="C24" s="53">
        <v>-1.66011358671914E-3</v>
      </c>
      <c r="D24" s="53">
        <v>9.3867883147642495E-3</v>
      </c>
      <c r="E24" s="53">
        <v>3.2499999999999999E-3</v>
      </c>
      <c r="F24" s="53">
        <v>-6.9126992975804304E-3</v>
      </c>
      <c r="G24" s="53">
        <v>-7.2245939323515298E-3</v>
      </c>
      <c r="H24" s="87">
        <v>-1.11247443762781E-2</v>
      </c>
      <c r="I24" s="53">
        <v>-1.3224885135974199E-2</v>
      </c>
      <c r="J24" s="53">
        <v>-5.6458897922312401E-3</v>
      </c>
      <c r="K24" s="53">
        <v>-2.3755656108597301E-2</v>
      </c>
      <c r="L24" s="95">
        <f>IFERROR(B24*'Stock Statistics'!$C$41+C24*'Stock Statistics'!$C$42+D24*'Stock Statistics'!$C$43+E24*'Stock Statistics'!$C$44+F24*'Stock Statistics'!$C$45+G24*'Stock Statistics'!$C$46+H24*'Stock Statistics'!$C$47+I24*'Stock Statistics'!$C$48+J24*'Stock Statistics'!$C$49+K24*'Stock Statistics'!$C$50,"")</f>
        <v>-9.2211793914967703E-3</v>
      </c>
      <c r="M24" s="96">
        <v>463.40210000000002</v>
      </c>
      <c r="N24" s="97">
        <v>545.20169999999996</v>
      </c>
      <c r="O24" s="93">
        <f t="shared" si="0"/>
        <v>-5.9100247534575878E-3</v>
      </c>
      <c r="P24" s="93">
        <f t="shared" si="1"/>
        <v>1.9520729518809343E-3</v>
      </c>
      <c r="Q24" s="93">
        <f>B24*'Portfolio 2 &amp; 3'!$F$7+C24*'Portfolio 2 &amp; 3'!$F$8+D24*'Portfolio 2 &amp; 3'!$F$9+E24*'Portfolio 2 &amp; 3'!$F$10+F24*'Portfolio 2 &amp; 3'!$F$11+G24*'Portfolio 2 &amp; 3'!$F$12+H24*'Portfolio 2 &amp; 3'!$F$13+I24*'Portfolio 2 &amp; 3'!$F$14+J24*'Portfolio 2 &amp; 3'!$F$15+K24*'Portfolio 2 &amp; 3'!$F$16</f>
        <v>-7.7680671660677941E-3</v>
      </c>
      <c r="R24" s="93">
        <f>B24*'Portfolio 2 &amp; 3'!$B$23+C24*'Portfolio 2 &amp; 3'!$B$24+D24*'Portfolio 2 &amp; 3'!$B$25+E24*'Portfolio 2 &amp; 3'!$B$26+F24*'Portfolio 2 &amp; 3'!$B$27+G24*'Portfolio 2 &amp; 3'!$B$28+H24*'Portfolio 2 &amp; 3'!$B$29+I24*'Portfolio 2 &amp; 3'!$B$30+J24*'Portfolio 2 &amp; 3'!$B$31+K24*'Portfolio 2 &amp; 3'!$B$32</f>
        <v>-1.2647866346696599E-2</v>
      </c>
      <c r="S24" s="93">
        <f t="shared" si="2"/>
        <v>-1.9789759007883267E-3</v>
      </c>
    </row>
    <row r="25" spans="1:19" ht="12.75" customHeight="1">
      <c r="A25" s="82">
        <v>46050</v>
      </c>
      <c r="B25" s="53">
        <v>-2.7000000000000001E-3</v>
      </c>
      <c r="C25" s="53">
        <v>-5.4744525547445501E-3</v>
      </c>
      <c r="D25" s="53">
        <v>9.0289457378065503E-3</v>
      </c>
      <c r="E25" s="53">
        <v>-1.179E-2</v>
      </c>
      <c r="F25" s="53">
        <v>3.9738064588346099E-3</v>
      </c>
      <c r="G25" s="53">
        <v>-9.6812928403462502E-3</v>
      </c>
      <c r="H25" s="87">
        <v>-1.3953863526375201E-2</v>
      </c>
      <c r="I25" s="53">
        <v>-1.7267679541155701E-2</v>
      </c>
      <c r="J25" s="53">
        <v>1.1728865194211799E-2</v>
      </c>
      <c r="K25" s="53">
        <v>2.1796565389696099E-2</v>
      </c>
      <c r="L25" s="95">
        <f>IFERROR(B25*'Stock Statistics'!$C$41+C25*'Stock Statistics'!$C$42+D25*'Stock Statistics'!$C$43+E25*'Stock Statistics'!$C$44+F25*'Stock Statistics'!$C$45+G25*'Stock Statistics'!$C$46+H25*'Stock Statistics'!$C$47+I25*'Stock Statistics'!$C$48+J25*'Stock Statistics'!$C$49+K25*'Stock Statistics'!$C$50,"")</f>
        <v>-1.4339105682072638E-3</v>
      </c>
      <c r="M25" s="97">
        <v>466.15710000000001</v>
      </c>
      <c r="N25" s="96">
        <v>544.1395</v>
      </c>
      <c r="O25" s="93">
        <f t="shared" si="0"/>
        <v>2.469200051870013E-3</v>
      </c>
      <c r="P25" s="93">
        <f t="shared" si="1"/>
        <v>4.2231267022585506E-4</v>
      </c>
      <c r="Q25" s="93">
        <f>B25*'Portfolio 2 &amp; 3'!$F$7+C25*'Portfolio 2 &amp; 3'!$F$8+D25*'Portfolio 2 &amp; 3'!$F$9+E25*'Portfolio 2 &amp; 3'!$F$10+F25*'Portfolio 2 &amp; 3'!$F$11+G25*'Portfolio 2 &amp; 3'!$F$12+H25*'Portfolio 2 &amp; 3'!$F$13+I25*'Portfolio 2 &amp; 3'!$F$14+J25*'Portfolio 2 &amp; 3'!$F$15+K25*'Portfolio 2 &amp; 3'!$F$16</f>
        <v>-8.0827317859560269E-4</v>
      </c>
      <c r="R25" s="93">
        <f>B25*'Portfolio 2 &amp; 3'!$B$23+C25*'Portfolio 2 &amp; 3'!$B$24+D25*'Portfolio 2 &amp; 3'!$B$25+E25*'Portfolio 2 &amp; 3'!$B$26+F25*'Portfolio 2 &amp; 3'!$B$27+G25*'Portfolio 2 &amp; 3'!$B$28+H25*'Portfolio 2 &amp; 3'!$B$29+I25*'Portfolio 2 &amp; 3'!$B$30+J25*'Portfolio 2 &amp; 3'!$B$31+K25*'Portfolio 2 &amp; 3'!$B$32</f>
        <v>-4.1748315816206288E-3</v>
      </c>
      <c r="S25" s="93">
        <f t="shared" si="2"/>
        <v>1.445756361047934E-3</v>
      </c>
    </row>
    <row r="26" spans="1:19" ht="12.75" customHeight="1">
      <c r="A26" s="81">
        <v>46049</v>
      </c>
      <c r="B26" s="53">
        <v>-3.3999999999999998E-3</v>
      </c>
      <c r="C26" s="53">
        <v>6.0864272671934405E-4</v>
      </c>
      <c r="D26" s="53">
        <v>-2.47240618101541E-3</v>
      </c>
      <c r="E26" s="53">
        <v>4.6699999999999997E-3</v>
      </c>
      <c r="F26" s="53">
        <v>1.2868480725623599E-2</v>
      </c>
      <c r="G26" s="53">
        <v>1.6581048776766399E-2</v>
      </c>
      <c r="H26" s="87">
        <v>3.3991583036581102E-3</v>
      </c>
      <c r="I26" s="53">
        <v>4.2894785219682596E-3</v>
      </c>
      <c r="J26" s="53">
        <v>-1.5209125475285101E-3</v>
      </c>
      <c r="K26" s="53">
        <v>7.4024785827164798E-3</v>
      </c>
      <c r="L26" s="95">
        <f>IFERROR(B26*'Stock Statistics'!$C$41+C26*'Stock Statistics'!$C$42+D26*'Stock Statistics'!$C$43+E26*'Stock Statistics'!$C$44+F26*'Stock Statistics'!$C$45+G26*'Stock Statistics'!$C$46+H26*'Stock Statistics'!$C$47+I26*'Stock Statistics'!$C$48+J26*'Stock Statistics'!$C$49+K26*'Stock Statistics'!$C$50,"")</f>
        <v>4.2425968908908276E-3</v>
      </c>
      <c r="M26" s="96">
        <v>465.00889999999998</v>
      </c>
      <c r="N26" s="97">
        <v>543.90980000000002</v>
      </c>
      <c r="O26" s="93">
        <f t="shared" si="0"/>
        <v>1.9169644349985582E-3</v>
      </c>
      <c r="P26" s="93">
        <f t="shared" si="1"/>
        <v>-1.2239187446529076E-2</v>
      </c>
      <c r="Q26" s="93">
        <f>B26*'Portfolio 2 &amp; 3'!$F$7+C26*'Portfolio 2 &amp; 3'!$F$8+D26*'Portfolio 2 &amp; 3'!$F$9+E26*'Portfolio 2 &amp; 3'!$F$10+F26*'Portfolio 2 &amp; 3'!$F$11+G26*'Portfolio 2 &amp; 3'!$F$12+H26*'Portfolio 2 &amp; 3'!$F$13+I26*'Portfolio 2 &amp; 3'!$F$14+J26*'Portfolio 2 &amp; 3'!$F$15+K26*'Portfolio 2 &amp; 3'!$F$16</f>
        <v>3.3547833509855992E-3</v>
      </c>
      <c r="R26" s="93">
        <f>B26*'Portfolio 2 &amp; 3'!$B$23+C26*'Portfolio 2 &amp; 3'!$B$24+D26*'Portfolio 2 &amp; 3'!$B$25+E26*'Portfolio 2 &amp; 3'!$B$26+F26*'Portfolio 2 &amp; 3'!$B$27+G26*'Portfolio 2 &amp; 3'!$B$28+H26*'Portfolio 2 &amp; 3'!$B$29+I26*'Portfolio 2 &amp; 3'!$B$30+J26*'Portfolio 2 &amp; 3'!$B$31+K26*'Portfolio 2 &amp; 3'!$B$32</f>
        <v>5.181240710271047E-3</v>
      </c>
      <c r="S26" s="93">
        <f t="shared" si="2"/>
        <v>-5.161111505765259E-3</v>
      </c>
    </row>
    <row r="27" spans="1:19" ht="12.75" customHeight="1">
      <c r="A27" s="82">
        <v>46045</v>
      </c>
      <c r="B27" s="53">
        <v>2E-3</v>
      </c>
      <c r="C27" s="53">
        <v>-1.38925067291829E-3</v>
      </c>
      <c r="D27" s="53">
        <v>-1.11761110626036E-2</v>
      </c>
      <c r="E27" s="53">
        <v>-1.375E-2</v>
      </c>
      <c r="F27" s="53">
        <v>-3.7275499830565799E-3</v>
      </c>
      <c r="G27" s="53">
        <v>-2.19624424822784E-2</v>
      </c>
      <c r="H27" s="87">
        <v>1.48665297741273E-2</v>
      </c>
      <c r="I27" s="53">
        <v>-1.40741647289189E-3</v>
      </c>
      <c r="J27" s="53">
        <v>-4.04261529480444E-2</v>
      </c>
      <c r="K27" s="53">
        <v>-9.8006918135398208E-3</v>
      </c>
      <c r="L27" s="95">
        <f>IFERROR(B27*'Stock Statistics'!$C$41+C27*'Stock Statistics'!$C$42+D27*'Stock Statistics'!$C$43+E27*'Stock Statistics'!$C$44+F27*'Stock Statistics'!$C$45+G27*'Stock Statistics'!$C$46+H27*'Stock Statistics'!$C$47+I27*'Stock Statistics'!$C$48+J27*'Stock Statistics'!$C$49+K27*'Stock Statistics'!$C$50,"")</f>
        <v>-8.677308566120567E-3</v>
      </c>
      <c r="M27" s="97">
        <v>464.11919999999998</v>
      </c>
      <c r="N27" s="96">
        <v>550.64930000000004</v>
      </c>
      <c r="O27" s="93">
        <f t="shared" si="0"/>
        <v>-7.5859548751472383E-3</v>
      </c>
      <c r="P27" s="93">
        <f t="shared" si="1"/>
        <v>1.0851082070050921E-2</v>
      </c>
      <c r="Q27" s="93">
        <f>B27*'Portfolio 2 &amp; 3'!$F$7+C27*'Portfolio 2 &amp; 3'!$F$8+D27*'Portfolio 2 &amp; 3'!$F$9+E27*'Portfolio 2 &amp; 3'!$F$10+F27*'Portfolio 2 &amp; 3'!$F$11+G27*'Portfolio 2 &amp; 3'!$F$12+H27*'Portfolio 2 &amp; 3'!$F$13+I27*'Portfolio 2 &amp; 3'!$F$14+J27*'Portfolio 2 &amp; 3'!$F$15+K27*'Portfolio 2 &amp; 3'!$F$16</f>
        <v>-8.4125877408761929E-3</v>
      </c>
      <c r="R27" s="93">
        <f>B27*'Portfolio 2 &amp; 3'!$B$23+C27*'Portfolio 2 &amp; 3'!$B$24+D27*'Portfolio 2 &amp; 3'!$B$25+E27*'Portfolio 2 &amp; 3'!$B$26+F27*'Portfolio 2 &amp; 3'!$B$27+G27*'Portfolio 2 &amp; 3'!$B$28+H27*'Portfolio 2 &amp; 3'!$B$29+I27*'Portfolio 2 &amp; 3'!$B$30+J27*'Portfolio 2 &amp; 3'!$B$31+K27*'Portfolio 2 &amp; 3'!$B$32</f>
        <v>-5.1346126135571359E-3</v>
      </c>
      <c r="S27" s="93">
        <f t="shared" si="2"/>
        <v>1.6325635974518415E-3</v>
      </c>
    </row>
    <row r="28" spans="1:19" ht="12.75" customHeight="1">
      <c r="A28" s="81">
        <v>46044</v>
      </c>
      <c r="B28" s="53">
        <v>5.4000000000000003E-3</v>
      </c>
      <c r="C28" s="53">
        <v>1.8032352161230499E-2</v>
      </c>
      <c r="D28" s="53">
        <v>2.1039493625746499E-2</v>
      </c>
      <c r="E28" s="53">
        <v>6.6100000000000004E-3</v>
      </c>
      <c r="F28" s="53">
        <v>1.03281027104136E-2</v>
      </c>
      <c r="G28" s="53">
        <v>9.7192224622029092E-3</v>
      </c>
      <c r="H28" s="87">
        <v>5.2108537849982803E-2</v>
      </c>
      <c r="I28" s="53">
        <v>1.3206026412052801E-2</v>
      </c>
      <c r="J28" s="53">
        <v>5.8411214953291201E-4</v>
      </c>
      <c r="K28" s="53">
        <v>1.01497504159733E-2</v>
      </c>
      <c r="L28" s="95">
        <f>IFERROR(B28*'Stock Statistics'!$C$41+C28*'Stock Statistics'!$C$42+D28*'Stock Statistics'!$C$43+E28*'Stock Statistics'!$C$44+F28*'Stock Statistics'!$C$45+G28*'Stock Statistics'!$C$46+H28*'Stock Statistics'!$C$47+I28*'Stock Statistics'!$C$48+J28*'Stock Statistics'!$C$49+K28*'Stock Statistics'!$C$50,"")</f>
        <v>1.4717759778713532E-2</v>
      </c>
      <c r="M28" s="96">
        <v>467.6669</v>
      </c>
      <c r="N28" s="97">
        <v>544.73829999999998</v>
      </c>
      <c r="O28" s="93">
        <f t="shared" si="0"/>
        <v>1.035443547176218E-2</v>
      </c>
      <c r="P28" s="93">
        <f t="shared" si="1"/>
        <v>-3.4001296751098309E-3</v>
      </c>
      <c r="Q28" s="93">
        <f>B28*'Portfolio 2 &amp; 3'!$F$7+C28*'Portfolio 2 &amp; 3'!$F$8+D28*'Portfolio 2 &amp; 3'!$F$9+E28*'Portfolio 2 &amp; 3'!$F$10+F28*'Portfolio 2 &amp; 3'!$F$11+G28*'Portfolio 2 &amp; 3'!$F$12+H28*'Portfolio 2 &amp; 3'!$F$13+I28*'Portfolio 2 &amp; 3'!$F$14+J28*'Portfolio 2 &amp; 3'!$F$15+K28*'Portfolio 2 &amp; 3'!$F$16</f>
        <v>1.7520833826046581E-2</v>
      </c>
      <c r="R28" s="93">
        <f>B28*'Portfolio 2 &amp; 3'!$B$23+C28*'Portfolio 2 &amp; 3'!$B$24+D28*'Portfolio 2 &amp; 3'!$B$25+E28*'Portfolio 2 &amp; 3'!$B$26+F28*'Portfolio 2 &amp; 3'!$B$27+G28*'Portfolio 2 &amp; 3'!$B$28+H28*'Portfolio 2 &amp; 3'!$B$29+I28*'Portfolio 2 &amp; 3'!$B$30+J28*'Portfolio 2 &amp; 3'!$B$31+K28*'Portfolio 2 &amp; 3'!$B$32</f>
        <v>1.2847962266069126E-2</v>
      </c>
      <c r="S28" s="93">
        <f t="shared" si="2"/>
        <v>3.4771528983261746E-3</v>
      </c>
    </row>
    <row r="29" spans="1:19" ht="12.75" customHeight="1">
      <c r="A29" s="82">
        <v>46043</v>
      </c>
      <c r="B29" s="53">
        <v>1.34E-2</v>
      </c>
      <c r="C29" s="53">
        <v>-1.11878332313609E-2</v>
      </c>
      <c r="D29" s="53">
        <v>-1.75177367084173E-2</v>
      </c>
      <c r="E29" s="53">
        <v>-1.273E-2</v>
      </c>
      <c r="F29" s="53">
        <v>3.26310968628341E-3</v>
      </c>
      <c r="G29" s="53">
        <v>1.2572922953129101E-3</v>
      </c>
      <c r="H29" s="87">
        <v>-8.1426244964429902E-3</v>
      </c>
      <c r="I29" s="53">
        <v>-5.5768992440197195E-4</v>
      </c>
      <c r="J29" s="53">
        <v>-6.3842135809635296E-3</v>
      </c>
      <c r="K29" s="53">
        <v>-4.9891900881426899E-4</v>
      </c>
      <c r="L29" s="95">
        <f>IFERROR(B29*'Stock Statistics'!$C$41+C29*'Stock Statistics'!$C$42+D29*'Stock Statistics'!$C$43+E29*'Stock Statistics'!$C$44+F29*'Stock Statistics'!$C$45+G29*'Stock Statistics'!$C$46+H29*'Stock Statistics'!$C$47+I29*'Stock Statistics'!$C$48+J29*'Stock Statistics'!$C$49+K29*'Stock Statistics'!$C$50,"")</f>
        <v>-3.9098614968804644E-3</v>
      </c>
      <c r="M29" s="97">
        <v>462.8741</v>
      </c>
      <c r="N29" s="96">
        <v>546.59680000000003</v>
      </c>
      <c r="O29" s="93">
        <f t="shared" si="0"/>
        <v>-3.7529771782311983E-3</v>
      </c>
      <c r="P29" s="93">
        <f t="shared" si="1"/>
        <v>-1.6985425905337137E-2</v>
      </c>
      <c r="Q29" s="93">
        <f>B29*'Portfolio 2 &amp; 3'!$F$7+C29*'Portfolio 2 &amp; 3'!$F$8+D29*'Portfolio 2 &amp; 3'!$F$9+E29*'Portfolio 2 &amp; 3'!$F$10+F29*'Portfolio 2 &amp; 3'!$F$11+G29*'Portfolio 2 &amp; 3'!$F$12+H29*'Portfolio 2 &amp; 3'!$F$13+I29*'Portfolio 2 &amp; 3'!$F$14+J29*'Portfolio 2 &amp; 3'!$F$15+K29*'Portfolio 2 &amp; 3'!$F$16</f>
        <v>-5.3959553779734494E-3</v>
      </c>
      <c r="R29" s="93">
        <f>B29*'Portfolio 2 &amp; 3'!$B$23+C29*'Portfolio 2 &amp; 3'!$B$24+D29*'Portfolio 2 &amp; 3'!$B$25+E29*'Portfolio 2 &amp; 3'!$B$26+F29*'Portfolio 2 &amp; 3'!$B$27+G29*'Portfolio 2 &amp; 3'!$B$28+H29*'Portfolio 2 &amp; 3'!$B$29+I29*'Portfolio 2 &amp; 3'!$B$30+J29*'Portfolio 2 &amp; 3'!$B$31+K29*'Portfolio 2 &amp; 3'!$B$32</f>
        <v>-5.5189579539608228E-4</v>
      </c>
      <c r="S29" s="93">
        <f t="shared" si="2"/>
        <v>-1.0369201541784168E-2</v>
      </c>
    </row>
    <row r="30" spans="1:19" ht="12.75" customHeight="1">
      <c r="A30" s="81">
        <v>46042</v>
      </c>
      <c r="B30" s="53">
        <v>-1.95E-2</v>
      </c>
      <c r="C30" s="53">
        <v>-4.7842727905358399E-3</v>
      </c>
      <c r="D30" s="53">
        <v>-2.21822541966426E-2</v>
      </c>
      <c r="E30" s="53">
        <v>-4.0400000000000002E-3</v>
      </c>
      <c r="F30" s="53">
        <v>-8.7390761548065098E-3</v>
      </c>
      <c r="G30" s="53">
        <v>-2.6868301277345401E-2</v>
      </c>
      <c r="H30" s="87">
        <v>-4.2837559972586098E-4</v>
      </c>
      <c r="I30" s="53">
        <v>-3.6767339142891299E-2</v>
      </c>
      <c r="J30" s="53">
        <v>-9.9834805717157193E-3</v>
      </c>
      <c r="K30" s="53">
        <v>-2.06840390879479E-2</v>
      </c>
      <c r="L30" s="95">
        <f>IFERROR(B30*'Stock Statistics'!$C$41+C30*'Stock Statistics'!$C$42+D30*'Stock Statistics'!$C$43+E30*'Stock Statistics'!$C$44+F30*'Stock Statistics'!$C$45+G30*'Stock Statistics'!$C$46+H30*'Stock Statistics'!$C$47+I30*'Stock Statistics'!$C$48+J30*'Stock Statistics'!$C$49+K30*'Stock Statistics'!$C$50,"")</f>
        <v>-1.5397713882161115E-2</v>
      </c>
      <c r="M30" s="96">
        <v>464.61779999999999</v>
      </c>
      <c r="N30" s="97">
        <v>556.04139999999995</v>
      </c>
      <c r="O30" s="93">
        <f t="shared" si="0"/>
        <v>-2.1476153870454873E-2</v>
      </c>
      <c r="P30" s="93">
        <f t="shared" si="1"/>
        <v>-7.3762874138616485E-3</v>
      </c>
      <c r="Q30" s="93">
        <f>B30*'Portfolio 2 &amp; 3'!$F$7+C30*'Portfolio 2 &amp; 3'!$F$8+D30*'Portfolio 2 &amp; 3'!$F$9+E30*'Portfolio 2 &amp; 3'!$F$10+F30*'Portfolio 2 &amp; 3'!$F$11+G30*'Portfolio 2 &amp; 3'!$F$12+H30*'Portfolio 2 &amp; 3'!$F$13+I30*'Portfolio 2 &amp; 3'!$F$14+J30*'Portfolio 2 &amp; 3'!$F$15+K30*'Portfolio 2 &amp; 3'!$F$16</f>
        <v>-1.3652859964606705E-2</v>
      </c>
      <c r="R30" s="93">
        <f>B30*'Portfolio 2 &amp; 3'!$B$23+C30*'Portfolio 2 &amp; 3'!$B$24+D30*'Portfolio 2 &amp; 3'!$B$25+E30*'Portfolio 2 &amp; 3'!$B$26+F30*'Portfolio 2 &amp; 3'!$B$27+G30*'Portfolio 2 &amp; 3'!$B$28+H30*'Portfolio 2 &amp; 3'!$B$29+I30*'Portfolio 2 &amp; 3'!$B$30+J30*'Portfolio 2 &amp; 3'!$B$31+K30*'Portfolio 2 &amp; 3'!$B$32</f>
        <v>-1.9340380337034665E-2</v>
      </c>
      <c r="S30" s="93">
        <f t="shared" si="2"/>
        <v>-1.4426220642158261E-2</v>
      </c>
    </row>
    <row r="31" spans="1:19" ht="12.75" customHeight="1">
      <c r="A31" s="82">
        <v>46041</v>
      </c>
      <c r="B31" s="53">
        <v>-2.0000000000000001E-4</v>
      </c>
      <c r="C31" s="53">
        <v>-1.51631971215626E-2</v>
      </c>
      <c r="D31" s="53">
        <v>-4.34893834740358E-3</v>
      </c>
      <c r="E31" s="53">
        <v>1.026E-2</v>
      </c>
      <c r="F31" s="53">
        <v>1.49752332680566E-2</v>
      </c>
      <c r="G31" s="53">
        <v>1.7022547409287801E-2</v>
      </c>
      <c r="H31" s="87">
        <v>-7.0608251807741098E-3</v>
      </c>
      <c r="I31" s="53">
        <v>3.8947809934688502E-3</v>
      </c>
      <c r="J31" s="53">
        <v>-3.7209302325581502E-3</v>
      </c>
      <c r="K31" s="53">
        <v>-1.53944836433612E-2</v>
      </c>
      <c r="L31" s="95">
        <f>IFERROR(B31*'Stock Statistics'!$C$41+C31*'Stock Statistics'!$C$42+D31*'Stock Statistics'!$C$43+E31*'Stock Statistics'!$C$44+F31*'Stock Statistics'!$C$45+G31*'Stock Statistics'!$C$46+H31*'Stock Statistics'!$C$47+I31*'Stock Statistics'!$C$48+J31*'Stock Statistics'!$C$49+K31*'Stock Statistics'!$C$50,"")</f>
        <v>2.6418714515361215E-5</v>
      </c>
      <c r="M31" s="97">
        <v>474.815</v>
      </c>
      <c r="N31" s="96">
        <v>560.17340000000002</v>
      </c>
      <c r="O31" s="93">
        <f t="shared" si="0"/>
        <v>-8.9088928413463275E-3</v>
      </c>
      <c r="P31" s="93">
        <f t="shared" si="1"/>
        <v>-1.1073082556721681E-2</v>
      </c>
      <c r="Q31" s="93">
        <f>B31*'Portfolio 2 &amp; 3'!$F$7+C31*'Portfolio 2 &amp; 3'!$F$8+D31*'Portfolio 2 &amp; 3'!$F$9+E31*'Portfolio 2 &amp; 3'!$F$10+F31*'Portfolio 2 &amp; 3'!$F$11+G31*'Portfolio 2 &amp; 3'!$F$12+H31*'Portfolio 2 &amp; 3'!$F$13+I31*'Portfolio 2 &amp; 3'!$F$14+J31*'Portfolio 2 &amp; 3'!$F$15+K31*'Portfolio 2 &amp; 3'!$F$16</f>
        <v>-1.4250416016045831E-3</v>
      </c>
      <c r="R31" s="93">
        <f>B31*'Portfolio 2 &amp; 3'!$B$23+C31*'Portfolio 2 &amp; 3'!$B$24+D31*'Portfolio 2 &amp; 3'!$B$25+E31*'Portfolio 2 &amp; 3'!$B$26+F31*'Portfolio 2 &amp; 3'!$B$27+G31*'Portfolio 2 &amp; 3'!$B$28+H31*'Portfolio 2 &amp; 3'!$B$29+I31*'Portfolio 2 &amp; 3'!$B$30+J31*'Portfolio 2 &amp; 3'!$B$31+K31*'Portfolio 2 &amp; 3'!$B$32</f>
        <v>5.0656443941641551E-4</v>
      </c>
      <c r="S31" s="93">
        <f t="shared" si="2"/>
        <v>-9.9909876990340041E-3</v>
      </c>
    </row>
    <row r="32" spans="1:19" ht="12.75" customHeight="1">
      <c r="A32" s="81">
        <v>46038</v>
      </c>
      <c r="B32" s="53">
        <v>-4.4999999999999997E-3</v>
      </c>
      <c r="C32" s="53">
        <v>1.02907126318508E-3</v>
      </c>
      <c r="D32" s="53">
        <v>-6.2706550292347396E-3</v>
      </c>
      <c r="E32" s="53">
        <v>-1.2290000000000001E-2</v>
      </c>
      <c r="F32" s="53">
        <v>-1.7708628005657701E-2</v>
      </c>
      <c r="G32" s="53">
        <v>3.6216499737742299E-3</v>
      </c>
      <c r="H32" s="87">
        <v>-9.2709650231773705E-3</v>
      </c>
      <c r="I32" s="53">
        <v>-1.8698183101075998E-2</v>
      </c>
      <c r="J32" s="53">
        <v>-2.57929592192402E-2</v>
      </c>
      <c r="K32" s="53">
        <v>-1.88026119109432E-2</v>
      </c>
      <c r="L32" s="95">
        <f>IFERROR(B32*'Stock Statistics'!$C$41+C32*'Stock Statistics'!$C$42+D32*'Stock Statistics'!$C$43+E32*'Stock Statistics'!$C$44+F32*'Stock Statistics'!$C$45+G32*'Stock Statistics'!$C$46+H32*'Stock Statistics'!$C$47+I32*'Stock Statistics'!$C$48+J32*'Stock Statistics'!$C$49+K32*'Stock Statistics'!$C$50,"")</f>
        <v>-1.0868328105236991E-2</v>
      </c>
      <c r="M32" s="96">
        <v>479.0831</v>
      </c>
      <c r="N32" s="97">
        <v>566.44569999999999</v>
      </c>
      <c r="O32" s="93">
        <f t="shared" si="0"/>
        <v>-1.1063230194867324E-2</v>
      </c>
      <c r="P32" s="93">
        <f t="shared" si="1"/>
        <v>-3.0206178907806747E-3</v>
      </c>
      <c r="Q32" s="93">
        <f>B32*'Portfolio 2 &amp; 3'!$F$7+C32*'Portfolio 2 &amp; 3'!$F$8+D32*'Portfolio 2 &amp; 3'!$F$9+E32*'Portfolio 2 &amp; 3'!$F$10+F32*'Portfolio 2 &amp; 3'!$F$11+G32*'Portfolio 2 &amp; 3'!$F$12+H32*'Portfolio 2 &amp; 3'!$F$13+I32*'Portfolio 2 &amp; 3'!$F$14+J32*'Portfolio 2 &amp; 3'!$F$15+K32*'Portfolio 2 &amp; 3'!$F$16</f>
        <v>-1.1893798132783606E-2</v>
      </c>
      <c r="R32" s="93">
        <f>B32*'Portfolio 2 &amp; 3'!$B$23+C32*'Portfolio 2 &amp; 3'!$B$24+D32*'Portfolio 2 &amp; 3'!$B$25+E32*'Portfolio 2 &amp; 3'!$B$26+F32*'Portfolio 2 &amp; 3'!$B$27+G32*'Portfolio 2 &amp; 3'!$B$28+H32*'Portfolio 2 &amp; 3'!$B$29+I32*'Portfolio 2 &amp; 3'!$B$30+J32*'Portfolio 2 &amp; 3'!$B$31+K32*'Portfolio 2 &amp; 3'!$B$32</f>
        <v>-1.0307536553546263E-2</v>
      </c>
      <c r="S32" s="93">
        <f t="shared" si="2"/>
        <v>-7.0419240428239993E-3</v>
      </c>
    </row>
    <row r="33" spans="1:19" ht="12.75" customHeight="1">
      <c r="A33" s="82">
        <v>46036</v>
      </c>
      <c r="B33" s="53">
        <v>-7.4999999999999997E-3</v>
      </c>
      <c r="C33" s="53">
        <v>-5.6280378613455797E-3</v>
      </c>
      <c r="D33" s="53">
        <v>1.06191658816475E-2</v>
      </c>
      <c r="E33" s="53">
        <v>1.278E-2</v>
      </c>
      <c r="F33" s="53">
        <v>-1.8818696569334999E-2</v>
      </c>
      <c r="G33" s="53">
        <v>1.6090145420399399E-2</v>
      </c>
      <c r="H33" s="87">
        <v>-4.0292117854444599E-3</v>
      </c>
      <c r="I33" s="53">
        <v>-1.6197142361311999E-2</v>
      </c>
      <c r="J33" s="53">
        <v>-9.5284126216943505E-3</v>
      </c>
      <c r="K33" s="53">
        <v>-1.2584479142390999E-2</v>
      </c>
      <c r="L33" s="95">
        <f>IFERROR(B33*'Stock Statistics'!$C$41+C33*'Stock Statistics'!$C$42+D33*'Stock Statistics'!$C$43+E33*'Stock Statistics'!$C$44+F33*'Stock Statistics'!$C$45+G33*'Stock Statistics'!$C$46+H33*'Stock Statistics'!$C$47+I33*'Stock Statistics'!$C$48+J33*'Stock Statistics'!$C$49+K33*'Stock Statistics'!$C$50,"")</f>
        <v>-3.4796669039475494E-3</v>
      </c>
      <c r="M33" s="97">
        <v>484.44260000000003</v>
      </c>
      <c r="N33" s="96">
        <v>568.16189999999995</v>
      </c>
      <c r="O33" s="93">
        <f t="shared" si="0"/>
        <v>-3.8008628495156405E-4</v>
      </c>
      <c r="P33" s="93">
        <f t="shared" si="1"/>
        <v>-8.989347306915807E-4</v>
      </c>
      <c r="Q33" s="93">
        <f>B33*'Portfolio 2 &amp; 3'!$F$7+C33*'Portfolio 2 &amp; 3'!$F$8+D33*'Portfolio 2 &amp; 3'!$F$9+E33*'Portfolio 2 &amp; 3'!$F$10+F33*'Portfolio 2 &amp; 3'!$F$11+G33*'Portfolio 2 &amp; 3'!$F$12+H33*'Portfolio 2 &amp; 3'!$F$13+I33*'Portfolio 2 &amp; 3'!$F$14+J33*'Portfolio 2 &amp; 3'!$F$15+K33*'Portfolio 2 &amp; 3'!$F$16</f>
        <v>-4.1727414079848514E-3</v>
      </c>
      <c r="R33" s="93">
        <f>B33*'Portfolio 2 &amp; 3'!$B$23+C33*'Portfolio 2 &amp; 3'!$B$24+D33*'Portfolio 2 &amp; 3'!$B$25+E33*'Portfolio 2 &amp; 3'!$B$26+F33*'Portfolio 2 &amp; 3'!$B$27+G33*'Portfolio 2 &amp; 3'!$B$28+H33*'Portfolio 2 &amp; 3'!$B$29+I33*'Portfolio 2 &amp; 3'!$B$30+J33*'Portfolio 2 &amp; 3'!$B$31+K33*'Portfolio 2 &amp; 3'!$B$32</f>
        <v>-8.771491664971022E-3</v>
      </c>
      <c r="S33" s="93">
        <f t="shared" si="2"/>
        <v>-6.3951050782157237E-4</v>
      </c>
    </row>
    <row r="34" spans="1:19" ht="12.75" customHeight="1">
      <c r="A34" s="81">
        <v>46035</v>
      </c>
      <c r="B34" s="53">
        <v>-1.0200000000000001E-2</v>
      </c>
      <c r="C34" s="53">
        <v>-5.9655701380600999E-4</v>
      </c>
      <c r="D34" s="53">
        <v>-4.43345553755647E-3</v>
      </c>
      <c r="E34" s="53">
        <v>-5.1999999999999998E-3</v>
      </c>
      <c r="F34" s="53">
        <v>6.3124965085750197E-3</v>
      </c>
      <c r="G34" s="53">
        <v>-2.4051850726618498E-3</v>
      </c>
      <c r="H34" s="87">
        <v>-1.99095022624435E-2</v>
      </c>
      <c r="I34" s="53">
        <v>-4.2050691244239803E-3</v>
      </c>
      <c r="J34" s="53">
        <v>-1.1534261534261601E-2</v>
      </c>
      <c r="K34" s="53">
        <v>-7.5553157042633802E-3</v>
      </c>
      <c r="L34" s="95">
        <f>IFERROR(B34*'Stock Statistics'!$C$41+C34*'Stock Statistics'!$C$42+D34*'Stock Statistics'!$C$43+E34*'Stock Statistics'!$C$44+F34*'Stock Statistics'!$C$45+G34*'Stock Statistics'!$C$46+H34*'Stock Statistics'!$C$47+I34*'Stock Statistics'!$C$48+J34*'Stock Statistics'!$C$49+K34*'Stock Statistics'!$C$50,"")</f>
        <v>-5.9726849740841786E-3</v>
      </c>
      <c r="M34" s="96">
        <v>484.6268</v>
      </c>
      <c r="N34" s="97">
        <v>568.67309999999998</v>
      </c>
      <c r="O34" s="93">
        <f t="shared" si="0"/>
        <v>2.289461569102258E-3</v>
      </c>
      <c r="P34" s="93">
        <f t="shared" si="1"/>
        <v>-3.3743516675910357E-3</v>
      </c>
      <c r="Q34" s="93">
        <f>B34*'Portfolio 2 &amp; 3'!$F$7+C34*'Portfolio 2 &amp; 3'!$F$8+D34*'Portfolio 2 &amp; 3'!$F$9+E34*'Portfolio 2 &amp; 3'!$F$10+F34*'Portfolio 2 &amp; 3'!$F$11+G34*'Portfolio 2 &amp; 3'!$F$12+H34*'Portfolio 2 &amp; 3'!$F$13+I34*'Portfolio 2 &amp; 3'!$F$14+J34*'Portfolio 2 &amp; 3'!$F$15+K34*'Portfolio 2 &amp; 3'!$F$16</f>
        <v>-7.07566102339959E-3</v>
      </c>
      <c r="R34" s="93">
        <f>B34*'Portfolio 2 &amp; 3'!$B$23+C34*'Portfolio 2 &amp; 3'!$B$24+D34*'Portfolio 2 &amp; 3'!$B$25+E34*'Portfolio 2 &amp; 3'!$B$26+F34*'Portfolio 2 &amp; 3'!$B$27+G34*'Portfolio 2 &amp; 3'!$B$28+H34*'Portfolio 2 &amp; 3'!$B$29+I34*'Portfolio 2 &amp; 3'!$B$30+J34*'Portfolio 2 &amp; 3'!$B$31+K34*'Portfolio 2 &amp; 3'!$B$32</f>
        <v>-3.4707776774725477E-3</v>
      </c>
      <c r="S34" s="93">
        <f t="shared" si="2"/>
        <v>-5.4244504924438885E-4</v>
      </c>
    </row>
    <row r="35" spans="1:19" ht="12.75" customHeight="1">
      <c r="A35" s="82">
        <v>46034</v>
      </c>
      <c r="B35" s="53">
        <v>1.01E-2</v>
      </c>
      <c r="C35" s="53">
        <v>1.17261596827039E-2</v>
      </c>
      <c r="D35" s="53">
        <v>-2.1523316926670501E-2</v>
      </c>
      <c r="E35" s="53">
        <v>6.62E-3</v>
      </c>
      <c r="F35" s="53">
        <v>1.67616493462974E-4</v>
      </c>
      <c r="G35" s="53">
        <v>-3.4313972851591802E-3</v>
      </c>
      <c r="H35" s="87">
        <v>4.4624411205684798E-3</v>
      </c>
      <c r="I35" s="53">
        <v>3.52621538817277E-3</v>
      </c>
      <c r="J35" s="53">
        <v>-3.4113392918055902E-4</v>
      </c>
      <c r="K35" s="53">
        <v>-1.9798987380034699E-2</v>
      </c>
      <c r="L35" s="95">
        <f>IFERROR(B35*'Stock Statistics'!$C$41+C35*'Stock Statistics'!$C$42+D35*'Stock Statistics'!$C$43+E35*'Stock Statistics'!$C$44+F35*'Stock Statistics'!$C$45+G35*'Stock Statistics'!$C$46+H35*'Stock Statistics'!$C$47+I35*'Stock Statistics'!$C$48+J35*'Stock Statistics'!$C$49+K35*'Stock Statistics'!$C$50,"")</f>
        <v>-8.4924028361368139E-4</v>
      </c>
      <c r="M35" s="97">
        <v>483.51979999999998</v>
      </c>
      <c r="N35" s="96">
        <v>570.59849999999994</v>
      </c>
      <c r="O35" s="93">
        <f t="shared" si="0"/>
        <v>-2.4657788597423069E-3</v>
      </c>
      <c r="P35" s="93">
        <f t="shared" si="1"/>
        <v>-6.9046934058194509E-3</v>
      </c>
      <c r="Q35" s="93">
        <f>B35*'Portfolio 2 &amp; 3'!$F$7+C35*'Portfolio 2 &amp; 3'!$F$8+D35*'Portfolio 2 &amp; 3'!$F$9+E35*'Portfolio 2 &amp; 3'!$F$10+F35*'Portfolio 2 &amp; 3'!$F$11+G35*'Portfolio 2 &amp; 3'!$F$12+H35*'Portfolio 2 &amp; 3'!$F$13+I35*'Portfolio 2 &amp; 3'!$F$14+J35*'Portfolio 2 &amp; 3'!$F$15+K35*'Portfolio 2 &amp; 3'!$F$16</f>
        <v>-1.3279311344973782E-3</v>
      </c>
      <c r="R35" s="93">
        <f>B35*'Portfolio 2 &amp; 3'!$B$23+C35*'Portfolio 2 &amp; 3'!$B$24+D35*'Portfolio 2 &amp; 3'!$B$25+E35*'Portfolio 2 &amp; 3'!$B$26+F35*'Portfolio 2 &amp; 3'!$B$27+G35*'Portfolio 2 &amp; 3'!$B$28+H35*'Portfolio 2 &amp; 3'!$B$29+I35*'Portfolio 2 &amp; 3'!$B$30+J35*'Portfolio 2 &amp; 3'!$B$31+K35*'Portfolio 2 &amp; 3'!$B$32</f>
        <v>2.2920220892227042E-3</v>
      </c>
      <c r="S35" s="93">
        <f t="shared" si="2"/>
        <v>-4.6852361327808789E-3</v>
      </c>
    </row>
    <row r="36" spans="1:19" ht="12.75" customHeight="1">
      <c r="A36" s="81">
        <v>46031</v>
      </c>
      <c r="B36" s="53">
        <v>-8.6E-3</v>
      </c>
      <c r="C36" s="53">
        <v>1.0357327809424901E-3</v>
      </c>
      <c r="D36" s="53">
        <v>-6.1354779868998399E-3</v>
      </c>
      <c r="E36" s="53">
        <v>-4.0200000000000001E-3</v>
      </c>
      <c r="F36" s="53">
        <v>-1.39386259710208E-2</v>
      </c>
      <c r="G36" s="53">
        <v>-1.5646731571627201E-2</v>
      </c>
      <c r="H36" s="87">
        <v>2.6514209959400698E-3</v>
      </c>
      <c r="I36" s="53">
        <v>-1.74930425398989E-2</v>
      </c>
      <c r="J36" s="53">
        <v>3.4917157332603498E-3</v>
      </c>
      <c r="K36" s="53">
        <v>2.4240587834254402E-3</v>
      </c>
      <c r="L36" s="95">
        <f>IFERROR(B36*'Stock Statistics'!$C$41+C36*'Stock Statistics'!$C$42+D36*'Stock Statistics'!$C$43+E36*'Stock Statistics'!$C$44+F36*'Stock Statistics'!$C$45+G36*'Stock Statistics'!$C$46+H36*'Stock Statistics'!$C$47+I36*'Stock Statistics'!$C$48+J36*'Stock Statistics'!$C$49+K36*'Stock Statistics'!$C$50,"")</f>
        <v>-5.62309497758784E-3</v>
      </c>
      <c r="M36" s="96">
        <v>484.71499999999997</v>
      </c>
      <c r="N36" s="97">
        <v>574.56569999999999</v>
      </c>
      <c r="O36" s="93">
        <f t="shared" si="0"/>
        <v>-9.6538901601831428E-3</v>
      </c>
      <c r="P36" s="93">
        <f t="shared" si="1"/>
        <v>-1.3667172966343899E-2</v>
      </c>
      <c r="Q36" s="93">
        <f>B36*'Portfolio 2 &amp; 3'!$F$7+C36*'Portfolio 2 &amp; 3'!$F$8+D36*'Portfolio 2 &amp; 3'!$F$9+E36*'Portfolio 2 &amp; 3'!$F$10+F36*'Portfolio 2 &amp; 3'!$F$11+G36*'Portfolio 2 &amp; 3'!$F$12+H36*'Portfolio 2 &amp; 3'!$F$13+I36*'Portfolio 2 &amp; 3'!$F$14+J36*'Portfolio 2 &amp; 3'!$F$15+K36*'Portfolio 2 &amp; 3'!$F$16</f>
        <v>-4.2244018409341739E-3</v>
      </c>
      <c r="R36" s="93">
        <f>B36*'Portfolio 2 &amp; 3'!$B$23+C36*'Portfolio 2 &amp; 3'!$B$24+D36*'Portfolio 2 &amp; 3'!$B$25+E36*'Portfolio 2 &amp; 3'!$B$26+F36*'Portfolio 2 &amp; 3'!$B$27+G36*'Portfolio 2 &amp; 3'!$B$28+H36*'Portfolio 2 &amp; 3'!$B$29+I36*'Portfolio 2 &amp; 3'!$B$30+J36*'Portfolio 2 &amp; 3'!$B$31+K36*'Portfolio 2 &amp; 3'!$B$32</f>
        <v>-8.8591459358341555E-3</v>
      </c>
      <c r="S36" s="93">
        <f t="shared" si="2"/>
        <v>-1.1660531563263521E-2</v>
      </c>
    </row>
    <row r="37" spans="1:19" ht="12.75" customHeight="1">
      <c r="A37" s="82">
        <v>46030</v>
      </c>
      <c r="B37" s="53">
        <v>-5.1000000000000004E-3</v>
      </c>
      <c r="C37" s="53">
        <v>-2.3249806251615102E-3</v>
      </c>
      <c r="D37" s="53">
        <v>-2.3717014732070801E-2</v>
      </c>
      <c r="E37" s="53">
        <v>-1.3509999999999999E-2</v>
      </c>
      <c r="F37" s="53">
        <v>-2.15621799363915E-2</v>
      </c>
      <c r="G37" s="53">
        <v>-1.6079370509750199E-2</v>
      </c>
      <c r="H37" s="87">
        <v>-2.8886385580946299E-2</v>
      </c>
      <c r="I37" s="53">
        <v>-1.22854257825648E-2</v>
      </c>
      <c r="J37" s="53">
        <v>-4.9730908100008601E-3</v>
      </c>
      <c r="K37" s="53">
        <v>-6.3229205871283599E-3</v>
      </c>
      <c r="L37" s="95">
        <f>IFERROR(B37*'Stock Statistics'!$C$41+C37*'Stock Statistics'!$C$42+D37*'Stock Statistics'!$C$43+E37*'Stock Statistics'!$C$44+F37*'Stock Statistics'!$C$45+G37*'Stock Statistics'!$C$46+H37*'Stock Statistics'!$C$47+I37*'Stock Statistics'!$C$48+J37*'Stock Statistics'!$C$49+K37*'Stock Statistics'!$C$50,"")</f>
        <v>-1.3476136856401434E-2</v>
      </c>
      <c r="M37" s="97">
        <v>489.44</v>
      </c>
      <c r="N37" s="96">
        <v>582.52719999999999</v>
      </c>
      <c r="O37" s="93">
        <f t="shared" si="0"/>
        <v>-1.3010499467827397E-2</v>
      </c>
      <c r="P37" s="93">
        <f t="shared" si="1"/>
        <v>4.1593527344525594E-3</v>
      </c>
      <c r="Q37" s="93">
        <f>B37*'Portfolio 2 &amp; 3'!$F$7+C37*'Portfolio 2 &amp; 3'!$F$8+D37*'Portfolio 2 &amp; 3'!$F$9+E37*'Portfolio 2 &amp; 3'!$F$10+F37*'Portfolio 2 &amp; 3'!$F$11+G37*'Portfolio 2 &amp; 3'!$F$12+H37*'Portfolio 2 &amp; 3'!$F$13+I37*'Portfolio 2 &amp; 3'!$F$14+J37*'Portfolio 2 &amp; 3'!$F$15+K37*'Portfolio 2 &amp; 3'!$F$16</f>
        <v>-1.4799672280779972E-2</v>
      </c>
      <c r="R37" s="93">
        <f>B37*'Portfolio 2 &amp; 3'!$B$23+C37*'Portfolio 2 &amp; 3'!$B$24+D37*'Portfolio 2 &amp; 3'!$B$25+E37*'Portfolio 2 &amp; 3'!$B$26+F37*'Portfolio 2 &amp; 3'!$B$27+G37*'Portfolio 2 &amp; 3'!$B$28+H37*'Portfolio 2 &amp; 3'!$B$29+I37*'Portfolio 2 &amp; 3'!$B$30+J37*'Portfolio 2 &amp; 3'!$B$31+K37*'Portfolio 2 &amp; 3'!$B$32</f>
        <v>-1.1173693781465913E-2</v>
      </c>
      <c r="S37" s="93">
        <f t="shared" si="2"/>
        <v>-4.4255733666874186E-3</v>
      </c>
    </row>
    <row r="38" spans="1:19" ht="12.75" customHeight="1">
      <c r="A38" s="81">
        <v>46029</v>
      </c>
      <c r="B38" s="53">
        <v>1.6000000000000001E-3</v>
      </c>
      <c r="C38" s="53">
        <v>2.6699672884802399E-2</v>
      </c>
      <c r="D38" s="53">
        <v>3.3298140177049399E-3</v>
      </c>
      <c r="E38" s="53">
        <v>2.4660000000000001E-2</v>
      </c>
      <c r="F38" s="53">
        <v>-3.7591966059824498E-3</v>
      </c>
      <c r="G38" s="53">
        <v>3.94736842105263E-2</v>
      </c>
      <c r="H38" s="87">
        <v>-1.0667091227511499E-2</v>
      </c>
      <c r="I38" s="53">
        <v>1.2725826610612299E-2</v>
      </c>
      <c r="J38" s="53">
        <v>-4.1089626339169003E-2</v>
      </c>
      <c r="K38" s="53">
        <v>0</v>
      </c>
      <c r="L38" s="95">
        <f>IFERROR(B38*'Stock Statistics'!$C$41+C38*'Stock Statistics'!$C$42+D38*'Stock Statistics'!$C$43+E38*'Stock Statistics'!$C$44+F38*'Stock Statistics'!$C$45+G38*'Stock Statistics'!$C$46+H38*'Stock Statistics'!$C$47+I38*'Stock Statistics'!$C$48+J38*'Stock Statistics'!$C$49+K38*'Stock Statistics'!$C$50,"")</f>
        <v>5.2973083550982986E-3</v>
      </c>
      <c r="M38" s="96">
        <v>495.89179999999999</v>
      </c>
      <c r="N38" s="97">
        <v>580.11429999999996</v>
      </c>
      <c r="O38" s="93">
        <f t="shared" si="0"/>
        <v>5.4150167977438102E-3</v>
      </c>
      <c r="P38" s="93">
        <f t="shared" si="1"/>
        <v>1.308614477746084E-2</v>
      </c>
      <c r="Q38" s="93">
        <f>B38*'Portfolio 2 &amp; 3'!$F$7+C38*'Portfolio 2 &amp; 3'!$F$8+D38*'Portfolio 2 &amp; 3'!$F$9+E38*'Portfolio 2 &amp; 3'!$F$10+F38*'Portfolio 2 &amp; 3'!$F$11+G38*'Portfolio 2 &amp; 3'!$F$12+H38*'Portfolio 2 &amp; 3'!$F$13+I38*'Portfolio 2 &amp; 3'!$F$14+J38*'Portfolio 2 &amp; 3'!$F$15+K38*'Portfolio 2 &amp; 3'!$F$16</f>
        <v>5.652465093992573E-5</v>
      </c>
      <c r="R38" s="93">
        <f>B38*'Portfolio 2 &amp; 3'!$B$23+C38*'Portfolio 2 &amp; 3'!$B$24+D38*'Portfolio 2 &amp; 3'!$B$25+E38*'Portfolio 2 &amp; 3'!$B$26+F38*'Portfolio 2 &amp; 3'!$B$27+G38*'Portfolio 2 &amp; 3'!$B$28+H38*'Portfolio 2 &amp; 3'!$B$29+I38*'Portfolio 2 &amp; 3'!$B$30+J38*'Portfolio 2 &amp; 3'!$B$31+K38*'Portfolio 2 &amp; 3'!$B$32</f>
        <v>1.046922231705729E-2</v>
      </c>
      <c r="S38" s="93">
        <f t="shared" si="2"/>
        <v>9.2505807876023249E-3</v>
      </c>
    </row>
    <row r="39" spans="1:19" ht="12.75" customHeight="1">
      <c r="A39" s="82">
        <v>46028</v>
      </c>
      <c r="B39" s="53">
        <v>1.01E-2</v>
      </c>
      <c r="C39" s="53">
        <v>1.85502026114364E-2</v>
      </c>
      <c r="D39" s="53">
        <v>1.9794599966870899E-2</v>
      </c>
      <c r="E39" s="53">
        <v>3.1719999999999998E-2</v>
      </c>
      <c r="F39" s="53">
        <v>9.8703834264330902E-3</v>
      </c>
      <c r="G39" s="53">
        <v>1.73135562561373E-2</v>
      </c>
      <c r="H39" s="87">
        <v>4.9600000000000798E-3</v>
      </c>
      <c r="I39" s="53">
        <v>1.8103996760946199E-2</v>
      </c>
      <c r="J39" s="53">
        <v>7.2377944466377499E-3</v>
      </c>
      <c r="K39" s="53">
        <v>4.38437966527854E-2</v>
      </c>
      <c r="L39" s="95">
        <f>IFERROR(B39*'Stock Statistics'!$C$41+C39*'Stock Statistics'!$C$42+D39*'Stock Statistics'!$C$43+E39*'Stock Statistics'!$C$44+F39*'Stock Statistics'!$C$45+G39*'Stock Statistics'!$C$46+H39*'Stock Statistics'!$C$47+I39*'Stock Statistics'!$C$48+J39*'Stock Statistics'!$C$49+K39*'Stock Statistics'!$C$50,"")</f>
        <v>1.8149433012124714E-2</v>
      </c>
      <c r="M39" s="97">
        <v>493.221</v>
      </c>
      <c r="N39" s="96">
        <v>572.62090000000001</v>
      </c>
      <c r="O39" s="93">
        <f t="shared" si="0"/>
        <v>1.1130572974196395E-2</v>
      </c>
      <c r="P39" s="93">
        <f t="shared" si="1"/>
        <v>-5.995136870632356E-4</v>
      </c>
      <c r="Q39" s="93">
        <f>B39*'Portfolio 2 &amp; 3'!$F$7+C39*'Portfolio 2 &amp; 3'!$F$8+D39*'Portfolio 2 &amp; 3'!$F$9+E39*'Portfolio 2 &amp; 3'!$F$10+F39*'Portfolio 2 &amp; 3'!$F$11+G39*'Portfolio 2 &amp; 3'!$F$12+H39*'Portfolio 2 &amp; 3'!$F$13+I39*'Portfolio 2 &amp; 3'!$F$14+J39*'Portfolio 2 &amp; 3'!$F$15+K39*'Portfolio 2 &amp; 3'!$F$16</f>
        <v>1.6234517233136396E-2</v>
      </c>
      <c r="R39" s="93">
        <f>B39*'Portfolio 2 &amp; 3'!$B$23+C39*'Portfolio 2 &amp; 3'!$B$24+D39*'Portfolio 2 &amp; 3'!$B$25+E39*'Portfolio 2 &amp; 3'!$B$26+F39*'Portfolio 2 &amp; 3'!$B$27+G39*'Portfolio 2 &amp; 3'!$B$28+H39*'Portfolio 2 &amp; 3'!$B$29+I39*'Portfolio 2 &amp; 3'!$B$30+J39*'Portfolio 2 &amp; 3'!$B$31+K39*'Portfolio 2 &amp; 3'!$B$32</f>
        <v>1.7217995679651321E-2</v>
      </c>
      <c r="S39" s="93">
        <f t="shared" si="2"/>
        <v>5.2655296435665799E-3</v>
      </c>
    </row>
    <row r="40" spans="1:19" ht="12.75" customHeight="1">
      <c r="A40" s="81">
        <v>46027</v>
      </c>
      <c r="B40" s="53">
        <v>1.1000000000000001E-3</v>
      </c>
      <c r="C40" s="53">
        <v>-7.1524362986141697E-3</v>
      </c>
      <c r="D40" s="53">
        <v>-6.5821951620865802E-3</v>
      </c>
      <c r="E40" s="53">
        <v>-1.026E-2</v>
      </c>
      <c r="F40" s="53">
        <v>5.50768895190323E-3</v>
      </c>
      <c r="G40" s="53">
        <v>-3.9893959282423204E-3</v>
      </c>
      <c r="H40" s="87">
        <v>-4.8563012499004401E-3</v>
      </c>
      <c r="I40" s="53">
        <v>5.2083333333330405E-4</v>
      </c>
      <c r="J40" s="53">
        <v>5.4247155332098904E-3</v>
      </c>
      <c r="K40" s="53">
        <v>-4.5365662886194301E-3</v>
      </c>
      <c r="L40" s="95">
        <f>IFERROR(B40*'Stock Statistics'!$C$41+C40*'Stock Statistics'!$C$42+D40*'Stock Statistics'!$C$43+E40*'Stock Statistics'!$C$44+F40*'Stock Statistics'!$C$45+G40*'Stock Statistics'!$C$46+H40*'Stock Statistics'!$C$47+I40*'Stock Statistics'!$C$48+J40*'Stock Statistics'!$C$49+K40*'Stock Statistics'!$C$50,"")</f>
        <v>-2.4823657109016525E-3</v>
      </c>
      <c r="M40" s="96">
        <v>487.79160000000002</v>
      </c>
      <c r="N40" s="97">
        <v>572.96439999999996</v>
      </c>
      <c r="O40" s="93">
        <f t="shared" si="0"/>
        <v>-1.2203422036104472E-3</v>
      </c>
      <c r="P40" s="93">
        <f t="shared" si="1"/>
        <v>6.0692748950452735E-3</v>
      </c>
      <c r="Q40" s="93">
        <f>B40*'Portfolio 2 &amp; 3'!$F$7+C40*'Portfolio 2 &amp; 3'!$F$8+D40*'Portfolio 2 &amp; 3'!$F$9+E40*'Portfolio 2 &amp; 3'!$F$10+F40*'Portfolio 2 &amp; 3'!$F$11+G40*'Portfolio 2 &amp; 3'!$F$12+H40*'Portfolio 2 &amp; 3'!$F$13+I40*'Portfolio 2 &amp; 3'!$F$14+J40*'Portfolio 2 &amp; 3'!$F$15+K40*'Portfolio 2 &amp; 3'!$F$16</f>
        <v>-2.2130411003104138E-3</v>
      </c>
      <c r="R40" s="93">
        <f>B40*'Portfolio 2 &amp; 3'!$B$23+C40*'Portfolio 2 &amp; 3'!$B$24+D40*'Portfolio 2 &amp; 3'!$B$25+E40*'Portfolio 2 &amp; 3'!$B$26+F40*'Portfolio 2 &amp; 3'!$B$27+G40*'Portfolio 2 &amp; 3'!$B$28+H40*'Portfolio 2 &amp; 3'!$B$29+I40*'Portfolio 2 &amp; 3'!$B$30+J40*'Portfolio 2 &amp; 3'!$B$31+K40*'Portfolio 2 &amp; 3'!$B$32</f>
        <v>-1.0837949474825886E-3</v>
      </c>
      <c r="S40" s="93">
        <f t="shared" si="2"/>
        <v>2.4244663457174132E-3</v>
      </c>
    </row>
    <row r="41" spans="1:19" ht="12.75" customHeight="1">
      <c r="A41" s="82">
        <v>46024</v>
      </c>
      <c r="B41" s="53">
        <v>-1.26E-2</v>
      </c>
      <c r="C41" s="53">
        <v>2.3611238217260001E-2</v>
      </c>
      <c r="D41" s="53">
        <v>1.8776194467728501E-2</v>
      </c>
      <c r="E41" s="53">
        <v>1.09E-3</v>
      </c>
      <c r="F41" s="53">
        <v>2.0217474454948801E-3</v>
      </c>
      <c r="G41" s="53">
        <v>9.5884003741815195E-3</v>
      </c>
      <c r="H41" s="87">
        <v>2.1541407371947802E-3</v>
      </c>
      <c r="I41" s="53">
        <v>4.0090639707164302E-3</v>
      </c>
      <c r="J41" s="53">
        <v>7.1290558997934E-3</v>
      </c>
      <c r="K41" s="53">
        <v>7.6450189155106204E-3</v>
      </c>
      <c r="L41" s="95">
        <f>IFERROR(B41*'Stock Statistics'!$C$41+C41*'Stock Statistics'!$C$42+D41*'Stock Statistics'!$C$43+E41*'Stock Statistics'!$C$44+F41*'Stock Statistics'!$C$45+G41*'Stock Statistics'!$C$46+H41*'Stock Statistics'!$C$47+I41*'Stock Statistics'!$C$48+J41*'Stock Statistics'!$C$49+K41*'Stock Statistics'!$C$50,"")</f>
        <v>6.3424860027880142E-3</v>
      </c>
      <c r="M41" s="97">
        <v>488.38760000000002</v>
      </c>
      <c r="N41" s="96">
        <v>569.50789999999995</v>
      </c>
      <c r="O41" s="93">
        <f t="shared" si="0"/>
        <v>8.3729703759176655E-3</v>
      </c>
      <c r="P41" s="93">
        <f t="shared" si="1"/>
        <v>-5.417532588556373E-4</v>
      </c>
      <c r="Q41" s="93">
        <f>B41*'Portfolio 2 &amp; 3'!$F$7+C41*'Portfolio 2 &amp; 3'!$F$8+D41*'Portfolio 2 &amp; 3'!$F$9+E41*'Portfolio 2 &amp; 3'!$F$10+F41*'Portfolio 2 &amp; 3'!$F$11+G41*'Portfolio 2 &amp; 3'!$F$12+H41*'Portfolio 2 &amp; 3'!$F$13+I41*'Portfolio 2 &amp; 3'!$F$14+J41*'Portfolio 2 &amp; 3'!$F$15+K41*'Portfolio 2 &amp; 3'!$F$16</f>
        <v>7.0955920163527425E-3</v>
      </c>
      <c r="R41" s="93">
        <f>B41*'Portfolio 2 &amp; 3'!$B$23+C41*'Portfolio 2 &amp; 3'!$B$24+D41*'Portfolio 2 &amp; 3'!$B$25+E41*'Portfolio 2 &amp; 3'!$B$26+F41*'Portfolio 2 &amp; 3'!$B$27+G41*'Portfolio 2 &amp; 3'!$B$28+H41*'Portfolio 2 &amp; 3'!$B$29+I41*'Portfolio 2 &amp; 3'!$B$30+J41*'Portfolio 2 &amp; 3'!$B$31+K41*'Portfolio 2 &amp; 3'!$B$32</f>
        <v>6.3566745291730826E-3</v>
      </c>
      <c r="S41" s="93">
        <f t="shared" si="2"/>
        <v>3.9156085585310141E-3</v>
      </c>
    </row>
    <row r="42" spans="1:19" ht="12.75" customHeight="1">
      <c r="A42" s="81">
        <v>46023</v>
      </c>
      <c r="B42" s="53">
        <v>-1.8599999999999998E-2</v>
      </c>
      <c r="C42" s="53">
        <v>-7.8089530554799102E-3</v>
      </c>
      <c r="D42" s="53">
        <v>8.4530853761624093E-3</v>
      </c>
      <c r="E42" s="53">
        <v>-5.3E-3</v>
      </c>
      <c r="F42" s="53">
        <v>7.6557117077702397E-4</v>
      </c>
      <c r="G42" s="53">
        <v>-4.1558441558442498E-4</v>
      </c>
      <c r="H42" s="87">
        <v>-1.41576215195847E-2</v>
      </c>
      <c r="I42" s="53">
        <v>8.1409548176991598E-4</v>
      </c>
      <c r="J42" s="53">
        <v>-6.88149275458205E-3</v>
      </c>
      <c r="K42" s="53">
        <v>-7.5870160344153597E-3</v>
      </c>
      <c r="L42" s="95">
        <f>IFERROR(B42*'Stock Statistics'!$C$41+C42*'Stock Statistics'!$C$42+D42*'Stock Statistics'!$C$43+E42*'Stock Statistics'!$C$44+F42*'Stock Statistics'!$C$45+G42*'Stock Statistics'!$C$46+H42*'Stock Statistics'!$C$47+I42*'Stock Statistics'!$C$48+J42*'Stock Statistics'!$C$49+K42*'Stock Statistics'!$C$50,"")</f>
        <v>-5.0717915750937096E-3</v>
      </c>
      <c r="M42" s="96">
        <v>484.33229999999998</v>
      </c>
      <c r="N42" s="97">
        <v>569.81659999999999</v>
      </c>
      <c r="O42" s="93">
        <f t="shared" si="0"/>
        <v>-1.0244849214878782E-3</v>
      </c>
      <c r="P42" s="93">
        <f t="shared" si="1"/>
        <v>8.9505007156114313E-3</v>
      </c>
      <c r="Q42" s="93">
        <f>B42*'Portfolio 2 &amp; 3'!$F$7+C42*'Portfolio 2 &amp; 3'!$F$8+D42*'Portfolio 2 &amp; 3'!$F$9+E42*'Portfolio 2 &amp; 3'!$F$10+F42*'Portfolio 2 &amp; 3'!$F$11+G42*'Portfolio 2 &amp; 3'!$F$12+H42*'Portfolio 2 &amp; 3'!$F$13+I42*'Portfolio 2 &amp; 3'!$F$14+J42*'Portfolio 2 &amp; 3'!$F$15+K42*'Portfolio 2 &amp; 3'!$F$16</f>
        <v>-5.0457357532759572E-3</v>
      </c>
      <c r="R42" s="93">
        <f>B42*'Portfolio 2 &amp; 3'!$B$23+C42*'Portfolio 2 &amp; 3'!$B$24+D42*'Portfolio 2 &amp; 3'!$B$25+E42*'Portfolio 2 &amp; 3'!$B$26+F42*'Portfolio 2 &amp; 3'!$B$27+G42*'Portfolio 2 &amp; 3'!$B$28+H42*'Portfolio 2 &amp; 3'!$B$29+I42*'Portfolio 2 &amp; 3'!$B$30+J42*'Portfolio 2 &amp; 3'!$B$31+K42*'Portfolio 2 &amp; 3'!$B$32</f>
        <v>-4.8996686209739643E-3</v>
      </c>
      <c r="S42" s="93">
        <f t="shared" si="2"/>
        <v>3.9630078970617766E-3</v>
      </c>
    </row>
    <row r="43" spans="1:19" ht="12.75" customHeight="1">
      <c r="A43" s="82">
        <v>46022</v>
      </c>
      <c r="B43" s="53">
        <v>1.2E-2</v>
      </c>
      <c r="C43" s="53">
        <v>6.8568294020845402E-3</v>
      </c>
      <c r="D43" s="53">
        <v>-2.7817584084969299E-3</v>
      </c>
      <c r="E43" s="53">
        <v>6.9199999999999999E-3</v>
      </c>
      <c r="F43" s="53">
        <v>1.4310277885628799E-2</v>
      </c>
      <c r="G43" s="53">
        <v>7.2996520237564901E-3</v>
      </c>
      <c r="H43" s="87">
        <v>4.42407963343339E-3</v>
      </c>
      <c r="I43" s="53">
        <v>-2.9066387629350697E-4</v>
      </c>
      <c r="J43" s="53">
        <v>1.25963149078727E-2</v>
      </c>
      <c r="K43" s="53">
        <v>5.03105101800183E-3</v>
      </c>
      <c r="L43" s="95">
        <f>IFERROR(B43*'Stock Statistics'!$C$41+C43*'Stock Statistics'!$C$42+D43*'Stock Statistics'!$C$43+E43*'Stock Statistics'!$C$44+F43*'Stock Statistics'!$C$45+G43*'Stock Statistics'!$C$46+H43*'Stock Statistics'!$C$47+I43*'Stock Statistics'!$C$48+J43*'Stock Statistics'!$C$49+K43*'Stock Statistics'!$C$50,"")</f>
        <v>6.6365782585987307E-3</v>
      </c>
      <c r="M43" s="97">
        <v>484.82900000000001</v>
      </c>
      <c r="N43" s="96">
        <v>564.76170000000002</v>
      </c>
      <c r="O43" s="93">
        <f t="shared" si="0"/>
        <v>9.5337765465681734E-3</v>
      </c>
      <c r="P43" s="93">
        <f t="shared" si="1"/>
        <v>-2.7255621173882805E-3</v>
      </c>
      <c r="Q43" s="93">
        <f>B43*'Portfolio 2 &amp; 3'!$F$7+C43*'Portfolio 2 &amp; 3'!$F$8+D43*'Portfolio 2 &amp; 3'!$F$9+E43*'Portfolio 2 &amp; 3'!$F$10+F43*'Portfolio 2 &amp; 3'!$F$11+G43*'Portfolio 2 &amp; 3'!$F$12+H43*'Portfolio 2 &amp; 3'!$F$13+I43*'Portfolio 2 &amp; 3'!$F$14+J43*'Portfolio 2 &amp; 3'!$F$15+K43*'Portfolio 2 &amp; 3'!$F$16</f>
        <v>6.3976863913544199E-3</v>
      </c>
      <c r="R43" s="93">
        <f>B43*'Portfolio 2 &amp; 3'!$B$23+C43*'Portfolio 2 &amp; 3'!$B$24+D43*'Portfolio 2 &amp; 3'!$B$25+E43*'Portfolio 2 &amp; 3'!$B$26+F43*'Portfolio 2 &amp; 3'!$B$27+G43*'Portfolio 2 &amp; 3'!$B$28+H43*'Portfolio 2 &amp; 3'!$B$29+I43*'Portfolio 2 &amp; 3'!$B$30+J43*'Portfolio 2 &amp; 3'!$B$31+K43*'Portfolio 2 &amp; 3'!$B$32</f>
        <v>6.8207283077447965E-3</v>
      </c>
      <c r="S43" s="93">
        <f t="shared" si="2"/>
        <v>3.4041072145899465E-3</v>
      </c>
    </row>
    <row r="44" spans="1:19" ht="12.75" customHeight="1">
      <c r="A44" s="81">
        <v>46021</v>
      </c>
      <c r="B44" s="53">
        <v>-7.7999999999999996E-3</v>
      </c>
      <c r="C44" s="53">
        <v>-6.5395095367847302E-3</v>
      </c>
      <c r="D44" s="53">
        <v>-1.14990417465211E-2</v>
      </c>
      <c r="E44" s="53">
        <v>-5.4000000000000003E-3</v>
      </c>
      <c r="F44" s="53">
        <v>-3.4822020782666599E-3</v>
      </c>
      <c r="G44" s="53">
        <v>7.4860953686375397E-3</v>
      </c>
      <c r="H44" s="87">
        <v>-2.20715749645273E-3</v>
      </c>
      <c r="I44" s="53">
        <v>1.7470300489168501E-3</v>
      </c>
      <c r="J44" s="53">
        <v>-1.0040160642570399E-3</v>
      </c>
      <c r="K44" s="53">
        <v>-4.6944683514591502E-3</v>
      </c>
      <c r="L44" s="95">
        <f>IFERROR(B44*'Stock Statistics'!$C$41+C44*'Stock Statistics'!$C$42+D44*'Stock Statistics'!$C$43+E44*'Stock Statistics'!$C$44+F44*'Stock Statistics'!$C$45+G44*'Stock Statistics'!$C$46+H44*'Stock Statistics'!$C$47+I44*'Stock Statistics'!$C$48+J44*'Stock Statistics'!$C$49+K44*'Stock Statistics'!$C$50,"")</f>
        <v>-3.3393269856187026E-3</v>
      </c>
      <c r="M44" s="96">
        <v>480.25040000000001</v>
      </c>
      <c r="N44" s="97">
        <v>566.30520000000001</v>
      </c>
      <c r="O44" s="93">
        <f t="shared" si="0"/>
        <v>-3.7817884617179498E-3</v>
      </c>
      <c r="P44" s="93">
        <f t="shared" si="1"/>
        <v>-5.4206972107250229E-3</v>
      </c>
      <c r="Q44" s="93">
        <f>B44*'Portfolio 2 &amp; 3'!$F$7+C44*'Portfolio 2 &amp; 3'!$F$8+D44*'Portfolio 2 &amp; 3'!$F$9+E44*'Portfolio 2 &amp; 3'!$F$10+F44*'Portfolio 2 &amp; 3'!$F$11+G44*'Portfolio 2 &amp; 3'!$F$12+H44*'Portfolio 2 &amp; 3'!$F$13+I44*'Portfolio 2 &amp; 3'!$F$14+J44*'Portfolio 2 &amp; 3'!$F$15+K44*'Portfolio 2 &amp; 3'!$F$16</f>
        <v>-3.7593512354869144E-3</v>
      </c>
      <c r="R44" s="93">
        <f>B44*'Portfolio 2 &amp; 3'!$B$23+C44*'Portfolio 2 &amp; 3'!$B$24+D44*'Portfolio 2 &amp; 3'!$B$25+E44*'Portfolio 2 &amp; 3'!$B$26+F44*'Portfolio 2 &amp; 3'!$B$27+G44*'Portfolio 2 &amp; 3'!$B$28+H44*'Portfolio 2 &amp; 3'!$B$29+I44*'Portfolio 2 &amp; 3'!$B$30+J44*'Portfolio 2 &amp; 3'!$B$31+K44*'Portfolio 2 &amp; 3'!$B$32</f>
        <v>-2.2564464532522145E-3</v>
      </c>
      <c r="S44" s="93">
        <f t="shared" si="2"/>
        <v>-4.6012428362214863E-3</v>
      </c>
    </row>
    <row r="45" spans="1:19" ht="12.75" customHeight="1">
      <c r="A45" s="82">
        <v>46020</v>
      </c>
      <c r="B45" s="53">
        <v>0</v>
      </c>
      <c r="C45" s="53">
        <v>-5.4200542005420401E-3</v>
      </c>
      <c r="D45" s="53">
        <v>-5.0572044437076098E-3</v>
      </c>
      <c r="E45" s="53">
        <v>-1.434E-2</v>
      </c>
      <c r="F45" s="53">
        <v>-7.6243760627502403E-3</v>
      </c>
      <c r="G45" s="53">
        <v>-6.0001048053240904E-3</v>
      </c>
      <c r="H45" s="87">
        <v>-5.5148507051128203E-4</v>
      </c>
      <c r="I45" s="53">
        <v>-1.3375981389938099E-3</v>
      </c>
      <c r="J45" s="53">
        <v>-7.9681274900398301E-3</v>
      </c>
      <c r="K45" s="53">
        <v>-5.7565149747179599E-3</v>
      </c>
      <c r="L45" s="95">
        <f>IFERROR(B45*'Stock Statistics'!$C$41+C45*'Stock Statistics'!$C$42+D45*'Stock Statistics'!$C$43+E45*'Stock Statistics'!$C$44+F45*'Stock Statistics'!$C$45+G45*'Stock Statistics'!$C$46+H45*'Stock Statistics'!$C$47+I45*'Stock Statistics'!$C$48+J45*'Stock Statistics'!$C$49+K45*'Stock Statistics'!$C$50,"")</f>
        <v>-5.405546518658687E-3</v>
      </c>
      <c r="M45" s="97">
        <v>482.07350000000002</v>
      </c>
      <c r="N45" s="96">
        <v>569.39170000000001</v>
      </c>
      <c r="O45" s="93">
        <f t="shared" si="0"/>
        <v>-6.1944638628443904E-3</v>
      </c>
      <c r="P45" s="93">
        <f t="shared" si="1"/>
        <v>-2.5111019119516964E-3</v>
      </c>
      <c r="Q45" s="93">
        <f>B45*'Portfolio 2 &amp; 3'!$F$7+C45*'Portfolio 2 &amp; 3'!$F$8+D45*'Portfolio 2 &amp; 3'!$F$9+E45*'Portfolio 2 &amp; 3'!$F$10+F45*'Portfolio 2 &amp; 3'!$F$11+G45*'Portfolio 2 &amp; 3'!$F$12+H45*'Portfolio 2 &amp; 3'!$F$13+I45*'Portfolio 2 &amp; 3'!$F$14+J45*'Portfolio 2 &amp; 3'!$F$15+K45*'Portfolio 2 &amp; 3'!$F$16</f>
        <v>-5.1718844034358679E-3</v>
      </c>
      <c r="R45" s="93">
        <f>B45*'Portfolio 2 &amp; 3'!$B$23+C45*'Portfolio 2 &amp; 3'!$B$24+D45*'Portfolio 2 &amp; 3'!$B$25+E45*'Portfolio 2 &amp; 3'!$B$26+F45*'Portfolio 2 &amp; 3'!$B$27+G45*'Portfolio 2 &amp; 3'!$B$28+H45*'Portfolio 2 &amp; 3'!$B$29+I45*'Portfolio 2 &amp; 3'!$B$30+J45*'Portfolio 2 &amp; 3'!$B$31+K45*'Portfolio 2 &amp; 3'!$B$32</f>
        <v>-4.0461790512811178E-3</v>
      </c>
      <c r="S45" s="93">
        <f t="shared" si="2"/>
        <v>-4.3527828873980434E-3</v>
      </c>
    </row>
    <row r="46" spans="1:19" ht="12.75" customHeight="1">
      <c r="A46" s="81">
        <v>46017</v>
      </c>
      <c r="B46" s="53">
        <v>1.37E-2</v>
      </c>
      <c r="C46" s="53">
        <v>-5.5695292849442498E-3</v>
      </c>
      <c r="D46" s="53">
        <v>-4.2925540696714401E-3</v>
      </c>
      <c r="E46" s="53">
        <v>2.47E-3</v>
      </c>
      <c r="F46" s="53">
        <v>-6.8097624754848204E-3</v>
      </c>
      <c r="G46" s="53">
        <v>-4.6162272122682903E-3</v>
      </c>
      <c r="H46" s="87">
        <v>2.7650497708959802E-3</v>
      </c>
      <c r="I46" s="53">
        <v>-1.00748416810593E-2</v>
      </c>
      <c r="J46" s="53">
        <v>6.4826572211456098E-3</v>
      </c>
      <c r="K46" s="53">
        <v>-1.06211036712076E-2</v>
      </c>
      <c r="L46" s="95">
        <f>IFERROR(B46*'Stock Statistics'!$C$41+C46*'Stock Statistics'!$C$42+D46*'Stock Statistics'!$C$43+E46*'Stock Statistics'!$C$44+F46*'Stock Statistics'!$C$45+G46*'Stock Statistics'!$C$46+H46*'Stock Statistics'!$C$47+I46*'Stock Statistics'!$C$48+J46*'Stock Statistics'!$C$49+K46*'Stock Statistics'!$C$50,"")</f>
        <v>-1.6566311402594113E-3</v>
      </c>
      <c r="M46" s="96">
        <v>485.07830000000001</v>
      </c>
      <c r="N46" s="97">
        <v>570.82510000000002</v>
      </c>
      <c r="O46" s="93">
        <f t="shared" si="0"/>
        <v>-2.3411376740325451E-3</v>
      </c>
      <c r="P46" s="93">
        <f t="shared" si="1"/>
        <v>-2.5750534510993184E-3</v>
      </c>
      <c r="Q46" s="93">
        <f>B46*'Portfolio 2 &amp; 3'!$F$7+C46*'Portfolio 2 &amp; 3'!$F$8+D46*'Portfolio 2 &amp; 3'!$F$9+E46*'Portfolio 2 &amp; 3'!$F$10+F46*'Portfolio 2 &amp; 3'!$F$11+G46*'Portfolio 2 &amp; 3'!$F$12+H46*'Portfolio 2 &amp; 3'!$F$13+I46*'Portfolio 2 &amp; 3'!$F$14+J46*'Portfolio 2 &amp; 3'!$F$15+K46*'Portfolio 2 &amp; 3'!$F$16</f>
        <v>-1.2691071468144191E-3</v>
      </c>
      <c r="R46" s="93">
        <f>B46*'Portfolio 2 &amp; 3'!$B$23+C46*'Portfolio 2 &amp; 3'!$B$24+D46*'Portfolio 2 &amp; 3'!$B$25+E46*'Portfolio 2 &amp; 3'!$B$26+F46*'Portfolio 2 &amp; 3'!$B$27+G46*'Portfolio 2 &amp; 3'!$B$28+H46*'Portfolio 2 &amp; 3'!$B$29+I46*'Portfolio 2 &amp; 3'!$B$30+J46*'Portfolio 2 &amp; 3'!$B$31+K46*'Portfolio 2 &amp; 3'!$B$32</f>
        <v>-3.9840368519911034E-3</v>
      </c>
      <c r="S46" s="93">
        <f t="shared" si="2"/>
        <v>-2.4580955625659318E-3</v>
      </c>
    </row>
    <row r="47" spans="1:19" ht="12.75" customHeight="1">
      <c r="A47" s="82">
        <v>46015</v>
      </c>
      <c r="B47" s="53">
        <v>7.7999999999999996E-3</v>
      </c>
      <c r="C47" s="53">
        <v>-5.5386814364838397E-3</v>
      </c>
      <c r="D47" s="53">
        <v>-5.4187192118225801E-3</v>
      </c>
      <c r="E47" s="53">
        <v>-1.42E-3</v>
      </c>
      <c r="F47" s="53">
        <v>-1.07781849536538E-2</v>
      </c>
      <c r="G47" s="53">
        <v>3.7171801785294001E-3</v>
      </c>
      <c r="H47" s="87">
        <v>-1.37904168289833E-2</v>
      </c>
      <c r="I47" s="53">
        <v>-1.0763710917478299E-2</v>
      </c>
      <c r="J47" s="53">
        <v>-2.93196508296134E-3</v>
      </c>
      <c r="K47" s="53">
        <v>3.0880877016907799E-3</v>
      </c>
      <c r="L47" s="95">
        <f>IFERROR(B47*'Stock Statistics'!$C$41+C47*'Stock Statistics'!$C$42+D47*'Stock Statistics'!$C$43+E47*'Stock Statistics'!$C$44+F47*'Stock Statistics'!$C$45+G47*'Stock Statistics'!$C$46+H47*'Stock Statistics'!$C$47+I47*'Stock Statistics'!$C$48+J47*'Stock Statistics'!$C$49+K47*'Stock Statistics'!$C$50,"")</f>
        <v>-3.6036410551162986E-3</v>
      </c>
      <c r="M47" s="97">
        <v>486.21660000000003</v>
      </c>
      <c r="N47" s="96">
        <v>572.29880000000003</v>
      </c>
      <c r="O47" s="93">
        <f t="shared" si="0"/>
        <v>-4.0367703133612487E-3</v>
      </c>
      <c r="P47" s="93">
        <f t="shared" si="1"/>
        <v>-2.8930622781091486E-3</v>
      </c>
      <c r="Q47" s="93">
        <f>B47*'Portfolio 2 &amp; 3'!$F$7+C47*'Portfolio 2 &amp; 3'!$F$8+D47*'Portfolio 2 &amp; 3'!$F$9+E47*'Portfolio 2 &amp; 3'!$F$10+F47*'Portfolio 2 &amp; 3'!$F$11+G47*'Portfolio 2 &amp; 3'!$F$12+H47*'Portfolio 2 &amp; 3'!$F$13+I47*'Portfolio 2 &amp; 3'!$F$14+J47*'Portfolio 2 &amp; 3'!$F$15+K47*'Portfolio 2 &amp; 3'!$F$16</f>
        <v>-5.1036392566395482E-3</v>
      </c>
      <c r="R47" s="93">
        <f>B47*'Portfolio 2 &amp; 3'!$B$23+C47*'Portfolio 2 &amp; 3'!$B$24+D47*'Portfolio 2 &amp; 3'!$B$25+E47*'Portfolio 2 &amp; 3'!$B$26+F47*'Portfolio 2 &amp; 3'!$B$27+G47*'Portfolio 2 &amp; 3'!$B$28+H47*'Portfolio 2 &amp; 3'!$B$29+I47*'Portfolio 2 &amp; 3'!$B$30+J47*'Portfolio 2 &amp; 3'!$B$31+K47*'Portfolio 2 &amp; 3'!$B$32</f>
        <v>-4.3233383930069563E-3</v>
      </c>
      <c r="S47" s="93">
        <f t="shared" si="2"/>
        <v>-3.4649162957351987E-3</v>
      </c>
    </row>
    <row r="48" spans="1:19" ht="12.75" customHeight="1">
      <c r="A48" s="81">
        <v>46014</v>
      </c>
      <c r="B48" s="53">
        <v>1.0200000000000001E-2</v>
      </c>
      <c r="C48" s="53">
        <v>-4.8008534850639802E-3</v>
      </c>
      <c r="D48" s="53">
        <v>-5.3082890975908502E-3</v>
      </c>
      <c r="E48" s="53">
        <v>-8.5800000000000008E-3</v>
      </c>
      <c r="F48" s="53">
        <v>1.04552385101284E-2</v>
      </c>
      <c r="G48" s="53">
        <v>1.07442348008391E-3</v>
      </c>
      <c r="H48" s="87">
        <v>7.7918030232160303E-5</v>
      </c>
      <c r="I48" s="53">
        <v>-7.8539948016724797E-3</v>
      </c>
      <c r="J48" s="53">
        <v>-8.0639830788552507E-3</v>
      </c>
      <c r="K48" s="53">
        <v>-5.3751055824310398E-3</v>
      </c>
      <c r="L48" s="95">
        <f>IFERROR(B48*'Stock Statistics'!$C$41+C48*'Stock Statistics'!$C$42+D48*'Stock Statistics'!$C$43+E48*'Stock Statistics'!$C$44+F48*'Stock Statistics'!$C$45+G48*'Stock Statistics'!$C$46+H48*'Stock Statistics'!$C$47+I48*'Stock Statistics'!$C$48+J48*'Stock Statistics'!$C$49+K48*'Stock Statistics'!$C$50,"")</f>
        <v>-1.8174646025169133E-3</v>
      </c>
      <c r="M48" s="96">
        <v>488.18729999999999</v>
      </c>
      <c r="N48" s="97">
        <v>573.95929999999998</v>
      </c>
      <c r="O48" s="93">
        <f t="shared" si="0"/>
        <v>-2.044614794940558E-3</v>
      </c>
      <c r="P48" s="93">
        <f t="shared" si="1"/>
        <v>6.30122484660256E-3</v>
      </c>
      <c r="Q48" s="93">
        <f>B48*'Portfolio 2 &amp; 3'!$F$7+C48*'Portfolio 2 &amp; 3'!$F$8+D48*'Portfolio 2 &amp; 3'!$F$9+E48*'Portfolio 2 &amp; 3'!$F$10+F48*'Portfolio 2 &amp; 3'!$F$11+G48*'Portfolio 2 &amp; 3'!$F$12+H48*'Portfolio 2 &amp; 3'!$F$13+I48*'Portfolio 2 &amp; 3'!$F$14+J48*'Portfolio 2 &amp; 3'!$F$15+K48*'Portfolio 2 &amp; 3'!$F$16</f>
        <v>-2.2315833744627899E-3</v>
      </c>
      <c r="R48" s="93">
        <f>B48*'Portfolio 2 &amp; 3'!$B$23+C48*'Portfolio 2 &amp; 3'!$B$24+D48*'Portfolio 2 &amp; 3'!$B$25+E48*'Portfolio 2 &amp; 3'!$B$26+F48*'Portfolio 2 &amp; 3'!$B$27+G48*'Portfolio 2 &amp; 3'!$B$28+H48*'Portfolio 2 &amp; 3'!$B$29+I48*'Portfolio 2 &amp; 3'!$B$30+J48*'Portfolio 2 &amp; 3'!$B$31+K48*'Portfolio 2 &amp; 3'!$B$32</f>
        <v>-5.4427885685851842E-4</v>
      </c>
      <c r="S48" s="93">
        <f t="shared" si="2"/>
        <v>2.128305025831001E-3</v>
      </c>
    </row>
    <row r="49" spans="1:19" ht="12.75" customHeight="1">
      <c r="A49" s="82">
        <v>46013</v>
      </c>
      <c r="B49" s="53">
        <v>-8.9999999999999998E-4</v>
      </c>
      <c r="C49" s="53">
        <v>1.2330123301233E-2</v>
      </c>
      <c r="D49" s="53">
        <v>-4.8975593829070395E-4</v>
      </c>
      <c r="E49" s="53">
        <v>-1.17E-3</v>
      </c>
      <c r="F49" s="53">
        <v>-1.52240104393209E-3</v>
      </c>
      <c r="G49" s="53">
        <v>4.1312527958319301E-3</v>
      </c>
      <c r="H49" s="87">
        <v>4.0682209356908104E-3</v>
      </c>
      <c r="I49" s="53">
        <v>1.42701587483523E-2</v>
      </c>
      <c r="J49" s="53">
        <v>-2.7684397864344902E-3</v>
      </c>
      <c r="K49" s="53">
        <v>5.0937717064134498E-3</v>
      </c>
      <c r="L49" s="95">
        <f>IFERROR(B49*'Stock Statistics'!$C$41+C49*'Stock Statistics'!$C$42+D49*'Stock Statistics'!$C$43+E49*'Stock Statistics'!$C$44+F49*'Stock Statistics'!$C$45+G49*'Stock Statistics'!$C$46+H49*'Stock Statistics'!$C$47+I49*'Stock Statistics'!$C$48+J49*'Stock Statistics'!$C$49+K49*'Stock Statistics'!$C$50,"")</f>
        <v>3.3042930718864211E-3</v>
      </c>
      <c r="M49" s="97">
        <v>489.1875</v>
      </c>
      <c r="N49" s="96">
        <v>570.36530000000005</v>
      </c>
      <c r="O49" s="93">
        <f t="shared" si="0"/>
        <v>5.0688239079357267E-3</v>
      </c>
      <c r="P49" s="93">
        <f t="shared" si="1"/>
        <v>7.8957817596168045E-3</v>
      </c>
      <c r="Q49" s="93">
        <f>B49*'Portfolio 2 &amp; 3'!$F$7+C49*'Portfolio 2 &amp; 3'!$F$8+D49*'Portfolio 2 &amp; 3'!$F$9+E49*'Portfolio 2 &amp; 3'!$F$10+F49*'Portfolio 2 &amp; 3'!$F$11+G49*'Portfolio 2 &amp; 3'!$F$12+H49*'Portfolio 2 &amp; 3'!$F$13+I49*'Portfolio 2 &amp; 3'!$F$14+J49*'Portfolio 2 &amp; 3'!$F$15+K49*'Portfolio 2 &amp; 3'!$F$16</f>
        <v>2.9288997857121551E-3</v>
      </c>
      <c r="R49" s="93">
        <f>B49*'Portfolio 2 &amp; 3'!$B$23+C49*'Portfolio 2 &amp; 3'!$B$24+D49*'Portfolio 2 &amp; 3'!$B$25+E49*'Portfolio 2 &amp; 3'!$B$26+F49*'Portfolio 2 &amp; 3'!$B$27+G49*'Portfolio 2 &amp; 3'!$B$28+H49*'Portfolio 2 &amp; 3'!$B$29+I49*'Portfolio 2 &amp; 3'!$B$30+J49*'Portfolio 2 &amp; 3'!$B$31+K49*'Portfolio 2 &amp; 3'!$B$32</f>
        <v>6.4657426396162255E-3</v>
      </c>
      <c r="S49" s="93">
        <f t="shared" si="2"/>
        <v>6.4823028337762656E-3</v>
      </c>
    </row>
    <row r="50" spans="1:19" ht="12.75" customHeight="1">
      <c r="A50" s="81">
        <v>46010</v>
      </c>
      <c r="B50" s="53">
        <v>2E-3</v>
      </c>
      <c r="C50" s="53">
        <v>6.2488679587031602E-3</v>
      </c>
      <c r="D50" s="53">
        <v>1.30654097411727E-2</v>
      </c>
      <c r="E50" s="53">
        <v>-5.5999999999999995E-4</v>
      </c>
      <c r="F50" s="53">
        <v>6.5123406118317E-3</v>
      </c>
      <c r="G50" s="53">
        <v>1.08525069823116E-2</v>
      </c>
      <c r="H50" s="87">
        <v>-1.40625000000005E-3</v>
      </c>
      <c r="I50" s="53">
        <v>-5.7277049086434896E-4</v>
      </c>
      <c r="J50" s="53">
        <v>1.2142237640936601E-2</v>
      </c>
      <c r="K50" s="53">
        <v>1.5438871473354199E-2</v>
      </c>
      <c r="L50" s="95">
        <f>IFERROR(B50*'Stock Statistics'!$C$41+C50*'Stock Statistics'!$C$42+D50*'Stock Statistics'!$C$43+E50*'Stock Statistics'!$C$44+F50*'Stock Statistics'!$C$45+G50*'Stock Statistics'!$C$46+H50*'Stock Statistics'!$C$47+I50*'Stock Statistics'!$C$48+J50*'Stock Statistics'!$C$49+K50*'Stock Statistics'!$C$50,"")</f>
        <v>6.3721213917445566E-3</v>
      </c>
      <c r="M50" s="96">
        <v>486.72039999999998</v>
      </c>
      <c r="N50" s="97">
        <v>565.89710000000002</v>
      </c>
      <c r="O50" s="93">
        <f t="shared" si="0"/>
        <v>9.5399287730673077E-3</v>
      </c>
      <c r="P50" s="93">
        <f t="shared" si="1"/>
        <v>-1.7000646366798211E-3</v>
      </c>
      <c r="Q50" s="93">
        <f>B50*'Portfolio 2 &amp; 3'!$F$7+C50*'Portfolio 2 &amp; 3'!$F$8+D50*'Portfolio 2 &amp; 3'!$F$9+E50*'Portfolio 2 &amp; 3'!$F$10+F50*'Portfolio 2 &amp; 3'!$F$11+G50*'Portfolio 2 &amp; 3'!$F$12+H50*'Portfolio 2 &amp; 3'!$F$13+I50*'Portfolio 2 &amp; 3'!$F$14+J50*'Portfolio 2 &amp; 3'!$F$15+K50*'Portfolio 2 &amp; 3'!$F$16</f>
        <v>6.4073621245513577E-3</v>
      </c>
      <c r="R50" s="93">
        <f>B50*'Portfolio 2 &amp; 3'!$B$23+C50*'Portfolio 2 &amp; 3'!$B$24+D50*'Portfolio 2 &amp; 3'!$B$25+E50*'Portfolio 2 &amp; 3'!$B$26+F50*'Portfolio 2 &amp; 3'!$B$27+G50*'Portfolio 2 &amp; 3'!$B$28+H50*'Portfolio 2 &amp; 3'!$B$29+I50*'Portfolio 2 &amp; 3'!$B$30+J50*'Portfolio 2 &amp; 3'!$B$31+K50*'Portfolio 2 &amp; 3'!$B$32</f>
        <v>5.3442255457337873E-3</v>
      </c>
      <c r="S50" s="93">
        <f t="shared" si="2"/>
        <v>3.9199320681937433E-3</v>
      </c>
    </row>
    <row r="51" spans="1:19" ht="12.75" customHeight="1">
      <c r="A51" s="82">
        <v>46009</v>
      </c>
      <c r="B51" s="53">
        <v>1.2699999999999999E-2</v>
      </c>
      <c r="C51" s="53">
        <v>-1.9099227147552598E-2</v>
      </c>
      <c r="D51" s="53">
        <v>1.3663034367141599E-2</v>
      </c>
      <c r="E51" s="53">
        <v>1.42E-3</v>
      </c>
      <c r="F51" s="53">
        <v>-4.8469665613768403E-3</v>
      </c>
      <c r="G51" s="53">
        <v>-2.9967115731410802E-3</v>
      </c>
      <c r="H51" s="87">
        <v>6.2893081761006301E-3</v>
      </c>
      <c r="I51" s="53">
        <v>-2.6214512800490801E-2</v>
      </c>
      <c r="J51" s="53">
        <v>1.3360945954974399E-3</v>
      </c>
      <c r="K51" s="53">
        <v>1.38248847926268E-2</v>
      </c>
      <c r="L51" s="95">
        <f>IFERROR(B51*'Stock Statistics'!$C$41+C51*'Stock Statistics'!$C$42+D51*'Stock Statistics'!$C$43+E51*'Stock Statistics'!$C$44+F51*'Stock Statistics'!$C$45+G51*'Stock Statistics'!$C$46+H51*'Stock Statistics'!$C$47+I51*'Stock Statistics'!$C$48+J51*'Stock Statistics'!$C$49+K51*'Stock Statistics'!$C$50,"")</f>
        <v>-3.9240961511948489E-4</v>
      </c>
      <c r="M51" s="97">
        <v>482.12099999999998</v>
      </c>
      <c r="N51" s="96">
        <v>566.86080000000004</v>
      </c>
      <c r="O51" s="93">
        <f t="shared" si="0"/>
        <v>-2.6332562326499831E-3</v>
      </c>
      <c r="P51" s="93">
        <f t="shared" si="1"/>
        <v>-3.4371402065237477E-3</v>
      </c>
      <c r="Q51" s="93">
        <f>B51*'Portfolio 2 &amp; 3'!$F$7+C51*'Portfolio 2 &amp; 3'!$F$8+D51*'Portfolio 2 &amp; 3'!$F$9+E51*'Portfolio 2 &amp; 3'!$F$10+F51*'Portfolio 2 &amp; 3'!$F$11+G51*'Portfolio 2 &amp; 3'!$F$12+H51*'Portfolio 2 &amp; 3'!$F$13+I51*'Portfolio 2 &amp; 3'!$F$14+J51*'Portfolio 2 &amp; 3'!$F$15+K51*'Portfolio 2 &amp; 3'!$F$16</f>
        <v>3.4526181914260815E-4</v>
      </c>
      <c r="R51" s="93">
        <f>B51*'Portfolio 2 &amp; 3'!$B$23+C51*'Portfolio 2 &amp; 3'!$B$24+D51*'Portfolio 2 &amp; 3'!$B$25+E51*'Portfolio 2 &amp; 3'!$B$26+F51*'Portfolio 2 &amp; 3'!$B$27+G51*'Portfolio 2 &amp; 3'!$B$28+H51*'Portfolio 2 &amp; 3'!$B$29+I51*'Portfolio 2 &amp; 3'!$B$30+J51*'Portfolio 2 &amp; 3'!$B$31+K51*'Portfolio 2 &amp; 3'!$B$32</f>
        <v>-7.9991418392173844E-3</v>
      </c>
      <c r="S51" s="93">
        <f t="shared" si="2"/>
        <v>-3.0351982195868654E-3</v>
      </c>
    </row>
    <row r="52" spans="1:19" ht="12.75" customHeight="1">
      <c r="A52" s="81">
        <v>46008</v>
      </c>
      <c r="B52" s="53">
        <v>-6.3E-3</v>
      </c>
      <c r="C52" s="53">
        <v>-6.1799240752184997E-3</v>
      </c>
      <c r="D52" s="53">
        <v>1.26474832357186E-2</v>
      </c>
      <c r="E52" s="53">
        <v>5.8100000000000001E-3</v>
      </c>
      <c r="F52" s="53">
        <v>4.1012741291628404E-3</v>
      </c>
      <c r="G52" s="53">
        <v>1.51390401317375E-3</v>
      </c>
      <c r="H52" s="87">
        <v>-3.83741874853161E-3</v>
      </c>
      <c r="I52" s="53">
        <v>6.5120979060238103E-3</v>
      </c>
      <c r="J52" s="53">
        <v>-1.8004801280340199E-3</v>
      </c>
      <c r="K52" s="53">
        <v>-6.7082313945229198E-3</v>
      </c>
      <c r="L52" s="95">
        <f>IFERROR(B52*'Stock Statistics'!$C$41+C52*'Stock Statistics'!$C$42+D52*'Stock Statistics'!$C$43+E52*'Stock Statistics'!$C$44+F52*'Stock Statistics'!$C$45+G52*'Stock Statistics'!$C$46+H52*'Stock Statistics'!$C$47+I52*'Stock Statistics'!$C$48+J52*'Stock Statistics'!$C$49+K52*'Stock Statistics'!$C$50,"")</f>
        <v>5.7587049377719537E-4</v>
      </c>
      <c r="M52" s="96">
        <v>483.39389999999997</v>
      </c>
      <c r="N52" s="97">
        <v>568.81590000000006</v>
      </c>
      <c r="O52" s="93">
        <f t="shared" si="0"/>
        <v>-4.468005619863491E-3</v>
      </c>
      <c r="P52" s="93">
        <f t="shared" si="1"/>
        <v>-4.3434477985453412E-3</v>
      </c>
      <c r="Q52" s="93">
        <f>B52*'Portfolio 2 &amp; 3'!$F$7+C52*'Portfolio 2 &amp; 3'!$F$8+D52*'Portfolio 2 &amp; 3'!$F$9+E52*'Portfolio 2 &amp; 3'!$F$10+F52*'Portfolio 2 &amp; 3'!$F$11+G52*'Portfolio 2 &amp; 3'!$F$12+H52*'Portfolio 2 &amp; 3'!$F$13+I52*'Portfolio 2 &amp; 3'!$F$14+J52*'Portfolio 2 &amp; 3'!$F$15+K52*'Portfolio 2 &amp; 3'!$F$16</f>
        <v>7.2892833678188254E-4</v>
      </c>
      <c r="R52" s="93">
        <f>B52*'Portfolio 2 &amp; 3'!$B$23+C52*'Portfolio 2 &amp; 3'!$B$24+D52*'Portfolio 2 &amp; 3'!$B$25+E52*'Portfolio 2 &amp; 3'!$B$26+F52*'Portfolio 2 &amp; 3'!$B$27+G52*'Portfolio 2 &amp; 3'!$B$28+H52*'Portfolio 2 &amp; 3'!$B$29+I52*'Portfolio 2 &amp; 3'!$B$30+J52*'Portfolio 2 &amp; 3'!$B$31+K52*'Portfolio 2 &amp; 3'!$B$32</f>
        <v>-1.827361136426681E-4</v>
      </c>
      <c r="S52" s="93">
        <f t="shared" si="2"/>
        <v>-4.4057267092044161E-3</v>
      </c>
    </row>
    <row r="53" spans="1:19" ht="12.75" customHeight="1">
      <c r="A53" s="82">
        <v>46007</v>
      </c>
      <c r="B53" s="53">
        <v>-2.8999999999999998E-3</v>
      </c>
      <c r="C53" s="53">
        <v>6.9339496844162997E-3</v>
      </c>
      <c r="D53" s="53">
        <v>-6.9122481665683201E-3</v>
      </c>
      <c r="E53" s="53">
        <v>-2.8600000000000001E-3</v>
      </c>
      <c r="F53" s="53">
        <v>-7.8667534722222099E-3</v>
      </c>
      <c r="G53" s="53">
        <v>-4.6264474171204802E-3</v>
      </c>
      <c r="H53" s="87">
        <v>-2.88927065438072E-3</v>
      </c>
      <c r="I53" s="53">
        <v>-8.7919425741471696E-3</v>
      </c>
      <c r="J53" s="53">
        <v>-5.5702917771883699E-3</v>
      </c>
      <c r="K53" s="53">
        <v>-1.89050807404489E-3</v>
      </c>
      <c r="L53" s="95">
        <f>IFERROR(B53*'Stock Statistics'!$C$41+C53*'Stock Statistics'!$C$42+D53*'Stock Statistics'!$C$43+E53*'Stock Statistics'!$C$44+F53*'Stock Statistics'!$C$45+G53*'Stock Statistics'!$C$46+H53*'Stock Statistics'!$C$47+I53*'Stock Statistics'!$C$48+J53*'Stock Statistics'!$C$49+K53*'Stock Statistics'!$C$50,"")</f>
        <v>-3.7373512451255859E-3</v>
      </c>
      <c r="M53" s="97">
        <v>485.5634</v>
      </c>
      <c r="N53" s="96">
        <v>571.29729999999995</v>
      </c>
      <c r="O53" s="93">
        <f t="shared" si="0"/>
        <v>-4.6864843823825053E-3</v>
      </c>
      <c r="P53" s="93">
        <f t="shared" si="1"/>
        <v>-3.0778567939789836E-3</v>
      </c>
      <c r="Q53" s="93">
        <f>B53*'Portfolio 2 &amp; 3'!$F$7+C53*'Portfolio 2 &amp; 3'!$F$8+D53*'Portfolio 2 &amp; 3'!$F$9+E53*'Portfolio 2 &amp; 3'!$F$10+F53*'Portfolio 2 &amp; 3'!$F$11+G53*'Portfolio 2 &amp; 3'!$F$12+H53*'Portfolio 2 &amp; 3'!$F$13+I53*'Portfolio 2 &amp; 3'!$F$14+J53*'Portfolio 2 &amp; 3'!$F$15+K53*'Portfolio 2 &amp; 3'!$F$16</f>
        <v>-3.8913952231342326E-3</v>
      </c>
      <c r="R53" s="93">
        <f>B53*'Portfolio 2 &amp; 3'!$B$23+C53*'Portfolio 2 &amp; 3'!$B$24+D53*'Portfolio 2 &amp; 3'!$B$25+E53*'Portfolio 2 &amp; 3'!$B$26+F53*'Portfolio 2 &amp; 3'!$B$27+G53*'Portfolio 2 &amp; 3'!$B$28+H53*'Portfolio 2 &amp; 3'!$B$29+I53*'Portfolio 2 &amp; 3'!$B$30+J53*'Portfolio 2 &amp; 3'!$B$31+K53*'Portfolio 2 &amp; 3'!$B$32</f>
        <v>-3.5101974420708557E-3</v>
      </c>
      <c r="S53" s="93">
        <f t="shared" si="2"/>
        <v>-3.8821705881807445E-3</v>
      </c>
    </row>
    <row r="54" spans="1:19" ht="12.75" customHeight="1">
      <c r="A54" s="81">
        <v>46006</v>
      </c>
      <c r="B54" s="53">
        <v>-4.4999999999999997E-3</v>
      </c>
      <c r="C54" s="53">
        <v>-1.15432427632745E-3</v>
      </c>
      <c r="D54" s="53">
        <v>-7.3634005522550403E-3</v>
      </c>
      <c r="E54" s="53">
        <v>-1.3809999999999999E-2</v>
      </c>
      <c r="F54" s="53">
        <v>-8.1257062906957608E-3</v>
      </c>
      <c r="G54" s="53">
        <v>-2.34735592773316E-3</v>
      </c>
      <c r="H54" s="87">
        <v>1.01618072383336E-3</v>
      </c>
      <c r="I54" s="53">
        <v>2.0072483969890702E-3</v>
      </c>
      <c r="J54" s="53">
        <v>-6.1948069065507197E-3</v>
      </c>
      <c r="K54" s="53">
        <v>-1.2292849918307E-2</v>
      </c>
      <c r="L54" s="95">
        <f>IFERROR(B54*'Stock Statistics'!$C$41+C54*'Stock Statistics'!$C$42+D54*'Stock Statistics'!$C$43+E54*'Stock Statistics'!$C$44+F54*'Stock Statistics'!$C$45+G54*'Stock Statistics'!$C$46+H54*'Stock Statistics'!$C$47+I54*'Stock Statistics'!$C$48+J54*'Stock Statistics'!$C$49+K54*'Stock Statistics'!$C$50,"")</f>
        <v>-5.2765014751046703E-3</v>
      </c>
      <c r="M54" s="96">
        <v>487.84969999999998</v>
      </c>
      <c r="N54" s="97">
        <v>573.06110000000001</v>
      </c>
      <c r="O54" s="93">
        <f t="shared" si="0"/>
        <v>-1.8281584275751106E-3</v>
      </c>
      <c r="P54" s="93">
        <f t="shared" si="1"/>
        <v>8.8410735808919227E-4</v>
      </c>
      <c r="Q54" s="93">
        <f>B54*'Portfolio 2 &amp; 3'!$F$7+C54*'Portfolio 2 &amp; 3'!$F$8+D54*'Portfolio 2 &amp; 3'!$F$9+E54*'Portfolio 2 &amp; 3'!$F$10+F54*'Portfolio 2 &amp; 3'!$F$11+G54*'Portfolio 2 &amp; 3'!$F$12+H54*'Portfolio 2 &amp; 3'!$F$13+I54*'Portfolio 2 &amp; 3'!$F$14+J54*'Portfolio 2 &amp; 3'!$F$15+K54*'Portfolio 2 &amp; 3'!$F$16</f>
        <v>-4.8963107179159819E-3</v>
      </c>
      <c r="R54" s="93">
        <f>B54*'Portfolio 2 &amp; 3'!$B$23+C54*'Portfolio 2 &amp; 3'!$B$24+D54*'Portfolio 2 &amp; 3'!$B$25+E54*'Portfolio 2 &amp; 3'!$B$26+F54*'Portfolio 2 &amp; 3'!$B$27+G54*'Portfolio 2 &amp; 3'!$B$28+H54*'Portfolio 2 &amp; 3'!$B$29+I54*'Portfolio 2 &amp; 3'!$B$30+J54*'Portfolio 2 &amp; 3'!$B$31+K54*'Portfolio 2 &amp; 3'!$B$32</f>
        <v>-3.1722934842955759E-3</v>
      </c>
      <c r="S54" s="93">
        <f t="shared" si="2"/>
        <v>-4.7202553474295916E-4</v>
      </c>
    </row>
    <row r="55" spans="1:19" ht="12.75" customHeight="1">
      <c r="A55" s="82">
        <v>46003</v>
      </c>
      <c r="B55" s="53">
        <v>-6.8999999999999999E-3</v>
      </c>
      <c r="C55" s="53">
        <v>8.8873089228580504E-4</v>
      </c>
      <c r="D55" s="53">
        <v>1.9535915372803199E-2</v>
      </c>
      <c r="E55" s="53">
        <v>1.4829999999999999E-2</v>
      </c>
      <c r="F55" s="53">
        <v>7.1540837894965596E-3</v>
      </c>
      <c r="G55" s="53">
        <v>-1.97420373782575E-3</v>
      </c>
      <c r="H55" s="87">
        <v>4.5543776992540402E-3</v>
      </c>
      <c r="I55" s="53">
        <v>-7.5807879592740797E-3</v>
      </c>
      <c r="J55" s="53">
        <v>3.3723467565960302E-3</v>
      </c>
      <c r="K55" s="53">
        <v>-5.4432348367028404E-4</v>
      </c>
      <c r="L55" s="95">
        <f>IFERROR(B55*'Stock Statistics'!$C$41+C55*'Stock Statistics'!$C$42+D55*'Stock Statistics'!$C$43+E55*'Stock Statistics'!$C$44+F55*'Stock Statistics'!$C$45+G55*'Stock Statistics'!$C$46+H55*'Stock Statistics'!$C$47+I55*'Stock Statistics'!$C$48+J55*'Stock Statistics'!$C$49+K55*'Stock Statistics'!$C$50,"")</f>
        <v>3.3336139329665517E-3</v>
      </c>
      <c r="M55" s="97">
        <v>488.7432</v>
      </c>
      <c r="N55" s="96">
        <v>572.55489999999998</v>
      </c>
      <c r="O55" s="93">
        <f t="shared" si="0"/>
        <v>1.395313957933908E-3</v>
      </c>
      <c r="P55" s="93">
        <f t="shared" si="1"/>
        <v>8.595758878358728E-3</v>
      </c>
      <c r="Q55" s="93">
        <f>B55*'Portfolio 2 &amp; 3'!$F$7+C55*'Portfolio 2 &amp; 3'!$F$8+D55*'Portfolio 2 &amp; 3'!$F$9+E55*'Portfolio 2 &amp; 3'!$F$10+F55*'Portfolio 2 &amp; 3'!$F$11+G55*'Portfolio 2 &amp; 3'!$F$12+H55*'Portfolio 2 &amp; 3'!$F$13+I55*'Portfolio 2 &amp; 3'!$F$14+J55*'Portfolio 2 &amp; 3'!$F$15+K55*'Portfolio 2 &amp; 3'!$F$16</f>
        <v>4.488598221696157E-3</v>
      </c>
      <c r="R55" s="93">
        <f>B55*'Portfolio 2 &amp; 3'!$B$23+C55*'Portfolio 2 &amp; 3'!$B$24+D55*'Portfolio 2 &amp; 3'!$B$25+E55*'Portfolio 2 &amp; 3'!$B$26+F55*'Portfolio 2 &amp; 3'!$B$27+G55*'Portfolio 2 &amp; 3'!$B$28+H55*'Portfolio 2 &amp; 3'!$B$29+I55*'Portfolio 2 &amp; 3'!$B$30+J55*'Portfolio 2 &amp; 3'!$B$31+K55*'Portfolio 2 &amp; 3'!$B$32</f>
        <v>-1.2868835639218484E-3</v>
      </c>
      <c r="S55" s="93">
        <f t="shared" si="2"/>
        <v>4.995536418146318E-3</v>
      </c>
    </row>
    <row r="56" spans="1:19" ht="12.75" customHeight="1">
      <c r="A56" s="81">
        <v>46002</v>
      </c>
      <c r="B56" s="53">
        <v>7.9000000000000008E-3</v>
      </c>
      <c r="C56" s="53">
        <v>4.9120300080378598E-3</v>
      </c>
      <c r="D56" s="53">
        <v>-3.4112229234173298E-4</v>
      </c>
      <c r="E56" s="53">
        <v>9.5999999999999992E-3</v>
      </c>
      <c r="F56" s="53">
        <v>-1.13685578172373E-3</v>
      </c>
      <c r="G56" s="53">
        <v>1.2123128821421899E-3</v>
      </c>
      <c r="H56" s="87">
        <v>1.81483850335784E-2</v>
      </c>
      <c r="I56" s="53">
        <v>1.21534584150098E-2</v>
      </c>
      <c r="J56" s="53">
        <v>1.43537460594272E-2</v>
      </c>
      <c r="K56" s="53">
        <v>2.15267296846453E-2</v>
      </c>
      <c r="L56" s="95">
        <f>IFERROR(B56*'Stock Statistics'!$C$41+C56*'Stock Statistics'!$C$42+D56*'Stock Statistics'!$C$43+E56*'Stock Statistics'!$C$44+F56*'Stock Statistics'!$C$45+G56*'Stock Statistics'!$C$46+H56*'Stock Statistics'!$C$47+I56*'Stock Statistics'!$C$48+J56*'Stock Statistics'!$C$49+K56*'Stock Statistics'!$C$50,"")</f>
        <v>8.832868400877528E-3</v>
      </c>
      <c r="M56" s="96">
        <v>488.06220000000002</v>
      </c>
      <c r="N56" s="97">
        <v>567.67529999999999</v>
      </c>
      <c r="O56" s="93">
        <f t="shared" si="0"/>
        <v>5.4052183356771977E-3</v>
      </c>
      <c r="P56" s="93">
        <f t="shared" si="1"/>
        <v>-8.2074609569171564E-4</v>
      </c>
      <c r="Q56" s="93">
        <f>B56*'Portfolio 2 &amp; 3'!$F$7+C56*'Portfolio 2 &amp; 3'!$F$8+D56*'Portfolio 2 &amp; 3'!$F$9+E56*'Portfolio 2 &amp; 3'!$F$10+F56*'Portfolio 2 &amp; 3'!$F$11+G56*'Portfolio 2 &amp; 3'!$F$12+H56*'Portfolio 2 &amp; 3'!$F$13+I56*'Portfolio 2 &amp; 3'!$F$14+J56*'Portfolio 2 &amp; 3'!$F$15+K56*'Portfolio 2 &amp; 3'!$F$16</f>
        <v>9.3894803781239978E-3</v>
      </c>
      <c r="R56" s="93">
        <f>B56*'Portfolio 2 &amp; 3'!$B$23+C56*'Portfolio 2 &amp; 3'!$B$24+D56*'Portfolio 2 &amp; 3'!$B$25+E56*'Portfolio 2 &amp; 3'!$B$26+F56*'Portfolio 2 &amp; 3'!$B$27+G56*'Portfolio 2 &amp; 3'!$B$28+H56*'Portfolio 2 &amp; 3'!$B$29+I56*'Portfolio 2 &amp; 3'!$B$30+J56*'Portfolio 2 &amp; 3'!$B$31+K56*'Portfolio 2 &amp; 3'!$B$32</f>
        <v>7.8456361724434584E-3</v>
      </c>
      <c r="S56" s="93">
        <f t="shared" si="2"/>
        <v>2.292236119992741E-3</v>
      </c>
    </row>
    <row r="57" spans="1:19" ht="12.75" customHeight="1">
      <c r="A57" s="82">
        <v>46001</v>
      </c>
      <c r="B57" s="53">
        <v>-3.2000000000000002E-3</v>
      </c>
      <c r="C57" s="53">
        <v>-1.2174680194089099E-2</v>
      </c>
      <c r="D57" s="53">
        <v>7.734616706772E-3</v>
      </c>
      <c r="E57" s="53">
        <v>-4.5999999999999999E-3</v>
      </c>
      <c r="F57" s="53">
        <v>3.6403151317576702E-3</v>
      </c>
      <c r="G57" s="53">
        <v>8.10329711203806E-3</v>
      </c>
      <c r="H57" s="87">
        <v>3.6912213127908702E-3</v>
      </c>
      <c r="I57" s="53">
        <v>5.3490990990991997E-3</v>
      </c>
      <c r="J57" s="53">
        <v>2.01261237085859E-4</v>
      </c>
      <c r="K57" s="53">
        <v>7.9440737210001404E-5</v>
      </c>
      <c r="L57" s="95">
        <f>IFERROR(B57*'Stock Statistics'!$C$41+C57*'Stock Statistics'!$C$42+D57*'Stock Statistics'!$C$43+E57*'Stock Statistics'!$C$44+F57*'Stock Statistics'!$C$45+G57*'Stock Statistics'!$C$46+H57*'Stock Statistics'!$C$47+I57*'Stock Statistics'!$C$48+J57*'Stock Statistics'!$C$49+K57*'Stock Statistics'!$C$50,"")</f>
        <v>8.8245711426645623E-4</v>
      </c>
      <c r="M57" s="97">
        <v>485.43830000000003</v>
      </c>
      <c r="N57" s="96">
        <v>568.14160000000004</v>
      </c>
      <c r="O57" s="93">
        <f t="shared" si="0"/>
        <v>-2.1324806151673537E-3</v>
      </c>
      <c r="P57" s="93">
        <f t="shared" si="1"/>
        <v>-2.9780362369274949E-3</v>
      </c>
      <c r="Q57" s="93">
        <f>B57*'Portfolio 2 &amp; 3'!$F$7+C57*'Portfolio 2 &amp; 3'!$F$8+D57*'Portfolio 2 &amp; 3'!$F$9+E57*'Portfolio 2 &amp; 3'!$F$10+F57*'Portfolio 2 &amp; 3'!$F$11+G57*'Portfolio 2 &amp; 3'!$F$12+H57*'Portfolio 2 &amp; 3'!$F$13+I57*'Portfolio 2 &amp; 3'!$F$14+J57*'Portfolio 2 &amp; 3'!$F$15+K57*'Portfolio 2 &amp; 3'!$F$16</f>
        <v>1.213303501807965E-3</v>
      </c>
      <c r="R57" s="93">
        <f>B57*'Portfolio 2 &amp; 3'!$B$23+C57*'Portfolio 2 &amp; 3'!$B$24+D57*'Portfolio 2 &amp; 3'!$B$25+E57*'Portfolio 2 &amp; 3'!$B$26+F57*'Portfolio 2 &amp; 3'!$B$27+G57*'Portfolio 2 &amp; 3'!$B$28+H57*'Portfolio 2 &amp; 3'!$B$29+I57*'Portfolio 2 &amp; 3'!$B$30+J57*'Portfolio 2 &amp; 3'!$B$31+K57*'Portfolio 2 &amp; 3'!$B$32</f>
        <v>2.3605511181575361E-4</v>
      </c>
      <c r="S57" s="93">
        <f t="shared" si="2"/>
        <v>-2.5552584260474243E-3</v>
      </c>
    </row>
    <row r="58" spans="1:19" ht="12.75" customHeight="1">
      <c r="A58" s="81">
        <v>46000</v>
      </c>
      <c r="B58" s="53">
        <v>-2.2599999999999999E-2</v>
      </c>
      <c r="C58" s="53">
        <v>1.2234327558492601E-2</v>
      </c>
      <c r="D58" s="53">
        <v>-1.1720740614914399E-2</v>
      </c>
      <c r="E58" s="53">
        <v>-8.7899999999999992E-3</v>
      </c>
      <c r="F58" s="53">
        <v>-4.7047371836470599E-3</v>
      </c>
      <c r="G58" s="53">
        <v>1.03723404255329E-3</v>
      </c>
      <c r="H58" s="87">
        <v>-1.6028424792735901E-2</v>
      </c>
      <c r="I58" s="53">
        <v>-1.12459637011469E-2</v>
      </c>
      <c r="J58" s="53">
        <v>-4.6741452991453398E-3</v>
      </c>
      <c r="K58" s="53">
        <v>-5.4515287982934701E-3</v>
      </c>
      <c r="L58" s="95">
        <f>IFERROR(B58*'Stock Statistics'!$C$41+C58*'Stock Statistics'!$C$42+D58*'Stock Statistics'!$C$43+E58*'Stock Statistics'!$C$44+F58*'Stock Statistics'!$C$45+G58*'Stock Statistics'!$C$46+H58*'Stock Statistics'!$C$47+I58*'Stock Statistics'!$C$48+J58*'Stock Statistics'!$C$49+K58*'Stock Statistics'!$C$50,"")</f>
        <v>-7.1943978788837184E-3</v>
      </c>
      <c r="M58" s="96">
        <v>486.47570000000002</v>
      </c>
      <c r="N58" s="97">
        <v>569.83860000000004</v>
      </c>
      <c r="O58" s="93">
        <f t="shared" si="0"/>
        <v>1.4838759217867814E-3</v>
      </c>
      <c r="P58" s="93">
        <f t="shared" si="1"/>
        <v>-1.0425429197592262E-2</v>
      </c>
      <c r="Q58" s="93">
        <f>B58*'Portfolio 2 &amp; 3'!$F$7+C58*'Portfolio 2 &amp; 3'!$F$8+D58*'Portfolio 2 &amp; 3'!$F$9+E58*'Portfolio 2 &amp; 3'!$F$10+F58*'Portfolio 2 &amp; 3'!$F$11+G58*'Portfolio 2 &amp; 3'!$F$12+H58*'Portfolio 2 &amp; 3'!$F$13+I58*'Portfolio 2 &amp; 3'!$F$14+J58*'Portfolio 2 &amp; 3'!$F$15+K58*'Portfolio 2 &amp; 3'!$F$16</f>
        <v>-7.6369260673241502E-3</v>
      </c>
      <c r="R58" s="93">
        <f>B58*'Portfolio 2 &amp; 3'!$B$23+C58*'Portfolio 2 &amp; 3'!$B$24+D58*'Portfolio 2 &amp; 3'!$B$25+E58*'Portfolio 2 &amp; 3'!$B$26+F58*'Portfolio 2 &amp; 3'!$B$27+G58*'Portfolio 2 &amp; 3'!$B$28+H58*'Portfolio 2 &amp; 3'!$B$29+I58*'Portfolio 2 &amp; 3'!$B$30+J58*'Portfolio 2 &amp; 3'!$B$31+K58*'Portfolio 2 &amp; 3'!$B$32</f>
        <v>-5.3762059261672282E-3</v>
      </c>
      <c r="S58" s="93">
        <f t="shared" si="2"/>
        <v>-4.4707766379027403E-3</v>
      </c>
    </row>
    <row r="59" spans="1:19" ht="12.75" customHeight="1">
      <c r="A59" s="82">
        <v>45999</v>
      </c>
      <c r="B59" s="53">
        <v>-7.6E-3</v>
      </c>
      <c r="C59" s="53">
        <v>-1.34789886353626E-2</v>
      </c>
      <c r="D59" s="53">
        <v>-3.30157687253613E-2</v>
      </c>
      <c r="E59" s="53">
        <v>-1.009E-2</v>
      </c>
      <c r="F59" s="53">
        <v>-7.3541252885286398E-3</v>
      </c>
      <c r="G59" s="53">
        <v>-6.8411738292084596E-3</v>
      </c>
      <c r="H59" s="87">
        <v>-6.8224592220828004E-3</v>
      </c>
      <c r="I59" s="53">
        <v>-5.0407134548273698E-3</v>
      </c>
      <c r="J59" s="53">
        <v>-1.5255128879537099E-2</v>
      </c>
      <c r="K59" s="53">
        <v>-2.2399011353981601E-2</v>
      </c>
      <c r="L59" s="95">
        <f>IFERROR(B59*'Stock Statistics'!$C$41+C59*'Stock Statistics'!$C$42+D59*'Stock Statistics'!$C$43+E59*'Stock Statistics'!$C$44+F59*'Stock Statistics'!$C$45+G59*'Stock Statistics'!$C$46+H59*'Stock Statistics'!$C$47+I59*'Stock Statistics'!$C$48+J59*'Stock Statistics'!$C$49+K59*'Stock Statistics'!$C$50,"")</f>
        <v>-1.2789736938888989E-2</v>
      </c>
      <c r="M59" s="97">
        <v>485.75490000000002</v>
      </c>
      <c r="N59" s="96">
        <v>575.84199999999998</v>
      </c>
      <c r="O59" s="93">
        <f t="shared" si="0"/>
        <v>-1.6370706752033115E-2</v>
      </c>
      <c r="P59" s="93">
        <f t="shared" si="1"/>
        <v>-3.3285153430000491E-3</v>
      </c>
      <c r="Q59" s="93">
        <f>B59*'Portfolio 2 &amp; 3'!$F$7+C59*'Portfolio 2 &amp; 3'!$F$8+D59*'Portfolio 2 &amp; 3'!$F$9+E59*'Portfolio 2 &amp; 3'!$F$10+F59*'Portfolio 2 &amp; 3'!$F$11+G59*'Portfolio 2 &amp; 3'!$F$12+H59*'Portfolio 2 &amp; 3'!$F$13+I59*'Portfolio 2 &amp; 3'!$F$14+J59*'Portfolio 2 &amp; 3'!$F$15+K59*'Portfolio 2 &amp; 3'!$F$16</f>
        <v>-1.3608291227673231E-2</v>
      </c>
      <c r="R59" s="93">
        <f>B59*'Portfolio 2 &amp; 3'!$B$23+C59*'Portfolio 2 &amp; 3'!$B$24+D59*'Portfolio 2 &amp; 3'!$B$25+E59*'Portfolio 2 &amp; 3'!$B$26+F59*'Portfolio 2 &amp; 3'!$B$27+G59*'Portfolio 2 &amp; 3'!$B$28+H59*'Portfolio 2 &amp; 3'!$B$29+I59*'Portfolio 2 &amp; 3'!$B$30+J59*'Portfolio 2 &amp; 3'!$B$31+K59*'Portfolio 2 &amp; 3'!$B$32</f>
        <v>-9.7805573337518322E-3</v>
      </c>
      <c r="S59" s="93">
        <f t="shared" si="2"/>
        <v>-9.8496110475165821E-3</v>
      </c>
    </row>
    <row r="60" spans="1:19" ht="12.75" customHeight="1">
      <c r="A60" s="81">
        <v>45996</v>
      </c>
      <c r="B60" s="53">
        <v>3.3E-3</v>
      </c>
      <c r="C60" s="53">
        <v>2.9157094893090801E-3</v>
      </c>
      <c r="D60" s="53">
        <v>-4.4967705011854696E-3</v>
      </c>
      <c r="E60" s="53">
        <v>1.81E-3</v>
      </c>
      <c r="F60" s="53">
        <v>-4.5952444563184302E-3</v>
      </c>
      <c r="G60" s="53">
        <v>-2.5818689569775399E-3</v>
      </c>
      <c r="H60" s="87">
        <v>-1.87852222917972E-3</v>
      </c>
      <c r="I60" s="53">
        <v>-7.1495352802067903E-3</v>
      </c>
      <c r="J60" s="53">
        <v>-1.31492439184755E-4</v>
      </c>
      <c r="K60" s="53">
        <v>6.9562528984379302E-4</v>
      </c>
      <c r="L60" s="95">
        <f>IFERROR(B60*'Stock Statistics'!$C$41+C60*'Stock Statistics'!$C$42+D60*'Stock Statistics'!$C$43+E60*'Stock Statistics'!$C$44+F60*'Stock Statistics'!$C$45+G60*'Stock Statistics'!$C$46+H60*'Stock Statistics'!$C$47+I60*'Stock Statistics'!$C$48+J60*'Stock Statistics'!$C$49+K60*'Stock Statistics'!$C$50,"")</f>
        <v>-1.2112099083899832E-3</v>
      </c>
      <c r="M60" s="96">
        <v>493.83940000000001</v>
      </c>
      <c r="N60" s="97">
        <v>577.76509999999996</v>
      </c>
      <c r="O60" s="93">
        <f t="shared" si="0"/>
        <v>-2.9668354434979616E-3</v>
      </c>
      <c r="P60" s="93">
        <f t="shared" si="1"/>
        <v>4.8469663719423739E-3</v>
      </c>
      <c r="Q60" s="93">
        <f>B60*'Portfolio 2 &amp; 3'!$F$7+C60*'Portfolio 2 &amp; 3'!$F$8+D60*'Portfolio 2 &amp; 3'!$F$9+E60*'Portfolio 2 &amp; 3'!$F$10+F60*'Portfolio 2 &amp; 3'!$F$11+G60*'Portfolio 2 &amp; 3'!$F$12+H60*'Portfolio 2 &amp; 3'!$F$13+I60*'Portfolio 2 &amp; 3'!$F$14+J60*'Portfolio 2 &amp; 3'!$F$15+K60*'Portfolio 2 &amp; 3'!$F$16</f>
        <v>-1.457817330003385E-3</v>
      </c>
      <c r="R60" s="93">
        <f>B60*'Portfolio 2 &amp; 3'!$B$23+C60*'Portfolio 2 &amp; 3'!$B$24+D60*'Portfolio 2 &amp; 3'!$B$25+E60*'Portfolio 2 &amp; 3'!$B$26+F60*'Portfolio 2 &amp; 3'!$B$27+G60*'Portfolio 2 &amp; 3'!$B$28+H60*'Portfolio 2 &amp; 3'!$B$29+I60*'Portfolio 2 &amp; 3'!$B$30+J60*'Portfolio 2 &amp; 3'!$B$31+K60*'Portfolio 2 &amp; 3'!$B$32</f>
        <v>-1.8439122096299205E-3</v>
      </c>
      <c r="S60" s="93">
        <f t="shared" si="2"/>
        <v>9.4006546422220616E-4</v>
      </c>
    </row>
    <row r="61" spans="1:19" ht="12.75" customHeight="1">
      <c r="A61" s="82">
        <v>45995</v>
      </c>
      <c r="B61" s="53">
        <v>-1.4E-3</v>
      </c>
      <c r="C61" s="53">
        <v>2.0362992474545201E-3</v>
      </c>
      <c r="D61" s="53">
        <v>1.17462155678714E-2</v>
      </c>
      <c r="E61" s="53">
        <v>2.49E-3</v>
      </c>
      <c r="F61" s="53">
        <v>8.5566073052034696E-4</v>
      </c>
      <c r="G61" s="53">
        <v>2.0102663334139501E-2</v>
      </c>
      <c r="H61" s="87">
        <v>-2.4205512610291401E-3</v>
      </c>
      <c r="I61" s="53">
        <v>6.4205457463883996E-3</v>
      </c>
      <c r="J61" s="53">
        <v>8.6206896551723807E-3</v>
      </c>
      <c r="K61" s="53">
        <v>2.1688613477923702E-3</v>
      </c>
      <c r="L61" s="95">
        <f>IFERROR(B61*'Stock Statistics'!$C$41+C61*'Stock Statistics'!$C$42+D61*'Stock Statistics'!$C$43+E61*'Stock Statistics'!$C$44+F61*'Stock Statistics'!$C$45+G61*'Stock Statistics'!$C$46+H61*'Stock Statistics'!$C$47+I61*'Stock Statistics'!$C$48+J61*'Stock Statistics'!$C$49+K61*'Stock Statistics'!$C$50,"")</f>
        <v>5.0620384368309781E-3</v>
      </c>
      <c r="M61" s="97">
        <v>495.30889999999999</v>
      </c>
      <c r="N61" s="96">
        <v>574.97820000000002</v>
      </c>
      <c r="O61" s="93">
        <f t="shared" si="0"/>
        <v>-1.355092231355659E-3</v>
      </c>
      <c r="P61" s="93">
        <f t="shared" si="1"/>
        <v>-1.9607441523964431E-3</v>
      </c>
      <c r="Q61" s="93">
        <f>B61*'Portfolio 2 &amp; 3'!$F$7+C61*'Portfolio 2 &amp; 3'!$F$8+D61*'Portfolio 2 &amp; 3'!$F$9+E61*'Portfolio 2 &amp; 3'!$F$10+F61*'Portfolio 2 &amp; 3'!$F$11+G61*'Portfolio 2 &amp; 3'!$F$12+H61*'Portfolio 2 &amp; 3'!$F$13+I61*'Portfolio 2 &amp; 3'!$F$14+J61*'Portfolio 2 &amp; 3'!$F$15+K61*'Portfolio 2 &amp; 3'!$F$16</f>
        <v>4.6095287183371718E-3</v>
      </c>
      <c r="R61" s="93">
        <f>B61*'Portfolio 2 &amp; 3'!$B$23+C61*'Portfolio 2 &amp; 3'!$B$24+D61*'Portfolio 2 &amp; 3'!$B$25+E61*'Portfolio 2 &amp; 3'!$B$26+F61*'Portfolio 2 &amp; 3'!$B$27+G61*'Portfolio 2 &amp; 3'!$B$28+H61*'Portfolio 2 &amp; 3'!$B$29+I61*'Portfolio 2 &amp; 3'!$B$30+J61*'Portfolio 2 &amp; 3'!$B$31+K61*'Portfolio 2 &amp; 3'!$B$32</f>
        <v>4.6199598106403455E-3</v>
      </c>
      <c r="S61" s="93">
        <f t="shared" si="2"/>
        <v>-1.6579181918760511E-3</v>
      </c>
    </row>
    <row r="62" spans="1:19" ht="12.75" customHeight="1">
      <c r="A62" s="81">
        <v>45994</v>
      </c>
      <c r="B62" s="53">
        <v>-1.2E-2</v>
      </c>
      <c r="C62" s="53">
        <v>1.5961691939345699E-3</v>
      </c>
      <c r="D62" s="53">
        <v>-5.1843317972349902E-3</v>
      </c>
      <c r="E62" s="53">
        <v>-1.25E-3</v>
      </c>
      <c r="F62" s="53">
        <v>-8.2210671475548801E-3</v>
      </c>
      <c r="G62" s="53">
        <v>-1.90450643776818E-3</v>
      </c>
      <c r="H62" s="87">
        <v>4.3130489335005996E-3</v>
      </c>
      <c r="I62" s="53">
        <v>4.0011114198388303E-3</v>
      </c>
      <c r="J62" s="53">
        <v>-5.6705789265462103E-3</v>
      </c>
      <c r="K62" s="53">
        <v>5.8433969614335498E-3</v>
      </c>
      <c r="L62" s="95">
        <f>IFERROR(B62*'Stock Statistics'!$C$41+C62*'Stock Statistics'!$C$42+D62*'Stock Statistics'!$C$43+E62*'Stock Statistics'!$C$44+F62*'Stock Statistics'!$C$45+G62*'Stock Statistics'!$C$46+H62*'Stock Statistics'!$C$47+I62*'Stock Statistics'!$C$48+J62*'Stock Statistics'!$C$49+K62*'Stock Statistics'!$C$50,"")</f>
        <v>-1.8476757800396713E-3</v>
      </c>
      <c r="M62" s="96">
        <v>495.98099999999999</v>
      </c>
      <c r="N62" s="97">
        <v>576.1078</v>
      </c>
      <c r="O62" s="93">
        <f t="shared" si="0"/>
        <v>-2.744768683216714E-3</v>
      </c>
      <c r="P62" s="93">
        <f t="shared" si="1"/>
        <v>-1.4723793251251172E-3</v>
      </c>
      <c r="Q62" s="93">
        <f>B62*'Portfolio 2 &amp; 3'!$F$7+C62*'Portfolio 2 &amp; 3'!$F$8+D62*'Portfolio 2 &amp; 3'!$F$9+E62*'Portfolio 2 &amp; 3'!$F$10+F62*'Portfolio 2 &amp; 3'!$F$11+G62*'Portfolio 2 &amp; 3'!$F$12+H62*'Portfolio 2 &amp; 3'!$F$13+I62*'Portfolio 2 &amp; 3'!$F$14+J62*'Portfolio 2 &amp; 3'!$F$15+K62*'Portfolio 2 &amp; 3'!$F$16</f>
        <v>-1.6974372396410691E-3</v>
      </c>
      <c r="R62" s="93">
        <f>B62*'Portfolio 2 &amp; 3'!$B$23+C62*'Portfolio 2 &amp; 3'!$B$24+D62*'Portfolio 2 &amp; 3'!$B$25+E62*'Portfolio 2 &amp; 3'!$B$26+F62*'Portfolio 2 &amp; 3'!$B$27+G62*'Portfolio 2 &amp; 3'!$B$28+H62*'Portfolio 2 &amp; 3'!$B$29+I62*'Portfolio 2 &amp; 3'!$B$30+J62*'Portfolio 2 &amp; 3'!$B$31+K62*'Portfolio 2 &amp; 3'!$B$32</f>
        <v>-1.4183639619973123E-3</v>
      </c>
      <c r="S62" s="93">
        <f t="shared" si="2"/>
        <v>-2.1085740041709156E-3</v>
      </c>
    </row>
    <row r="63" spans="1:19" ht="12.75" customHeight="1">
      <c r="A63" s="82">
        <v>45993</v>
      </c>
      <c r="B63" s="53">
        <v>-1.9099999999999999E-2</v>
      </c>
      <c r="C63" s="53">
        <v>5.16980123005606E-3</v>
      </c>
      <c r="D63" s="53">
        <v>-8.2223318533136702E-4</v>
      </c>
      <c r="E63" s="53">
        <v>-3.4499999999999999E-3</v>
      </c>
      <c r="F63" s="53">
        <v>6.6741417053766102E-3</v>
      </c>
      <c r="G63" s="53">
        <v>-2.3816532419920198E-3</v>
      </c>
      <c r="H63" s="87">
        <v>1.19831759384177E-2</v>
      </c>
      <c r="I63" s="53">
        <v>-4.3709195529489896E-3</v>
      </c>
      <c r="J63" s="53">
        <v>-4.2676121068873103E-3</v>
      </c>
      <c r="K63" s="53">
        <v>-7.78513040093465E-4</v>
      </c>
      <c r="L63" s="95">
        <f>IFERROR(B63*'Stock Statistics'!$C$41+C63*'Stock Statistics'!$C$42+D63*'Stock Statistics'!$C$43+E63*'Stock Statistics'!$C$44+F63*'Stock Statistics'!$C$45+G63*'Stock Statistics'!$C$46+H63*'Stock Statistics'!$C$47+I63*'Stock Statistics'!$C$48+J63*'Stock Statistics'!$C$49+K63*'Stock Statistics'!$C$50,"")</f>
        <v>-1.134381225340278E-3</v>
      </c>
      <c r="M63" s="97">
        <v>497.34609999999998</v>
      </c>
      <c r="N63" s="96">
        <v>576.95730000000003</v>
      </c>
      <c r="O63" s="93">
        <f t="shared" si="0"/>
        <v>-3.1296382595973338E-3</v>
      </c>
      <c r="P63" s="93">
        <f t="shared" si="1"/>
        <v>-7.1610154689566441E-3</v>
      </c>
      <c r="Q63" s="93">
        <f>B63*'Portfolio 2 &amp; 3'!$F$7+C63*'Portfolio 2 &amp; 3'!$F$8+D63*'Portfolio 2 &amp; 3'!$F$9+E63*'Portfolio 2 &amp; 3'!$F$10+F63*'Portfolio 2 &amp; 3'!$F$11+G63*'Portfolio 2 &amp; 3'!$F$12+H63*'Portfolio 2 &amp; 3'!$F$13+I63*'Portfolio 2 &amp; 3'!$F$14+J63*'Portfolio 2 &amp; 3'!$F$15+K63*'Portfolio 2 &amp; 3'!$F$16</f>
        <v>3.3310749046401567E-4</v>
      </c>
      <c r="R63" s="93">
        <f>B63*'Portfolio 2 &amp; 3'!$B$23+C63*'Portfolio 2 &amp; 3'!$B$24+D63*'Portfolio 2 &amp; 3'!$B$25+E63*'Portfolio 2 &amp; 3'!$B$26+F63*'Portfolio 2 &amp; 3'!$B$27+G63*'Portfolio 2 &amp; 3'!$B$28+H63*'Portfolio 2 &amp; 3'!$B$29+I63*'Portfolio 2 &amp; 3'!$B$30+J63*'Portfolio 2 &amp; 3'!$B$31+K63*'Portfolio 2 &amp; 3'!$B$32</f>
        <v>-1.7182424422183887E-3</v>
      </c>
      <c r="S63" s="93">
        <f t="shared" si="2"/>
        <v>-5.1453268642769889E-3</v>
      </c>
    </row>
    <row r="64" spans="1:19" ht="12.75" customHeight="1">
      <c r="A64" s="81">
        <v>45992</v>
      </c>
      <c r="B64" s="53">
        <v>-8.8000000000000005E-3</v>
      </c>
      <c r="C64" s="53">
        <v>-1.32805628847845E-2</v>
      </c>
      <c r="D64" s="53">
        <v>-8.5595500122279695E-3</v>
      </c>
      <c r="E64" s="53">
        <v>-6.2100000000000002E-3</v>
      </c>
      <c r="F64" s="53">
        <v>-6.4190981432360496E-3</v>
      </c>
      <c r="G64" s="53">
        <v>4.3810138149760203E-3</v>
      </c>
      <c r="H64" s="87">
        <v>1.03272958373046E-3</v>
      </c>
      <c r="I64" s="53">
        <v>-1.3212491810438799E-2</v>
      </c>
      <c r="J64" s="53">
        <v>-5.35492718605113E-3</v>
      </c>
      <c r="K64" s="53">
        <v>-8.4143893777983703E-3</v>
      </c>
      <c r="L64" s="95">
        <f>IFERROR(B64*'Stock Statistics'!$C$41+C64*'Stock Statistics'!$C$42+D64*'Stock Statistics'!$C$43+E64*'Stock Statistics'!$C$44+F64*'Stock Statistics'!$C$45+G64*'Stock Statistics'!$C$46+H64*'Stock Statistics'!$C$47+I64*'Stock Statistics'!$C$48+J64*'Stock Statistics'!$C$49+K64*'Stock Statistics'!$C$50,"")</f>
        <v>-6.4837276015830341E-3</v>
      </c>
      <c r="M64" s="96">
        <v>498.90750000000003</v>
      </c>
      <c r="N64" s="97">
        <v>581.11869999999999</v>
      </c>
      <c r="O64" s="93">
        <f t="shared" si="0"/>
        <v>-6.6196485648766235E-3</v>
      </c>
      <c r="P64" s="93">
        <f t="shared" si="1"/>
        <v>4.8103466371751669E-3</v>
      </c>
      <c r="Q64" s="93">
        <f>B64*'Portfolio 2 &amp; 3'!$F$7+C64*'Portfolio 2 &amp; 3'!$F$8+D64*'Portfolio 2 &amp; 3'!$F$9+E64*'Portfolio 2 &amp; 3'!$F$10+F64*'Portfolio 2 &amp; 3'!$F$11+G64*'Portfolio 2 &amp; 3'!$F$12+H64*'Portfolio 2 &amp; 3'!$F$13+I64*'Portfolio 2 &amp; 3'!$F$14+J64*'Portfolio 2 &amp; 3'!$F$15+K64*'Portfolio 2 &amp; 3'!$F$16</f>
        <v>-6.2837039484110466E-3</v>
      </c>
      <c r="R64" s="93">
        <f>B64*'Portfolio 2 &amp; 3'!$B$23+C64*'Portfolio 2 &amp; 3'!$B$24+D64*'Portfolio 2 &amp; 3'!$B$25+E64*'Portfolio 2 &amp; 3'!$B$26+F64*'Portfolio 2 &amp; 3'!$B$27+G64*'Portfolio 2 &amp; 3'!$B$28+H64*'Portfolio 2 &amp; 3'!$B$29+I64*'Portfolio 2 &amp; 3'!$B$30+J64*'Portfolio 2 &amp; 3'!$B$31+K64*'Portfolio 2 &amp; 3'!$B$32</f>
        <v>-8.540964370832042E-3</v>
      </c>
      <c r="S64" s="93">
        <f t="shared" si="2"/>
        <v>-9.046509638507283E-4</v>
      </c>
    </row>
    <row r="65" spans="1:19" ht="12.75" customHeight="1">
      <c r="A65" s="82">
        <v>45989</v>
      </c>
      <c r="B65" s="53">
        <v>2.1600000000000001E-2</v>
      </c>
      <c r="C65" s="53">
        <v>-2.6378264310211703E-4</v>
      </c>
      <c r="D65" s="53">
        <v>-7.36365107622583E-3</v>
      </c>
      <c r="E65" s="53">
        <v>3.9500000000000004E-3</v>
      </c>
      <c r="F65" s="53">
        <v>5.6014937316617398E-3</v>
      </c>
      <c r="G65" s="53">
        <v>-2.6270641218100201E-3</v>
      </c>
      <c r="H65" s="87">
        <v>7.6042583846953598E-3</v>
      </c>
      <c r="I65" s="53">
        <v>1.17660056344253E-2</v>
      </c>
      <c r="J65" s="53">
        <v>3.9994754786256701E-3</v>
      </c>
      <c r="K65" s="53">
        <v>-2.0799630228796099E-3</v>
      </c>
      <c r="L65" s="95">
        <f>IFERROR(B65*'Stock Statistics'!$C$41+C65*'Stock Statistics'!$C$42+D65*'Stock Statistics'!$C$43+E65*'Stock Statistics'!$C$44+F65*'Stock Statistics'!$C$45+G65*'Stock Statistics'!$C$46+H65*'Stock Statistics'!$C$47+I65*'Stock Statistics'!$C$48+J65*'Stock Statistics'!$C$49+K65*'Stock Statistics'!$C$50,"")</f>
        <v>4.2186772365390493E-3</v>
      </c>
      <c r="M65" s="97">
        <v>502.2321</v>
      </c>
      <c r="N65" s="96">
        <v>578.33669999999995</v>
      </c>
      <c r="O65" s="93">
        <f t="shared" si="0"/>
        <v>-3.6436008811535636E-5</v>
      </c>
      <c r="P65" s="93">
        <f t="shared" si="1"/>
        <v>-2.3069863405983382E-3</v>
      </c>
      <c r="Q65" s="93">
        <f>B65*'Portfolio 2 &amp; 3'!$F$7+C65*'Portfolio 2 &amp; 3'!$F$8+D65*'Portfolio 2 &amp; 3'!$F$9+E65*'Portfolio 2 &amp; 3'!$F$10+F65*'Portfolio 2 &amp; 3'!$F$11+G65*'Portfolio 2 &amp; 3'!$F$12+H65*'Portfolio 2 &amp; 3'!$F$13+I65*'Portfolio 2 &amp; 3'!$F$14+J65*'Portfolio 2 &amp; 3'!$F$15+K65*'Portfolio 2 &amp; 3'!$F$16</f>
        <v>3.8142298050525296E-3</v>
      </c>
      <c r="R65" s="93">
        <f>B65*'Portfolio 2 &amp; 3'!$B$23+C65*'Portfolio 2 &amp; 3'!$B$24+D65*'Portfolio 2 &amp; 3'!$B$25+E65*'Portfolio 2 &amp; 3'!$B$26+F65*'Portfolio 2 &amp; 3'!$B$27+G65*'Portfolio 2 &amp; 3'!$B$28+H65*'Portfolio 2 &amp; 3'!$B$29+I65*'Portfolio 2 &amp; 3'!$B$30+J65*'Portfolio 2 &amp; 3'!$B$31+K65*'Portfolio 2 &amp; 3'!$B$32</f>
        <v>6.4752399167691188E-3</v>
      </c>
      <c r="S65" s="93">
        <f t="shared" si="2"/>
        <v>-1.1717111747049369E-3</v>
      </c>
    </row>
    <row r="66" spans="1:19" ht="12.75" customHeight="1">
      <c r="A66" s="81">
        <v>45988</v>
      </c>
      <c r="B66" s="53">
        <v>-1.95E-2</v>
      </c>
      <c r="C66" s="53">
        <v>-1.4983544084531401E-2</v>
      </c>
      <c r="D66" s="53">
        <v>6.8437347238063896E-3</v>
      </c>
      <c r="E66" s="53">
        <v>-2.7899999999999999E-3</v>
      </c>
      <c r="F66" s="53">
        <v>-3.5085854021582601E-3</v>
      </c>
      <c r="G66" s="53">
        <v>-6.7628734224399701E-3</v>
      </c>
      <c r="H66" s="87">
        <v>1.0416666666666101E-3</v>
      </c>
      <c r="I66" s="53">
        <v>2.9918555044599099E-3</v>
      </c>
      <c r="J66" s="53">
        <v>9.1875574222344302E-4</v>
      </c>
      <c r="K66" s="53">
        <v>-2.9953917050691298E-3</v>
      </c>
      <c r="L66" s="95">
        <f>IFERROR(B66*'Stock Statistics'!$C$41+C66*'Stock Statistics'!$C$42+D66*'Stock Statistics'!$C$43+E66*'Stock Statistics'!$C$44+F66*'Stock Statistics'!$C$45+G66*'Stock Statistics'!$C$46+H66*'Stock Statistics'!$C$47+I66*'Stock Statistics'!$C$48+J66*'Stock Statistics'!$C$49+K66*'Stock Statistics'!$C$50,"")</f>
        <v>-3.8744381977042401E-3</v>
      </c>
      <c r="M66" s="96">
        <v>502.25040000000001</v>
      </c>
      <c r="N66" s="97">
        <v>579.67399999999998</v>
      </c>
      <c r="O66" s="93">
        <f t="shared" ref="O66:O129" si="3">M66/M67-1</f>
        <v>5.5210016082316571E-3</v>
      </c>
      <c r="P66" s="93">
        <f t="shared" ref="P66:P129" si="4">N66/N67-1</f>
        <v>7.7369926645904918E-3</v>
      </c>
      <c r="Q66" s="93">
        <f>B66*'Portfolio 2 &amp; 3'!$F$7+C66*'Portfolio 2 &amp; 3'!$F$8+D66*'Portfolio 2 &amp; 3'!$F$9+E66*'Portfolio 2 &amp; 3'!$F$10+F66*'Portfolio 2 &amp; 3'!$F$11+G66*'Portfolio 2 &amp; 3'!$F$12+H66*'Portfolio 2 &amp; 3'!$F$13+I66*'Portfolio 2 &amp; 3'!$F$14+J66*'Portfolio 2 &amp; 3'!$F$15+K66*'Portfolio 2 &amp; 3'!$F$16</f>
        <v>-2.4517898870152167E-3</v>
      </c>
      <c r="R66" s="93">
        <f>B66*'Portfolio 2 &amp; 3'!$B$23+C66*'Portfolio 2 &amp; 3'!$B$24+D66*'Portfolio 2 &amp; 3'!$B$25+E66*'Portfolio 2 &amp; 3'!$B$26+F66*'Portfolio 2 &amp; 3'!$B$27+G66*'Portfolio 2 &amp; 3'!$B$28+H66*'Portfolio 2 &amp; 3'!$B$29+I66*'Portfolio 2 &amp; 3'!$B$30+J66*'Portfolio 2 &amp; 3'!$B$31+K66*'Portfolio 2 &amp; 3'!$B$32</f>
        <v>-6.1084756012019991E-3</v>
      </c>
      <c r="S66" s="93">
        <f t="shared" ref="S66:S129" si="5">IFERROR(AVERAGE(O66,P66),"")</f>
        <v>6.6289971364110745E-3</v>
      </c>
    </row>
    <row r="67" spans="1:19" ht="12.75" customHeight="1">
      <c r="A67" s="82">
        <v>45987</v>
      </c>
      <c r="B67" s="53">
        <v>-6.0000000000000001E-3</v>
      </c>
      <c r="C67" s="53">
        <v>1.26293632696017E-2</v>
      </c>
      <c r="D67" s="53">
        <v>1.6059602649006698E-2</v>
      </c>
      <c r="E67" s="53">
        <v>1.435E-2</v>
      </c>
      <c r="F67" s="53">
        <v>1.29779213785675E-2</v>
      </c>
      <c r="G67" s="53">
        <v>2.8302894371463601E-3</v>
      </c>
      <c r="H67" s="87">
        <v>9.6270528274411404E-3</v>
      </c>
      <c r="I67" s="53">
        <v>1.5814948221522001E-2</v>
      </c>
      <c r="J67" s="53">
        <v>1.0812603648424599E-2</v>
      </c>
      <c r="K67" s="53">
        <v>1.5283842794759901E-2</v>
      </c>
      <c r="L67" s="95">
        <f>IFERROR(B67*'Stock Statistics'!$C$41+C67*'Stock Statistics'!$C$42+D67*'Stock Statistics'!$C$43+E67*'Stock Statistics'!$C$44+F67*'Stock Statistics'!$C$45+G67*'Stock Statistics'!$C$46+H67*'Stock Statistics'!$C$47+I67*'Stock Statistics'!$C$48+J67*'Stock Statistics'!$C$49+K67*'Stock Statistics'!$C$50,"")</f>
        <v>1.0438562422646992E-2</v>
      </c>
      <c r="M67" s="97">
        <v>499.49270000000001</v>
      </c>
      <c r="N67" s="96">
        <v>575.22349999999994</v>
      </c>
      <c r="O67" s="93">
        <f t="shared" si="3"/>
        <v>-1.4591503862479982E-3</v>
      </c>
      <c r="P67" s="93">
        <f t="shared" si="4"/>
        <v>2.610829985623786E-3</v>
      </c>
      <c r="Q67" s="93">
        <f>B67*'Portfolio 2 &amp; 3'!$F$7+C67*'Portfolio 2 &amp; 3'!$F$8+D67*'Portfolio 2 &amp; 3'!$F$9+E67*'Portfolio 2 &amp; 3'!$F$10+F67*'Portfolio 2 &amp; 3'!$F$11+G67*'Portfolio 2 &amp; 3'!$F$12+H67*'Portfolio 2 &amp; 3'!$F$13+I67*'Portfolio 2 &amp; 3'!$F$14+J67*'Portfolio 2 &amp; 3'!$F$15+K67*'Portfolio 2 &amp; 3'!$F$16</f>
        <v>1.119521505635168E-2</v>
      </c>
      <c r="R67" s="93">
        <f>B67*'Portfolio 2 &amp; 3'!$B$23+C67*'Portfolio 2 &amp; 3'!$B$24+D67*'Portfolio 2 &amp; 3'!$B$25+E67*'Portfolio 2 &amp; 3'!$B$26+F67*'Portfolio 2 &amp; 3'!$B$27+G67*'Portfolio 2 &amp; 3'!$B$28+H67*'Portfolio 2 &amp; 3'!$B$29+I67*'Portfolio 2 &amp; 3'!$B$30+J67*'Portfolio 2 &amp; 3'!$B$31+K67*'Portfolio 2 &amp; 3'!$B$32</f>
        <v>1.0069433665927345E-2</v>
      </c>
      <c r="S67" s="93">
        <f t="shared" si="5"/>
        <v>5.7583979968789389E-4</v>
      </c>
    </row>
    <row r="68" spans="1:19" ht="12.75" customHeight="1">
      <c r="A68" s="81">
        <v>45986</v>
      </c>
      <c r="B68" s="53">
        <v>1.7899999999999999E-2</v>
      </c>
      <c r="C68" s="53">
        <v>1.3511111111111E-2</v>
      </c>
      <c r="D68" s="53">
        <v>1.1725293132328399E-2</v>
      </c>
      <c r="E68" s="53">
        <v>1.521E-2</v>
      </c>
      <c r="F68" s="53">
        <v>1.9964387848703299E-3</v>
      </c>
      <c r="G68" s="53">
        <v>7.2074010327021201E-3</v>
      </c>
      <c r="H68" s="87">
        <v>8.0737236992334295E-3</v>
      </c>
      <c r="I68" s="53">
        <v>-2.2461814914644901E-3</v>
      </c>
      <c r="J68" s="53">
        <v>2.3271276595744398E-3</v>
      </c>
      <c r="K68" s="53">
        <v>8.3346438119200599E-3</v>
      </c>
      <c r="L68" s="95">
        <f>IFERROR(B68*'Stock Statistics'!$C$41+C68*'Stock Statistics'!$C$42+D68*'Stock Statistics'!$C$43+E68*'Stock Statistics'!$C$44+F68*'Stock Statistics'!$C$45+G68*'Stock Statistics'!$C$46+H68*'Stock Statistics'!$C$47+I68*'Stock Statistics'!$C$48+J68*'Stock Statistics'!$C$49+K68*'Stock Statistics'!$C$50,"")</f>
        <v>8.403955774027529E-3</v>
      </c>
      <c r="M68" s="96">
        <v>500.2226</v>
      </c>
      <c r="N68" s="97">
        <v>573.72559999999999</v>
      </c>
      <c r="O68" s="93">
        <f t="shared" si="3"/>
        <v>8.758784647796336E-3</v>
      </c>
      <c r="P68" s="93">
        <f t="shared" si="4"/>
        <v>-3.5699330874181534E-3</v>
      </c>
      <c r="Q68" s="93">
        <f>B68*'Portfolio 2 &amp; 3'!$F$7+C68*'Portfolio 2 &amp; 3'!$F$8+D68*'Portfolio 2 &amp; 3'!$F$9+E68*'Portfolio 2 &amp; 3'!$F$10+F68*'Portfolio 2 &amp; 3'!$F$11+G68*'Portfolio 2 &amp; 3'!$F$12+H68*'Portfolio 2 &amp; 3'!$F$13+I68*'Portfolio 2 &amp; 3'!$F$14+J68*'Portfolio 2 &amp; 3'!$F$15+K68*'Portfolio 2 &amp; 3'!$F$16</f>
        <v>7.8976104709676531E-3</v>
      </c>
      <c r="R68" s="93">
        <f>B68*'Portfolio 2 &amp; 3'!$B$23+C68*'Portfolio 2 &amp; 3'!$B$24+D68*'Portfolio 2 &amp; 3'!$B$25+E68*'Portfolio 2 &amp; 3'!$B$26+F68*'Portfolio 2 &amp; 3'!$B$27+G68*'Portfolio 2 &amp; 3'!$B$28+H68*'Portfolio 2 &amp; 3'!$B$29+I68*'Portfolio 2 &amp; 3'!$B$30+J68*'Portfolio 2 &amp; 3'!$B$31+K68*'Portfolio 2 &amp; 3'!$B$32</f>
        <v>6.6771772068871249E-3</v>
      </c>
      <c r="S68" s="93">
        <f t="shared" si="5"/>
        <v>2.5944257801890913E-3</v>
      </c>
    </row>
    <row r="69" spans="1:19" ht="12.75" customHeight="1">
      <c r="A69" s="82">
        <v>45985</v>
      </c>
      <c r="B69" s="53">
        <v>3.3999999999999998E-3</v>
      </c>
      <c r="C69" s="53">
        <v>-1.31578947368422E-2</v>
      </c>
      <c r="D69" s="53">
        <v>-9.8681482710010204E-3</v>
      </c>
      <c r="E69" s="53">
        <v>-5.5199999999999997E-3</v>
      </c>
      <c r="F69" s="53">
        <v>2.5424645677809602E-3</v>
      </c>
      <c r="G69" s="53">
        <v>8.6531940865319807E-3</v>
      </c>
      <c r="H69" s="87">
        <v>-1.4229439665568E-2</v>
      </c>
      <c r="I69" s="53">
        <v>6.1808169916277599E-4</v>
      </c>
      <c r="J69" s="53">
        <v>-5.1594126207169496E-3</v>
      </c>
      <c r="K69" s="53">
        <v>-2.1967676133689599E-3</v>
      </c>
      <c r="L69" s="95">
        <f>IFERROR(B69*'Stock Statistics'!$C$41+C69*'Stock Statistics'!$C$42+D69*'Stock Statistics'!$C$43+E69*'Stock Statistics'!$C$44+F69*'Stock Statistics'!$C$45+G69*'Stock Statistics'!$C$46+H69*'Stock Statistics'!$C$47+I69*'Stock Statistics'!$C$48+J69*'Stock Statistics'!$C$49+K69*'Stock Statistics'!$C$50,"")</f>
        <v>-3.4917922554021418E-3</v>
      </c>
      <c r="M69" s="97">
        <v>495.8793</v>
      </c>
      <c r="N69" s="96">
        <v>575.78110000000004</v>
      </c>
      <c r="O69" s="93">
        <f t="shared" si="3"/>
        <v>9.4782027553197423E-6</v>
      </c>
      <c r="P69" s="93">
        <f t="shared" si="4"/>
        <v>-4.0265769995928569E-3</v>
      </c>
      <c r="Q69" s="93">
        <f>B69*'Portfolio 2 &amp; 3'!$F$7+C69*'Portfolio 2 &amp; 3'!$F$8+D69*'Portfolio 2 &amp; 3'!$F$9+E69*'Portfolio 2 &amp; 3'!$F$10+F69*'Portfolio 2 &amp; 3'!$F$11+G69*'Portfolio 2 &amp; 3'!$F$12+H69*'Portfolio 2 &amp; 3'!$F$13+I69*'Portfolio 2 &amp; 3'!$F$14+J69*'Portfolio 2 &amp; 3'!$F$15+K69*'Portfolio 2 &amp; 3'!$F$16</f>
        <v>-5.2320638931726907E-3</v>
      </c>
      <c r="R69" s="93">
        <f>B69*'Portfolio 2 &amp; 3'!$B$23+C69*'Portfolio 2 &amp; 3'!$B$24+D69*'Portfolio 2 &amp; 3'!$B$25+E69*'Portfolio 2 &amp; 3'!$B$26+F69*'Portfolio 2 &amp; 3'!$B$27+G69*'Portfolio 2 &amp; 3'!$B$28+H69*'Portfolio 2 &amp; 3'!$B$29+I69*'Portfolio 2 &amp; 3'!$B$30+J69*'Portfolio 2 &amp; 3'!$B$31+K69*'Portfolio 2 &amp; 3'!$B$32</f>
        <v>-1.4941284163022149E-3</v>
      </c>
      <c r="S69" s="93">
        <f t="shared" si="5"/>
        <v>-2.0085493984187686E-3</v>
      </c>
    </row>
    <row r="70" spans="1:19" ht="12.75" customHeight="1">
      <c r="A70" s="81">
        <v>45982</v>
      </c>
      <c r="B70" s="53">
        <v>-2.9999999999999997E-4</v>
      </c>
      <c r="C70" s="53">
        <v>0</v>
      </c>
      <c r="D70" s="53">
        <v>-1.49043636664736E-3</v>
      </c>
      <c r="E70" s="53">
        <v>-1.6199999999999999E-3</v>
      </c>
      <c r="F70" s="53">
        <v>-3.9870689655172598E-3</v>
      </c>
      <c r="G70" s="53">
        <v>-9.3781910033858794E-3</v>
      </c>
      <c r="H70" s="87">
        <v>-3.7642159218323999E-3</v>
      </c>
      <c r="I70" s="53">
        <v>1.2940249803083999E-3</v>
      </c>
      <c r="J70" s="53">
        <v>-1.13784985613393E-2</v>
      </c>
      <c r="K70" s="53">
        <v>-1.3849129593810501E-2</v>
      </c>
      <c r="L70" s="95">
        <f>IFERROR(B70*'Stock Statistics'!$C$41+C70*'Stock Statistics'!$C$42+D70*'Stock Statistics'!$C$43+E70*'Stock Statistics'!$C$44+F70*'Stock Statistics'!$C$45+G70*'Stock Statistics'!$C$46+H70*'Stock Statistics'!$C$47+I70*'Stock Statistics'!$C$48+J70*'Stock Statistics'!$C$49+K70*'Stock Statistics'!$C$50,"")</f>
        <v>-4.4473515432224301E-3</v>
      </c>
      <c r="M70" s="96">
        <v>495.87459999999999</v>
      </c>
      <c r="N70" s="97">
        <v>578.10889999999995</v>
      </c>
      <c r="O70" s="93">
        <f t="shared" si="3"/>
        <v>2.2031813850271753E-3</v>
      </c>
      <c r="P70" s="93">
        <f t="shared" si="4"/>
        <v>-2.0953775684300346E-3</v>
      </c>
      <c r="Q70" s="93">
        <f>B70*'Portfolio 2 &amp; 3'!$F$7+C70*'Portfolio 2 &amp; 3'!$F$8+D70*'Portfolio 2 &amp; 3'!$F$9+E70*'Portfolio 2 &amp; 3'!$F$10+F70*'Portfolio 2 &amp; 3'!$F$11+G70*'Portfolio 2 &amp; 3'!$F$12+H70*'Portfolio 2 &amp; 3'!$F$13+I70*'Portfolio 2 &amp; 3'!$F$14+J70*'Portfolio 2 &amp; 3'!$F$15+K70*'Portfolio 2 &amp; 3'!$F$16</f>
        <v>-4.5112340719233035E-3</v>
      </c>
      <c r="R70" s="93">
        <f>B70*'Portfolio 2 &amp; 3'!$B$23+C70*'Portfolio 2 &amp; 3'!$B$24+D70*'Portfolio 2 &amp; 3'!$B$25+E70*'Portfolio 2 &amp; 3'!$B$26+F70*'Portfolio 2 &amp; 3'!$B$27+G70*'Portfolio 2 &amp; 3'!$B$28+H70*'Portfolio 2 &amp; 3'!$B$29+I70*'Portfolio 2 &amp; 3'!$B$30+J70*'Portfolio 2 &amp; 3'!$B$31+K70*'Portfolio 2 &amp; 3'!$B$32</f>
        <v>-3.0367591387223366E-3</v>
      </c>
      <c r="S70" s="93">
        <f t="shared" si="5"/>
        <v>5.3901908298570333E-5</v>
      </c>
    </row>
    <row r="71" spans="1:19" ht="12.75" customHeight="1">
      <c r="A71" s="82">
        <v>45981</v>
      </c>
      <c r="B71" s="53">
        <v>1.9E-3</v>
      </c>
      <c r="C71" s="53">
        <v>-4.1928721174003796E-3</v>
      </c>
      <c r="D71" s="53">
        <v>-2.2738307169444801E-2</v>
      </c>
      <c r="E71" s="53">
        <v>-2.0600000000000002E-3</v>
      </c>
      <c r="F71" s="53">
        <v>-2.3650827778972702E-3</v>
      </c>
      <c r="G71" s="53">
        <v>-2.6799592646191699E-3</v>
      </c>
      <c r="H71" s="87">
        <v>-1.27979523276278E-3</v>
      </c>
      <c r="I71" s="53">
        <v>-3.7553948769686301E-3</v>
      </c>
      <c r="J71" s="53">
        <v>1.5719151165838299E-3</v>
      </c>
      <c r="K71" s="53">
        <v>1.3170127052990501E-3</v>
      </c>
      <c r="L71" s="95">
        <f>IFERROR(B71*'Stock Statistics'!$C$41+C71*'Stock Statistics'!$C$42+D71*'Stock Statistics'!$C$43+E71*'Stock Statistics'!$C$44+F71*'Stock Statistics'!$C$45+G71*'Stock Statistics'!$C$46+H71*'Stock Statistics'!$C$47+I71*'Stock Statistics'!$C$48+J71*'Stock Statistics'!$C$49+K71*'Stock Statistics'!$C$50,"")</f>
        <v>-3.4282483617210156E-3</v>
      </c>
      <c r="M71" s="97">
        <v>494.78449999999998</v>
      </c>
      <c r="N71" s="96">
        <v>579.32280000000003</v>
      </c>
      <c r="O71" s="93">
        <f t="shared" si="3"/>
        <v>-3.3054311886540066E-3</v>
      </c>
      <c r="P71" s="93">
        <f t="shared" si="4"/>
        <v>1.4932778295437821E-3</v>
      </c>
      <c r="Q71" s="93">
        <f>B71*'Portfolio 2 &amp; 3'!$F$7+C71*'Portfolio 2 &amp; 3'!$F$8+D71*'Portfolio 2 &amp; 3'!$F$9+E71*'Portfolio 2 &amp; 3'!$F$10+F71*'Portfolio 2 &amp; 3'!$F$11+G71*'Portfolio 2 &amp; 3'!$F$12+H71*'Portfolio 2 &amp; 3'!$F$13+I71*'Portfolio 2 &amp; 3'!$F$14+J71*'Portfolio 2 &amp; 3'!$F$15+K71*'Portfolio 2 &amp; 3'!$F$16</f>
        <v>-4.0470159018622682E-3</v>
      </c>
      <c r="R71" s="93">
        <f>B71*'Portfolio 2 &amp; 3'!$B$23+C71*'Portfolio 2 &amp; 3'!$B$24+D71*'Portfolio 2 &amp; 3'!$B$25+E71*'Portfolio 2 &amp; 3'!$B$26+F71*'Portfolio 2 &amp; 3'!$B$27+G71*'Portfolio 2 &amp; 3'!$B$28+H71*'Portfolio 2 &amp; 3'!$B$29+I71*'Portfolio 2 &amp; 3'!$B$30+J71*'Portfolio 2 &amp; 3'!$B$31+K71*'Portfolio 2 &amp; 3'!$B$32</f>
        <v>-2.2993925632292678E-3</v>
      </c>
      <c r="S71" s="93">
        <f t="shared" si="5"/>
        <v>-9.0607667955511229E-4</v>
      </c>
    </row>
    <row r="72" spans="1:19" ht="12.75" customHeight="1">
      <c r="A72" s="81">
        <v>45980</v>
      </c>
      <c r="B72" s="53">
        <v>-4.5999999999999999E-3</v>
      </c>
      <c r="C72" s="53">
        <v>1.9254332224749599E-3</v>
      </c>
      <c r="D72" s="53">
        <v>-2.8241749374646702E-3</v>
      </c>
      <c r="E72" s="53">
        <v>-1.44E-2</v>
      </c>
      <c r="F72" s="53">
        <v>1.93881947436458E-3</v>
      </c>
      <c r="G72" s="53">
        <v>-1.5669515669515698E-2</v>
      </c>
      <c r="H72" s="87">
        <v>5.1455217880689297E-3</v>
      </c>
      <c r="I72" s="53">
        <v>1.4384807823516E-2</v>
      </c>
      <c r="J72" s="53">
        <v>8.1214922416639208E-3</v>
      </c>
      <c r="K72" s="53">
        <v>-3.0122808372595698E-3</v>
      </c>
      <c r="L72" s="95">
        <f>IFERROR(B72*'Stock Statistics'!$C$41+C72*'Stock Statistics'!$C$42+D72*'Stock Statistics'!$C$43+E72*'Stock Statistics'!$C$44+F72*'Stock Statistics'!$C$45+G72*'Stock Statistics'!$C$46+H72*'Stock Statistics'!$C$47+I72*'Stock Statistics'!$C$48+J72*'Stock Statistics'!$C$49+K72*'Stock Statistics'!$C$50,"")</f>
        <v>-8.9898968941515528E-4</v>
      </c>
      <c r="M72" s="96">
        <v>496.42540000000002</v>
      </c>
      <c r="N72" s="97">
        <v>578.45899999999995</v>
      </c>
      <c r="O72" s="93">
        <f t="shared" si="3"/>
        <v>6.0831615347467505E-4</v>
      </c>
      <c r="P72" s="93">
        <f t="shared" si="4"/>
        <v>-6.4896197857403637E-3</v>
      </c>
      <c r="Q72" s="93">
        <f>B72*'Portfolio 2 &amp; 3'!$F$7+C72*'Portfolio 2 &amp; 3'!$F$8+D72*'Portfolio 2 &amp; 3'!$F$9+E72*'Portfolio 2 &amp; 3'!$F$10+F72*'Portfolio 2 &amp; 3'!$F$11+G72*'Portfolio 2 &amp; 3'!$F$12+H72*'Portfolio 2 &amp; 3'!$F$13+I72*'Portfolio 2 &amp; 3'!$F$14+J72*'Portfolio 2 &amp; 3'!$F$15+K72*'Portfolio 2 &amp; 3'!$F$16</f>
        <v>8.07769295130776E-4</v>
      </c>
      <c r="R72" s="93">
        <f>B72*'Portfolio 2 &amp; 3'!$B$23+C72*'Portfolio 2 &amp; 3'!$B$24+D72*'Portfolio 2 &amp; 3'!$B$25+E72*'Portfolio 2 &amp; 3'!$B$26+F72*'Portfolio 2 &amp; 3'!$B$27+G72*'Portfolio 2 &amp; 3'!$B$28+H72*'Portfolio 2 &amp; 3'!$B$29+I72*'Portfolio 2 &amp; 3'!$B$30+J72*'Portfolio 2 &amp; 3'!$B$31+K72*'Portfolio 2 &amp; 3'!$B$32</f>
        <v>2.118302110268591E-3</v>
      </c>
      <c r="S72" s="93">
        <f t="shared" si="5"/>
        <v>-2.9406518161328443E-3</v>
      </c>
    </row>
    <row r="73" spans="1:19" ht="12.75" customHeight="1">
      <c r="A73" s="82">
        <v>45979</v>
      </c>
      <c r="B73" s="53">
        <v>3.5999999999999999E-3</v>
      </c>
      <c r="C73" s="53">
        <v>-1.7473353136466801E-3</v>
      </c>
      <c r="D73" s="53">
        <v>1.94033470773691E-3</v>
      </c>
      <c r="E73" s="53">
        <v>-8.0400000000000003E-3</v>
      </c>
      <c r="F73" s="53">
        <v>-6.7932602300080401E-3</v>
      </c>
      <c r="G73" s="53">
        <v>-7.4880871341047603E-3</v>
      </c>
      <c r="H73" s="87">
        <v>-4.8216007714563301E-4</v>
      </c>
      <c r="I73" s="53">
        <v>-2.8913203696355801E-3</v>
      </c>
      <c r="J73" s="53">
        <v>-1.3740557436832499E-2</v>
      </c>
      <c r="K73" s="53">
        <v>-6.9034287029224898E-3</v>
      </c>
      <c r="L73" s="95">
        <f>IFERROR(B73*'Stock Statistics'!$C$41+C73*'Stock Statistics'!$C$42+D73*'Stock Statistics'!$C$43+E73*'Stock Statistics'!$C$44+F73*'Stock Statistics'!$C$45+G73*'Stock Statistics'!$C$46+H73*'Stock Statistics'!$C$47+I73*'Stock Statistics'!$C$48+J73*'Stock Statistics'!$C$49+K73*'Stock Statistics'!$C$50,"")</f>
        <v>-4.2545814556558771E-3</v>
      </c>
      <c r="M73" s="97">
        <v>496.12360000000001</v>
      </c>
      <c r="N73" s="96">
        <v>582.23749999999995</v>
      </c>
      <c r="O73" s="93">
        <f t="shared" si="3"/>
        <v>-1.4577902009850208E-3</v>
      </c>
      <c r="P73" s="93">
        <f t="shared" si="4"/>
        <v>3.8937603279565192E-3</v>
      </c>
      <c r="Q73" s="93">
        <f>B73*'Portfolio 2 &amp; 3'!$F$7+C73*'Portfolio 2 &amp; 3'!$F$8+D73*'Portfolio 2 &amp; 3'!$F$9+E73*'Portfolio 2 &amp; 3'!$F$10+F73*'Portfolio 2 &amp; 3'!$F$11+G73*'Portfolio 2 &amp; 3'!$F$12+H73*'Portfolio 2 &amp; 3'!$F$13+I73*'Portfolio 2 &amp; 3'!$F$14+J73*'Portfolio 2 &amp; 3'!$F$15+K73*'Portfolio 2 &amp; 3'!$F$16</f>
        <v>-4.2305634451213145E-3</v>
      </c>
      <c r="R73" s="93">
        <f>B73*'Portfolio 2 &amp; 3'!$B$23+C73*'Portfolio 2 &amp; 3'!$B$24+D73*'Portfolio 2 &amp; 3'!$B$25+E73*'Portfolio 2 &amp; 3'!$B$26+F73*'Portfolio 2 &amp; 3'!$B$27+G73*'Portfolio 2 &amp; 3'!$B$28+H73*'Portfolio 2 &amp; 3'!$B$29+I73*'Portfolio 2 &amp; 3'!$B$30+J73*'Portfolio 2 &amp; 3'!$B$31+K73*'Portfolio 2 &amp; 3'!$B$32</f>
        <v>-3.4772461134835965E-3</v>
      </c>
      <c r="S73" s="93">
        <f t="shared" si="5"/>
        <v>1.2179850634857492E-3</v>
      </c>
    </row>
    <row r="74" spans="1:19" ht="12.75" customHeight="1">
      <c r="A74" s="81">
        <v>45978</v>
      </c>
      <c r="B74" s="53">
        <v>7.4999999999999997E-3</v>
      </c>
      <c r="C74" s="53">
        <v>8.7374399301065595E-5</v>
      </c>
      <c r="D74" s="53">
        <v>1.17791411042945E-2</v>
      </c>
      <c r="E74" s="53">
        <v>-1.099E-2</v>
      </c>
      <c r="F74" s="53">
        <v>-1.02705278204246E-2</v>
      </c>
      <c r="G74" s="53">
        <v>-3.2360770395114501E-3</v>
      </c>
      <c r="H74" s="87">
        <v>-1.2841091492776799E-3</v>
      </c>
      <c r="I74" s="53">
        <v>0</v>
      </c>
      <c r="J74" s="53">
        <v>2.2844461849749198E-3</v>
      </c>
      <c r="K74" s="53">
        <v>1.0750211164862701E-3</v>
      </c>
      <c r="L74" s="95">
        <f>IFERROR(B74*'Stock Statistics'!$C$41+C74*'Stock Statistics'!$C$42+D74*'Stock Statistics'!$C$43+E74*'Stock Statistics'!$C$44+F74*'Stock Statistics'!$C$45+G74*'Stock Statistics'!$C$46+H74*'Stock Statistics'!$C$47+I74*'Stock Statistics'!$C$48+J74*'Stock Statistics'!$C$49+K74*'Stock Statistics'!$C$50,"")</f>
        <v>-3.0547312041569722E-4</v>
      </c>
      <c r="M74" s="96">
        <v>496.84789999999998</v>
      </c>
      <c r="N74" s="97">
        <v>579.97919999999999</v>
      </c>
      <c r="O74" s="93">
        <f t="shared" si="3"/>
        <v>-5.058732521370235E-3</v>
      </c>
      <c r="P74" s="93">
        <f t="shared" si="4"/>
        <v>3.4608529826953838E-3</v>
      </c>
      <c r="Q74" s="93">
        <f>B74*'Portfolio 2 &amp; 3'!$F$7+C74*'Portfolio 2 &amp; 3'!$F$8+D74*'Portfolio 2 &amp; 3'!$F$9+E74*'Portfolio 2 &amp; 3'!$F$10+F74*'Portfolio 2 &amp; 3'!$F$11+G74*'Portfolio 2 &amp; 3'!$F$12+H74*'Portfolio 2 &amp; 3'!$F$13+I74*'Portfolio 2 &amp; 3'!$F$14+J74*'Portfolio 2 &amp; 3'!$F$15+K74*'Portfolio 2 &amp; 3'!$F$16</f>
        <v>2.5191796547695158E-4</v>
      </c>
      <c r="R74" s="93">
        <f>B74*'Portfolio 2 &amp; 3'!$B$23+C74*'Portfolio 2 &amp; 3'!$B$24+D74*'Portfolio 2 &amp; 3'!$B$25+E74*'Portfolio 2 &amp; 3'!$B$26+F74*'Portfolio 2 &amp; 3'!$B$27+G74*'Portfolio 2 &amp; 3'!$B$28+H74*'Portfolio 2 &amp; 3'!$B$29+I74*'Portfolio 2 &amp; 3'!$B$30+J74*'Portfolio 2 &amp; 3'!$B$31+K74*'Portfolio 2 &amp; 3'!$B$32</f>
        <v>-6.6808696512394498E-4</v>
      </c>
      <c r="S74" s="93">
        <f t="shared" si="5"/>
        <v>-7.9893976933742561E-4</v>
      </c>
    </row>
    <row r="75" spans="1:19" ht="12.75" customHeight="1">
      <c r="A75" s="82">
        <v>45975</v>
      </c>
      <c r="B75" s="53">
        <v>-7.7999999999999996E-3</v>
      </c>
      <c r="C75" s="53">
        <v>-5.2397170552786999E-4</v>
      </c>
      <c r="D75" s="53">
        <v>1.0163609320773301E-2</v>
      </c>
      <c r="E75" s="53">
        <v>6.8000000000000005E-4</v>
      </c>
      <c r="F75" s="53">
        <v>3.1774612084944898E-4</v>
      </c>
      <c r="G75" s="53">
        <v>1.48976764851949E-3</v>
      </c>
      <c r="H75" s="87">
        <v>8.98858207142284E-3</v>
      </c>
      <c r="I75" s="53">
        <v>3.8700130897502101E-3</v>
      </c>
      <c r="J75" s="53">
        <v>4.1289815178922103E-3</v>
      </c>
      <c r="K75" s="53">
        <v>-1.24364904830515E-2</v>
      </c>
      <c r="L75" s="95">
        <f>IFERROR(B75*'Stock Statistics'!$C$41+C75*'Stock Statistics'!$C$42+D75*'Stock Statistics'!$C$43+E75*'Stock Statistics'!$C$44+F75*'Stock Statistics'!$C$45+G75*'Stock Statistics'!$C$46+H75*'Stock Statistics'!$C$47+I75*'Stock Statistics'!$C$48+J75*'Stock Statistics'!$C$49+K75*'Stock Statistics'!$C$50,"")</f>
        <v>8.8782375806281287E-4</v>
      </c>
      <c r="M75" s="97">
        <v>499.3741</v>
      </c>
      <c r="N75" s="96">
        <v>577.97889999999995</v>
      </c>
      <c r="O75" s="93">
        <f t="shared" si="3"/>
        <v>1.4890753012846147E-3</v>
      </c>
      <c r="P75" s="93">
        <f t="shared" si="4"/>
        <v>4.6319045543989912E-3</v>
      </c>
      <c r="Q75" s="93">
        <f>B75*'Portfolio 2 &amp; 3'!$F$7+C75*'Portfolio 2 &amp; 3'!$F$8+D75*'Portfolio 2 &amp; 3'!$F$9+E75*'Portfolio 2 &amp; 3'!$F$10+F75*'Portfolio 2 &amp; 3'!$F$11+G75*'Portfolio 2 &amp; 3'!$F$12+H75*'Portfolio 2 &amp; 3'!$F$13+I75*'Portfolio 2 &amp; 3'!$F$14+J75*'Portfolio 2 &amp; 3'!$F$15+K75*'Portfolio 2 &amp; 3'!$F$16</f>
        <v>2.3677486666324001E-3</v>
      </c>
      <c r="R75" s="93">
        <f>B75*'Portfolio 2 &amp; 3'!$B$23+C75*'Portfolio 2 &amp; 3'!$B$24+D75*'Portfolio 2 &amp; 3'!$B$25+E75*'Portfolio 2 &amp; 3'!$B$26+F75*'Portfolio 2 &amp; 3'!$B$27+G75*'Portfolio 2 &amp; 3'!$B$28+H75*'Portfolio 2 &amp; 3'!$B$29+I75*'Portfolio 2 &amp; 3'!$B$30+J75*'Portfolio 2 &amp; 3'!$B$31+K75*'Portfolio 2 &amp; 3'!$B$32</f>
        <v>-5.0476305296384423E-4</v>
      </c>
      <c r="S75" s="93">
        <f t="shared" si="5"/>
        <v>3.060489927841803E-3</v>
      </c>
    </row>
    <row r="76" spans="1:19" ht="12.75" customHeight="1">
      <c r="A76" s="81">
        <v>45974</v>
      </c>
      <c r="B76" s="53">
        <v>0</v>
      </c>
      <c r="C76" s="53">
        <v>-7.2821846553966499E-3</v>
      </c>
      <c r="D76" s="53">
        <v>2.2473808719162099E-2</v>
      </c>
      <c r="E76" s="53">
        <v>6.3000000000000003E-4</v>
      </c>
      <c r="F76" s="53">
        <v>-7.6203489594282E-3</v>
      </c>
      <c r="G76" s="53">
        <v>3.9219787690214503E-4</v>
      </c>
      <c r="H76" s="87">
        <v>4.3103448275862996E-3</v>
      </c>
      <c r="I76" s="53">
        <v>1.1338782088177599E-2</v>
      </c>
      <c r="J76" s="53">
        <v>4.2782860527874602E-3</v>
      </c>
      <c r="K76" s="53">
        <v>1.12730061349693E-2</v>
      </c>
      <c r="L76" s="95">
        <f>IFERROR(B76*'Stock Statistics'!$C$41+C76*'Stock Statistics'!$C$42+D76*'Stock Statistics'!$C$43+E76*'Stock Statistics'!$C$44+F76*'Stock Statistics'!$C$45+G76*'Stock Statistics'!$C$46+H76*'Stock Statistics'!$C$47+I76*'Stock Statistics'!$C$48+J76*'Stock Statistics'!$C$49+K76*'Stock Statistics'!$C$50,"")</f>
        <v>3.9793892084760054E-3</v>
      </c>
      <c r="M76" s="96">
        <v>498.63159999999999</v>
      </c>
      <c r="N76" s="97">
        <v>575.31410000000005</v>
      </c>
      <c r="O76" s="93">
        <f t="shared" si="3"/>
        <v>8.7194388085687358E-4</v>
      </c>
      <c r="P76" s="93">
        <f t="shared" si="4"/>
        <v>8.308836042626E-3</v>
      </c>
      <c r="Q76" s="93">
        <f>B76*'Portfolio 2 &amp; 3'!$F$7+C76*'Portfolio 2 &amp; 3'!$F$8+D76*'Portfolio 2 &amp; 3'!$F$9+E76*'Portfolio 2 &amp; 3'!$F$10+F76*'Portfolio 2 &amp; 3'!$F$11+G76*'Portfolio 2 &amp; 3'!$F$12+H76*'Portfolio 2 &amp; 3'!$F$13+I76*'Portfolio 2 &amp; 3'!$F$14+J76*'Portfolio 2 &amp; 3'!$F$15+K76*'Portfolio 2 &amp; 3'!$F$16</f>
        <v>4.7503205485931888E-3</v>
      </c>
      <c r="R76" s="93">
        <f>B76*'Portfolio 2 &amp; 3'!$B$23+C76*'Portfolio 2 &amp; 3'!$B$24+D76*'Portfolio 2 &amp; 3'!$B$25+E76*'Portfolio 2 &amp; 3'!$B$26+F76*'Portfolio 2 &amp; 3'!$B$27+G76*'Portfolio 2 &amp; 3'!$B$28+H76*'Portfolio 2 &amp; 3'!$B$29+I76*'Portfolio 2 &amp; 3'!$B$30+J76*'Portfolio 2 &amp; 3'!$B$31+K76*'Portfolio 2 &amp; 3'!$B$32</f>
        <v>1.7993566106335106E-3</v>
      </c>
      <c r="S76" s="93">
        <f t="shared" si="5"/>
        <v>4.5903899617414368E-3</v>
      </c>
    </row>
    <row r="77" spans="1:19" ht="12.75" customHeight="1">
      <c r="A77" s="82">
        <v>45973</v>
      </c>
      <c r="B77" s="53">
        <v>6.9999999999999999E-4</v>
      </c>
      <c r="C77" s="53">
        <v>1.2463793557447599E-2</v>
      </c>
      <c r="D77" s="53">
        <v>1.3182674199623301E-2</v>
      </c>
      <c r="E77" s="53">
        <v>2.5559999999999999E-2</v>
      </c>
      <c r="F77" s="53">
        <v>1.33134519118117E-2</v>
      </c>
      <c r="G77" s="53">
        <v>-3.1365988812803697E-4</v>
      </c>
      <c r="H77" s="87">
        <v>1.4940156830375501E-2</v>
      </c>
      <c r="I77" s="53">
        <v>3.0598695225450001E-3</v>
      </c>
      <c r="J77" s="53">
        <v>2.90448214403583E-3</v>
      </c>
      <c r="K77" s="53">
        <v>-2.98187934857408E-3</v>
      </c>
      <c r="L77" s="95">
        <f>IFERROR(B77*'Stock Statistics'!$C$41+C77*'Stock Statistics'!$C$42+D77*'Stock Statistics'!$C$43+E77*'Stock Statistics'!$C$44+F77*'Stock Statistics'!$C$45+G77*'Stock Statistics'!$C$46+H77*'Stock Statistics'!$C$47+I77*'Stock Statistics'!$C$48+J77*'Stock Statistics'!$C$49+K77*'Stock Statistics'!$C$50,"")</f>
        <v>8.2828888929136826E-3</v>
      </c>
      <c r="M77" s="97">
        <v>498.19720000000001</v>
      </c>
      <c r="N77" s="96">
        <v>570.57330000000002</v>
      </c>
      <c r="O77" s="93">
        <f t="shared" si="3"/>
        <v>-2.9906941240498419E-5</v>
      </c>
      <c r="P77" s="93">
        <f t="shared" si="4"/>
        <v>-3.1228559193527961E-3</v>
      </c>
      <c r="Q77" s="93">
        <f>B77*'Portfolio 2 &amp; 3'!$F$7+C77*'Portfolio 2 &amp; 3'!$F$8+D77*'Portfolio 2 &amp; 3'!$F$9+E77*'Portfolio 2 &amp; 3'!$F$10+F77*'Portfolio 2 &amp; 3'!$F$11+G77*'Portfolio 2 &amp; 3'!$F$12+H77*'Portfolio 2 &amp; 3'!$F$13+I77*'Portfolio 2 &amp; 3'!$F$14+J77*'Portfolio 2 &amp; 3'!$F$15+K77*'Portfolio 2 &amp; 3'!$F$16</f>
        <v>9.1183686089677963E-3</v>
      </c>
      <c r="R77" s="93">
        <f>B77*'Portfolio 2 &amp; 3'!$B$23+C77*'Portfolio 2 &amp; 3'!$B$24+D77*'Portfolio 2 &amp; 3'!$B$25+E77*'Portfolio 2 &amp; 3'!$B$26+F77*'Portfolio 2 &amp; 3'!$B$27+G77*'Portfolio 2 &amp; 3'!$B$28+H77*'Portfolio 2 &amp; 3'!$B$29+I77*'Portfolio 2 &amp; 3'!$B$30+J77*'Portfolio 2 &amp; 3'!$B$31+K77*'Portfolio 2 &amp; 3'!$B$32</f>
        <v>5.7590092866765972E-3</v>
      </c>
      <c r="S77" s="93">
        <f t="shared" si="5"/>
        <v>-1.5763814302966472E-3</v>
      </c>
    </row>
    <row r="78" spans="1:19" ht="12.75" customHeight="1">
      <c r="A78" s="81">
        <v>45972</v>
      </c>
      <c r="B78" s="53">
        <v>1.5E-3</v>
      </c>
      <c r="C78" s="53">
        <v>2.9932212342636002E-3</v>
      </c>
      <c r="D78" s="53">
        <v>1.1603740907516501E-2</v>
      </c>
      <c r="E78" s="53">
        <v>-1.106E-2</v>
      </c>
      <c r="F78" s="53">
        <v>-1.00168705187684E-2</v>
      </c>
      <c r="G78" s="53">
        <v>2.1741977734119899E-3</v>
      </c>
      <c r="H78" s="87">
        <v>1.06782347543173E-2</v>
      </c>
      <c r="I78" s="53">
        <v>9.3234659984848794E-3</v>
      </c>
      <c r="J78" s="53">
        <v>2.2494211048626998E-3</v>
      </c>
      <c r="K78" s="53">
        <v>-2.2715385190166599E-2</v>
      </c>
      <c r="L78" s="95">
        <f>IFERROR(B78*'Stock Statistics'!$C$41+C78*'Stock Statistics'!$C$42+D78*'Stock Statistics'!$C$43+E78*'Stock Statistics'!$C$44+F78*'Stock Statistics'!$C$45+G78*'Stock Statistics'!$C$46+H78*'Stock Statistics'!$C$47+I78*'Stock Statistics'!$C$48+J78*'Stock Statistics'!$C$49+K78*'Stock Statistics'!$C$50,"")</f>
        <v>-3.2699739360780291E-4</v>
      </c>
      <c r="M78" s="96">
        <v>498.21210000000002</v>
      </c>
      <c r="N78" s="97">
        <v>572.36069999999995</v>
      </c>
      <c r="O78" s="93">
        <f t="shared" si="3"/>
        <v>5.1963474852341207E-3</v>
      </c>
      <c r="P78" s="93">
        <f t="shared" si="4"/>
        <v>2.737746102824401E-3</v>
      </c>
      <c r="Q78" s="93">
        <f>B78*'Portfolio 2 &amp; 3'!$F$7+C78*'Portfolio 2 &amp; 3'!$F$8+D78*'Portfolio 2 &amp; 3'!$F$9+E78*'Portfolio 2 &amp; 3'!$F$10+F78*'Portfolio 2 &amp; 3'!$F$11+G78*'Portfolio 2 &amp; 3'!$F$12+H78*'Portfolio 2 &amp; 3'!$F$13+I78*'Portfolio 2 &amp; 3'!$F$14+J78*'Portfolio 2 &amp; 3'!$F$15+K78*'Portfolio 2 &amp; 3'!$F$16</f>
        <v>1.2955259530007281E-3</v>
      </c>
      <c r="R78" s="93">
        <f>B78*'Portfolio 2 &amp; 3'!$B$23+C78*'Portfolio 2 &amp; 3'!$B$24+D78*'Portfolio 2 &amp; 3'!$B$25+E78*'Portfolio 2 &amp; 3'!$B$26+F78*'Portfolio 2 &amp; 3'!$B$27+G78*'Portfolio 2 &amp; 3'!$B$28+H78*'Portfolio 2 &amp; 3'!$B$29+I78*'Portfolio 2 &amp; 3'!$B$30+J78*'Portfolio 2 &amp; 3'!$B$31+K78*'Portfolio 2 &amp; 3'!$B$32</f>
        <v>3.4209751873639236E-4</v>
      </c>
      <c r="S78" s="93">
        <f t="shared" si="5"/>
        <v>3.9670467940292609E-3</v>
      </c>
    </row>
    <row r="79" spans="1:19" ht="12.75" customHeight="1">
      <c r="A79" s="82">
        <v>45971</v>
      </c>
      <c r="B79" s="53">
        <v>2.5000000000000001E-2</v>
      </c>
      <c r="C79" s="53">
        <v>1.94054864602622E-3</v>
      </c>
      <c r="D79" s="53">
        <v>2.75849795337249E-2</v>
      </c>
      <c r="E79" s="53">
        <v>5.1000000000000004E-3</v>
      </c>
      <c r="F79" s="53">
        <v>4.5546022667089002E-3</v>
      </c>
      <c r="G79" s="53">
        <v>6.6340782122905007E-2</v>
      </c>
      <c r="H79" s="87">
        <v>-5.5583208893313901E-3</v>
      </c>
      <c r="I79" s="53">
        <v>1.0778654729650001E-2</v>
      </c>
      <c r="J79" s="53">
        <v>3.8520289566315001E-3</v>
      </c>
      <c r="K79" s="53">
        <v>5.2580184781791904E-3</v>
      </c>
      <c r="L79" s="95">
        <f>IFERROR(B79*'Stock Statistics'!$C$41+C79*'Stock Statistics'!$C$42+D79*'Stock Statistics'!$C$43+E79*'Stock Statistics'!$C$44+F79*'Stock Statistics'!$C$45+G79*'Stock Statistics'!$C$46+H79*'Stock Statistics'!$C$47+I79*'Stock Statistics'!$C$48+J79*'Stock Statistics'!$C$49+K79*'Stock Statistics'!$C$50,"")</f>
        <v>1.4485129384449433E-2</v>
      </c>
      <c r="M79" s="97">
        <v>495.63659999999999</v>
      </c>
      <c r="N79" s="96">
        <v>570.798</v>
      </c>
      <c r="O79" s="93">
        <f t="shared" si="3"/>
        <v>-3.9932671096376549E-4</v>
      </c>
      <c r="P79" s="93">
        <f t="shared" si="4"/>
        <v>-5.6547920273023466E-3</v>
      </c>
      <c r="Q79" s="93">
        <f>B79*'Portfolio 2 &amp; 3'!$F$7+C79*'Portfolio 2 &amp; 3'!$F$8+D79*'Portfolio 2 &amp; 3'!$F$9+E79*'Portfolio 2 &amp; 3'!$F$10+F79*'Portfolio 2 &amp; 3'!$F$11+G79*'Portfolio 2 &amp; 3'!$F$12+H79*'Portfolio 2 &amp; 3'!$F$13+I79*'Portfolio 2 &amp; 3'!$F$14+J79*'Portfolio 2 &amp; 3'!$F$15+K79*'Portfolio 2 &amp; 3'!$F$16</f>
        <v>1.0971169958164859E-2</v>
      </c>
      <c r="R79" s="93">
        <f>B79*'Portfolio 2 &amp; 3'!$B$23+C79*'Portfolio 2 &amp; 3'!$B$24+D79*'Portfolio 2 &amp; 3'!$B$25+E79*'Portfolio 2 &amp; 3'!$B$26+F79*'Portfolio 2 &amp; 3'!$B$27+G79*'Portfolio 2 &amp; 3'!$B$28+H79*'Portfolio 2 &amp; 3'!$B$29+I79*'Portfolio 2 &amp; 3'!$B$30+J79*'Portfolio 2 &amp; 3'!$B$31+K79*'Portfolio 2 &amp; 3'!$B$32</f>
        <v>1.4928048081932236E-2</v>
      </c>
      <c r="S79" s="93">
        <f t="shared" si="5"/>
        <v>-3.0270593691330561E-3</v>
      </c>
    </row>
    <row r="80" spans="1:19" ht="12.75" customHeight="1">
      <c r="A80" s="81">
        <v>45968</v>
      </c>
      <c r="B80" s="53">
        <v>-2.2700000000000001E-2</v>
      </c>
      <c r="C80" s="53">
        <v>4.4298750775229098E-3</v>
      </c>
      <c r="D80" s="53">
        <v>-1.4729089952656401E-2</v>
      </c>
      <c r="E80" s="53">
        <v>-6.1500000000000001E-3</v>
      </c>
      <c r="F80" s="53">
        <v>7.9000747304365203E-3</v>
      </c>
      <c r="G80" s="53">
        <v>7.4857882591321499E-3</v>
      </c>
      <c r="H80" s="87">
        <v>1.6594756057086699E-4</v>
      </c>
      <c r="I80" s="53">
        <v>3.78384770012996E-3</v>
      </c>
      <c r="J80" s="53">
        <v>2.7972027972027499E-3</v>
      </c>
      <c r="K80" s="53">
        <v>-3.2977409747947897E-2</v>
      </c>
      <c r="L80" s="95">
        <f>IFERROR(B80*'Stock Statistics'!$C$41+C80*'Stock Statistics'!$C$42+D80*'Stock Statistics'!$C$43+E80*'Stock Statistics'!$C$44+F80*'Stock Statistics'!$C$45+G80*'Stock Statistics'!$C$46+H80*'Stock Statistics'!$C$47+I80*'Stock Statistics'!$C$48+J80*'Stock Statistics'!$C$49+K80*'Stock Statistics'!$C$50,"")</f>
        <v>-4.9993763575609147E-3</v>
      </c>
      <c r="M80" s="96">
        <v>495.83460000000002</v>
      </c>
      <c r="N80" s="97">
        <v>574.04409999999996</v>
      </c>
      <c r="O80" s="93">
        <f t="shared" si="3"/>
        <v>4.039267653739298E-4</v>
      </c>
      <c r="P80" s="93">
        <f t="shared" si="4"/>
        <v>-6.562586421549943E-3</v>
      </c>
      <c r="Q80" s="93">
        <f>B80*'Portfolio 2 &amp; 3'!$F$7+C80*'Portfolio 2 &amp; 3'!$F$8+D80*'Portfolio 2 &amp; 3'!$F$9+E80*'Portfolio 2 &amp; 3'!$F$10+F80*'Portfolio 2 &amp; 3'!$F$11+G80*'Portfolio 2 &amp; 3'!$F$12+H80*'Portfolio 2 &amp; 3'!$F$13+I80*'Portfolio 2 &amp; 3'!$F$14+J80*'Portfolio 2 &amp; 3'!$F$15+K80*'Portfolio 2 &amp; 3'!$F$16</f>
        <v>-4.1158037613435623E-3</v>
      </c>
      <c r="R80" s="93">
        <f>B80*'Portfolio 2 &amp; 3'!$B$23+C80*'Portfolio 2 &amp; 3'!$B$24+D80*'Portfolio 2 &amp; 3'!$B$25+E80*'Portfolio 2 &amp; 3'!$B$26+F80*'Portfolio 2 &amp; 3'!$B$27+G80*'Portfolio 2 &amp; 3'!$B$28+H80*'Portfolio 2 &amp; 3'!$B$29+I80*'Portfolio 2 &amp; 3'!$B$30+J80*'Portfolio 2 &amp; 3'!$B$31+K80*'Portfolio 2 &amp; 3'!$B$32</f>
        <v>-2.1218672759520238E-3</v>
      </c>
      <c r="S80" s="93">
        <f t="shared" si="5"/>
        <v>-3.0793298280880066E-3</v>
      </c>
    </row>
    <row r="81" spans="1:19" ht="12.75" customHeight="1">
      <c r="A81" s="82">
        <v>45967</v>
      </c>
      <c r="B81" s="53">
        <v>3.2000000000000002E-3</v>
      </c>
      <c r="C81" s="53">
        <v>-3.6193502824858302E-3</v>
      </c>
      <c r="D81" s="53">
        <v>-7.3970933774257803E-3</v>
      </c>
      <c r="E81" s="53">
        <v>-2.7550000000000002E-2</v>
      </c>
      <c r="F81" s="53">
        <v>-3.6019347535247499E-2</v>
      </c>
      <c r="G81" s="53">
        <v>-6.0419580419580603E-3</v>
      </c>
      <c r="H81" s="87">
        <v>4.3333333333333002E-3</v>
      </c>
      <c r="I81" s="53">
        <v>3.2623524526957902E-3</v>
      </c>
      <c r="J81" s="53">
        <v>-1.1973657952504299E-3</v>
      </c>
      <c r="K81" s="53">
        <v>1.16099639944154E-2</v>
      </c>
      <c r="L81" s="95">
        <f>IFERROR(B81*'Stock Statistics'!$C$41+C81*'Stock Statistics'!$C$42+D81*'Stock Statistics'!$C$43+E81*'Stock Statistics'!$C$44+F81*'Stock Statistics'!$C$45+G81*'Stock Statistics'!$C$46+H81*'Stock Statistics'!$C$47+I81*'Stock Statistics'!$C$48+J81*'Stock Statistics'!$C$49+K81*'Stock Statistics'!$C$50,"")</f>
        <v>-5.9419465251923124E-3</v>
      </c>
      <c r="M81" s="97">
        <v>495.63440000000003</v>
      </c>
      <c r="N81" s="96">
        <v>577.83619999999996</v>
      </c>
      <c r="O81" s="93">
        <f t="shared" si="3"/>
        <v>-3.3073981995221935E-3</v>
      </c>
      <c r="P81" s="93">
        <f t="shared" si="4"/>
        <v>-2.865933732185022E-3</v>
      </c>
      <c r="Q81" s="93">
        <f>B81*'Portfolio 2 &amp; 3'!$F$7+C81*'Portfolio 2 &amp; 3'!$F$8+D81*'Portfolio 2 &amp; 3'!$F$9+E81*'Portfolio 2 &amp; 3'!$F$10+F81*'Portfolio 2 &amp; 3'!$F$11+G81*'Portfolio 2 &amp; 3'!$F$12+H81*'Portfolio 2 &amp; 3'!$F$13+I81*'Portfolio 2 &amp; 3'!$F$14+J81*'Portfolio 2 &amp; 3'!$F$15+K81*'Portfolio 2 &amp; 3'!$F$16</f>
        <v>-5.4417363764899408E-3</v>
      </c>
      <c r="R81" s="93">
        <f>B81*'Portfolio 2 &amp; 3'!$B$23+C81*'Portfolio 2 &amp; 3'!$B$24+D81*'Portfolio 2 &amp; 3'!$B$25+E81*'Portfolio 2 &amp; 3'!$B$26+F81*'Portfolio 2 &amp; 3'!$B$27+G81*'Portfolio 2 &amp; 3'!$B$28+H81*'Portfolio 2 &amp; 3'!$B$29+I81*'Portfolio 2 &amp; 3'!$B$30+J81*'Portfolio 2 &amp; 3'!$B$31+K81*'Portfolio 2 &amp; 3'!$B$32</f>
        <v>-4.7740000966253575E-3</v>
      </c>
      <c r="S81" s="93">
        <f t="shared" si="5"/>
        <v>-3.0866659658536078E-3</v>
      </c>
    </row>
    <row r="82" spans="1:19" ht="12.75" customHeight="1">
      <c r="A82" s="81">
        <v>45965</v>
      </c>
      <c r="B82" s="53">
        <v>1.12E-2</v>
      </c>
      <c r="C82" s="53">
        <v>6.3071866394244199E-3</v>
      </c>
      <c r="D82" s="53">
        <v>-8.1995511824616302E-3</v>
      </c>
      <c r="E82" s="53">
        <v>5.64E-3</v>
      </c>
      <c r="F82" s="53">
        <v>-9.5306049640689894E-3</v>
      </c>
      <c r="G82" s="53">
        <v>-1.46900752418488E-2</v>
      </c>
      <c r="H82" s="87">
        <v>3.3444816053511701E-3</v>
      </c>
      <c r="I82" s="53">
        <v>-2.4260355029584999E-3</v>
      </c>
      <c r="J82" s="53">
        <v>-5.4250744293747903E-3</v>
      </c>
      <c r="K82" s="53">
        <v>7.3486184597237894E-5</v>
      </c>
      <c r="L82" s="95">
        <f>IFERROR(B82*'Stock Statistics'!$C$41+C82*'Stock Statistics'!$C$42+D82*'Stock Statistics'!$C$43+E82*'Stock Statistics'!$C$44+F82*'Stock Statistics'!$C$45+G82*'Stock Statistics'!$C$46+H82*'Stock Statistics'!$C$47+I82*'Stock Statistics'!$C$48+J82*'Stock Statistics'!$C$49+K82*'Stock Statistics'!$C$50,"")</f>
        <v>-1.370618689133988E-3</v>
      </c>
      <c r="M82" s="96">
        <v>497.27910000000003</v>
      </c>
      <c r="N82" s="97">
        <v>579.49699999999996</v>
      </c>
      <c r="O82" s="93">
        <f t="shared" si="3"/>
        <v>-7.5166856170489904E-3</v>
      </c>
      <c r="P82" s="93">
        <f t="shared" si="4"/>
        <v>1.3455860402246778E-2</v>
      </c>
      <c r="Q82" s="93">
        <f>B82*'Portfolio 2 &amp; 3'!$F$7+C82*'Portfolio 2 &amp; 3'!$F$8+D82*'Portfolio 2 &amp; 3'!$F$9+E82*'Portfolio 2 &amp; 3'!$F$10+F82*'Portfolio 2 &amp; 3'!$F$11+G82*'Portfolio 2 &amp; 3'!$F$12+H82*'Portfolio 2 &amp; 3'!$F$13+I82*'Portfolio 2 &amp; 3'!$F$14+J82*'Portfolio 2 &amp; 3'!$F$15+K82*'Portfolio 2 &amp; 3'!$F$16</f>
        <v>-1.5499155209172449E-3</v>
      </c>
      <c r="R82" s="93">
        <f>B82*'Portfolio 2 &amp; 3'!$B$23+C82*'Portfolio 2 &amp; 3'!$B$24+D82*'Portfolio 2 &amp; 3'!$B$25+E82*'Portfolio 2 &amp; 3'!$B$26+F82*'Portfolio 2 &amp; 3'!$B$27+G82*'Portfolio 2 &amp; 3'!$B$28+H82*'Portfolio 2 &amp; 3'!$B$29+I82*'Portfolio 2 &amp; 3'!$B$30+J82*'Portfolio 2 &amp; 3'!$B$31+K82*'Portfolio 2 &amp; 3'!$B$32</f>
        <v>-1.1385896557712153E-3</v>
      </c>
      <c r="S82" s="93">
        <f t="shared" si="5"/>
        <v>2.9695873925988936E-3</v>
      </c>
    </row>
    <row r="83" spans="1:19" ht="12.75" customHeight="1">
      <c r="A83" s="82">
        <v>45964</v>
      </c>
      <c r="B83" s="53">
        <v>1.4E-3</v>
      </c>
      <c r="C83" s="53">
        <v>2.2155634250431201E-2</v>
      </c>
      <c r="D83" s="53">
        <v>1.72973922205635E-2</v>
      </c>
      <c r="E83" s="53">
        <v>8.5400000000000007E-3</v>
      </c>
      <c r="F83" s="53">
        <v>6.7730514649288996E-3</v>
      </c>
      <c r="G83" s="53">
        <v>1.9156765259402901E-2</v>
      </c>
      <c r="H83" s="87">
        <v>-1.33600534402134E-3</v>
      </c>
      <c r="I83" s="53">
        <v>-9.6108766994843497E-3</v>
      </c>
      <c r="J83" s="53">
        <v>6.7941117697996097E-3</v>
      </c>
      <c r="K83" s="53">
        <v>9.7951914514693393E-3</v>
      </c>
      <c r="L83" s="95">
        <f>IFERROR(B83*'Stock Statistics'!$C$41+C83*'Stock Statistics'!$C$42+D83*'Stock Statistics'!$C$43+E83*'Stock Statistics'!$C$44+F83*'Stock Statistics'!$C$45+G83*'Stock Statistics'!$C$46+H83*'Stock Statistics'!$C$47+I83*'Stock Statistics'!$C$48+J83*'Stock Statistics'!$C$49+K83*'Stock Statistics'!$C$50,"")</f>
        <v>8.0965264373089787E-3</v>
      </c>
      <c r="M83" s="97">
        <v>501.0453</v>
      </c>
      <c r="N83" s="96">
        <v>571.80290000000002</v>
      </c>
      <c r="O83" s="93">
        <f t="shared" si="3"/>
        <v>-2.8484908550965304E-3</v>
      </c>
      <c r="P83" s="93">
        <f t="shared" si="4"/>
        <v>-3.0511570946638589E-3</v>
      </c>
      <c r="Q83" s="93">
        <f>B83*'Portfolio 2 &amp; 3'!$F$7+C83*'Portfolio 2 &amp; 3'!$F$8+D83*'Portfolio 2 &amp; 3'!$F$9+E83*'Portfolio 2 &amp; 3'!$F$10+F83*'Portfolio 2 &amp; 3'!$F$11+G83*'Portfolio 2 &amp; 3'!$F$12+H83*'Portfolio 2 &amp; 3'!$F$13+I83*'Portfolio 2 &amp; 3'!$F$14+J83*'Portfolio 2 &amp; 3'!$F$15+K83*'Portfolio 2 &amp; 3'!$F$16</f>
        <v>7.6378017718827171E-3</v>
      </c>
      <c r="R83" s="93">
        <f>B83*'Portfolio 2 &amp; 3'!$B$23+C83*'Portfolio 2 &amp; 3'!$B$24+D83*'Portfolio 2 &amp; 3'!$B$25+E83*'Portfolio 2 &amp; 3'!$B$26+F83*'Portfolio 2 &amp; 3'!$B$27+G83*'Portfolio 2 &amp; 3'!$B$28+H83*'Portfolio 2 &amp; 3'!$B$29+I83*'Portfolio 2 &amp; 3'!$B$30+J83*'Portfolio 2 &amp; 3'!$B$31+K83*'Portfolio 2 &amp; 3'!$B$32</f>
        <v>6.3626575065012063E-3</v>
      </c>
      <c r="S83" s="93">
        <f t="shared" si="5"/>
        <v>-2.9498239748801947E-3</v>
      </c>
    </row>
    <row r="84" spans="1:19" ht="12.75" customHeight="1">
      <c r="A84" s="81">
        <v>45961</v>
      </c>
      <c r="B84" s="53">
        <v>-2.0400000000000001E-2</v>
      </c>
      <c r="C84" s="53">
        <v>-3.3484162895928201E-3</v>
      </c>
      <c r="D84" s="53">
        <v>3.30158730158732E-2</v>
      </c>
      <c r="E84" s="53">
        <v>9.0399999999999994E-3</v>
      </c>
      <c r="F84" s="53">
        <v>-1.1864320843684901E-2</v>
      </c>
      <c r="G84" s="53">
        <v>-1.17421718854098E-2</v>
      </c>
      <c r="H84" s="87">
        <v>-3.8263184162369299E-3</v>
      </c>
      <c r="I84" s="53">
        <v>9.2860945170638604E-3</v>
      </c>
      <c r="J84" s="53">
        <v>-2.5193169274722399E-2</v>
      </c>
      <c r="K84" s="53">
        <v>1.24718256949663E-2</v>
      </c>
      <c r="L84" s="95">
        <f>IFERROR(B84*'Stock Statistics'!$C$41+C84*'Stock Statistics'!$C$42+D84*'Stock Statistics'!$C$43+E84*'Stock Statistics'!$C$44+F84*'Stock Statistics'!$C$45+G84*'Stock Statistics'!$C$46+H84*'Stock Statistics'!$C$47+I84*'Stock Statistics'!$C$48+J84*'Stock Statistics'!$C$49+K84*'Stock Statistics'!$C$50,"")</f>
        <v>-1.2560603481743496E-3</v>
      </c>
      <c r="M84" s="96">
        <v>502.47660000000002</v>
      </c>
      <c r="N84" s="97">
        <v>573.55290000000002</v>
      </c>
      <c r="O84" s="93">
        <f t="shared" si="3"/>
        <v>6.7720343572699182E-3</v>
      </c>
      <c r="P84" s="93">
        <f t="shared" si="4"/>
        <v>-4.4586073495593848E-3</v>
      </c>
      <c r="Q84" s="93">
        <f>B84*'Portfolio 2 &amp; 3'!$F$7+C84*'Portfolio 2 &amp; 3'!$F$8+D84*'Portfolio 2 &amp; 3'!$F$9+E84*'Portfolio 2 &amp; 3'!$F$10+F84*'Portfolio 2 &amp; 3'!$F$11+G84*'Portfolio 2 &amp; 3'!$F$12+H84*'Portfolio 2 &amp; 3'!$F$13+I84*'Portfolio 2 &amp; 3'!$F$14+J84*'Portfolio 2 &amp; 3'!$F$15+K84*'Portfolio 2 &amp; 3'!$F$16</f>
        <v>-1.0080367160841522E-3</v>
      </c>
      <c r="R84" s="93">
        <f>B84*'Portfolio 2 &amp; 3'!$B$23+C84*'Portfolio 2 &amp; 3'!$B$24+D84*'Portfolio 2 &amp; 3'!$B$25+E84*'Portfolio 2 &amp; 3'!$B$26+F84*'Portfolio 2 &amp; 3'!$B$27+G84*'Portfolio 2 &amp; 3'!$B$28+H84*'Portfolio 2 &amp; 3'!$B$29+I84*'Portfolio 2 &amp; 3'!$B$30+J84*'Portfolio 2 &amp; 3'!$B$31+K84*'Portfolio 2 &amp; 3'!$B$32</f>
        <v>-3.6291537856148535E-3</v>
      </c>
      <c r="S84" s="93">
        <f t="shared" si="5"/>
        <v>1.1567135038552667E-3</v>
      </c>
    </row>
    <row r="85" spans="1:19" ht="12.75" customHeight="1">
      <c r="A85" s="82">
        <v>45960</v>
      </c>
      <c r="B85" s="53">
        <v>-3.5000000000000001E-3</v>
      </c>
      <c r="C85" s="53">
        <v>-1.80668473351398E-3</v>
      </c>
      <c r="D85" s="53">
        <v>-8.2756139246199494E-3</v>
      </c>
      <c r="E85" s="53">
        <v>-5.2100000000000002E-3</v>
      </c>
      <c r="F85" s="53">
        <v>-1.6701565460165602E-2</v>
      </c>
      <c r="G85" s="53">
        <v>8.6127858194640105E-4</v>
      </c>
      <c r="H85" s="87">
        <v>-3.8931968982332803E-2</v>
      </c>
      <c r="I85" s="53">
        <v>-7.4556768815310396E-3</v>
      </c>
      <c r="J85" s="53">
        <v>-2.5931313642400901E-2</v>
      </c>
      <c r="K85" s="53">
        <v>2.1959459459459402E-2</v>
      </c>
      <c r="L85" s="95">
        <f>IFERROR(B85*'Stock Statistics'!$C$41+C85*'Stock Statistics'!$C$42+D85*'Stock Statistics'!$C$43+E85*'Stock Statistics'!$C$44+F85*'Stock Statistics'!$C$45+G85*'Stock Statistics'!$C$46+H85*'Stock Statistics'!$C$47+I85*'Stock Statistics'!$C$48+J85*'Stock Statistics'!$C$49+K85*'Stock Statistics'!$C$50,"")</f>
        <v>-8.4992085583158478E-3</v>
      </c>
      <c r="M85" s="97">
        <v>499.0967</v>
      </c>
      <c r="N85" s="96">
        <v>576.12159999999994</v>
      </c>
      <c r="O85" s="93">
        <f t="shared" si="3"/>
        <v>-6.1400282488294211E-3</v>
      </c>
      <c r="P85" s="93">
        <f t="shared" si="4"/>
        <v>7.3042116011357017E-3</v>
      </c>
      <c r="Q85" s="93">
        <f>B85*'Portfolio 2 &amp; 3'!$F$7+C85*'Portfolio 2 &amp; 3'!$F$8+D85*'Portfolio 2 &amp; 3'!$F$9+E85*'Portfolio 2 &amp; 3'!$F$10+F85*'Portfolio 2 &amp; 3'!$F$11+G85*'Portfolio 2 &amp; 3'!$F$12+H85*'Portfolio 2 &amp; 3'!$F$13+I85*'Portfolio 2 &amp; 3'!$F$14+J85*'Portfolio 2 &amp; 3'!$F$15+K85*'Portfolio 2 &amp; 3'!$F$16</f>
        <v>-1.2609616733165029E-2</v>
      </c>
      <c r="R85" s="93">
        <f>B85*'Portfolio 2 &amp; 3'!$B$23+C85*'Portfolio 2 &amp; 3'!$B$24+D85*'Portfolio 2 &amp; 3'!$B$25+E85*'Portfolio 2 &amp; 3'!$B$26+F85*'Portfolio 2 &amp; 3'!$B$27+G85*'Portfolio 2 &amp; 3'!$B$28+H85*'Portfolio 2 &amp; 3'!$B$29+I85*'Portfolio 2 &amp; 3'!$B$30+J85*'Portfolio 2 &amp; 3'!$B$31+K85*'Portfolio 2 &amp; 3'!$B$32</f>
        <v>-5.4574257624987396E-3</v>
      </c>
      <c r="S85" s="93">
        <f t="shared" si="5"/>
        <v>5.8209167615314028E-4</v>
      </c>
    </row>
    <row r="86" spans="1:19" ht="12.75" customHeight="1">
      <c r="A86" s="81">
        <v>45959</v>
      </c>
      <c r="B86" s="53">
        <v>-2.2000000000000001E-3</v>
      </c>
      <c r="C86" s="53">
        <v>1.8961708394698001E-2</v>
      </c>
      <c r="D86" s="53">
        <v>1.1187920684009299E-2</v>
      </c>
      <c r="E86" s="53">
        <v>1.9390000000000001E-2</v>
      </c>
      <c r="F86" s="53">
        <v>1.6479400749063199E-3</v>
      </c>
      <c r="G86" s="53">
        <v>6.3749475744443503E-3</v>
      </c>
      <c r="H86" s="87">
        <v>-2.9858849077090101E-2</v>
      </c>
      <c r="I86" s="53">
        <v>-7.2848068069234504E-3</v>
      </c>
      <c r="J86" s="53">
        <v>8.2902876092085798E-3</v>
      </c>
      <c r="K86" s="53">
        <v>1.14157024151589E-2</v>
      </c>
      <c r="L86" s="95">
        <f>IFERROR(B86*'Stock Statistics'!$C$41+C86*'Stock Statistics'!$C$42+D86*'Stock Statistics'!$C$43+E86*'Stock Statistics'!$C$44+F86*'Stock Statistics'!$C$45+G86*'Stock Statistics'!$C$46+H86*'Stock Statistics'!$C$47+I86*'Stock Statistics'!$C$48+J86*'Stock Statistics'!$C$49+K86*'Stock Statistics'!$C$50,"")</f>
        <v>3.7924850868411887E-3</v>
      </c>
      <c r="M86" s="96">
        <v>502.18009999999998</v>
      </c>
      <c r="N86" s="97">
        <v>571.94399999999996</v>
      </c>
      <c r="O86" s="93">
        <f t="shared" si="3"/>
        <v>-2.0998066914026392E-3</v>
      </c>
      <c r="P86" s="93">
        <f t="shared" si="4"/>
        <v>-2.0479213955528763E-3</v>
      </c>
      <c r="Q86" s="93">
        <f>B86*'Portfolio 2 &amp; 3'!$F$7+C86*'Portfolio 2 &amp; 3'!$F$8+D86*'Portfolio 2 &amp; 3'!$F$9+E86*'Portfolio 2 &amp; 3'!$F$10+F86*'Portfolio 2 &amp; 3'!$F$11+G86*'Portfolio 2 &amp; 3'!$F$12+H86*'Portfolio 2 &amp; 3'!$F$13+I86*'Portfolio 2 &amp; 3'!$F$14+J86*'Portfolio 2 &amp; 3'!$F$15+K86*'Portfolio 2 &amp; 3'!$F$16</f>
        <v>1.7126418936150895E-3</v>
      </c>
      <c r="R86" s="93">
        <f>B86*'Portfolio 2 &amp; 3'!$B$23+C86*'Portfolio 2 &amp; 3'!$B$24+D86*'Portfolio 2 &amp; 3'!$B$25+E86*'Portfolio 2 &amp; 3'!$B$26+F86*'Portfolio 2 &amp; 3'!$B$27+G86*'Portfolio 2 &amp; 3'!$B$28+H86*'Portfolio 2 &amp; 3'!$B$29+I86*'Portfolio 2 &amp; 3'!$B$30+J86*'Portfolio 2 &amp; 3'!$B$31+K86*'Portfolio 2 &amp; 3'!$B$32</f>
        <v>2.9431405695282365E-3</v>
      </c>
      <c r="S86" s="93">
        <f t="shared" si="5"/>
        <v>-2.0738640434777578E-3</v>
      </c>
    </row>
    <row r="87" spans="1:19" ht="12.75" customHeight="1">
      <c r="A87" s="82">
        <v>45958</v>
      </c>
      <c r="B87" s="53">
        <v>0</v>
      </c>
      <c r="C87" s="53">
        <v>-7.94447995616843E-3</v>
      </c>
      <c r="D87" s="53">
        <v>4.2934137206540601E-3</v>
      </c>
      <c r="E87" s="53">
        <v>1.41E-3</v>
      </c>
      <c r="F87" s="53">
        <v>-1.242787394585E-2</v>
      </c>
      <c r="G87" s="53">
        <v>-5.5333110888666796E-3</v>
      </c>
      <c r="H87" s="87">
        <v>3.9710348049522004E-3</v>
      </c>
      <c r="I87" s="53">
        <v>1.7131001778304799E-2</v>
      </c>
      <c r="J87" s="53">
        <v>-1.0037878787878899E-2</v>
      </c>
      <c r="K87" s="53">
        <v>-7.9352850539291496E-3</v>
      </c>
      <c r="L87" s="95">
        <f>IFERROR(B87*'Stock Statistics'!$C$41+C87*'Stock Statistics'!$C$42+D87*'Stock Statistics'!$C$43+E87*'Stock Statistics'!$C$44+F87*'Stock Statistics'!$C$45+G87*'Stock Statistics'!$C$46+H87*'Stock Statistics'!$C$47+I87*'Stock Statistics'!$C$48+J87*'Stock Statistics'!$C$49+K87*'Stock Statistics'!$C$50,"")</f>
        <v>-1.7073378528782103E-3</v>
      </c>
      <c r="M87" s="97">
        <v>503.23680000000002</v>
      </c>
      <c r="N87" s="96">
        <v>573.11770000000001</v>
      </c>
      <c r="O87" s="93">
        <f t="shared" si="3"/>
        <v>5.0311792515382869E-3</v>
      </c>
      <c r="P87" s="93">
        <f t="shared" si="4"/>
        <v>-1.402801909943352E-3</v>
      </c>
      <c r="Q87" s="93">
        <f>B87*'Portfolio 2 &amp; 3'!$F$7+C87*'Portfolio 2 &amp; 3'!$F$8+D87*'Portfolio 2 &amp; 3'!$F$9+E87*'Portfolio 2 &amp; 3'!$F$10+F87*'Portfolio 2 &amp; 3'!$F$11+G87*'Portfolio 2 &amp; 3'!$F$12+H87*'Portfolio 2 &amp; 3'!$F$13+I87*'Portfolio 2 &amp; 3'!$F$14+J87*'Portfolio 2 &amp; 3'!$F$15+K87*'Portfolio 2 &amp; 3'!$F$16</f>
        <v>-1.6595519169924338E-3</v>
      </c>
      <c r="R87" s="93">
        <f>B87*'Portfolio 2 &amp; 3'!$B$23+C87*'Portfolio 2 &amp; 3'!$B$24+D87*'Portfolio 2 &amp; 3'!$B$25+E87*'Portfolio 2 &amp; 3'!$B$26+F87*'Portfolio 2 &amp; 3'!$B$27+G87*'Portfolio 2 &amp; 3'!$B$28+H87*'Portfolio 2 &amp; 3'!$B$29+I87*'Portfolio 2 &amp; 3'!$B$30+J87*'Portfolio 2 &amp; 3'!$B$31+K87*'Portfolio 2 &amp; 3'!$B$32</f>
        <v>-6.2326530591044369E-4</v>
      </c>
      <c r="S87" s="93">
        <f t="shared" si="5"/>
        <v>1.8141886707974675E-3</v>
      </c>
    </row>
    <row r="88" spans="1:19" ht="12.75" customHeight="1">
      <c r="A88" s="81">
        <v>45957</v>
      </c>
      <c r="B88" s="53">
        <v>-5.3E-3</v>
      </c>
      <c r="C88" s="53">
        <v>-1.2533814247069499E-2</v>
      </c>
      <c r="D88" s="53">
        <v>8.9400921658986405E-3</v>
      </c>
      <c r="E88" s="53">
        <v>-7.79E-3</v>
      </c>
      <c r="F88" s="53">
        <v>8.9063588416757895E-3</v>
      </c>
      <c r="G88" s="53">
        <v>4.18830624895294E-3</v>
      </c>
      <c r="H88" s="87">
        <v>5.4534122779692495E-4</v>
      </c>
      <c r="I88" s="53">
        <v>-3.8970240906943698E-3</v>
      </c>
      <c r="J88" s="53">
        <v>-2.5246149962132602E-4</v>
      </c>
      <c r="K88" s="53">
        <v>-1.5622630062187099E-2</v>
      </c>
      <c r="L88" s="95">
        <f>IFERROR(B88*'Stock Statistics'!$C$41+C88*'Stock Statistics'!$C$42+D88*'Stock Statistics'!$C$43+E88*'Stock Statistics'!$C$44+F88*'Stock Statistics'!$C$45+G88*'Stock Statistics'!$C$46+H88*'Stock Statistics'!$C$47+I88*'Stock Statistics'!$C$48+J88*'Stock Statistics'!$C$49+K88*'Stock Statistics'!$C$50,"")</f>
        <v>-2.2815831415247999E-3</v>
      </c>
      <c r="M88" s="96">
        <v>500.7176</v>
      </c>
      <c r="N88" s="97">
        <v>573.92280000000005</v>
      </c>
      <c r="O88" s="93">
        <f t="shared" si="3"/>
        <v>-2.0645595895194546E-3</v>
      </c>
      <c r="P88" s="93">
        <f t="shared" si="4"/>
        <v>-3.8539029880070297E-3</v>
      </c>
      <c r="Q88" s="93">
        <f>B88*'Portfolio 2 &amp; 3'!$F$7+C88*'Portfolio 2 &amp; 3'!$F$8+D88*'Portfolio 2 &amp; 3'!$F$9+E88*'Portfolio 2 &amp; 3'!$F$10+F88*'Portfolio 2 &amp; 3'!$F$11+G88*'Portfolio 2 &amp; 3'!$F$12+H88*'Portfolio 2 &amp; 3'!$F$13+I88*'Portfolio 2 &amp; 3'!$F$14+J88*'Portfolio 2 &amp; 3'!$F$15+K88*'Portfolio 2 &amp; 3'!$F$16</f>
        <v>-1.3062032404413657E-3</v>
      </c>
      <c r="R88" s="93">
        <f>B88*'Portfolio 2 &amp; 3'!$B$23+C88*'Portfolio 2 &amp; 3'!$B$24+D88*'Portfolio 2 &amp; 3'!$B$25+E88*'Portfolio 2 &amp; 3'!$B$26+F88*'Portfolio 2 &amp; 3'!$B$27+G88*'Portfolio 2 &amp; 3'!$B$28+H88*'Portfolio 2 &amp; 3'!$B$29+I88*'Portfolio 2 &amp; 3'!$B$30+J88*'Portfolio 2 &amp; 3'!$B$31+K88*'Portfolio 2 &amp; 3'!$B$32</f>
        <v>-3.4536029197305695E-3</v>
      </c>
      <c r="S88" s="93">
        <f t="shared" si="5"/>
        <v>-2.9592312887632422E-3</v>
      </c>
    </row>
    <row r="89" spans="1:19" ht="12.75" customHeight="1">
      <c r="A89" s="82">
        <v>45954</v>
      </c>
      <c r="B89" s="53">
        <v>-6.1000000000000004E-3</v>
      </c>
      <c r="C89" s="53">
        <v>1.98771232381634E-3</v>
      </c>
      <c r="D89" s="53">
        <v>-1.2828678009280199E-2</v>
      </c>
      <c r="E89" s="53">
        <v>-5.5100000000000001E-3</v>
      </c>
      <c r="F89" s="53">
        <v>-4.0634291377601396E-3</v>
      </c>
      <c r="G89" s="53">
        <v>-9.0478957416784099E-3</v>
      </c>
      <c r="H89" s="87">
        <v>3.2827888072532998E-3</v>
      </c>
      <c r="I89" s="53">
        <v>-3.17834020011776E-3</v>
      </c>
      <c r="J89" s="53">
        <v>-3.6897453042368099E-2</v>
      </c>
      <c r="K89" s="53">
        <v>4.1885614195415997E-3</v>
      </c>
      <c r="L89" s="95">
        <f>IFERROR(B89*'Stock Statistics'!$C$41+C89*'Stock Statistics'!$C$42+D89*'Stock Statistics'!$C$43+E89*'Stock Statistics'!$C$44+F89*'Stock Statistics'!$C$45+G89*'Stock Statistics'!$C$46+H89*'Stock Statistics'!$C$47+I89*'Stock Statistics'!$C$48+J89*'Stock Statistics'!$C$49+K89*'Stock Statistics'!$C$50,"")</f>
        <v>-6.8166733580593379E-3</v>
      </c>
      <c r="M89" s="97">
        <v>501.75349999999997</v>
      </c>
      <c r="N89" s="96">
        <v>576.14319999999998</v>
      </c>
      <c r="O89" s="93">
        <f t="shared" si="3"/>
        <v>-2.084718488421955E-3</v>
      </c>
      <c r="P89" s="93">
        <f t="shared" si="4"/>
        <v>-1.7252346012373021E-3</v>
      </c>
      <c r="Q89" s="93">
        <f>B89*'Portfolio 2 &amp; 3'!$F$7+C89*'Portfolio 2 &amp; 3'!$F$8+D89*'Portfolio 2 &amp; 3'!$F$9+E89*'Portfolio 2 &amp; 3'!$F$10+F89*'Portfolio 2 &amp; 3'!$F$11+G89*'Portfolio 2 &amp; 3'!$F$12+H89*'Portfolio 2 &amp; 3'!$F$13+I89*'Portfolio 2 &amp; 3'!$F$14+J89*'Portfolio 2 &amp; 3'!$F$15+K89*'Portfolio 2 &amp; 3'!$F$16</f>
        <v>-8.0067025188408115E-3</v>
      </c>
      <c r="R89" s="93">
        <f>B89*'Portfolio 2 &amp; 3'!$B$23+C89*'Portfolio 2 &amp; 3'!$B$24+D89*'Portfolio 2 &amp; 3'!$B$25+E89*'Portfolio 2 &amp; 3'!$B$26+F89*'Portfolio 2 &amp; 3'!$B$27+G89*'Portfolio 2 &amp; 3'!$B$28+H89*'Portfolio 2 &amp; 3'!$B$29+I89*'Portfolio 2 &amp; 3'!$B$30+J89*'Portfolio 2 &amp; 3'!$B$31+K89*'Portfolio 2 &amp; 3'!$B$32</f>
        <v>-3.7471244787595395E-3</v>
      </c>
      <c r="S89" s="93">
        <f t="shared" si="5"/>
        <v>-1.9049765448296285E-3</v>
      </c>
    </row>
    <row r="90" spans="1:19" ht="12.75" customHeight="1">
      <c r="A90" s="81">
        <v>45953</v>
      </c>
      <c r="B90" s="53">
        <v>-4.5999999999999999E-3</v>
      </c>
      <c r="C90" s="53">
        <v>-2.43352861649393E-3</v>
      </c>
      <c r="D90" s="53">
        <v>-1.2721490231714101E-3</v>
      </c>
      <c r="E90" s="53">
        <v>-1.528E-2</v>
      </c>
      <c r="F90" s="53">
        <v>9.5047523761882004E-3</v>
      </c>
      <c r="G90" s="53">
        <v>6.4607758500654401E-3</v>
      </c>
      <c r="H90" s="87">
        <v>-7.2165748428648698E-3</v>
      </c>
      <c r="I90" s="53">
        <v>5.3849340197644801E-3</v>
      </c>
      <c r="J90" s="53">
        <v>-1.11204616494349E-2</v>
      </c>
      <c r="K90" s="53">
        <v>-3.26400485805378E-3</v>
      </c>
      <c r="L90" s="95">
        <f>IFERROR(B90*'Stock Statistics'!$C$41+C90*'Stock Statistics'!$C$42+D90*'Stock Statistics'!$C$43+E90*'Stock Statistics'!$C$44+F90*'Stock Statistics'!$C$45+G90*'Stock Statistics'!$C$46+H90*'Stock Statistics'!$C$47+I90*'Stock Statistics'!$C$48+J90*'Stock Statistics'!$C$49+K90*'Stock Statistics'!$C$50,"")</f>
        <v>-2.3836256744000769E-3</v>
      </c>
      <c r="M90" s="96">
        <v>502.80169999999998</v>
      </c>
      <c r="N90" s="97">
        <v>577.13890000000004</v>
      </c>
      <c r="O90" s="93">
        <f t="shared" si="3"/>
        <v>-5.8038082647321465E-3</v>
      </c>
      <c r="P90" s="93">
        <f t="shared" si="4"/>
        <v>6.298926483406353E-3</v>
      </c>
      <c r="Q90" s="93">
        <f>B90*'Portfolio 2 &amp; 3'!$F$7+C90*'Portfolio 2 &amp; 3'!$F$8+D90*'Portfolio 2 &amp; 3'!$F$9+E90*'Portfolio 2 &amp; 3'!$F$10+F90*'Portfolio 2 &amp; 3'!$F$11+G90*'Portfolio 2 &amp; 3'!$F$12+H90*'Portfolio 2 &amp; 3'!$F$13+I90*'Portfolio 2 &amp; 3'!$F$14+J90*'Portfolio 2 &amp; 3'!$F$15+K90*'Portfolio 2 &amp; 3'!$F$16</f>
        <v>-3.0905306093919455E-3</v>
      </c>
      <c r="R90" s="93">
        <f>B90*'Portfolio 2 &amp; 3'!$B$23+C90*'Portfolio 2 &amp; 3'!$B$24+D90*'Portfolio 2 &amp; 3'!$B$25+E90*'Portfolio 2 &amp; 3'!$B$26+F90*'Portfolio 2 &amp; 3'!$B$27+G90*'Portfolio 2 &amp; 3'!$B$28+H90*'Portfolio 2 &amp; 3'!$B$29+I90*'Portfolio 2 &amp; 3'!$B$30+J90*'Portfolio 2 &amp; 3'!$B$31+K90*'Portfolio 2 &amp; 3'!$B$32</f>
        <v>1.5719835797228102E-3</v>
      </c>
      <c r="S90" s="93">
        <f t="shared" si="5"/>
        <v>2.4755910933710323E-4</v>
      </c>
    </row>
    <row r="91" spans="1:19" ht="12.75" customHeight="1">
      <c r="A91" s="82">
        <v>45951</v>
      </c>
      <c r="B91" s="53">
        <v>1.09E-2</v>
      </c>
      <c r="C91" s="53">
        <v>-1.7095555155659499E-3</v>
      </c>
      <c r="D91" s="53">
        <v>1.00054575222841E-3</v>
      </c>
      <c r="E91" s="53">
        <v>-6.4999999999999997E-3</v>
      </c>
      <c r="F91" s="53">
        <v>-2.8433182022248298E-3</v>
      </c>
      <c r="G91" s="53">
        <v>5.7416535962357997E-3</v>
      </c>
      <c r="H91" s="87">
        <v>5.2262090483619099E-3</v>
      </c>
      <c r="I91" s="53">
        <v>-3.5492457852703802E-4</v>
      </c>
      <c r="J91" s="53">
        <v>1.49472271368434E-2</v>
      </c>
      <c r="K91" s="53">
        <v>-2.5741974560872199E-3</v>
      </c>
      <c r="L91" s="95">
        <f>IFERROR(B91*'Stock Statistics'!$C$41+C91*'Stock Statistics'!$C$42+D91*'Stock Statistics'!$C$43+E91*'Stock Statistics'!$C$44+F91*'Stock Statistics'!$C$45+G91*'Stock Statistics'!$C$46+H91*'Stock Statistics'!$C$47+I91*'Stock Statistics'!$C$48+J91*'Stock Statistics'!$C$49+K91*'Stock Statistics'!$C$50,"")</f>
        <v>2.3833639781264486E-3</v>
      </c>
      <c r="M91" s="97">
        <v>505.73689999999999</v>
      </c>
      <c r="N91" s="96">
        <v>573.52629999999999</v>
      </c>
      <c r="O91" s="93">
        <f t="shared" si="3"/>
        <v>-5.2233077708119247E-4</v>
      </c>
      <c r="P91" s="93">
        <f t="shared" si="4"/>
        <v>1.9682050846636656E-3</v>
      </c>
      <c r="Q91" s="93">
        <f>B91*'Portfolio 2 &amp; 3'!$F$7+C91*'Portfolio 2 &amp; 3'!$F$8+D91*'Portfolio 2 &amp; 3'!$F$9+E91*'Portfolio 2 &amp; 3'!$F$10+F91*'Portfolio 2 &amp; 3'!$F$11+G91*'Portfolio 2 &amp; 3'!$F$12+H91*'Portfolio 2 &amp; 3'!$F$13+I91*'Portfolio 2 &amp; 3'!$F$14+J91*'Portfolio 2 &amp; 3'!$F$15+K91*'Portfolio 2 &amp; 3'!$F$16</f>
        <v>3.0382131866046711E-3</v>
      </c>
      <c r="R91" s="93">
        <f>B91*'Portfolio 2 &amp; 3'!$B$23+C91*'Portfolio 2 &amp; 3'!$B$24+D91*'Portfolio 2 &amp; 3'!$B$25+E91*'Portfolio 2 &amp; 3'!$B$26+F91*'Portfolio 2 &amp; 3'!$B$27+G91*'Portfolio 2 &amp; 3'!$B$28+H91*'Portfolio 2 &amp; 3'!$B$29+I91*'Portfolio 2 &amp; 3'!$B$30+J91*'Portfolio 2 &amp; 3'!$B$31+K91*'Portfolio 2 &amp; 3'!$B$32</f>
        <v>1.6440274223241628E-3</v>
      </c>
      <c r="S91" s="93">
        <f t="shared" si="5"/>
        <v>7.2293715379123658E-4</v>
      </c>
    </row>
    <row r="92" spans="1:19" ht="12.75" customHeight="1">
      <c r="A92" s="81">
        <v>45950</v>
      </c>
      <c r="B92" s="53">
        <v>4.1999999999999997E-3</v>
      </c>
      <c r="C92" s="53">
        <v>-4.3895010301889803E-3</v>
      </c>
      <c r="D92" s="53">
        <v>-1.45322434150763E-3</v>
      </c>
      <c r="E92" s="53">
        <v>-5.2199999999999998E-3</v>
      </c>
      <c r="F92" s="53">
        <v>1.48838151166912E-2</v>
      </c>
      <c r="G92" s="53">
        <v>-3.8780236029350998E-3</v>
      </c>
      <c r="H92" s="87">
        <v>2.0781909387690201E-2</v>
      </c>
      <c r="I92" s="53">
        <v>1.1251924671324999E-3</v>
      </c>
      <c r="J92" s="53">
        <v>3.8983265720080998E-2</v>
      </c>
      <c r="K92" s="53">
        <v>-2.6429056860227699E-3</v>
      </c>
      <c r="L92" s="95">
        <f>IFERROR(B92*'Stock Statistics'!$C$41+C92*'Stock Statistics'!$C$42+D92*'Stock Statistics'!$C$43+E92*'Stock Statistics'!$C$44+F92*'Stock Statistics'!$C$45+G92*'Stock Statistics'!$C$46+H92*'Stock Statistics'!$C$47+I92*'Stock Statistics'!$C$48+J92*'Stock Statistics'!$C$49+K92*'Stock Statistics'!$C$50,"")</f>
        <v>6.2390528030940419E-3</v>
      </c>
      <c r="M92" s="96">
        <v>506.00119999999998</v>
      </c>
      <c r="N92" s="97">
        <v>572.39970000000005</v>
      </c>
      <c r="O92" s="93">
        <f t="shared" si="3"/>
        <v>5.253330191758554E-3</v>
      </c>
      <c r="P92" s="93">
        <f t="shared" si="4"/>
        <v>5.1375479828754678E-3</v>
      </c>
      <c r="Q92" s="93">
        <f>B92*'Portfolio 2 &amp; 3'!$F$7+C92*'Portfolio 2 &amp; 3'!$F$8+D92*'Portfolio 2 &amp; 3'!$F$9+E92*'Portfolio 2 &amp; 3'!$F$10+F92*'Portfolio 2 &amp; 3'!$F$11+G92*'Portfolio 2 &amp; 3'!$F$12+H92*'Portfolio 2 &amp; 3'!$F$13+I92*'Portfolio 2 &amp; 3'!$F$14+J92*'Portfolio 2 &amp; 3'!$F$15+K92*'Portfolio 2 &amp; 3'!$F$16</f>
        <v>9.5611184480744339E-3</v>
      </c>
      <c r="R92" s="93">
        <f>B92*'Portfolio 2 &amp; 3'!$B$23+C92*'Portfolio 2 &amp; 3'!$B$24+D92*'Portfolio 2 &amp; 3'!$B$25+E92*'Portfolio 2 &amp; 3'!$B$26+F92*'Portfolio 2 &amp; 3'!$B$27+G92*'Portfolio 2 &amp; 3'!$B$28+H92*'Portfolio 2 &amp; 3'!$B$29+I92*'Portfolio 2 &amp; 3'!$B$30+J92*'Portfolio 2 &amp; 3'!$B$31+K92*'Portfolio 2 &amp; 3'!$B$32</f>
        <v>3.6002782006388065E-3</v>
      </c>
      <c r="S92" s="93">
        <f t="shared" si="5"/>
        <v>5.1954390873170109E-3</v>
      </c>
    </row>
    <row r="93" spans="1:19" ht="12.75" customHeight="1">
      <c r="A93" s="82">
        <v>45947</v>
      </c>
      <c r="B93" s="53">
        <v>-1E-3</v>
      </c>
      <c r="C93" s="53">
        <v>1.04091238233164E-2</v>
      </c>
      <c r="D93" s="53">
        <v>-4.7907439211786196E-3</v>
      </c>
      <c r="E93" s="53">
        <v>-1.0200000000000001E-2</v>
      </c>
      <c r="F93" s="53">
        <v>3.09770465163517E-3</v>
      </c>
      <c r="G93" s="53">
        <v>1.42905653970231E-2</v>
      </c>
      <c r="H93" s="87">
        <v>1.2659248508305E-2</v>
      </c>
      <c r="I93" s="53">
        <v>5.6577928652254998E-3</v>
      </c>
      <c r="J93" s="53">
        <v>5.22492672358843E-3</v>
      </c>
      <c r="K93" s="53">
        <v>3.1815771532459599E-3</v>
      </c>
      <c r="L93" s="95">
        <f>IFERROR(B93*'Stock Statistics'!$C$41+C93*'Stock Statistics'!$C$42+D93*'Stock Statistics'!$C$43+E93*'Stock Statistics'!$C$44+F93*'Stock Statistics'!$C$45+G93*'Stock Statistics'!$C$46+H93*'Stock Statistics'!$C$47+I93*'Stock Statistics'!$C$48+J93*'Stock Statistics'!$C$49+K93*'Stock Statistics'!$C$50,"")</f>
        <v>3.8530195201160939E-3</v>
      </c>
      <c r="M93" s="97">
        <v>503.3569</v>
      </c>
      <c r="N93" s="96">
        <v>569.47400000000005</v>
      </c>
      <c r="O93" s="93">
        <f t="shared" si="3"/>
        <v>6.2396598722682661E-3</v>
      </c>
      <c r="P93" s="93">
        <f t="shared" si="4"/>
        <v>2.0022481382619972E-4</v>
      </c>
      <c r="Q93" s="93">
        <f>B93*'Portfolio 2 &amp; 3'!$F$7+C93*'Portfolio 2 &amp; 3'!$F$8+D93*'Portfolio 2 &amp; 3'!$F$9+E93*'Portfolio 2 &amp; 3'!$F$10+F93*'Portfolio 2 &amp; 3'!$F$11+G93*'Portfolio 2 &amp; 3'!$F$12+H93*'Portfolio 2 &amp; 3'!$F$13+I93*'Portfolio 2 &amp; 3'!$F$14+J93*'Portfolio 2 &amp; 3'!$F$15+K93*'Portfolio 2 &amp; 3'!$F$16</f>
        <v>4.2229893136596997E-3</v>
      </c>
      <c r="R93" s="93">
        <f>B93*'Portfolio 2 &amp; 3'!$B$23+C93*'Portfolio 2 &amp; 3'!$B$24+D93*'Portfolio 2 &amp; 3'!$B$25+E93*'Portfolio 2 &amp; 3'!$B$26+F93*'Portfolio 2 &amp; 3'!$B$27+G93*'Portfolio 2 &amp; 3'!$B$28+H93*'Portfolio 2 &amp; 3'!$B$29+I93*'Portfolio 2 &amp; 3'!$B$30+J93*'Portfolio 2 &amp; 3'!$B$31+K93*'Portfolio 2 &amp; 3'!$B$32</f>
        <v>6.0426085573476122E-3</v>
      </c>
      <c r="S93" s="93">
        <f t="shared" si="5"/>
        <v>3.2199423430472329E-3</v>
      </c>
    </row>
    <row r="94" spans="1:19" ht="12.75" customHeight="1">
      <c r="A94" s="81">
        <v>45946</v>
      </c>
      <c r="B94" s="53">
        <v>2.0000000000000001E-4</v>
      </c>
      <c r="C94" s="53">
        <v>-7.6349591305129296E-3</v>
      </c>
      <c r="D94" s="53">
        <v>-6.3233965672992998E-4</v>
      </c>
      <c r="E94" s="53">
        <v>-1.9400000000000001E-3</v>
      </c>
      <c r="F94" s="53">
        <v>7.46955898905144E-3</v>
      </c>
      <c r="G94" s="53">
        <v>2.83061594202883E-4</v>
      </c>
      <c r="H94" s="87">
        <v>6.3291139240506701E-3</v>
      </c>
      <c r="I94" s="53">
        <v>1.2115732368897E-2</v>
      </c>
      <c r="J94" s="53">
        <v>2.8115015974441398E-3</v>
      </c>
      <c r="K94" s="53">
        <v>4.1837821390537898E-3</v>
      </c>
      <c r="L94" s="95">
        <f>IFERROR(B94*'Stock Statistics'!$C$41+C94*'Stock Statistics'!$C$42+D94*'Stock Statistics'!$C$43+E94*'Stock Statistics'!$C$44+F94*'Stock Statistics'!$C$45+G94*'Stock Statistics'!$C$46+H94*'Stock Statistics'!$C$47+I94*'Stock Statistics'!$C$48+J94*'Stock Statistics'!$C$49+K94*'Stock Statistics'!$C$50,"")</f>
        <v>2.3185451825457068E-3</v>
      </c>
      <c r="M94" s="96">
        <v>500.23559999999998</v>
      </c>
      <c r="N94" s="97">
        <v>569.36</v>
      </c>
      <c r="O94" s="93">
        <f t="shared" si="3"/>
        <v>5.6832540323479286E-3</v>
      </c>
      <c r="P94" s="93">
        <f t="shared" si="4"/>
        <v>-5.7094518723628251E-3</v>
      </c>
      <c r="Q94" s="93">
        <f>B94*'Portfolio 2 &amp; 3'!$F$7+C94*'Portfolio 2 &amp; 3'!$F$8+D94*'Portfolio 2 &amp; 3'!$F$9+E94*'Portfolio 2 &amp; 3'!$F$10+F94*'Portfolio 2 &amp; 3'!$F$11+G94*'Portfolio 2 &amp; 3'!$F$12+H94*'Portfolio 2 &amp; 3'!$F$13+I94*'Portfolio 2 &amp; 3'!$F$14+J94*'Portfolio 2 &amp; 3'!$F$15+K94*'Portfolio 2 &amp; 3'!$F$16</f>
        <v>2.6348531750649685E-3</v>
      </c>
      <c r="R94" s="93">
        <f>B94*'Portfolio 2 &amp; 3'!$B$23+C94*'Portfolio 2 &amp; 3'!$B$24+D94*'Portfolio 2 &amp; 3'!$B$25+E94*'Portfolio 2 &amp; 3'!$B$26+F94*'Portfolio 2 &amp; 3'!$B$27+G94*'Portfolio 2 &amp; 3'!$B$28+H94*'Portfolio 2 &amp; 3'!$B$29+I94*'Portfolio 2 &amp; 3'!$B$30+J94*'Portfolio 2 &amp; 3'!$B$31+K94*'Portfolio 2 &amp; 3'!$B$32</f>
        <v>3.4378171946266379E-3</v>
      </c>
      <c r="S94" s="93">
        <f t="shared" si="5"/>
        <v>-1.3098920007448278E-5</v>
      </c>
    </row>
    <row r="95" spans="1:19" ht="12.75" customHeight="1">
      <c r="A95" s="82">
        <v>45945</v>
      </c>
      <c r="B95" s="53">
        <v>-8.8000000000000005E-3</v>
      </c>
      <c r="C95" s="53">
        <v>1.33806663025669E-2</v>
      </c>
      <c r="D95" s="53">
        <v>-1.80342651036969E-3</v>
      </c>
      <c r="E95" s="53">
        <v>-3.3400000000000001E-3</v>
      </c>
      <c r="F95" s="53">
        <v>-1.9913198876692099E-3</v>
      </c>
      <c r="G95" s="53">
        <v>3.0664395229984499E-3</v>
      </c>
      <c r="H95" s="87">
        <v>-3.9602359977369802E-3</v>
      </c>
      <c r="I95" s="53">
        <v>2.3563530904477901E-3</v>
      </c>
      <c r="J95" s="53">
        <v>4.0418297299031902E-3</v>
      </c>
      <c r="K95" s="53">
        <v>1.82898948331056E-3</v>
      </c>
      <c r="L95" s="95">
        <f>IFERROR(B95*'Stock Statistics'!$C$41+C95*'Stock Statistics'!$C$42+D95*'Stock Statistics'!$C$43+E95*'Stock Statistics'!$C$44+F95*'Stock Statistics'!$C$45+G95*'Stock Statistics'!$C$46+H95*'Stock Statistics'!$C$47+I95*'Stock Statistics'!$C$48+J95*'Stock Statistics'!$C$49+K95*'Stock Statistics'!$C$50,"")</f>
        <v>4.7792957334510093E-4</v>
      </c>
      <c r="M95" s="97">
        <v>497.40870000000001</v>
      </c>
      <c r="N95" s="96">
        <v>572.62940000000003</v>
      </c>
      <c r="O95" s="93">
        <f t="shared" si="3"/>
        <v>3.3502922252000022E-3</v>
      </c>
      <c r="P95" s="93">
        <f t="shared" si="4"/>
        <v>9.6018022651023216E-4</v>
      </c>
      <c r="Q95" s="93">
        <f>B95*'Portfolio 2 &amp; 3'!$F$7+C95*'Portfolio 2 &amp; 3'!$F$8+D95*'Portfolio 2 &amp; 3'!$F$9+E95*'Portfolio 2 &amp; 3'!$F$10+F95*'Portfolio 2 &amp; 3'!$F$11+G95*'Portfolio 2 &amp; 3'!$F$12+H95*'Portfolio 2 &amp; 3'!$F$13+I95*'Portfolio 2 &amp; 3'!$F$14+J95*'Portfolio 2 &amp; 3'!$F$15+K95*'Portfolio 2 &amp; 3'!$F$16</f>
        <v>4.7347965671291599E-4</v>
      </c>
      <c r="R95" s="93">
        <f>B95*'Portfolio 2 &amp; 3'!$B$23+C95*'Portfolio 2 &amp; 3'!$B$24+D95*'Portfolio 2 &amp; 3'!$B$25+E95*'Portfolio 2 &amp; 3'!$B$26+F95*'Portfolio 2 &amp; 3'!$B$27+G95*'Portfolio 2 &amp; 3'!$B$28+H95*'Portfolio 2 &amp; 3'!$B$29+I95*'Portfolio 2 &amp; 3'!$B$30+J95*'Portfolio 2 &amp; 3'!$B$31+K95*'Portfolio 2 &amp; 3'!$B$32</f>
        <v>2.1305732267892382E-3</v>
      </c>
      <c r="S95" s="93">
        <f t="shared" si="5"/>
        <v>2.1552362258551172E-3</v>
      </c>
    </row>
    <row r="96" spans="1:19" ht="12.75" customHeight="1">
      <c r="A96" s="81">
        <v>45944</v>
      </c>
      <c r="B96" s="53">
        <v>3.3E-3</v>
      </c>
      <c r="C96" s="53">
        <v>9.1033227128001202E-5</v>
      </c>
      <c r="D96" s="53">
        <v>-1.4046941678520599E-2</v>
      </c>
      <c r="E96" s="53">
        <v>-1.209E-2</v>
      </c>
      <c r="F96" s="53">
        <v>-1.63234555499749E-2</v>
      </c>
      <c r="G96" s="53">
        <v>1.08009777727247E-3</v>
      </c>
      <c r="H96" s="87">
        <v>-1.9882762991128001E-2</v>
      </c>
      <c r="I96" s="53">
        <v>4.2311411992246301E-4</v>
      </c>
      <c r="J96" s="53">
        <v>4.12291438510604E-3</v>
      </c>
      <c r="K96" s="53">
        <v>7.6266015863324398E-4</v>
      </c>
      <c r="L96" s="95">
        <f>IFERROR(B96*'Stock Statistics'!$C$41+C96*'Stock Statistics'!$C$42+D96*'Stock Statistics'!$C$43+E96*'Stock Statistics'!$C$44+F96*'Stock Statistics'!$C$45+G96*'Stock Statistics'!$C$46+H96*'Stock Statistics'!$C$47+I96*'Stock Statistics'!$C$48+J96*'Stock Statistics'!$C$49+K96*'Stock Statistics'!$C$50,"")</f>
        <v>-5.2563340551561276E-3</v>
      </c>
      <c r="M96" s="96">
        <v>495.74779999999998</v>
      </c>
      <c r="N96" s="97">
        <v>572.08010000000002</v>
      </c>
      <c r="O96" s="93">
        <f t="shared" si="3"/>
        <v>-4.8589994869205899E-3</v>
      </c>
      <c r="P96" s="93">
        <f t="shared" si="4"/>
        <v>1.026244073485949E-2</v>
      </c>
      <c r="Q96" s="93">
        <f>B96*'Portfolio 2 &amp; 3'!$F$7+C96*'Portfolio 2 &amp; 3'!$F$8+D96*'Portfolio 2 &amp; 3'!$F$9+E96*'Portfolio 2 &amp; 3'!$F$10+F96*'Portfolio 2 &amp; 3'!$F$11+G96*'Portfolio 2 &amp; 3'!$F$12+H96*'Portfolio 2 &amp; 3'!$F$13+I96*'Portfolio 2 &amp; 3'!$F$14+J96*'Portfolio 2 &amp; 3'!$F$15+K96*'Portfolio 2 &amp; 3'!$F$16</f>
        <v>-6.7041243965108516E-3</v>
      </c>
      <c r="R96" s="93">
        <f>B96*'Portfolio 2 &amp; 3'!$B$23+C96*'Portfolio 2 &amp; 3'!$B$24+D96*'Portfolio 2 &amp; 3'!$B$25+E96*'Portfolio 2 &amp; 3'!$B$26+F96*'Portfolio 2 &amp; 3'!$B$27+G96*'Portfolio 2 &amp; 3'!$B$28+H96*'Portfolio 2 &amp; 3'!$B$29+I96*'Portfolio 2 &amp; 3'!$B$30+J96*'Portfolio 2 &amp; 3'!$B$31+K96*'Portfolio 2 &amp; 3'!$B$32</f>
        <v>-2.4642870489281271E-3</v>
      </c>
      <c r="S96" s="93">
        <f t="shared" si="5"/>
        <v>2.7017206239694502E-3</v>
      </c>
    </row>
    <row r="97" spans="1:19" ht="12.75" customHeight="1">
      <c r="A97" s="82">
        <v>45943</v>
      </c>
      <c r="B97" s="53">
        <v>-4.4999999999999997E-3</v>
      </c>
      <c r="C97" s="53">
        <v>6.9667247227061004E-3</v>
      </c>
      <c r="D97" s="53">
        <v>-1.05559465165377E-2</v>
      </c>
      <c r="E97" s="53">
        <v>0</v>
      </c>
      <c r="F97" s="53">
        <v>2.0635160299964398E-3</v>
      </c>
      <c r="G97" s="53">
        <v>-4.1326992753624196E-3</v>
      </c>
      <c r="H97" s="87">
        <v>-1.5817779183802099E-3</v>
      </c>
      <c r="I97" s="53">
        <v>-8.3912730760009602E-3</v>
      </c>
      <c r="J97" s="53">
        <v>-7.2269122537733698E-3</v>
      </c>
      <c r="K97" s="53">
        <v>1.25878446212062E-2</v>
      </c>
      <c r="L97" s="95">
        <f>IFERROR(B97*'Stock Statistics'!$C$41+C97*'Stock Statistics'!$C$42+D97*'Stock Statistics'!$C$43+E97*'Stock Statistics'!$C$44+F97*'Stock Statistics'!$C$45+G97*'Stock Statistics'!$C$46+H97*'Stock Statistics'!$C$47+I97*'Stock Statistics'!$C$48+J97*'Stock Statistics'!$C$49+K97*'Stock Statistics'!$C$50,"")</f>
        <v>-1.4770523666145919E-3</v>
      </c>
      <c r="M97" s="97">
        <v>498.16840000000002</v>
      </c>
      <c r="N97" s="96">
        <v>566.26880000000006</v>
      </c>
      <c r="O97" s="93">
        <f t="shared" si="3"/>
        <v>1.6096739676352279E-3</v>
      </c>
      <c r="P97" s="93">
        <f t="shared" si="4"/>
        <v>7.2611109441047539E-3</v>
      </c>
      <c r="Q97" s="93">
        <f>B97*'Portfolio 2 &amp; 3'!$F$7+C97*'Portfolio 2 &amp; 3'!$F$8+D97*'Portfolio 2 &amp; 3'!$F$9+E97*'Portfolio 2 &amp; 3'!$F$10+F97*'Portfolio 2 &amp; 3'!$F$11+G97*'Portfolio 2 &amp; 3'!$F$12+H97*'Portfolio 2 &amp; 3'!$F$13+I97*'Portfolio 2 &amp; 3'!$F$14+J97*'Portfolio 2 &amp; 3'!$F$15+K97*'Portfolio 2 &amp; 3'!$F$16</f>
        <v>-2.0749544826909909E-3</v>
      </c>
      <c r="R97" s="93">
        <f>B97*'Portfolio 2 &amp; 3'!$B$23+C97*'Portfolio 2 &amp; 3'!$B$24+D97*'Portfolio 2 &amp; 3'!$B$25+E97*'Portfolio 2 &amp; 3'!$B$26+F97*'Portfolio 2 &amp; 3'!$B$27+G97*'Portfolio 2 &amp; 3'!$B$28+H97*'Portfolio 2 &amp; 3'!$B$29+I97*'Portfolio 2 &amp; 3'!$B$30+J97*'Portfolio 2 &amp; 3'!$B$31+K97*'Portfolio 2 &amp; 3'!$B$32</f>
        <v>-8.1617332167588895E-4</v>
      </c>
      <c r="S97" s="93">
        <f t="shared" si="5"/>
        <v>4.4353924558699909E-3</v>
      </c>
    </row>
    <row r="98" spans="1:19" ht="12.75" customHeight="1">
      <c r="A98" s="81">
        <v>45940</v>
      </c>
      <c r="B98" s="53">
        <v>1.4800000000000001E-2</v>
      </c>
      <c r="C98" s="53">
        <v>-4.74409269227261E-3</v>
      </c>
      <c r="D98" s="53">
        <v>5.7506856586746497E-3</v>
      </c>
      <c r="E98" s="53">
        <v>1.1440000000000001E-2</v>
      </c>
      <c r="F98" s="53">
        <v>-1.00558097440795E-3</v>
      </c>
      <c r="G98" s="53">
        <v>-4.9852133502322803E-3</v>
      </c>
      <c r="H98" s="87">
        <v>1.4685819757643799E-2</v>
      </c>
      <c r="I98" s="53">
        <v>-1.4961996528817299E-3</v>
      </c>
      <c r="J98" s="53">
        <v>1.1525163273145001E-3</v>
      </c>
      <c r="K98" s="53">
        <v>5.5854533594259501E-2</v>
      </c>
      <c r="L98" s="95">
        <f>IFERROR(B98*'Stock Statistics'!$C$41+C98*'Stock Statistics'!$C$42+D98*'Stock Statistics'!$C$43+E98*'Stock Statistics'!$C$44+F98*'Stock Statistics'!$C$45+G98*'Stock Statistics'!$C$46+H98*'Stock Statistics'!$C$47+I98*'Stock Statistics'!$C$48+J98*'Stock Statistics'!$C$49+K98*'Stock Statistics'!$C$50,"")</f>
        <v>9.1452468668097881E-3</v>
      </c>
      <c r="M98" s="96">
        <v>497.36779999999999</v>
      </c>
      <c r="N98" s="97">
        <v>562.18669999999997</v>
      </c>
      <c r="O98" s="93">
        <f t="shared" si="3"/>
        <v>7.6253449375096594E-3</v>
      </c>
      <c r="P98" s="93">
        <f t="shared" si="4"/>
        <v>-4.8910531712634819E-3</v>
      </c>
      <c r="Q98" s="93">
        <f>B98*'Portfolio 2 &amp; 3'!$F$7+C98*'Portfolio 2 &amp; 3'!$F$8+D98*'Portfolio 2 &amp; 3'!$F$9+E98*'Portfolio 2 &amp; 3'!$F$10+F98*'Portfolio 2 &amp; 3'!$F$11+G98*'Portfolio 2 &amp; 3'!$F$12+H98*'Portfolio 2 &amp; 3'!$F$13+I98*'Portfolio 2 &amp; 3'!$F$14+J98*'Portfolio 2 &amp; 3'!$F$15+K98*'Portfolio 2 &amp; 3'!$F$16</f>
        <v>8.5943483126934214E-3</v>
      </c>
      <c r="R98" s="93">
        <f>B98*'Portfolio 2 &amp; 3'!$B$23+C98*'Portfolio 2 &amp; 3'!$B$24+D98*'Portfolio 2 &amp; 3'!$B$25+E98*'Portfolio 2 &amp; 3'!$B$26+F98*'Portfolio 2 &amp; 3'!$B$27+G98*'Portfolio 2 &amp; 3'!$B$28+H98*'Portfolio 2 &amp; 3'!$B$29+I98*'Portfolio 2 &amp; 3'!$B$30+J98*'Portfolio 2 &amp; 3'!$B$31+K98*'Portfolio 2 &amp; 3'!$B$32</f>
        <v>5.3588151043706608E-3</v>
      </c>
      <c r="S98" s="93">
        <f t="shared" si="5"/>
        <v>1.3671458831230887E-3</v>
      </c>
    </row>
    <row r="99" spans="1:19" ht="12.75" customHeight="1">
      <c r="A99" s="82">
        <v>45939</v>
      </c>
      <c r="B99" s="53">
        <v>-7.9000000000000008E-3</v>
      </c>
      <c r="C99" s="53">
        <v>-2.3664330572494801E-3</v>
      </c>
      <c r="D99" s="53">
        <v>9.2865434413784698E-3</v>
      </c>
      <c r="E99" s="53">
        <v>0</v>
      </c>
      <c r="F99" s="53">
        <v>8.6211268319893505E-3</v>
      </c>
      <c r="G99" s="53">
        <v>-5.1835247968619099E-3</v>
      </c>
      <c r="H99" s="87">
        <v>9.3965168084244599E-3</v>
      </c>
      <c r="I99" s="53">
        <v>7.4766355140187804E-3</v>
      </c>
      <c r="J99" s="53">
        <v>3.2185579274337503E-2</v>
      </c>
      <c r="K99" s="53">
        <v>1.8789314598479699E-3</v>
      </c>
      <c r="L99" s="95">
        <f>IFERROR(B99*'Stock Statistics'!$C$41+C99*'Stock Statistics'!$C$42+D99*'Stock Statistics'!$C$43+E99*'Stock Statistics'!$C$44+F99*'Stock Statistics'!$C$45+G99*'Stock Statistics'!$C$46+H99*'Stock Statistics'!$C$47+I99*'Stock Statistics'!$C$48+J99*'Stock Statistics'!$C$49+K99*'Stock Statistics'!$C$50,"")</f>
        <v>5.3395375475885146E-3</v>
      </c>
      <c r="M99" s="97">
        <v>493.60390000000001</v>
      </c>
      <c r="N99" s="96">
        <v>564.94989999999996</v>
      </c>
      <c r="O99" s="93">
        <f t="shared" si="3"/>
        <v>5.0993729174284574E-3</v>
      </c>
      <c r="P99" s="93">
        <f t="shared" si="4"/>
        <v>2.6271159970296942E-3</v>
      </c>
      <c r="Q99" s="93">
        <f>B99*'Portfolio 2 &amp; 3'!$F$7+C99*'Portfolio 2 &amp; 3'!$F$8+D99*'Portfolio 2 &amp; 3'!$F$9+E99*'Portfolio 2 &amp; 3'!$F$10+F99*'Portfolio 2 &amp; 3'!$F$11+G99*'Portfolio 2 &amp; 3'!$F$12+H99*'Portfolio 2 &amp; 3'!$F$13+I99*'Portfolio 2 &amp; 3'!$F$14+J99*'Portfolio 2 &amp; 3'!$F$15+K99*'Portfolio 2 &amp; 3'!$F$16</f>
        <v>8.0891352869832938E-3</v>
      </c>
      <c r="R99" s="93">
        <f>B99*'Portfolio 2 &amp; 3'!$B$23+C99*'Portfolio 2 &amp; 3'!$B$24+D99*'Portfolio 2 &amp; 3'!$B$25+E99*'Portfolio 2 &amp; 3'!$B$26+F99*'Portfolio 2 &amp; 3'!$B$27+G99*'Portfolio 2 &amp; 3'!$B$28+H99*'Portfolio 2 &amp; 3'!$B$29+I99*'Portfolio 2 &amp; 3'!$B$30+J99*'Portfolio 2 &amp; 3'!$B$31+K99*'Portfolio 2 &amp; 3'!$B$32</f>
        <v>2.7860926593890512E-3</v>
      </c>
      <c r="S99" s="93">
        <f t="shared" si="5"/>
        <v>3.8632444572290758E-3</v>
      </c>
    </row>
    <row r="100" spans="1:19" ht="12.75" customHeight="1">
      <c r="A100" s="81">
        <v>45938</v>
      </c>
      <c r="B100" s="53">
        <v>3.3999999999999998E-3</v>
      </c>
      <c r="C100" s="53">
        <v>2.7312454479244702E-4</v>
      </c>
      <c r="D100" s="53">
        <v>4.5853567426223499E-2</v>
      </c>
      <c r="E100" s="53">
        <v>8.7000000000000001E-4</v>
      </c>
      <c r="F100" s="53">
        <v>-1.97388399635579E-3</v>
      </c>
      <c r="G100" s="53">
        <v>9.07574429585223E-3</v>
      </c>
      <c r="H100" s="87">
        <v>-1.1213456147376901E-2</v>
      </c>
      <c r="I100" s="53">
        <v>1.6486884040205901E-2</v>
      </c>
      <c r="J100" s="53">
        <v>1.23778937508363E-2</v>
      </c>
      <c r="K100" s="53">
        <v>0</v>
      </c>
      <c r="L100" s="95">
        <f>IFERROR(B100*'Stock Statistics'!$C$41+C100*'Stock Statistics'!$C$42+D100*'Stock Statistics'!$C$43+E100*'Stock Statistics'!$C$44+F100*'Stock Statistics'!$C$45+G100*'Stock Statistics'!$C$46+H100*'Stock Statistics'!$C$47+I100*'Stock Statistics'!$C$48+J100*'Stock Statistics'!$C$49+K100*'Stock Statistics'!$C$50,"")</f>
        <v>7.5149873914177705E-3</v>
      </c>
      <c r="M100" s="96">
        <v>491.09960000000001</v>
      </c>
      <c r="N100" s="97">
        <v>563.46960000000001</v>
      </c>
      <c r="O100" s="93">
        <f t="shared" si="3"/>
        <v>1.4331251753683105E-3</v>
      </c>
      <c r="P100" s="93">
        <f t="shared" si="4"/>
        <v>4.3607830051917151E-3</v>
      </c>
      <c r="Q100" s="93">
        <f>B100*'Portfolio 2 &amp; 3'!$F$7+C100*'Portfolio 2 &amp; 3'!$F$8+D100*'Portfolio 2 &amp; 3'!$F$9+E100*'Portfolio 2 &amp; 3'!$F$10+F100*'Portfolio 2 &amp; 3'!$F$11+G100*'Portfolio 2 &amp; 3'!$F$12+H100*'Portfolio 2 &amp; 3'!$F$13+I100*'Portfolio 2 &amp; 3'!$F$14+J100*'Portfolio 2 &amp; 3'!$F$15+K100*'Portfolio 2 &amp; 3'!$F$16</f>
        <v>8.0862827722545157E-3</v>
      </c>
      <c r="R100" s="93">
        <f>B100*'Portfolio 2 &amp; 3'!$B$23+C100*'Portfolio 2 &amp; 3'!$B$24+D100*'Portfolio 2 &amp; 3'!$B$25+E100*'Portfolio 2 &amp; 3'!$B$26+F100*'Portfolio 2 &amp; 3'!$B$27+G100*'Portfolio 2 &amp; 3'!$B$28+H100*'Portfolio 2 &amp; 3'!$B$29+I100*'Portfolio 2 &amp; 3'!$B$30+J100*'Portfolio 2 &amp; 3'!$B$31+K100*'Portfolio 2 &amp; 3'!$B$32</f>
        <v>5.9208382170763685E-3</v>
      </c>
      <c r="S100" s="93">
        <f t="shared" si="5"/>
        <v>2.8969540902800128E-3</v>
      </c>
    </row>
    <row r="101" spans="1:19" ht="12.75" customHeight="1">
      <c r="A101" s="82">
        <v>45937</v>
      </c>
      <c r="B101" s="53">
        <v>-6.4999999999999997E-3</v>
      </c>
      <c r="C101" s="53">
        <v>-3.64033491081162E-4</v>
      </c>
      <c r="D101" s="53">
        <v>-1.7704797724979401E-2</v>
      </c>
      <c r="E101" s="53">
        <v>1.273E-2</v>
      </c>
      <c r="F101" s="53">
        <v>-6.7863067410647302E-3</v>
      </c>
      <c r="G101" s="53">
        <v>3.0913216108905401E-3</v>
      </c>
      <c r="H101" s="87">
        <v>-8.0089700464469602E-5</v>
      </c>
      <c r="I101" s="53">
        <v>0</v>
      </c>
      <c r="J101" s="53">
        <v>-1.23571003766603E-2</v>
      </c>
      <c r="K101" s="53">
        <v>2.6210172823326601E-3</v>
      </c>
      <c r="L101" s="95">
        <f>IFERROR(B101*'Stock Statistics'!$C$41+C101*'Stock Statistics'!$C$42+D101*'Stock Statistics'!$C$43+E101*'Stock Statistics'!$C$44+F101*'Stock Statistics'!$C$45+G101*'Stock Statistics'!$C$46+H101*'Stock Statistics'!$C$47+I101*'Stock Statistics'!$C$48+J101*'Stock Statistics'!$C$49+K101*'Stock Statistics'!$C$50,"")</f>
        <v>-2.534998914102686E-3</v>
      </c>
      <c r="M101" s="97">
        <v>490.39679999999998</v>
      </c>
      <c r="N101" s="96">
        <v>561.0231</v>
      </c>
      <c r="O101" s="93">
        <f t="shared" si="3"/>
        <v>-5.7145512365364137E-4</v>
      </c>
      <c r="P101" s="93">
        <f t="shared" si="4"/>
        <v>3.1193761247749752E-3</v>
      </c>
      <c r="Q101" s="93">
        <f>B101*'Portfolio 2 &amp; 3'!$F$7+C101*'Portfolio 2 &amp; 3'!$F$8+D101*'Portfolio 2 &amp; 3'!$F$9+E101*'Portfolio 2 &amp; 3'!$F$10+F101*'Portfolio 2 &amp; 3'!$F$11+G101*'Portfolio 2 &amp; 3'!$F$12+H101*'Portfolio 2 &amp; 3'!$F$13+I101*'Portfolio 2 &amp; 3'!$F$14+J101*'Portfolio 2 &amp; 3'!$F$15+K101*'Portfolio 2 &amp; 3'!$F$16</f>
        <v>-4.0380303769029955E-3</v>
      </c>
      <c r="R101" s="93">
        <f>B101*'Portfolio 2 &amp; 3'!$B$23+C101*'Portfolio 2 &amp; 3'!$B$24+D101*'Portfolio 2 &amp; 3'!$B$25+E101*'Portfolio 2 &amp; 3'!$B$26+F101*'Portfolio 2 &amp; 3'!$B$27+G101*'Portfolio 2 &amp; 3'!$B$28+H101*'Portfolio 2 &amp; 3'!$B$29+I101*'Portfolio 2 &amp; 3'!$B$30+J101*'Portfolio 2 &amp; 3'!$B$31+K101*'Portfolio 2 &amp; 3'!$B$32</f>
        <v>-2.0845508221274773E-3</v>
      </c>
      <c r="S101" s="93">
        <f t="shared" si="5"/>
        <v>1.2739605005606669E-3</v>
      </c>
    </row>
    <row r="102" spans="1:19" ht="12.75" customHeight="1">
      <c r="A102" s="81">
        <v>45936</v>
      </c>
      <c r="B102" s="53">
        <v>1.8E-3</v>
      </c>
      <c r="C102" s="53">
        <v>9.5553105475927307E-3</v>
      </c>
      <c r="D102" s="53">
        <v>-5.8367533059736597E-3</v>
      </c>
      <c r="E102" s="53">
        <v>-1.4019999999999999E-2</v>
      </c>
      <c r="F102" s="53">
        <v>6.4251745421430896E-3</v>
      </c>
      <c r="G102" s="53">
        <v>3.2150681423734899E-3</v>
      </c>
      <c r="H102" s="87">
        <v>4.00608925566814E-4</v>
      </c>
      <c r="I102" s="53">
        <v>-1.30058677635957E-2</v>
      </c>
      <c r="J102" s="53">
        <v>1.3217897032591401E-4</v>
      </c>
      <c r="K102" s="53">
        <v>4.7713035269887599E-2</v>
      </c>
      <c r="L102" s="95">
        <f>IFERROR(B102*'Stock Statistics'!$C$41+C102*'Stock Statistics'!$C$42+D102*'Stock Statistics'!$C$43+E102*'Stock Statistics'!$C$44+F102*'Stock Statistics'!$C$45+G102*'Stock Statistics'!$C$46+H102*'Stock Statistics'!$C$47+I102*'Stock Statistics'!$C$48+J102*'Stock Statistics'!$C$49+K102*'Stock Statistics'!$C$50,"")</f>
        <v>3.6378755328320281E-3</v>
      </c>
      <c r="M102" s="96">
        <v>490.67720000000003</v>
      </c>
      <c r="N102" s="97">
        <v>559.27850000000001</v>
      </c>
      <c r="O102" s="93">
        <f t="shared" si="3"/>
        <v>9.8545140968411271E-3</v>
      </c>
      <c r="P102" s="93">
        <f t="shared" si="4"/>
        <v>1.0507660043699518E-2</v>
      </c>
      <c r="Q102" s="93">
        <f>B102*'Portfolio 2 &amp; 3'!$F$7+C102*'Portfolio 2 &amp; 3'!$F$8+D102*'Portfolio 2 &amp; 3'!$F$9+E102*'Portfolio 2 &amp; 3'!$F$10+F102*'Portfolio 2 &amp; 3'!$F$11+G102*'Portfolio 2 &amp; 3'!$F$12+H102*'Portfolio 2 &amp; 3'!$F$13+I102*'Portfolio 2 &amp; 3'!$F$14+J102*'Portfolio 2 &amp; 3'!$F$15+K102*'Portfolio 2 &amp; 3'!$F$16</f>
        <v>2.8265213492374664E-3</v>
      </c>
      <c r="R102" s="93">
        <f>B102*'Portfolio 2 &amp; 3'!$B$23+C102*'Portfolio 2 &amp; 3'!$B$24+D102*'Portfolio 2 &amp; 3'!$B$25+E102*'Portfolio 2 &amp; 3'!$B$26+F102*'Portfolio 2 &amp; 3'!$B$27+G102*'Portfolio 2 &amp; 3'!$B$28+H102*'Portfolio 2 &amp; 3'!$B$29+I102*'Portfolio 2 &amp; 3'!$B$30+J102*'Portfolio 2 &amp; 3'!$B$31+K102*'Portfolio 2 &amp; 3'!$B$32</f>
        <v>4.2135796423968339E-3</v>
      </c>
      <c r="S102" s="93">
        <f t="shared" si="5"/>
        <v>1.0181087070270323E-2</v>
      </c>
    </row>
    <row r="103" spans="1:19" ht="12.75" customHeight="1">
      <c r="A103" s="82">
        <v>45933</v>
      </c>
      <c r="B103" s="53">
        <v>2.5000000000000001E-3</v>
      </c>
      <c r="C103" s="53">
        <v>-3.2054217419177399E-3</v>
      </c>
      <c r="D103" s="53">
        <v>2.9269185036129301E-3</v>
      </c>
      <c r="E103" s="53">
        <v>-1.089E-2</v>
      </c>
      <c r="F103" s="53">
        <v>-2.87544771225345E-3</v>
      </c>
      <c r="G103" s="53">
        <v>-1.4689804042499499E-2</v>
      </c>
      <c r="H103" s="87">
        <v>2.7315819072868401E-3</v>
      </c>
      <c r="I103" s="53">
        <v>-9.66942648214286E-4</v>
      </c>
      <c r="J103" s="53">
        <v>-3.03090202279777E-3</v>
      </c>
      <c r="K103" s="53">
        <v>-6.7337197408796597E-3</v>
      </c>
      <c r="L103" s="95">
        <f>IFERROR(B103*'Stock Statistics'!$C$41+C103*'Stock Statistics'!$C$42+D103*'Stock Statistics'!$C$43+E103*'Stock Statistics'!$C$44+F103*'Stock Statistics'!$C$45+G103*'Stock Statistics'!$C$46+H103*'Stock Statistics'!$C$47+I103*'Stock Statistics'!$C$48+J103*'Stock Statistics'!$C$49+K103*'Stock Statistics'!$C$50,"")</f>
        <v>-3.4233737497662638E-3</v>
      </c>
      <c r="M103" s="97">
        <v>485.88900000000001</v>
      </c>
      <c r="N103" s="96">
        <v>553.46289999999999</v>
      </c>
      <c r="O103" s="93">
        <f t="shared" si="3"/>
        <v>-1.0446197150435488E-3</v>
      </c>
      <c r="P103" s="93">
        <f t="shared" si="4"/>
        <v>-3.4782470916628894E-3</v>
      </c>
      <c r="Q103" s="93">
        <f>B103*'Portfolio 2 &amp; 3'!$F$7+C103*'Portfolio 2 &amp; 3'!$F$8+D103*'Portfolio 2 &amp; 3'!$F$9+E103*'Portfolio 2 &amp; 3'!$F$10+F103*'Portfolio 2 &amp; 3'!$F$11+G103*'Portfolio 2 &amp; 3'!$F$12+H103*'Portfolio 2 &amp; 3'!$F$13+I103*'Portfolio 2 &amp; 3'!$F$14+J103*'Portfolio 2 &amp; 3'!$F$15+K103*'Portfolio 2 &amp; 3'!$F$16</f>
        <v>-2.2498780547808538E-3</v>
      </c>
      <c r="R103" s="93">
        <f>B103*'Portfolio 2 &amp; 3'!$B$23+C103*'Portfolio 2 &amp; 3'!$B$24+D103*'Portfolio 2 &amp; 3'!$B$25+E103*'Portfolio 2 &amp; 3'!$B$26+F103*'Portfolio 2 &amp; 3'!$B$27+G103*'Portfolio 2 &amp; 3'!$B$28+H103*'Portfolio 2 &amp; 3'!$B$29+I103*'Portfolio 2 &amp; 3'!$B$30+J103*'Portfolio 2 &amp; 3'!$B$31+K103*'Portfolio 2 &amp; 3'!$B$32</f>
        <v>-3.0935295482722629E-3</v>
      </c>
      <c r="S103" s="93">
        <f t="shared" si="5"/>
        <v>-2.2614334033532191E-3</v>
      </c>
    </row>
    <row r="104" spans="1:19" ht="12.75" customHeight="1">
      <c r="A104" s="81">
        <v>45931</v>
      </c>
      <c r="B104" s="53">
        <v>2.0500000000000001E-2</v>
      </c>
      <c r="C104" s="53">
        <v>6.3594470046082199E-3</v>
      </c>
      <c r="D104" s="53">
        <v>6.7219152854511898E-3</v>
      </c>
      <c r="E104" s="53">
        <v>-6.5100000000000002E-3</v>
      </c>
      <c r="F104" s="53">
        <v>9.4205112536918101E-3</v>
      </c>
      <c r="G104" s="53">
        <v>-1.00188721136767E-2</v>
      </c>
      <c r="H104" s="87">
        <v>1.7161068889433698E-2</v>
      </c>
      <c r="I104" s="53">
        <v>1.44065718489457E-2</v>
      </c>
      <c r="J104" s="53">
        <v>3.1064111037673002E-3</v>
      </c>
      <c r="K104" s="53">
        <v>2.7320490367775702E-2</v>
      </c>
      <c r="L104" s="95">
        <f>IFERROR(B104*'Stock Statistics'!$C$41+C104*'Stock Statistics'!$C$42+D104*'Stock Statistics'!$C$43+E104*'Stock Statistics'!$C$44+F104*'Stock Statistics'!$C$45+G104*'Stock Statistics'!$C$46+H104*'Stock Statistics'!$C$47+I104*'Stock Statistics'!$C$48+J104*'Stock Statistics'!$C$49+K104*'Stock Statistics'!$C$50,"")</f>
        <v>8.8467543639996916E-3</v>
      </c>
      <c r="M104" s="96">
        <v>486.39710000000002</v>
      </c>
      <c r="N104" s="97">
        <v>555.39469999999994</v>
      </c>
      <c r="O104" s="93">
        <f t="shared" si="3"/>
        <v>8.8963450313321868E-3</v>
      </c>
      <c r="P104" s="93">
        <f t="shared" si="4"/>
        <v>-6.8642737850244107E-4</v>
      </c>
      <c r="Q104" s="93">
        <f>B104*'Portfolio 2 &amp; 3'!$F$7+C104*'Portfolio 2 &amp; 3'!$F$8+D104*'Portfolio 2 &amp; 3'!$F$9+E104*'Portfolio 2 &amp; 3'!$F$10+F104*'Portfolio 2 &amp; 3'!$F$11+G104*'Portfolio 2 &amp; 3'!$F$12+H104*'Portfolio 2 &amp; 3'!$F$13+I104*'Portfolio 2 &amp; 3'!$F$14+J104*'Portfolio 2 &amp; 3'!$F$15+K104*'Portfolio 2 &amp; 3'!$F$16</f>
        <v>9.4651711382713784E-3</v>
      </c>
      <c r="R104" s="93">
        <f>B104*'Portfolio 2 &amp; 3'!$B$23+C104*'Portfolio 2 &amp; 3'!$B$24+D104*'Portfolio 2 &amp; 3'!$B$25+E104*'Portfolio 2 &amp; 3'!$B$26+F104*'Portfolio 2 &amp; 3'!$B$27+G104*'Portfolio 2 &amp; 3'!$B$28+H104*'Portfolio 2 &amp; 3'!$B$29+I104*'Portfolio 2 &amp; 3'!$B$30+J104*'Portfolio 2 &amp; 3'!$B$31+K104*'Portfolio 2 &amp; 3'!$B$32</f>
        <v>1.1029294499880731E-2</v>
      </c>
      <c r="S104" s="93">
        <f t="shared" si="5"/>
        <v>4.1049588264148729E-3</v>
      </c>
    </row>
    <row r="105" spans="1:19" ht="12.75" customHeight="1">
      <c r="A105" s="82">
        <v>45930</v>
      </c>
      <c r="B105" s="53">
        <v>-1.26E-2</v>
      </c>
      <c r="C105" s="53">
        <v>2.9580329081160301E-3</v>
      </c>
      <c r="D105" s="53">
        <v>1.9374481040685999E-3</v>
      </c>
      <c r="E105" s="53">
        <v>-5.4400000000000004E-3</v>
      </c>
      <c r="F105" s="53">
        <v>-1.0281221651043299E-2</v>
      </c>
      <c r="G105" s="53">
        <v>4.6283388167065497E-3</v>
      </c>
      <c r="H105" s="87">
        <v>-8.8287704519682802E-3</v>
      </c>
      <c r="I105" s="53">
        <v>-3.0558611416696699E-3</v>
      </c>
      <c r="J105" s="53">
        <v>6.4524712299607297E-3</v>
      </c>
      <c r="K105" s="53">
        <v>3.6031285701732E-3</v>
      </c>
      <c r="L105" s="95">
        <f>IFERROR(B105*'Stock Statistics'!$C$41+C105*'Stock Statistics'!$C$42+D105*'Stock Statistics'!$C$43+E105*'Stock Statistics'!$C$44+F105*'Stock Statistics'!$C$45+G105*'Stock Statistics'!$C$46+H105*'Stock Statistics'!$C$47+I105*'Stock Statistics'!$C$48+J105*'Stock Statistics'!$C$49+K105*'Stock Statistics'!$C$50,"")</f>
        <v>-2.0626433615656141E-3</v>
      </c>
      <c r="M105" s="97">
        <v>482.10809999999998</v>
      </c>
      <c r="N105" s="96">
        <v>555.77620000000002</v>
      </c>
      <c r="O105" s="93">
        <f t="shared" si="3"/>
        <v>1.8744567036867998E-3</v>
      </c>
      <c r="P105" s="93">
        <f t="shared" si="4"/>
        <v>-1.9697895981929725E-2</v>
      </c>
      <c r="Q105" s="93">
        <f>B105*'Portfolio 2 &amp; 3'!$F$7+C105*'Portfolio 2 &amp; 3'!$F$8+D105*'Portfolio 2 &amp; 3'!$F$9+E105*'Portfolio 2 &amp; 3'!$F$10+F105*'Portfolio 2 &amp; 3'!$F$11+G105*'Portfolio 2 &amp; 3'!$F$12+H105*'Portfolio 2 &amp; 3'!$F$13+I105*'Portfolio 2 &amp; 3'!$F$14+J105*'Portfolio 2 &amp; 3'!$F$15+K105*'Portfolio 2 &amp; 3'!$F$16</f>
        <v>-1.9788618857770985E-3</v>
      </c>
      <c r="R105" s="93">
        <f>B105*'Portfolio 2 &amp; 3'!$B$23+C105*'Portfolio 2 &amp; 3'!$B$24+D105*'Portfolio 2 &amp; 3'!$B$25+E105*'Portfolio 2 &amp; 3'!$B$26+F105*'Portfolio 2 &amp; 3'!$B$27+G105*'Portfolio 2 &amp; 3'!$B$28+H105*'Portfolio 2 &amp; 3'!$B$29+I105*'Portfolio 2 &amp; 3'!$B$30+J105*'Portfolio 2 &amp; 3'!$B$31+K105*'Portfolio 2 &amp; 3'!$B$32</f>
        <v>-2.7331321748459369E-3</v>
      </c>
      <c r="S105" s="93">
        <f t="shared" si="5"/>
        <v>-8.9117196391214626E-3</v>
      </c>
    </row>
    <row r="106" spans="1:19" ht="12.75" customHeight="1">
      <c r="A106" s="81">
        <v>45929</v>
      </c>
      <c r="B106" s="53">
        <v>-2.5000000000000001E-3</v>
      </c>
      <c r="C106" s="53">
        <v>-4.4174489232468002E-3</v>
      </c>
      <c r="D106" s="53">
        <v>-5.1399724644331001E-3</v>
      </c>
      <c r="E106" s="53">
        <v>3.3329999999999999E-2</v>
      </c>
      <c r="F106" s="53">
        <v>1.7538461538461499E-2</v>
      </c>
      <c r="G106" s="53">
        <v>7.1889918562202402E-3</v>
      </c>
      <c r="H106" s="87">
        <v>-1.4763386800734199E-2</v>
      </c>
      <c r="I106" s="53">
        <v>2.6281126513203301E-2</v>
      </c>
      <c r="J106" s="53">
        <v>1.02822580645161E-2</v>
      </c>
      <c r="K106" s="53">
        <v>-1.40412461605965E-3</v>
      </c>
      <c r="L106" s="95">
        <f>IFERROR(B106*'Stock Statistics'!$C$41+C106*'Stock Statistics'!$C$42+D106*'Stock Statistics'!$C$43+E106*'Stock Statistics'!$C$44+F106*'Stock Statistics'!$C$45+G106*'Stock Statistics'!$C$46+H106*'Stock Statistics'!$C$47+I106*'Stock Statistics'!$C$48+J106*'Stock Statistics'!$C$49+K106*'Stock Statistics'!$C$50,"")</f>
        <v>6.6395905167927396E-3</v>
      </c>
      <c r="M106" s="96">
        <v>481.20609999999999</v>
      </c>
      <c r="N106" s="97">
        <v>566.94380000000001</v>
      </c>
      <c r="O106" s="93">
        <f t="shared" si="3"/>
        <v>-5.6907855589460876E-4</v>
      </c>
      <c r="P106" s="93">
        <f t="shared" si="4"/>
        <v>-8.0068952979589492E-3</v>
      </c>
      <c r="Q106" s="93">
        <f>B106*'Portfolio 2 &amp; 3'!$F$7+C106*'Portfolio 2 &amp; 3'!$F$8+D106*'Portfolio 2 &amp; 3'!$F$9+E106*'Portfolio 2 &amp; 3'!$F$10+F106*'Portfolio 2 &amp; 3'!$F$11+G106*'Portfolio 2 &amp; 3'!$F$12+H106*'Portfolio 2 &amp; 3'!$F$13+I106*'Portfolio 2 &amp; 3'!$F$14+J106*'Portfolio 2 &amp; 3'!$F$15+K106*'Portfolio 2 &amp; 3'!$F$16</f>
        <v>4.5418248301514206E-3</v>
      </c>
      <c r="R106" s="93">
        <f>B106*'Portfolio 2 &amp; 3'!$B$23+C106*'Portfolio 2 &amp; 3'!$B$24+D106*'Portfolio 2 &amp; 3'!$B$25+E106*'Portfolio 2 &amp; 3'!$B$26+F106*'Portfolio 2 &amp; 3'!$B$27+G106*'Portfolio 2 &amp; 3'!$B$28+H106*'Portfolio 2 &amp; 3'!$B$29+I106*'Portfolio 2 &amp; 3'!$B$30+J106*'Portfolio 2 &amp; 3'!$B$31+K106*'Portfolio 2 &amp; 3'!$B$32</f>
        <v>8.6314864371440647E-3</v>
      </c>
      <c r="S106" s="93">
        <f t="shared" si="5"/>
        <v>-4.287986926926779E-3</v>
      </c>
    </row>
    <row r="107" spans="1:19" ht="12.75" customHeight="1">
      <c r="A107" s="82">
        <v>45926</v>
      </c>
      <c r="B107" s="53">
        <v>-1.5100000000000001E-2</v>
      </c>
      <c r="C107" s="53">
        <v>-1.3616557734204801E-2</v>
      </c>
      <c r="D107" s="53">
        <v>-4.58715596330261E-4</v>
      </c>
      <c r="E107" s="53">
        <v>-1.5299999999999999E-2</v>
      </c>
      <c r="F107" s="53">
        <v>-4.3414275202354601E-2</v>
      </c>
      <c r="G107" s="53">
        <v>8.3248386000680501E-3</v>
      </c>
      <c r="H107" s="87">
        <v>-1.73306148055207E-2</v>
      </c>
      <c r="I107" s="53">
        <v>3.1460391367268401E-3</v>
      </c>
      <c r="J107" s="53">
        <v>-7.6030412164866997E-3</v>
      </c>
      <c r="K107" s="53">
        <v>1.40609895421395E-3</v>
      </c>
      <c r="L107" s="95">
        <f>IFERROR(B107*'Stock Statistics'!$C$41+C107*'Stock Statistics'!$C$42+D107*'Stock Statistics'!$C$43+E107*'Stock Statistics'!$C$44+F107*'Stock Statistics'!$C$45+G107*'Stock Statistics'!$C$46+H107*'Stock Statistics'!$C$47+I107*'Stock Statistics'!$C$48+J107*'Stock Statistics'!$C$49+K107*'Stock Statistics'!$C$50,"")</f>
        <v>-9.9946227863888203E-3</v>
      </c>
      <c r="M107" s="97">
        <v>481.48009999999999</v>
      </c>
      <c r="N107" s="96">
        <v>571.51990000000001</v>
      </c>
      <c r="O107" s="93">
        <f t="shared" si="3"/>
        <v>-1.9309903749894386E-2</v>
      </c>
      <c r="P107" s="93">
        <f t="shared" si="4"/>
        <v>-6.3020684367145474E-3</v>
      </c>
      <c r="Q107" s="93">
        <f>B107*'Portfolio 2 &amp; 3'!$F$7+C107*'Portfolio 2 &amp; 3'!$F$8+D107*'Portfolio 2 &amp; 3'!$F$9+E107*'Portfolio 2 &amp; 3'!$F$10+F107*'Portfolio 2 &amp; 3'!$F$11+G107*'Portfolio 2 &amp; 3'!$F$12+H107*'Portfolio 2 &amp; 3'!$F$13+I107*'Portfolio 2 &amp; 3'!$F$14+J107*'Portfolio 2 &amp; 3'!$F$15+K107*'Portfolio 2 &amp; 3'!$F$16</f>
        <v>-1.108394880322267E-2</v>
      </c>
      <c r="R107" s="93">
        <f>B107*'Portfolio 2 &amp; 3'!$B$23+C107*'Portfolio 2 &amp; 3'!$B$24+D107*'Portfolio 2 &amp; 3'!$B$25+E107*'Portfolio 2 &amp; 3'!$B$26+F107*'Portfolio 2 &amp; 3'!$B$27+G107*'Portfolio 2 &amp; 3'!$B$28+H107*'Portfolio 2 &amp; 3'!$B$29+I107*'Portfolio 2 &amp; 3'!$B$30+J107*'Portfolio 2 &amp; 3'!$B$31+K107*'Portfolio 2 &amp; 3'!$B$32</f>
        <v>-1.0454652068097892E-2</v>
      </c>
      <c r="S107" s="93">
        <f t="shared" si="5"/>
        <v>-1.2805986093304467E-2</v>
      </c>
    </row>
    <row r="108" spans="1:19" ht="12.75" customHeight="1">
      <c r="A108" s="81">
        <v>45925</v>
      </c>
      <c r="B108" s="53">
        <v>0</v>
      </c>
      <c r="C108" s="53">
        <v>-1.21951219512195E-2</v>
      </c>
      <c r="D108" s="53">
        <v>-6.38103919781219E-3</v>
      </c>
      <c r="E108" s="53">
        <v>3.9500000000000004E-3</v>
      </c>
      <c r="F108" s="53">
        <v>-1.6167953667953702E-2</v>
      </c>
      <c r="G108" s="53">
        <v>-2.29624301444144E-2</v>
      </c>
      <c r="H108" s="87">
        <v>-1.7641167860719599E-2</v>
      </c>
      <c r="I108" s="53">
        <v>1.6386210373731101E-3</v>
      </c>
      <c r="J108" s="53">
        <v>-6.8225475259985398E-3</v>
      </c>
      <c r="K108" s="53">
        <v>-3.5187383415295898E-2</v>
      </c>
      <c r="L108" s="95">
        <f>IFERROR(B108*'Stock Statistics'!$C$41+C108*'Stock Statistics'!$C$42+D108*'Stock Statistics'!$C$43+E108*'Stock Statistics'!$C$44+F108*'Stock Statistics'!$C$45+G108*'Stock Statistics'!$C$46+H108*'Stock Statistics'!$C$47+I108*'Stock Statistics'!$C$48+J108*'Stock Statistics'!$C$49+K108*'Stock Statistics'!$C$50,"")</f>
        <v>-1.1176902272604072E-2</v>
      </c>
      <c r="M108" s="96">
        <v>490.96050000000002</v>
      </c>
      <c r="N108" s="97">
        <v>575.14449999999999</v>
      </c>
      <c r="O108" s="93">
        <f t="shared" si="3"/>
        <v>-5.5831579629624928E-3</v>
      </c>
      <c r="P108" s="93">
        <f t="shared" si="4"/>
        <v>-3.9194149851855542E-3</v>
      </c>
      <c r="Q108" s="93">
        <f>B108*'Portfolio 2 &amp; 3'!$F$7+C108*'Portfolio 2 &amp; 3'!$F$8+D108*'Portfolio 2 &amp; 3'!$F$9+E108*'Portfolio 2 &amp; 3'!$F$10+F108*'Portfolio 2 &amp; 3'!$F$11+G108*'Portfolio 2 &amp; 3'!$F$12+H108*'Portfolio 2 &amp; 3'!$F$13+I108*'Portfolio 2 &amp; 3'!$F$14+J108*'Portfolio 2 &amp; 3'!$F$15+K108*'Portfolio 2 &amp; 3'!$F$16</f>
        <v>-1.117678703009297E-2</v>
      </c>
      <c r="R108" s="93">
        <f>B108*'Portfolio 2 &amp; 3'!$B$23+C108*'Portfolio 2 &amp; 3'!$B$24+D108*'Portfolio 2 &amp; 3'!$B$25+E108*'Portfolio 2 &amp; 3'!$B$26+F108*'Portfolio 2 &amp; 3'!$B$27+G108*'Portfolio 2 &amp; 3'!$B$28+H108*'Portfolio 2 &amp; 3'!$B$29+I108*'Portfolio 2 &amp; 3'!$B$30+J108*'Portfolio 2 &amp; 3'!$B$31+K108*'Portfolio 2 &amp; 3'!$B$32</f>
        <v>-1.0765766403356728E-2</v>
      </c>
      <c r="S108" s="93">
        <f t="shared" si="5"/>
        <v>-4.7512864740740235E-3</v>
      </c>
    </row>
    <row r="109" spans="1:19" ht="12.75" customHeight="1">
      <c r="A109" s="82">
        <v>45924</v>
      </c>
      <c r="B109" s="53">
        <v>-1E-3</v>
      </c>
      <c r="C109" s="53">
        <v>5.6813057985389799E-3</v>
      </c>
      <c r="D109" s="53">
        <v>5.5917132642771001E-3</v>
      </c>
      <c r="E109" s="53">
        <v>-5.5399999999999998E-3</v>
      </c>
      <c r="F109" s="53">
        <v>-8.4701153275589299E-3</v>
      </c>
      <c r="G109" s="53">
        <v>-1.01054361221417E-2</v>
      </c>
      <c r="H109" s="87">
        <v>-7.8722103332313793E-3</v>
      </c>
      <c r="I109" s="53">
        <v>-2.5009217156200102E-2</v>
      </c>
      <c r="J109" s="53">
        <v>-1.8400520156046801E-2</v>
      </c>
      <c r="K109" s="53">
        <v>-1.45387700534759E-2</v>
      </c>
      <c r="L109" s="95">
        <f>IFERROR(B109*'Stock Statistics'!$C$41+C109*'Stock Statistics'!$C$42+D109*'Stock Statistics'!$C$43+E109*'Stock Statistics'!$C$44+F109*'Stock Statistics'!$C$45+G109*'Stock Statistics'!$C$46+H109*'Stock Statistics'!$C$47+I109*'Stock Statistics'!$C$48+J109*'Stock Statistics'!$C$49+K109*'Stock Statistics'!$C$50,"")</f>
        <v>-7.966325008583873E-3</v>
      </c>
      <c r="M109" s="97">
        <v>493.71699999999998</v>
      </c>
      <c r="N109" s="96">
        <v>577.4076</v>
      </c>
      <c r="O109" s="93">
        <f t="shared" si="3"/>
        <v>-5.7560253198256639E-3</v>
      </c>
      <c r="P109" s="93">
        <f t="shared" si="4"/>
        <v>-1.1850281714798738E-2</v>
      </c>
      <c r="Q109" s="93">
        <f>B109*'Portfolio 2 &amp; 3'!$F$7+C109*'Portfolio 2 &amp; 3'!$F$8+D109*'Portfolio 2 &amp; 3'!$F$9+E109*'Portfolio 2 &amp; 3'!$F$10+F109*'Portfolio 2 &amp; 3'!$F$11+G109*'Portfolio 2 &amp; 3'!$F$12+H109*'Portfolio 2 &amp; 3'!$F$13+I109*'Portfolio 2 &amp; 3'!$F$14+J109*'Portfolio 2 &amp; 3'!$F$15+K109*'Portfolio 2 &amp; 3'!$F$16</f>
        <v>-7.8290758466752468E-3</v>
      </c>
      <c r="R109" s="93">
        <f>B109*'Portfolio 2 &amp; 3'!$B$23+C109*'Portfolio 2 &amp; 3'!$B$24+D109*'Portfolio 2 &amp; 3'!$B$25+E109*'Portfolio 2 &amp; 3'!$B$26+F109*'Portfolio 2 &amp; 3'!$B$27+G109*'Portfolio 2 &amp; 3'!$B$28+H109*'Portfolio 2 &amp; 3'!$B$29+I109*'Portfolio 2 &amp; 3'!$B$30+J109*'Portfolio 2 &amp; 3'!$B$31+K109*'Portfolio 2 &amp; 3'!$B$32</f>
        <v>-9.7298596499442898E-3</v>
      </c>
      <c r="S109" s="93">
        <f t="shared" si="5"/>
        <v>-8.8031535173122011E-3</v>
      </c>
    </row>
    <row r="110" spans="1:19" ht="12.75" customHeight="1">
      <c r="A110" s="81">
        <v>45923</v>
      </c>
      <c r="B110" s="53">
        <v>1E-3</v>
      </c>
      <c r="C110" s="53">
        <v>9.0081892629663204E-3</v>
      </c>
      <c r="D110" s="53">
        <v>-1.7118659338679201E-2</v>
      </c>
      <c r="E110" s="53">
        <v>-2.7969999999999998E-2</v>
      </c>
      <c r="F110" s="53">
        <v>8.8346046152358894E-3</v>
      </c>
      <c r="G110" s="53">
        <v>-1.20353401351248E-3</v>
      </c>
      <c r="H110" s="87">
        <v>5.3788228062086104E-3</v>
      </c>
      <c r="I110" s="53">
        <v>1.8437711265462101E-4</v>
      </c>
      <c r="J110" s="53">
        <v>7.13771200314328E-3</v>
      </c>
      <c r="K110" s="53">
        <v>-1.10725499917369E-2</v>
      </c>
      <c r="L110" s="95">
        <f>IFERROR(B110*'Stock Statistics'!$C$41+C110*'Stock Statistics'!$C$42+D110*'Stock Statistics'!$C$43+E110*'Stock Statistics'!$C$44+F110*'Stock Statistics'!$C$45+G110*'Stock Statistics'!$C$46+H110*'Stock Statistics'!$C$47+I110*'Stock Statistics'!$C$48+J110*'Stock Statistics'!$C$49+K110*'Stock Statistics'!$C$50,"")</f>
        <v>-2.582103754371986E-3</v>
      </c>
      <c r="M110" s="96">
        <v>496.57530000000003</v>
      </c>
      <c r="N110" s="97">
        <v>584.33209999999997</v>
      </c>
      <c r="O110" s="93">
        <f t="shared" si="3"/>
        <v>-4.2936208660389052E-3</v>
      </c>
      <c r="P110" s="93">
        <f t="shared" si="4"/>
        <v>4.2040895309698456E-3</v>
      </c>
      <c r="Q110" s="93">
        <f>B110*'Portfolio 2 &amp; 3'!$F$7+C110*'Portfolio 2 &amp; 3'!$F$8+D110*'Portfolio 2 &amp; 3'!$F$9+E110*'Portfolio 2 &amp; 3'!$F$10+F110*'Portfolio 2 &amp; 3'!$F$11+G110*'Portfolio 2 &amp; 3'!$F$12+H110*'Portfolio 2 &amp; 3'!$F$13+I110*'Portfolio 2 &amp; 3'!$F$14+J110*'Portfolio 2 &amp; 3'!$F$15+K110*'Portfolio 2 &amp; 3'!$F$16</f>
        <v>-1.4702519477480438E-3</v>
      </c>
      <c r="R110" s="93">
        <f>B110*'Portfolio 2 &amp; 3'!$B$23+C110*'Portfolio 2 &amp; 3'!$B$24+D110*'Portfolio 2 &amp; 3'!$B$25+E110*'Portfolio 2 &amp; 3'!$B$26+F110*'Portfolio 2 &amp; 3'!$B$27+G110*'Portfolio 2 &amp; 3'!$B$28+H110*'Portfolio 2 &amp; 3'!$B$29+I110*'Portfolio 2 &amp; 3'!$B$30+J110*'Portfolio 2 &amp; 3'!$B$31+K110*'Portfolio 2 &amp; 3'!$B$32</f>
        <v>2.4004538898303399E-3</v>
      </c>
      <c r="S110" s="93">
        <f t="shared" si="5"/>
        <v>-4.4765667534529818E-5</v>
      </c>
    </row>
    <row r="111" spans="1:19" ht="12.75" customHeight="1">
      <c r="A111" s="82">
        <v>45922</v>
      </c>
      <c r="B111" s="53">
        <v>-5.5999999999999999E-3</v>
      </c>
      <c r="C111" s="53">
        <v>-8.3912298114229306E-3</v>
      </c>
      <c r="D111" s="53">
        <v>-6.7120100232682701E-3</v>
      </c>
      <c r="E111" s="53">
        <v>-6.5900000000000004E-3</v>
      </c>
      <c r="F111" s="53">
        <v>-1.54246601754549E-3</v>
      </c>
      <c r="G111" s="53">
        <v>7.3569932767552099E-3</v>
      </c>
      <c r="H111" s="87">
        <v>-1.5359007339033099E-2</v>
      </c>
      <c r="I111" s="53">
        <v>-2.5134870034331201E-3</v>
      </c>
      <c r="J111" s="53">
        <v>-9.7912073661005107E-3</v>
      </c>
      <c r="K111" s="53">
        <v>-6.8116536725482098E-3</v>
      </c>
      <c r="L111" s="95">
        <f>IFERROR(B111*'Stock Statistics'!$C$41+C111*'Stock Statistics'!$C$42+D111*'Stock Statistics'!$C$43+E111*'Stock Statistics'!$C$44+F111*'Stock Statistics'!$C$45+G111*'Stock Statistics'!$C$46+H111*'Stock Statistics'!$C$47+I111*'Stock Statistics'!$C$48+J111*'Stock Statistics'!$C$49+K111*'Stock Statistics'!$C$50,"")</f>
        <v>-5.595406795659643E-3</v>
      </c>
      <c r="M111" s="97">
        <v>498.71660000000003</v>
      </c>
      <c r="N111" s="96">
        <v>581.88580000000002</v>
      </c>
      <c r="O111" s="93">
        <f t="shared" si="3"/>
        <v>-8.28088718422193E-3</v>
      </c>
      <c r="P111" s="93">
        <f t="shared" si="4"/>
        <v>6.1410858980845973E-3</v>
      </c>
      <c r="Q111" s="93">
        <f>B111*'Portfolio 2 &amp; 3'!$F$7+C111*'Portfolio 2 &amp; 3'!$F$8+D111*'Portfolio 2 &amp; 3'!$F$9+E111*'Portfolio 2 &amp; 3'!$F$10+F111*'Portfolio 2 &amp; 3'!$F$11+G111*'Portfolio 2 &amp; 3'!$F$12+H111*'Portfolio 2 &amp; 3'!$F$13+I111*'Portfolio 2 &amp; 3'!$F$14+J111*'Portfolio 2 &amp; 3'!$F$15+K111*'Portfolio 2 &amp; 3'!$F$16</f>
        <v>-7.0062749759614634E-3</v>
      </c>
      <c r="R111" s="93">
        <f>B111*'Portfolio 2 &amp; 3'!$B$23+C111*'Portfolio 2 &amp; 3'!$B$24+D111*'Portfolio 2 &amp; 3'!$B$25+E111*'Portfolio 2 &amp; 3'!$B$26+F111*'Portfolio 2 &amp; 3'!$B$27+G111*'Portfolio 2 &amp; 3'!$B$28+H111*'Portfolio 2 &amp; 3'!$B$29+I111*'Portfolio 2 &amp; 3'!$B$30+J111*'Portfolio 2 &amp; 3'!$B$31+K111*'Portfolio 2 &amp; 3'!$B$32</f>
        <v>-3.8952400130539836E-3</v>
      </c>
      <c r="S111" s="93">
        <f t="shared" si="5"/>
        <v>-1.0699006430686664E-3</v>
      </c>
    </row>
    <row r="112" spans="1:19" ht="12.75" customHeight="1">
      <c r="A112" s="81">
        <v>45919</v>
      </c>
      <c r="B112" s="53">
        <v>-1.7000000000000001E-2</v>
      </c>
      <c r="C112" s="53">
        <v>1.13149009946163E-2</v>
      </c>
      <c r="D112" s="53">
        <v>-1.60829163688347E-3</v>
      </c>
      <c r="E112" s="53">
        <v>-4.96E-3</v>
      </c>
      <c r="F112" s="53">
        <v>-1.00682349572935E-2</v>
      </c>
      <c r="G112" s="53">
        <v>1.73235409541963E-2</v>
      </c>
      <c r="H112" s="87">
        <v>-7.5602933393814598E-4</v>
      </c>
      <c r="I112" s="53">
        <v>-7.7858880778588499E-3</v>
      </c>
      <c r="J112" s="53">
        <v>-2.1322502855692298E-2</v>
      </c>
      <c r="K112" s="53">
        <v>-1.7338709677419399E-2</v>
      </c>
      <c r="L112" s="95">
        <f>IFERROR(B112*'Stock Statistics'!$C$41+C112*'Stock Statistics'!$C$42+D112*'Stock Statistics'!$C$43+E112*'Stock Statistics'!$C$44+F112*'Stock Statistics'!$C$45+G112*'Stock Statistics'!$C$46+H112*'Stock Statistics'!$C$47+I112*'Stock Statistics'!$C$48+J112*'Stock Statistics'!$C$49+K112*'Stock Statistics'!$C$50,"")</f>
        <v>-5.2201214590273061E-3</v>
      </c>
      <c r="M112" s="96">
        <v>502.8809</v>
      </c>
      <c r="N112" s="97">
        <v>578.33420000000001</v>
      </c>
      <c r="O112" s="93">
        <f t="shared" si="3"/>
        <v>1.9735384458439142E-3</v>
      </c>
      <c r="P112" s="93">
        <f t="shared" si="4"/>
        <v>6.4571830971282829E-4</v>
      </c>
      <c r="Q112" s="93">
        <f>B112*'Portfolio 2 &amp; 3'!$F$7+C112*'Portfolio 2 &amp; 3'!$F$8+D112*'Portfolio 2 &amp; 3'!$F$9+E112*'Portfolio 2 &amp; 3'!$F$10+F112*'Portfolio 2 &amp; 3'!$F$11+G112*'Portfolio 2 &amp; 3'!$F$12+H112*'Portfolio 2 &amp; 3'!$F$13+I112*'Portfolio 2 &amp; 3'!$F$14+J112*'Portfolio 2 &amp; 3'!$F$15+K112*'Portfolio 2 &amp; 3'!$F$16</f>
        <v>-5.955579668080118E-3</v>
      </c>
      <c r="R112" s="93">
        <f>B112*'Portfolio 2 &amp; 3'!$B$23+C112*'Portfolio 2 &amp; 3'!$B$24+D112*'Portfolio 2 &amp; 3'!$B$25+E112*'Portfolio 2 &amp; 3'!$B$26+F112*'Portfolio 2 &amp; 3'!$B$27+G112*'Portfolio 2 &amp; 3'!$B$28+H112*'Portfolio 2 &amp; 3'!$B$29+I112*'Portfolio 2 &amp; 3'!$B$30+J112*'Portfolio 2 &amp; 3'!$B$31+K112*'Portfolio 2 &amp; 3'!$B$32</f>
        <v>-4.0391927542817174E-3</v>
      </c>
      <c r="S112" s="93">
        <f t="shared" si="5"/>
        <v>1.3096283777783713E-3</v>
      </c>
    </row>
    <row r="113" spans="1:19" ht="12.75" customHeight="1">
      <c r="A113" s="82">
        <v>45918</v>
      </c>
      <c r="B113" s="53">
        <v>-2.5999999999999999E-3</v>
      </c>
      <c r="C113" s="53">
        <v>1.27912288716314E-3</v>
      </c>
      <c r="D113" s="53">
        <v>-8.5924351138276806E-3</v>
      </c>
      <c r="E113" s="53">
        <v>-2.0240000000000001E-2</v>
      </c>
      <c r="F113" s="53">
        <v>1.3590636486747999E-2</v>
      </c>
      <c r="G113" s="53">
        <v>5.3828593974578603E-3</v>
      </c>
      <c r="H113" s="87">
        <v>8.6167454628640599E-3</v>
      </c>
      <c r="I113" s="53">
        <v>-7.2463768115942403E-3</v>
      </c>
      <c r="J113" s="53">
        <v>-1.5207198073755601E-3</v>
      </c>
      <c r="K113" s="53">
        <v>1.43979057591623E-2</v>
      </c>
      <c r="L113" s="95">
        <f>IFERROR(B113*'Stock Statistics'!$C$41+C113*'Stock Statistics'!$C$42+D113*'Stock Statistics'!$C$43+E113*'Stock Statistics'!$C$44+F113*'Stock Statistics'!$C$45+G113*'Stock Statistics'!$C$46+H113*'Stock Statistics'!$C$47+I113*'Stock Statistics'!$C$48+J113*'Stock Statistics'!$C$49+K113*'Stock Statistics'!$C$50,"")</f>
        <v>3.0677382605978783E-4</v>
      </c>
      <c r="M113" s="97">
        <v>501.8904</v>
      </c>
      <c r="N113" s="96">
        <v>577.96100000000001</v>
      </c>
      <c r="O113" s="93">
        <f t="shared" si="3"/>
        <v>8.815191330817429E-3</v>
      </c>
      <c r="P113" s="93">
        <f t="shared" si="4"/>
        <v>2.22237867348829E-3</v>
      </c>
      <c r="Q113" s="93">
        <f>B113*'Portfolio 2 &amp; 3'!$F$7+C113*'Portfolio 2 &amp; 3'!$F$8+D113*'Portfolio 2 &amp; 3'!$F$9+E113*'Portfolio 2 &amp; 3'!$F$10+F113*'Portfolio 2 &amp; 3'!$F$11+G113*'Portfolio 2 &amp; 3'!$F$12+H113*'Portfolio 2 &amp; 3'!$F$13+I113*'Portfolio 2 &amp; 3'!$F$14+J113*'Portfolio 2 &amp; 3'!$F$15+K113*'Portfolio 2 &amp; 3'!$F$16</f>
        <v>7.35256364662695E-4</v>
      </c>
      <c r="R113" s="93">
        <f>B113*'Portfolio 2 &amp; 3'!$B$23+C113*'Portfolio 2 &amp; 3'!$B$24+D113*'Portfolio 2 &amp; 3'!$B$25+E113*'Portfolio 2 &amp; 3'!$B$26+F113*'Portfolio 2 &amp; 3'!$B$27+G113*'Portfolio 2 &amp; 3'!$B$28+H113*'Portfolio 2 &amp; 3'!$B$29+I113*'Portfolio 2 &amp; 3'!$B$30+J113*'Portfolio 2 &amp; 3'!$B$31+K113*'Portfolio 2 &amp; 3'!$B$32</f>
        <v>2.1387017266210609E-3</v>
      </c>
      <c r="S113" s="93">
        <f t="shared" si="5"/>
        <v>5.5187850021528595E-3</v>
      </c>
    </row>
    <row r="114" spans="1:19" ht="12.75" customHeight="1">
      <c r="A114" s="81">
        <v>45917</v>
      </c>
      <c r="B114" s="53">
        <v>1.2999999999999999E-3</v>
      </c>
      <c r="C114" s="53">
        <v>-5.5424314010539301E-3</v>
      </c>
      <c r="D114" s="53">
        <v>3.0300264670986701E-2</v>
      </c>
      <c r="E114" s="53">
        <v>1.75E-3</v>
      </c>
      <c r="F114" s="53">
        <v>-6.7665538907690803E-4</v>
      </c>
      <c r="G114" s="53">
        <v>3.6204214396833301E-3</v>
      </c>
      <c r="H114" s="87">
        <v>7.6312576312575998E-4</v>
      </c>
      <c r="I114" s="53">
        <v>4.4886570423390299E-3</v>
      </c>
      <c r="J114" s="53">
        <v>1.19261349063864E-2</v>
      </c>
      <c r="K114" s="53">
        <v>9.9975212757168492E-3</v>
      </c>
      <c r="L114" s="95">
        <f>IFERROR(B114*'Stock Statistics'!$C$41+C114*'Stock Statistics'!$C$42+D114*'Stock Statistics'!$C$43+E114*'Stock Statistics'!$C$44+F114*'Stock Statistics'!$C$45+G114*'Stock Statistics'!$C$46+H114*'Stock Statistics'!$C$47+I114*'Stock Statistics'!$C$48+J114*'Stock Statistics'!$C$49+K114*'Stock Statistics'!$C$50,"")</f>
        <v>5.7927038308107238E-3</v>
      </c>
      <c r="M114" s="96">
        <v>497.50479999999999</v>
      </c>
      <c r="N114" s="97">
        <v>576.67939999999999</v>
      </c>
      <c r="O114" s="93">
        <f t="shared" si="3"/>
        <v>-1.8245868596842296E-3</v>
      </c>
      <c r="P114" s="93">
        <f t="shared" si="4"/>
        <v>-3.581326097996107E-3</v>
      </c>
      <c r="Q114" s="93">
        <f>B114*'Portfolio 2 &amp; 3'!$F$7+C114*'Portfolio 2 &amp; 3'!$F$8+D114*'Portfolio 2 &amp; 3'!$F$9+E114*'Portfolio 2 &amp; 3'!$F$10+F114*'Portfolio 2 &amp; 3'!$F$11+G114*'Portfolio 2 &amp; 3'!$F$12+H114*'Portfolio 2 &amp; 3'!$F$13+I114*'Portfolio 2 &amp; 3'!$F$14+J114*'Portfolio 2 &amp; 3'!$F$15+K114*'Portfolio 2 &amp; 3'!$F$16</f>
        <v>6.8724132134692214E-3</v>
      </c>
      <c r="R114" s="93">
        <f>B114*'Portfolio 2 &amp; 3'!$B$23+C114*'Portfolio 2 &amp; 3'!$B$24+D114*'Portfolio 2 &amp; 3'!$B$25+E114*'Portfolio 2 &amp; 3'!$B$26+F114*'Portfolio 2 &amp; 3'!$B$27+G114*'Portfolio 2 &amp; 3'!$B$28+H114*'Portfolio 2 &amp; 3'!$B$29+I114*'Portfolio 2 &amp; 3'!$B$30+J114*'Portfolio 2 &amp; 3'!$B$31+K114*'Portfolio 2 &amp; 3'!$B$32</f>
        <v>2.1639455495583849E-3</v>
      </c>
      <c r="S114" s="93">
        <f t="shared" si="5"/>
        <v>-2.7029564788401683E-3</v>
      </c>
    </row>
    <row r="115" spans="1:19" ht="12.75" customHeight="1">
      <c r="A115" s="82">
        <v>45916</v>
      </c>
      <c r="B115" s="53">
        <v>5.9999999999999995E-4</v>
      </c>
      <c r="C115" s="53">
        <v>4.5450413598757699E-4</v>
      </c>
      <c r="D115" s="53">
        <v>3.7559545621108602E-3</v>
      </c>
      <c r="E115" s="53">
        <v>2.3E-3</v>
      </c>
      <c r="F115" s="53">
        <v>-2.3145915710290899E-3</v>
      </c>
      <c r="G115" s="53">
        <v>1.10431532449873E-3</v>
      </c>
      <c r="H115" s="87">
        <v>7.38007380073791E-3</v>
      </c>
      <c r="I115" s="53">
        <v>1.7528700160474E-2</v>
      </c>
      <c r="J115" s="53">
        <v>3.8486209108401498E-4</v>
      </c>
      <c r="K115" s="53">
        <v>-7.86949749979504E-3</v>
      </c>
      <c r="L115" s="95">
        <f>IFERROR(B115*'Stock Statistics'!$C$41+C115*'Stock Statistics'!$C$42+D115*'Stock Statistics'!$C$43+E115*'Stock Statistics'!$C$44+F115*'Stock Statistics'!$C$45+G115*'Stock Statistics'!$C$46+H115*'Stock Statistics'!$C$47+I115*'Stock Statistics'!$C$48+J115*'Stock Statistics'!$C$49+K115*'Stock Statistics'!$C$50,"")</f>
        <v>2.3324321004068961E-3</v>
      </c>
      <c r="M115" s="97">
        <v>498.41419999999999</v>
      </c>
      <c r="N115" s="96">
        <v>578.75210000000004</v>
      </c>
      <c r="O115" s="93">
        <f t="shared" si="3"/>
        <v>1.8160886187024161E-4</v>
      </c>
      <c r="P115" s="93">
        <f t="shared" si="4"/>
        <v>3.5802758999070594E-3</v>
      </c>
      <c r="Q115" s="93">
        <f>B115*'Portfolio 2 &amp; 3'!$F$7+C115*'Portfolio 2 &amp; 3'!$F$8+D115*'Portfolio 2 &amp; 3'!$F$9+E115*'Portfolio 2 &amp; 3'!$F$10+F115*'Portfolio 2 &amp; 3'!$F$11+G115*'Portfolio 2 &amp; 3'!$F$12+H115*'Portfolio 2 &amp; 3'!$F$13+I115*'Portfolio 2 &amp; 3'!$F$14+J115*'Portfolio 2 &amp; 3'!$F$15+K115*'Portfolio 2 &amp; 3'!$F$16</f>
        <v>2.7047931230937861E-3</v>
      </c>
      <c r="R115" s="93">
        <f>B115*'Portfolio 2 &amp; 3'!$B$23+C115*'Portfolio 2 &amp; 3'!$B$24+D115*'Portfolio 2 &amp; 3'!$B$25+E115*'Portfolio 2 &amp; 3'!$B$26+F115*'Portfolio 2 &amp; 3'!$B$27+G115*'Portfolio 2 &amp; 3'!$B$28+H115*'Portfolio 2 &amp; 3'!$B$29+I115*'Portfolio 2 &amp; 3'!$B$30+J115*'Portfolio 2 &amp; 3'!$B$31+K115*'Portfolio 2 &amp; 3'!$B$32</f>
        <v>3.9062716057863848E-3</v>
      </c>
      <c r="S115" s="93">
        <f t="shared" si="5"/>
        <v>1.8809423808886505E-3</v>
      </c>
    </row>
    <row r="116" spans="1:19" ht="12.75" customHeight="1">
      <c r="A116" s="81">
        <v>45915</v>
      </c>
      <c r="B116" s="53">
        <v>-2.3E-3</v>
      </c>
      <c r="C116" s="53">
        <v>9.6365638766520208E-3</v>
      </c>
      <c r="D116" s="53">
        <v>-7.7265703117898E-3</v>
      </c>
      <c r="E116" s="53">
        <v>5.9000000000000003E-4</v>
      </c>
      <c r="F116" s="53">
        <v>-7.5137592725531598E-3</v>
      </c>
      <c r="G116" s="53">
        <v>-9.7022040266950792E-3</v>
      </c>
      <c r="H116" s="87">
        <v>-1.2075643654591E-2</v>
      </c>
      <c r="I116" s="53">
        <v>6.02297423160514E-3</v>
      </c>
      <c r="J116" s="53">
        <v>6.9108053994704202E-3</v>
      </c>
      <c r="K116" s="53">
        <v>7.0166749215783098E-3</v>
      </c>
      <c r="L116" s="95">
        <f>IFERROR(B116*'Stock Statistics'!$C$41+C116*'Stock Statistics'!$C$42+D116*'Stock Statistics'!$C$43+E116*'Stock Statistics'!$C$44+F116*'Stock Statistics'!$C$45+G116*'Stock Statistics'!$C$46+H116*'Stock Statistics'!$C$47+I116*'Stock Statistics'!$C$48+J116*'Stock Statistics'!$C$49+K116*'Stock Statistics'!$C$50,"")</f>
        <v>-9.1411588363231495E-4</v>
      </c>
      <c r="M116" s="96">
        <v>498.32369999999997</v>
      </c>
      <c r="N116" s="97">
        <v>576.68740000000003</v>
      </c>
      <c r="O116" s="93">
        <f t="shared" si="3"/>
        <v>-3.0116299774523014E-3</v>
      </c>
      <c r="P116" s="93">
        <f t="shared" si="4"/>
        <v>3.4928997889434044E-3</v>
      </c>
      <c r="Q116" s="93">
        <f>B116*'Portfolio 2 &amp; 3'!$F$7+C116*'Portfolio 2 &amp; 3'!$F$8+D116*'Portfolio 2 &amp; 3'!$F$9+E116*'Portfolio 2 &amp; 3'!$F$10+F116*'Portfolio 2 &amp; 3'!$F$11+G116*'Portfolio 2 &amp; 3'!$F$12+H116*'Portfolio 2 &amp; 3'!$F$13+I116*'Portfolio 2 &amp; 3'!$F$14+J116*'Portfolio 2 &amp; 3'!$F$15+K116*'Portfolio 2 &amp; 3'!$F$16</f>
        <v>-1.4164721489107858E-3</v>
      </c>
      <c r="R116" s="93">
        <f>B116*'Portfolio 2 &amp; 3'!$B$23+C116*'Portfolio 2 &amp; 3'!$B$24+D116*'Portfolio 2 &amp; 3'!$B$25+E116*'Portfolio 2 &amp; 3'!$B$26+F116*'Portfolio 2 &amp; 3'!$B$27+G116*'Portfolio 2 &amp; 3'!$B$28+H116*'Portfolio 2 &amp; 3'!$B$29+I116*'Portfolio 2 &amp; 3'!$B$30+J116*'Portfolio 2 &amp; 3'!$B$31+K116*'Portfolio 2 &amp; 3'!$B$32</f>
        <v>1.1972397581027311E-3</v>
      </c>
      <c r="S116" s="93">
        <f t="shared" si="5"/>
        <v>2.4063490574555146E-4</v>
      </c>
    </row>
    <row r="117" spans="1:19" ht="12.75" customHeight="1">
      <c r="A117" s="82">
        <v>45912</v>
      </c>
      <c r="B117" s="53">
        <v>2.0000000000000001E-4</v>
      </c>
      <c r="C117" s="53">
        <v>1.01047557244831E-2</v>
      </c>
      <c r="D117" s="53">
        <v>5.2083333333332602E-3</v>
      </c>
      <c r="E117" s="53">
        <v>6.28E-3</v>
      </c>
      <c r="F117" s="53">
        <v>1.1019547719432999E-3</v>
      </c>
      <c r="G117" s="53">
        <v>-4.85545261747966E-3</v>
      </c>
      <c r="H117" s="87">
        <v>1.0436651062850201E-2</v>
      </c>
      <c r="I117" s="53">
        <v>5.3058676654183E-3</v>
      </c>
      <c r="J117" s="53">
        <v>-1.67026546424488E-2</v>
      </c>
      <c r="K117" s="53">
        <v>5.0609806687131904E-3</v>
      </c>
      <c r="L117" s="95">
        <f>IFERROR(B117*'Stock Statistics'!$C$41+C117*'Stock Statistics'!$C$42+D117*'Stock Statistics'!$C$43+E117*'Stock Statistics'!$C$44+F117*'Stock Statistics'!$C$45+G117*'Stock Statistics'!$C$46+H117*'Stock Statistics'!$C$47+I117*'Stock Statistics'!$C$48+J117*'Stock Statistics'!$C$49+K117*'Stock Statistics'!$C$50,"")</f>
        <v>2.2140435966812896E-3</v>
      </c>
      <c r="M117" s="97">
        <v>499.82900000000001</v>
      </c>
      <c r="N117" s="96">
        <v>574.68010000000004</v>
      </c>
      <c r="O117" s="93">
        <f t="shared" si="3"/>
        <v>1.5416996286616858E-3</v>
      </c>
      <c r="P117" s="93">
        <f t="shared" si="4"/>
        <v>3.6665573953156283E-3</v>
      </c>
      <c r="Q117" s="93">
        <f>B117*'Portfolio 2 &amp; 3'!$F$7+C117*'Portfolio 2 &amp; 3'!$F$8+D117*'Portfolio 2 &amp; 3'!$F$9+E117*'Portfolio 2 &amp; 3'!$F$10+F117*'Portfolio 2 &amp; 3'!$F$11+G117*'Portfolio 2 &amp; 3'!$F$12+H117*'Portfolio 2 &amp; 3'!$F$13+I117*'Portfolio 2 &amp; 3'!$F$14+J117*'Portfolio 2 &amp; 3'!$F$15+K117*'Portfolio 2 &amp; 3'!$F$16</f>
        <v>2.1203293683520743E-3</v>
      </c>
      <c r="R117" s="93">
        <f>B117*'Portfolio 2 &amp; 3'!$B$23+C117*'Portfolio 2 &amp; 3'!$B$24+D117*'Portfolio 2 &amp; 3'!$B$25+E117*'Portfolio 2 &amp; 3'!$B$26+F117*'Portfolio 2 &amp; 3'!$B$27+G117*'Portfolio 2 &amp; 3'!$B$28+H117*'Portfolio 2 &amp; 3'!$B$29+I117*'Portfolio 2 &amp; 3'!$B$30+J117*'Portfolio 2 &amp; 3'!$B$31+K117*'Portfolio 2 &amp; 3'!$B$32</f>
        <v>3.2062891773595977E-3</v>
      </c>
      <c r="S117" s="93">
        <f t="shared" si="5"/>
        <v>2.604128511988657E-3</v>
      </c>
    </row>
    <row r="118" spans="1:19" ht="12.75" customHeight="1">
      <c r="A118" s="81">
        <v>45911</v>
      </c>
      <c r="B118" s="53">
        <v>-8.9999999999999993E-3</v>
      </c>
      <c r="C118" s="53">
        <v>1.37205149891928E-2</v>
      </c>
      <c r="D118" s="53">
        <v>-1.3342949873782799E-2</v>
      </c>
      <c r="E118" s="53">
        <v>1.47E-3</v>
      </c>
      <c r="F118" s="53">
        <v>3.8476337052713002E-3</v>
      </c>
      <c r="G118" s="53">
        <v>-2.25519948770769E-3</v>
      </c>
      <c r="H118" s="87">
        <v>-8.4342892194444496E-4</v>
      </c>
      <c r="I118" s="53">
        <v>-9.0313002598044808E-3</v>
      </c>
      <c r="J118" s="53">
        <v>8.8416196822143096E-3</v>
      </c>
      <c r="K118" s="53">
        <v>1.82860942565033E-3</v>
      </c>
      <c r="L118" s="95">
        <f>IFERROR(B118*'Stock Statistics'!$C$41+C118*'Stock Statistics'!$C$42+D118*'Stock Statistics'!$C$43+E118*'Stock Statistics'!$C$44+F118*'Stock Statistics'!$C$45+G118*'Stock Statistics'!$C$46+H118*'Stock Statistics'!$C$47+I118*'Stock Statistics'!$C$48+J118*'Stock Statistics'!$C$49+K118*'Stock Statistics'!$C$50,"")</f>
        <v>-4.7645007409106738E-4</v>
      </c>
      <c r="M118" s="96">
        <v>499.05959999999999</v>
      </c>
      <c r="N118" s="97">
        <v>572.58069999999998</v>
      </c>
      <c r="O118" s="93">
        <f t="shared" si="3"/>
        <v>3.0917263056422506E-3</v>
      </c>
      <c r="P118" s="93">
        <f t="shared" si="4"/>
        <v>2.7458228607135649E-3</v>
      </c>
      <c r="Q118" s="93">
        <f>B118*'Portfolio 2 &amp; 3'!$F$7+C118*'Portfolio 2 &amp; 3'!$F$8+D118*'Portfolio 2 &amp; 3'!$F$9+E118*'Portfolio 2 &amp; 3'!$F$10+F118*'Portfolio 2 &amp; 3'!$F$11+G118*'Portfolio 2 &amp; 3'!$F$12+H118*'Portfolio 2 &amp; 3'!$F$13+I118*'Portfolio 2 &amp; 3'!$F$14+J118*'Portfolio 2 &amp; 3'!$F$15+K118*'Portfolio 2 &amp; 3'!$F$16</f>
        <v>-1.4244648132762976E-4</v>
      </c>
      <c r="R118" s="93">
        <f>B118*'Portfolio 2 &amp; 3'!$B$23+C118*'Portfolio 2 &amp; 3'!$B$24+D118*'Portfolio 2 &amp; 3'!$B$25+E118*'Portfolio 2 &amp; 3'!$B$26+F118*'Portfolio 2 &amp; 3'!$B$27+G118*'Portfolio 2 &amp; 3'!$B$28+H118*'Portfolio 2 &amp; 3'!$B$29+I118*'Portfolio 2 &amp; 3'!$B$30+J118*'Portfolio 2 &amp; 3'!$B$31+K118*'Portfolio 2 &amp; 3'!$B$32</f>
        <v>-2.1418155817575513E-4</v>
      </c>
      <c r="S118" s="93">
        <f t="shared" si="5"/>
        <v>2.9187745831779077E-3</v>
      </c>
    </row>
    <row r="119" spans="1:19" ht="12.75" customHeight="1">
      <c r="A119" s="82">
        <v>45910</v>
      </c>
      <c r="B119" s="53">
        <v>2.0400000000000001E-2</v>
      </c>
      <c r="C119" s="53">
        <v>-2.9047976011994398E-3</v>
      </c>
      <c r="D119" s="53">
        <v>5.6079215462248901E-2</v>
      </c>
      <c r="E119" s="53">
        <v>1.0580000000000001E-2</v>
      </c>
      <c r="F119" s="53">
        <v>3.8624951718810902E-3</v>
      </c>
      <c r="G119" s="53">
        <v>-1.41629841078145E-2</v>
      </c>
      <c r="H119" s="87">
        <v>9.9899326260357597E-3</v>
      </c>
      <c r="I119" s="53">
        <v>4.2865130148474996E-3</v>
      </c>
      <c r="J119" s="53">
        <v>-1.9184038879651599E-3</v>
      </c>
      <c r="K119" s="53">
        <v>-2.6527397828068899E-3</v>
      </c>
      <c r="L119" s="95">
        <f>IFERROR(B119*'Stock Statistics'!$C$41+C119*'Stock Statistics'!$C$42+D119*'Stock Statistics'!$C$43+E119*'Stock Statistics'!$C$44+F119*'Stock Statistics'!$C$45+G119*'Stock Statistics'!$C$46+H119*'Stock Statistics'!$C$47+I119*'Stock Statistics'!$C$48+J119*'Stock Statistics'!$C$49+K119*'Stock Statistics'!$C$50,"")</f>
        <v>8.3559230895227255E-3</v>
      </c>
      <c r="M119" s="97">
        <v>497.52140000000003</v>
      </c>
      <c r="N119" s="96">
        <v>571.01279999999997</v>
      </c>
      <c r="O119" s="93">
        <f t="shared" si="3"/>
        <v>1.5716449246054864E-3</v>
      </c>
      <c r="P119" s="93">
        <f t="shared" si="4"/>
        <v>-2.7346463874131643E-3</v>
      </c>
      <c r="Q119" s="93">
        <f>B119*'Portfolio 2 &amp; 3'!$F$7+C119*'Portfolio 2 &amp; 3'!$F$8+D119*'Portfolio 2 &amp; 3'!$F$9+E119*'Portfolio 2 &amp; 3'!$F$10+F119*'Portfolio 2 &amp; 3'!$F$11+G119*'Portfolio 2 &amp; 3'!$F$12+H119*'Portfolio 2 &amp; 3'!$F$13+I119*'Portfolio 2 &amp; 3'!$F$14+J119*'Portfolio 2 &amp; 3'!$F$15+K119*'Portfolio 2 &amp; 3'!$F$16</f>
        <v>1.0460809649243088E-2</v>
      </c>
      <c r="R119" s="93">
        <f>B119*'Portfolio 2 &amp; 3'!$B$23+C119*'Portfolio 2 &amp; 3'!$B$24+D119*'Portfolio 2 &amp; 3'!$B$25+E119*'Portfolio 2 &amp; 3'!$B$26+F119*'Portfolio 2 &amp; 3'!$B$27+G119*'Portfolio 2 &amp; 3'!$B$28+H119*'Portfolio 2 &amp; 3'!$B$29+I119*'Portfolio 2 &amp; 3'!$B$30+J119*'Portfolio 2 &amp; 3'!$B$31+K119*'Portfolio 2 &amp; 3'!$B$32</f>
        <v>3.0548519439740842E-3</v>
      </c>
      <c r="S119" s="93">
        <f t="shared" si="5"/>
        <v>-5.8150073140383896E-4</v>
      </c>
    </row>
    <row r="120" spans="1:19" ht="12.75" customHeight="1">
      <c r="A120" s="81">
        <v>45909</v>
      </c>
      <c r="B120" s="53">
        <v>-1.0800000000000001E-2</v>
      </c>
      <c r="C120" s="53">
        <v>5.6253515844750801E-4</v>
      </c>
      <c r="D120" s="53">
        <v>6.1308554459238397E-3</v>
      </c>
      <c r="E120" s="53">
        <v>3.0300000000000001E-3</v>
      </c>
      <c r="F120" s="53">
        <v>2.57019759322537E-2</v>
      </c>
      <c r="G120" s="53">
        <v>8.4142932270474501E-3</v>
      </c>
      <c r="H120" s="87">
        <v>3.25443786982249E-2</v>
      </c>
      <c r="I120" s="53">
        <v>1.0229697502196501E-2</v>
      </c>
      <c r="J120" s="53">
        <v>7.8628512503222704E-3</v>
      </c>
      <c r="K120" s="53">
        <v>4.8313202832153098E-3</v>
      </c>
      <c r="L120" s="95">
        <f>IFERROR(B120*'Stock Statistics'!$C$41+C120*'Stock Statistics'!$C$42+D120*'Stock Statistics'!$C$43+E120*'Stock Statistics'!$C$44+F120*'Stock Statistics'!$C$45+G120*'Stock Statistics'!$C$46+H120*'Stock Statistics'!$C$47+I120*'Stock Statistics'!$C$48+J120*'Stock Statistics'!$C$49+K120*'Stock Statistics'!$C$50,"")</f>
        <v>8.8507907497631499E-3</v>
      </c>
      <c r="M120" s="96">
        <v>496.7407</v>
      </c>
      <c r="N120" s="97">
        <v>572.57860000000005</v>
      </c>
      <c r="O120" s="93">
        <f t="shared" si="3"/>
        <v>3.8674122471085148E-3</v>
      </c>
      <c r="P120" s="93">
        <f t="shared" si="4"/>
        <v>-4.1797837462360654E-3</v>
      </c>
      <c r="Q120" s="93">
        <f>B120*'Portfolio 2 &amp; 3'!$F$7+C120*'Portfolio 2 &amp; 3'!$F$8+D120*'Portfolio 2 &amp; 3'!$F$9+E120*'Portfolio 2 &amp; 3'!$F$10+F120*'Portfolio 2 &amp; 3'!$F$11+G120*'Portfolio 2 &amp; 3'!$F$12+H120*'Portfolio 2 &amp; 3'!$F$13+I120*'Portfolio 2 &amp; 3'!$F$14+J120*'Portfolio 2 &amp; 3'!$F$15+K120*'Portfolio 2 &amp; 3'!$F$16</f>
        <v>1.119715876248231E-2</v>
      </c>
      <c r="R120" s="93">
        <f>B120*'Portfolio 2 &amp; 3'!$B$23+C120*'Portfolio 2 &amp; 3'!$B$24+D120*'Portfolio 2 &amp; 3'!$B$25+E120*'Portfolio 2 &amp; 3'!$B$26+F120*'Portfolio 2 &amp; 3'!$B$27+G120*'Portfolio 2 &amp; 3'!$B$28+H120*'Portfolio 2 &amp; 3'!$B$29+I120*'Portfolio 2 &amp; 3'!$B$30+J120*'Portfolio 2 &amp; 3'!$B$31+K120*'Portfolio 2 &amp; 3'!$B$32</f>
        <v>7.8927928300131373E-3</v>
      </c>
      <c r="S120" s="93">
        <f t="shared" si="5"/>
        <v>-1.5618574956377529E-4</v>
      </c>
    </row>
    <row r="121" spans="1:19" ht="12.75" customHeight="1">
      <c r="A121" s="82">
        <v>45908</v>
      </c>
      <c r="B121" s="53">
        <v>-5.8999999999999999E-3</v>
      </c>
      <c r="C121" s="53">
        <v>-9.3747070404104403E-5</v>
      </c>
      <c r="D121" s="53">
        <v>3.55700826764083E-3</v>
      </c>
      <c r="E121" s="53">
        <v>5.4299999999999999E-3</v>
      </c>
      <c r="F121" s="53">
        <v>-4.1426246486167004E-3</v>
      </c>
      <c r="G121" s="53">
        <v>9.4437149003940898E-3</v>
      </c>
      <c r="H121" s="87">
        <v>0</v>
      </c>
      <c r="I121" s="53">
        <v>1.0680404598857299E-3</v>
      </c>
      <c r="J121" s="53">
        <v>6.7479885803269904E-3</v>
      </c>
      <c r="K121" s="53">
        <v>-4.14765657403571E-3</v>
      </c>
      <c r="L121" s="95">
        <f>IFERROR(B121*'Stock Statistics'!$C$41+C121*'Stock Statistics'!$C$42+D121*'Stock Statistics'!$C$43+E121*'Stock Statistics'!$C$44+F121*'Stock Statistics'!$C$45+G121*'Stock Statistics'!$C$46+H121*'Stock Statistics'!$C$47+I121*'Stock Statistics'!$C$48+J121*'Stock Statistics'!$C$49+K121*'Stock Statistics'!$C$50,"")</f>
        <v>1.1962723915191127E-3</v>
      </c>
      <c r="M121" s="97">
        <v>494.827</v>
      </c>
      <c r="N121" s="96">
        <v>574.9819</v>
      </c>
      <c r="O121" s="93">
        <f t="shared" si="3"/>
        <v>-2.4646728875499235E-3</v>
      </c>
      <c r="P121" s="93">
        <f t="shared" si="4"/>
        <v>2.8681186909980116E-3</v>
      </c>
      <c r="Q121" s="93">
        <f>B121*'Portfolio 2 &amp; 3'!$F$7+C121*'Portfolio 2 &amp; 3'!$F$8+D121*'Portfolio 2 &amp; 3'!$F$9+E121*'Portfolio 2 &amp; 3'!$F$10+F121*'Portfolio 2 &amp; 3'!$F$11+G121*'Portfolio 2 &amp; 3'!$F$12+H121*'Portfolio 2 &amp; 3'!$F$13+I121*'Portfolio 2 &amp; 3'!$F$14+J121*'Portfolio 2 &amp; 3'!$F$15+K121*'Portfolio 2 &amp; 3'!$F$16</f>
        <v>1.3004109135907832E-3</v>
      </c>
      <c r="R121" s="93">
        <f>B121*'Portfolio 2 &amp; 3'!$B$23+C121*'Portfolio 2 &amp; 3'!$B$24+D121*'Portfolio 2 &amp; 3'!$B$25+E121*'Portfolio 2 &amp; 3'!$B$26+F121*'Portfolio 2 &amp; 3'!$B$27+G121*'Portfolio 2 &amp; 3'!$B$28+H121*'Portfolio 2 &amp; 3'!$B$29+I121*'Portfolio 2 &amp; 3'!$B$30+J121*'Portfolio 2 &amp; 3'!$B$31+K121*'Portfolio 2 &amp; 3'!$B$32</f>
        <v>-2.8087168245299703E-4</v>
      </c>
      <c r="S121" s="93">
        <f t="shared" si="5"/>
        <v>2.0172290172404406E-4</v>
      </c>
    </row>
    <row r="122" spans="1:19" ht="12.75" customHeight="1">
      <c r="A122" s="81">
        <v>45905</v>
      </c>
      <c r="B122" s="53">
        <v>-3.1899999999999998E-2</v>
      </c>
      <c r="C122" s="53">
        <v>6.0360275393756E-3</v>
      </c>
      <c r="D122" s="53">
        <v>-3.7352743990037899E-3</v>
      </c>
      <c r="E122" s="53">
        <v>1.043E-2</v>
      </c>
      <c r="F122" s="53">
        <v>1.87756312070753E-3</v>
      </c>
      <c r="G122" s="53">
        <v>-5.6122023726836697E-3</v>
      </c>
      <c r="H122" s="87">
        <v>-1.3800173487895299E-2</v>
      </c>
      <c r="I122" s="53">
        <v>6.7678684376977199E-3</v>
      </c>
      <c r="J122" s="53">
        <v>-7.8537401828248105E-3</v>
      </c>
      <c r="K122" s="53">
        <v>3.07871526044257E-3</v>
      </c>
      <c r="L122" s="95">
        <f>IFERROR(B122*'Stock Statistics'!$C$41+C122*'Stock Statistics'!$C$42+D122*'Stock Statistics'!$C$43+E122*'Stock Statistics'!$C$44+F122*'Stock Statistics'!$C$45+G122*'Stock Statistics'!$C$46+H122*'Stock Statistics'!$C$47+I122*'Stock Statistics'!$C$48+J122*'Stock Statistics'!$C$49+K122*'Stock Statistics'!$C$50,"")</f>
        <v>-3.4711216084184152E-3</v>
      </c>
      <c r="M122" s="96">
        <v>496.0496</v>
      </c>
      <c r="N122" s="97">
        <v>573.33749999999998</v>
      </c>
      <c r="O122" s="93">
        <f t="shared" si="3"/>
        <v>2.7383791295987336E-4</v>
      </c>
      <c r="P122" s="93">
        <f t="shared" si="4"/>
        <v>1.1289257434509592E-2</v>
      </c>
      <c r="Q122" s="93">
        <f>B122*'Portfolio 2 &amp; 3'!$F$7+C122*'Portfolio 2 &amp; 3'!$F$8+D122*'Portfolio 2 &amp; 3'!$F$9+E122*'Portfolio 2 &amp; 3'!$F$10+F122*'Portfolio 2 &amp; 3'!$F$11+G122*'Portfolio 2 &amp; 3'!$F$12+H122*'Portfolio 2 &amp; 3'!$F$13+I122*'Portfolio 2 &amp; 3'!$F$14+J122*'Portfolio 2 &amp; 3'!$F$15+K122*'Portfolio 2 &amp; 3'!$F$16</f>
        <v>-3.9772838575614896E-3</v>
      </c>
      <c r="R122" s="93">
        <f>B122*'Portfolio 2 &amp; 3'!$B$23+C122*'Portfolio 2 &amp; 3'!$B$24+D122*'Portfolio 2 &amp; 3'!$B$25+E122*'Portfolio 2 &amp; 3'!$B$26+F122*'Portfolio 2 &amp; 3'!$B$27+G122*'Portfolio 2 &amp; 3'!$B$28+H122*'Portfolio 2 &amp; 3'!$B$29+I122*'Portfolio 2 &amp; 3'!$B$30+J122*'Portfolio 2 &amp; 3'!$B$31+K122*'Portfolio 2 &amp; 3'!$B$32</f>
        <v>-2.1763376312178085E-3</v>
      </c>
      <c r="S122" s="93">
        <f t="shared" si="5"/>
        <v>5.7815476737347327E-3</v>
      </c>
    </row>
    <row r="123" spans="1:19" ht="12.75" customHeight="1">
      <c r="A123" s="82">
        <v>45904</v>
      </c>
      <c r="B123" s="53">
        <v>-1.23E-2</v>
      </c>
      <c r="C123" s="53">
        <v>1.79516250944833E-3</v>
      </c>
      <c r="D123" s="53">
        <v>7.8185328185327307E-3</v>
      </c>
      <c r="E123" s="53">
        <v>6.3E-3</v>
      </c>
      <c r="F123" s="53">
        <v>3.7195000991867601E-3</v>
      </c>
      <c r="G123" s="53">
        <v>-2.05173704494399E-3</v>
      </c>
      <c r="H123" s="87">
        <v>1.2051077414206E-2</v>
      </c>
      <c r="I123" s="53">
        <v>-7.9066265060240299E-3</v>
      </c>
      <c r="J123" s="53">
        <v>-1.54645709215362E-2</v>
      </c>
      <c r="K123" s="53">
        <v>-2.0298361457569102E-2</v>
      </c>
      <c r="L123" s="95">
        <f>IFERROR(B123*'Stock Statistics'!$C$41+C123*'Stock Statistics'!$C$42+D123*'Stock Statistics'!$C$43+E123*'Stock Statistics'!$C$44+F123*'Stock Statistics'!$C$45+G123*'Stock Statistics'!$C$46+H123*'Stock Statistics'!$C$47+I123*'Stock Statistics'!$C$48+J123*'Stock Statistics'!$C$49+K123*'Stock Statistics'!$C$50,"")</f>
        <v>-2.6337023088699504E-3</v>
      </c>
      <c r="M123" s="97">
        <v>495.91379999999998</v>
      </c>
      <c r="N123" s="96">
        <v>566.93719999999996</v>
      </c>
      <c r="O123" s="93">
        <f t="shared" si="3"/>
        <v>3.2516218775247019E-4</v>
      </c>
      <c r="P123" s="93">
        <f t="shared" si="4"/>
        <v>-1.4249324786322903E-3</v>
      </c>
      <c r="Q123" s="93">
        <f>B123*'Portfolio 2 &amp; 3'!$F$7+C123*'Portfolio 2 &amp; 3'!$F$8+D123*'Portfolio 2 &amp; 3'!$F$9+E123*'Portfolio 2 &amp; 3'!$F$10+F123*'Portfolio 2 &amp; 3'!$F$11+G123*'Portfolio 2 &amp; 3'!$F$12+H123*'Portfolio 2 &amp; 3'!$F$13+I123*'Portfolio 2 &amp; 3'!$F$14+J123*'Portfolio 2 &amp; 3'!$F$15+K123*'Portfolio 2 &amp; 3'!$F$16</f>
        <v>-1.4214902516695097E-3</v>
      </c>
      <c r="R123" s="93">
        <f>B123*'Portfolio 2 &amp; 3'!$B$23+C123*'Portfolio 2 &amp; 3'!$B$24+D123*'Portfolio 2 &amp; 3'!$B$25+E123*'Portfolio 2 &amp; 3'!$B$26+F123*'Portfolio 2 &amp; 3'!$B$27+G123*'Portfolio 2 &amp; 3'!$B$28+H123*'Portfolio 2 &amp; 3'!$B$29+I123*'Portfolio 2 &amp; 3'!$B$30+J123*'Portfolio 2 &amp; 3'!$B$31+K123*'Portfolio 2 &amp; 3'!$B$32</f>
        <v>-4.704422366378528E-3</v>
      </c>
      <c r="S123" s="93">
        <f t="shared" si="5"/>
        <v>-5.4988514543991007E-4</v>
      </c>
    </row>
    <row r="124" spans="1:19" ht="12.75" customHeight="1">
      <c r="A124" s="81">
        <v>45903</v>
      </c>
      <c r="B124" s="53">
        <v>2.5000000000000001E-3</v>
      </c>
      <c r="C124" s="53">
        <v>8.6724482988658202E-3</v>
      </c>
      <c r="D124" s="53">
        <v>1.06290462846648E-3</v>
      </c>
      <c r="E124" s="53">
        <v>1.0300000000000001E-3</v>
      </c>
      <c r="F124" s="53">
        <v>1.2147374761570099E-2</v>
      </c>
      <c r="G124" s="53">
        <v>6.6426637639900301E-3</v>
      </c>
      <c r="H124" s="87">
        <v>-7.2888607193788398E-3</v>
      </c>
      <c r="I124" s="53">
        <v>7.1415028755608097E-3</v>
      </c>
      <c r="J124" s="53">
        <v>-3.8013177901685701E-4</v>
      </c>
      <c r="K124" s="53">
        <v>-4.9480856586632304E-3</v>
      </c>
      <c r="L124" s="95">
        <f>IFERROR(B124*'Stock Statistics'!$C$41+C124*'Stock Statistics'!$C$42+D124*'Stock Statistics'!$C$43+E124*'Stock Statistics'!$C$44+F124*'Stock Statistics'!$C$45+G124*'Stock Statistics'!$C$46+H124*'Stock Statistics'!$C$47+I124*'Stock Statistics'!$C$48+J124*'Stock Statistics'!$C$49+K124*'Stock Statistics'!$C$50,"")</f>
        <v>2.6579816171394318E-3</v>
      </c>
      <c r="M124" s="96">
        <v>495.75259999999997</v>
      </c>
      <c r="N124" s="97">
        <v>567.74620000000004</v>
      </c>
      <c r="O124" s="93">
        <f t="shared" si="3"/>
        <v>7.5389737199851314E-3</v>
      </c>
      <c r="P124" s="93">
        <f t="shared" si="4"/>
        <v>2.2580305193364847E-3</v>
      </c>
      <c r="Q124" s="93">
        <f>B124*'Portfolio 2 &amp; 3'!$F$7+C124*'Portfolio 2 &amp; 3'!$F$8+D124*'Portfolio 2 &amp; 3'!$F$9+E124*'Portfolio 2 &amp; 3'!$F$10+F124*'Portfolio 2 &amp; 3'!$F$11+G124*'Portfolio 2 &amp; 3'!$F$12+H124*'Portfolio 2 &amp; 3'!$F$13+I124*'Portfolio 2 &amp; 3'!$F$14+J124*'Portfolio 2 &amp; 3'!$F$15+K124*'Portfolio 2 &amp; 3'!$F$16</f>
        <v>1.8062178424625075E-3</v>
      </c>
      <c r="R124" s="93">
        <f>B124*'Portfolio 2 &amp; 3'!$B$23+C124*'Portfolio 2 &amp; 3'!$B$24+D124*'Portfolio 2 &amp; 3'!$B$25+E124*'Portfolio 2 &amp; 3'!$B$26+F124*'Portfolio 2 &amp; 3'!$B$27+G124*'Portfolio 2 &amp; 3'!$B$28+H124*'Portfolio 2 &amp; 3'!$B$29+I124*'Portfolio 2 &amp; 3'!$B$30+J124*'Portfolio 2 &amp; 3'!$B$31+K124*'Portfolio 2 &amp; 3'!$B$32</f>
        <v>5.7561070274714876E-3</v>
      </c>
      <c r="S124" s="93">
        <f t="shared" si="5"/>
        <v>4.8985021196608081E-3</v>
      </c>
    </row>
    <row r="125" spans="1:19" ht="12.75" customHeight="1">
      <c r="A125" s="82">
        <v>45902</v>
      </c>
      <c r="B125" s="53">
        <v>1.14E-2</v>
      </c>
      <c r="C125" s="53">
        <v>-1.01877181397981E-2</v>
      </c>
      <c r="D125" s="53">
        <v>1.24241831344161E-2</v>
      </c>
      <c r="E125" s="53">
        <v>-1.112E-2</v>
      </c>
      <c r="F125" s="53">
        <v>5.0956056707534003E-3</v>
      </c>
      <c r="G125" s="53">
        <v>-3.9059230533156102E-4</v>
      </c>
      <c r="H125" s="87">
        <v>6.7799314030469997E-3</v>
      </c>
      <c r="I125" s="53">
        <v>2.2803572559699798E-3</v>
      </c>
      <c r="J125" s="53">
        <v>5.8628600560794997E-3</v>
      </c>
      <c r="K125" s="53">
        <v>7.1072624785557502E-3</v>
      </c>
      <c r="L125" s="95">
        <f>IFERROR(B125*'Stock Statistics'!$C$41+C125*'Stock Statistics'!$C$42+D125*'Stock Statistics'!$C$43+E125*'Stock Statistics'!$C$44+F125*'Stock Statistics'!$C$45+G125*'Stock Statistics'!$C$46+H125*'Stock Statistics'!$C$47+I125*'Stock Statistics'!$C$48+J125*'Stock Statistics'!$C$49+K125*'Stock Statistics'!$C$50,"")</f>
        <v>2.9251889553692074E-3</v>
      </c>
      <c r="M125" s="97">
        <v>492.04309999999998</v>
      </c>
      <c r="N125" s="96">
        <v>566.46709999999996</v>
      </c>
      <c r="O125" s="93">
        <f t="shared" si="3"/>
        <v>9.0745061503638702E-4</v>
      </c>
      <c r="P125" s="93">
        <f t="shared" si="4"/>
        <v>-6.2241992562361848E-4</v>
      </c>
      <c r="Q125" s="93">
        <f>B125*'Portfolio 2 &amp; 3'!$F$7+C125*'Portfolio 2 &amp; 3'!$F$8+D125*'Portfolio 2 &amp; 3'!$F$9+E125*'Portfolio 2 &amp; 3'!$F$10+F125*'Portfolio 2 &amp; 3'!$F$11+G125*'Portfolio 2 &amp; 3'!$F$12+H125*'Portfolio 2 &amp; 3'!$F$13+I125*'Portfolio 2 &amp; 3'!$F$14+J125*'Portfolio 2 &amp; 3'!$F$15+K125*'Portfolio 2 &amp; 3'!$F$16</f>
        <v>3.8393012570193323E-3</v>
      </c>
      <c r="R125" s="93">
        <f>B125*'Portfolio 2 &amp; 3'!$B$23+C125*'Portfolio 2 &amp; 3'!$B$24+D125*'Portfolio 2 &amp; 3'!$B$25+E125*'Portfolio 2 &amp; 3'!$B$26+F125*'Portfolio 2 &amp; 3'!$B$27+G125*'Portfolio 2 &amp; 3'!$B$28+H125*'Portfolio 2 &amp; 3'!$B$29+I125*'Portfolio 2 &amp; 3'!$B$30+J125*'Portfolio 2 &amp; 3'!$B$31+K125*'Portfolio 2 &amp; 3'!$B$32</f>
        <v>2.0704734728258217E-3</v>
      </c>
      <c r="S125" s="93">
        <f t="shared" si="5"/>
        <v>1.4251534470638427E-4</v>
      </c>
    </row>
    <row r="126" spans="1:19" ht="12.75" customHeight="1">
      <c r="A126" s="81">
        <v>45901</v>
      </c>
      <c r="B126" s="53">
        <v>2.06E-2</v>
      </c>
      <c r="C126" s="53">
        <v>-5.6566418402936901E-4</v>
      </c>
      <c r="D126" s="53">
        <v>-2.7317073170731701E-3</v>
      </c>
      <c r="E126" s="53">
        <v>2.7439999999999999E-2</v>
      </c>
      <c r="F126" s="53">
        <v>1.01931603893788E-2</v>
      </c>
      <c r="G126" s="53">
        <v>6.8824091241082002E-3</v>
      </c>
      <c r="H126" s="87">
        <v>-2.04703492460349E-2</v>
      </c>
      <c r="I126" s="53">
        <v>8.6250958343980794E-3</v>
      </c>
      <c r="J126" s="53">
        <v>-1.1340725806451599E-2</v>
      </c>
      <c r="K126" s="53">
        <v>4.5133760052520301E-3</v>
      </c>
      <c r="L126" s="95">
        <f>IFERROR(B126*'Stock Statistics'!$C$41+C126*'Stock Statistics'!$C$42+D126*'Stock Statistics'!$C$43+E126*'Stock Statistics'!$C$44+F126*'Stock Statistics'!$C$45+G126*'Stock Statistics'!$C$46+H126*'Stock Statistics'!$C$47+I126*'Stock Statistics'!$C$48+J126*'Stock Statistics'!$C$49+K126*'Stock Statistics'!$C$50,"")</f>
        <v>4.3145594799548067E-3</v>
      </c>
      <c r="M126" s="96">
        <v>491.59699999999998</v>
      </c>
      <c r="N126" s="97">
        <v>566.81989999999996</v>
      </c>
      <c r="O126" s="93">
        <f t="shared" si="3"/>
        <v>3.1281628521988569E-3</v>
      </c>
      <c r="P126" s="93">
        <f t="shared" si="4"/>
        <v>-1.078257998322163E-2</v>
      </c>
      <c r="Q126" s="93">
        <f>B126*'Portfolio 2 &amp; 3'!$F$7+C126*'Portfolio 2 &amp; 3'!$F$8+D126*'Portfolio 2 &amp; 3'!$F$9+E126*'Portfolio 2 &amp; 3'!$F$10+F126*'Portfolio 2 &amp; 3'!$F$11+G126*'Portfolio 2 &amp; 3'!$F$12+H126*'Portfolio 2 &amp; 3'!$F$13+I126*'Portfolio 2 &amp; 3'!$F$14+J126*'Portfolio 2 &amp; 3'!$F$15+K126*'Portfolio 2 &amp; 3'!$F$16</f>
        <v>4.6367031253577277E-4</v>
      </c>
      <c r="R126" s="93">
        <f>B126*'Portfolio 2 &amp; 3'!$B$23+C126*'Portfolio 2 &amp; 3'!$B$24+D126*'Portfolio 2 &amp; 3'!$B$25+E126*'Portfolio 2 &amp; 3'!$B$26+F126*'Portfolio 2 &amp; 3'!$B$27+G126*'Portfolio 2 &amp; 3'!$B$28+H126*'Portfolio 2 &amp; 3'!$B$29+I126*'Portfolio 2 &amp; 3'!$B$30+J126*'Portfolio 2 &amp; 3'!$B$31+K126*'Portfolio 2 &amp; 3'!$B$32</f>
        <v>6.5093776807045693E-3</v>
      </c>
      <c r="S126" s="93">
        <f t="shared" si="5"/>
        <v>-3.8272085655113863E-3</v>
      </c>
    </row>
    <row r="127" spans="1:19" ht="12.75" customHeight="1">
      <c r="A127" s="82">
        <v>45898</v>
      </c>
      <c r="B127" s="53">
        <v>2.0000000000000001E-4</v>
      </c>
      <c r="C127" s="53">
        <v>-1.3485863095238099E-2</v>
      </c>
      <c r="D127" s="53">
        <v>-2.8212861173266802E-3</v>
      </c>
      <c r="E127" s="53">
        <v>-9.5899999999999996E-3</v>
      </c>
      <c r="F127" s="53">
        <v>2.50357653791133E-3</v>
      </c>
      <c r="G127" s="53">
        <v>-4.7806760043612702E-3</v>
      </c>
      <c r="H127" s="87">
        <v>1.5713038647726399E-2</v>
      </c>
      <c r="I127" s="53">
        <v>1.2153777266039601E-3</v>
      </c>
      <c r="J127" s="53">
        <v>-1.38417012709202E-3</v>
      </c>
      <c r="K127" s="53">
        <v>-6.2790508032292101E-3</v>
      </c>
      <c r="L127" s="95">
        <f>IFERROR(B127*'Stock Statistics'!$C$41+C127*'Stock Statistics'!$C$42+D127*'Stock Statistics'!$C$43+E127*'Stock Statistics'!$C$44+F127*'Stock Statistics'!$C$45+G127*'Stock Statistics'!$C$46+H127*'Stock Statistics'!$C$47+I127*'Stock Statistics'!$C$48+J127*'Stock Statistics'!$C$49+K127*'Stock Statistics'!$C$50,"")</f>
        <v>-1.8709053235005592E-3</v>
      </c>
      <c r="M127" s="97">
        <v>490.06400000000002</v>
      </c>
      <c r="N127" s="96">
        <v>572.99829999999997</v>
      </c>
      <c r="O127" s="93">
        <f t="shared" si="3"/>
        <v>-3.6932587417548568E-5</v>
      </c>
      <c r="P127" s="93">
        <f t="shared" si="4"/>
        <v>-1.6347562345810474E-2</v>
      </c>
      <c r="Q127" s="93">
        <f>B127*'Portfolio 2 &amp; 3'!$F$7+C127*'Portfolio 2 &amp; 3'!$F$8+D127*'Portfolio 2 &amp; 3'!$F$9+E127*'Portfolio 2 &amp; 3'!$F$10+F127*'Portfolio 2 &amp; 3'!$F$11+G127*'Portfolio 2 &amp; 3'!$F$12+H127*'Portfolio 2 &amp; 3'!$F$13+I127*'Portfolio 2 &amp; 3'!$F$14+J127*'Portfolio 2 &amp; 3'!$F$15+K127*'Portfolio 2 &amp; 3'!$F$16</f>
        <v>-3.9253211412651793E-4</v>
      </c>
      <c r="R127" s="93">
        <f>B127*'Portfolio 2 &amp; 3'!$B$23+C127*'Portfolio 2 &amp; 3'!$B$24+D127*'Portfolio 2 &amp; 3'!$B$25+E127*'Portfolio 2 &amp; 3'!$B$26+F127*'Portfolio 2 &amp; 3'!$B$27+G127*'Portfolio 2 &amp; 3'!$B$28+H127*'Portfolio 2 &amp; 3'!$B$29+I127*'Portfolio 2 &amp; 3'!$B$30+J127*'Portfolio 2 &amp; 3'!$B$31+K127*'Portfolio 2 &amp; 3'!$B$32</f>
        <v>-2.5092888133948603E-3</v>
      </c>
      <c r="S127" s="93">
        <f t="shared" si="5"/>
        <v>-8.192247466614011E-3</v>
      </c>
    </row>
    <row r="128" spans="1:19" ht="12.75" customHeight="1">
      <c r="A128" s="81">
        <v>45897</v>
      </c>
      <c r="B128" s="53">
        <v>-1.29E-2</v>
      </c>
      <c r="C128" s="53">
        <v>-8.4839542604204805E-3</v>
      </c>
      <c r="D128" s="53">
        <v>1.55899834356443E-3</v>
      </c>
      <c r="E128" s="53">
        <v>5.7800000000000004E-3</v>
      </c>
      <c r="F128" s="53">
        <v>-9.3637698031077098E-3</v>
      </c>
      <c r="G128" s="53">
        <v>-7.7396804260985198E-3</v>
      </c>
      <c r="H128" s="87">
        <v>2.3813303699005099E-4</v>
      </c>
      <c r="I128" s="53">
        <v>-1.9567262464722499E-2</v>
      </c>
      <c r="J128" s="53">
        <v>5.75840030373986E-3</v>
      </c>
      <c r="K128" s="53">
        <v>-8.15394651011436E-5</v>
      </c>
      <c r="L128" s="95">
        <f>IFERROR(B128*'Stock Statistics'!$C$41+C128*'Stock Statistics'!$C$42+D128*'Stock Statistics'!$C$43+E128*'Stock Statistics'!$C$44+F128*'Stock Statistics'!$C$45+G128*'Stock Statistics'!$C$46+H128*'Stock Statistics'!$C$47+I128*'Stock Statistics'!$C$48+J128*'Stock Statistics'!$C$49+K128*'Stock Statistics'!$C$50,"")</f>
        <v>-4.4800674735156016E-3</v>
      </c>
      <c r="M128" s="96">
        <v>490.08210000000003</v>
      </c>
      <c r="N128" s="97">
        <v>582.52110000000005</v>
      </c>
      <c r="O128" s="93">
        <f t="shared" si="3"/>
        <v>-1.1812619570673588E-3</v>
      </c>
      <c r="P128" s="93">
        <f t="shared" si="4"/>
        <v>1.2871015000199826E-3</v>
      </c>
      <c r="Q128" s="93">
        <f>B128*'Portfolio 2 &amp; 3'!$F$7+C128*'Portfolio 2 &amp; 3'!$F$8+D128*'Portfolio 2 &amp; 3'!$F$9+E128*'Portfolio 2 &amp; 3'!$F$10+F128*'Portfolio 2 &amp; 3'!$F$11+G128*'Portfolio 2 &amp; 3'!$F$12+H128*'Portfolio 2 &amp; 3'!$F$13+I128*'Portfolio 2 &amp; 3'!$F$14+J128*'Portfolio 2 &amp; 3'!$F$15+K128*'Portfolio 2 &amp; 3'!$F$16</f>
        <v>-3.2314969900604229E-3</v>
      </c>
      <c r="R128" s="93">
        <f>B128*'Portfolio 2 &amp; 3'!$B$23+C128*'Portfolio 2 &amp; 3'!$B$24+D128*'Portfolio 2 &amp; 3'!$B$25+E128*'Portfolio 2 &amp; 3'!$B$26+F128*'Portfolio 2 &amp; 3'!$B$27+G128*'Portfolio 2 &amp; 3'!$B$28+H128*'Portfolio 2 &amp; 3'!$B$29+I128*'Portfolio 2 &amp; 3'!$B$30+J128*'Portfolio 2 &amp; 3'!$B$31+K128*'Portfolio 2 &amp; 3'!$B$32</f>
        <v>-1.0329665529464014E-2</v>
      </c>
      <c r="S128" s="93">
        <f t="shared" si="5"/>
        <v>5.2919771476311883E-5</v>
      </c>
    </row>
    <row r="129" spans="1:19" ht="12.75" customHeight="1">
      <c r="A129" s="82">
        <v>45895</v>
      </c>
      <c r="B129" s="53">
        <v>1.1599999999999999E-2</v>
      </c>
      <c r="C129" s="53">
        <v>1.20025851721906E-3</v>
      </c>
      <c r="D129" s="53">
        <v>-1.8458301453710801E-2</v>
      </c>
      <c r="E129" s="53">
        <v>-3.9399999999999999E-3</v>
      </c>
      <c r="F129" s="53">
        <v>-3.4501295020280397E-2</v>
      </c>
      <c r="G129" s="53">
        <v>-1.89685671519935E-2</v>
      </c>
      <c r="H129" s="87">
        <v>-2.6915769474350499E-3</v>
      </c>
      <c r="I129" s="53">
        <v>5.5495995459418097E-3</v>
      </c>
      <c r="J129" s="53">
        <v>3.1649575895675901E-4</v>
      </c>
      <c r="K129" s="53">
        <v>-9.4499636539859804E-3</v>
      </c>
      <c r="L129" s="95">
        <f>IFERROR(B129*'Stock Statistics'!$C$41+C129*'Stock Statistics'!$C$42+D129*'Stock Statistics'!$C$43+E129*'Stock Statistics'!$C$44+F129*'Stock Statistics'!$C$45+G129*'Stock Statistics'!$C$46+H129*'Stock Statistics'!$C$47+I129*'Stock Statistics'!$C$48+J129*'Stock Statistics'!$C$49+K129*'Stock Statistics'!$C$50,"")</f>
        <v>-6.934335040528811E-3</v>
      </c>
      <c r="M129" s="97">
        <v>490.6617</v>
      </c>
      <c r="N129" s="96">
        <v>581.77229999999997</v>
      </c>
      <c r="O129" s="93">
        <f t="shared" si="3"/>
        <v>-9.7251091516655785E-3</v>
      </c>
      <c r="P129" s="93">
        <f t="shared" si="4"/>
        <v>-2.4333496759576523E-4</v>
      </c>
      <c r="Q129" s="93">
        <f>B129*'Portfolio 2 &amp; 3'!$F$7+C129*'Portfolio 2 &amp; 3'!$F$8+D129*'Portfolio 2 &amp; 3'!$F$9+E129*'Portfolio 2 &amp; 3'!$F$10+F129*'Portfolio 2 &amp; 3'!$F$11+G129*'Portfolio 2 &amp; 3'!$F$12+H129*'Portfolio 2 &amp; 3'!$F$13+I129*'Portfolio 2 &amp; 3'!$F$14+J129*'Portfolio 2 &amp; 3'!$F$15+K129*'Portfolio 2 &amp; 3'!$F$16</f>
        <v>-7.1153298705651964E-3</v>
      </c>
      <c r="R129" s="93">
        <f>B129*'Portfolio 2 &amp; 3'!$B$23+C129*'Portfolio 2 &amp; 3'!$B$24+D129*'Portfolio 2 &amp; 3'!$B$25+E129*'Portfolio 2 &amp; 3'!$B$26+F129*'Portfolio 2 &amp; 3'!$B$27+G129*'Portfolio 2 &amp; 3'!$B$28+H129*'Portfolio 2 &amp; 3'!$B$29+I129*'Portfolio 2 &amp; 3'!$B$30+J129*'Portfolio 2 &amp; 3'!$B$31+K129*'Portfolio 2 &amp; 3'!$B$32</f>
        <v>-5.3973161551189768E-3</v>
      </c>
      <c r="S129" s="93">
        <f t="shared" si="5"/>
        <v>-4.9842220596306719E-3</v>
      </c>
    </row>
    <row r="130" spans="1:19" ht="12.75" customHeight="1">
      <c r="A130" s="81">
        <v>45894</v>
      </c>
      <c r="B130" s="53">
        <v>-1.11E-2</v>
      </c>
      <c r="C130" s="53">
        <v>-1.93512716549948E-3</v>
      </c>
      <c r="D130" s="53">
        <v>-2.04234588720257E-2</v>
      </c>
      <c r="E130" s="53">
        <v>-1.43E-2</v>
      </c>
      <c r="F130" s="53">
        <v>3.4739077669903001E-2</v>
      </c>
      <c r="G130" s="53">
        <v>-2.9305619623911702E-3</v>
      </c>
      <c r="H130" s="87">
        <v>-1.6122750993068001E-2</v>
      </c>
      <c r="I130" s="53">
        <v>-9.12328938324059E-3</v>
      </c>
      <c r="J130" s="53">
        <v>-1.33649762677992E-2</v>
      </c>
      <c r="K130" s="53">
        <v>-9.2822277346563693E-3</v>
      </c>
      <c r="L130" s="95">
        <f>IFERROR(B130*'Stock Statistics'!$C$41+C130*'Stock Statistics'!$C$42+D130*'Stock Statistics'!$C$43+E130*'Stock Statistics'!$C$44+F130*'Stock Statistics'!$C$45+G130*'Stock Statistics'!$C$46+H130*'Stock Statistics'!$C$47+I130*'Stock Statistics'!$C$48+J130*'Stock Statistics'!$C$49+K130*'Stock Statistics'!$C$50,"")</f>
        <v>-6.3843314708777526E-3</v>
      </c>
      <c r="M130" s="96">
        <v>495.4803</v>
      </c>
      <c r="N130" s="97">
        <v>581.91390000000001</v>
      </c>
      <c r="O130" s="93">
        <f t="shared" ref="O130:O193" si="6">M130/M131-1</f>
        <v>-1.2725881558261487E-2</v>
      </c>
      <c r="P130" s="93">
        <f t="shared" ref="P130:P193" si="7">N130/N131-1</f>
        <v>5.0241371014303482E-3</v>
      </c>
      <c r="Q130" s="93">
        <f>B130*'Portfolio 2 &amp; 3'!$F$7+C130*'Portfolio 2 &amp; 3'!$F$8+D130*'Portfolio 2 &amp; 3'!$F$9+E130*'Portfolio 2 &amp; 3'!$F$10+F130*'Portfolio 2 &amp; 3'!$F$11+G130*'Portfolio 2 &amp; 3'!$F$12+H130*'Portfolio 2 &amp; 3'!$F$13+I130*'Portfolio 2 &amp; 3'!$F$14+J130*'Portfolio 2 &amp; 3'!$F$15+K130*'Portfolio 2 &amp; 3'!$F$16</f>
        <v>-7.3591368864342087E-3</v>
      </c>
      <c r="R130" s="93">
        <f>B130*'Portfolio 2 &amp; 3'!$B$23+C130*'Portfolio 2 &amp; 3'!$B$24+D130*'Portfolio 2 &amp; 3'!$B$25+E130*'Portfolio 2 &amp; 3'!$B$26+F130*'Portfolio 2 &amp; 3'!$B$27+G130*'Portfolio 2 &amp; 3'!$B$28+H130*'Portfolio 2 &amp; 3'!$B$29+I130*'Portfolio 2 &amp; 3'!$B$30+J130*'Portfolio 2 &amp; 3'!$B$31+K130*'Portfolio 2 &amp; 3'!$B$32</f>
        <v>-9.4285629313862161E-4</v>
      </c>
      <c r="S130" s="93">
        <f t="shared" ref="S130:S193" si="8">IFERROR(AVERAGE(O130,P130),"")</f>
        <v>-3.8508722284155694E-3</v>
      </c>
    </row>
    <row r="131" spans="1:19" ht="12.75" customHeight="1">
      <c r="A131" s="82">
        <v>45891</v>
      </c>
      <c r="B131" s="53">
        <v>-2.3300000000000001E-2</v>
      </c>
      <c r="C131" s="53">
        <v>7.3773515307995496E-4</v>
      </c>
      <c r="D131" s="53">
        <v>1.6184310738766298E-2</v>
      </c>
      <c r="E131" s="53">
        <v>-1.9609999999999999E-2</v>
      </c>
      <c r="F131" s="53">
        <v>3.0432136335971599E-3</v>
      </c>
      <c r="G131" s="53">
        <v>1.03909634260022E-2</v>
      </c>
      <c r="H131" s="87">
        <v>4.9311208515967504E-3</v>
      </c>
      <c r="I131" s="53">
        <v>-3.4043580612060101E-2</v>
      </c>
      <c r="J131" s="53">
        <v>5.2737317930688903E-3</v>
      </c>
      <c r="K131" s="53">
        <v>1.5768511745102701E-2</v>
      </c>
      <c r="L131" s="95">
        <f>IFERROR(B131*'Stock Statistics'!$C$41+C131*'Stock Statistics'!$C$42+D131*'Stock Statistics'!$C$43+E131*'Stock Statistics'!$C$44+F131*'Stock Statistics'!$C$45+G131*'Stock Statistics'!$C$46+H131*'Stock Statistics'!$C$47+I131*'Stock Statistics'!$C$48+J131*'Stock Statistics'!$C$49+K131*'Stock Statistics'!$C$50,"")</f>
        <v>-2.0623993270846145E-3</v>
      </c>
      <c r="M131" s="97">
        <v>501.86700000000002</v>
      </c>
      <c r="N131" s="96">
        <v>579.00490000000002</v>
      </c>
      <c r="O131" s="93">
        <f t="shared" si="6"/>
        <v>-4.8815331600504663E-5</v>
      </c>
      <c r="P131" s="93">
        <f t="shared" si="7"/>
        <v>-4.1716085020665483E-3</v>
      </c>
      <c r="Q131" s="93">
        <f>B131*'Portfolio 2 &amp; 3'!$F$7+C131*'Portfolio 2 &amp; 3'!$F$8+D131*'Portfolio 2 &amp; 3'!$F$9+E131*'Portfolio 2 &amp; 3'!$F$10+F131*'Portfolio 2 &amp; 3'!$F$11+G131*'Portfolio 2 &amp; 3'!$F$12+H131*'Portfolio 2 &amp; 3'!$F$13+I131*'Portfolio 2 &amp; 3'!$F$14+J131*'Portfolio 2 &amp; 3'!$F$15+K131*'Portfolio 2 &amp; 3'!$F$16</f>
        <v>5.8074251221627892E-5</v>
      </c>
      <c r="R131" s="93">
        <f>B131*'Portfolio 2 &amp; 3'!$B$23+C131*'Portfolio 2 &amp; 3'!$B$24+D131*'Portfolio 2 &amp; 3'!$B$25+E131*'Portfolio 2 &amp; 3'!$B$26+F131*'Portfolio 2 &amp; 3'!$B$27+G131*'Portfolio 2 &amp; 3'!$B$28+H131*'Portfolio 2 &amp; 3'!$B$29+I131*'Portfolio 2 &amp; 3'!$B$30+J131*'Portfolio 2 &amp; 3'!$B$31+K131*'Portfolio 2 &amp; 3'!$B$32</f>
        <v>-8.0273050722815386E-3</v>
      </c>
      <c r="S131" s="93">
        <f t="shared" si="8"/>
        <v>-2.1102119168335265E-3</v>
      </c>
    </row>
    <row r="132" spans="1:19" ht="12.75" customHeight="1">
      <c r="A132" s="81">
        <v>45890</v>
      </c>
      <c r="B132" s="53">
        <v>1.1999999999999999E-3</v>
      </c>
      <c r="C132" s="53">
        <v>5.3773409975894602E-3</v>
      </c>
      <c r="D132" s="53">
        <v>9.0297790585975903E-3</v>
      </c>
      <c r="E132" s="53">
        <v>-8.9200000000000008E-3</v>
      </c>
      <c r="F132" s="53">
        <v>2.54245906640893E-3</v>
      </c>
      <c r="G132" s="53">
        <v>-4.4762268682788696E-3</v>
      </c>
      <c r="H132" s="87">
        <v>7.8333072223091304E-4</v>
      </c>
      <c r="I132" s="53">
        <v>9.0754050432453309E-3</v>
      </c>
      <c r="J132" s="53">
        <v>0</v>
      </c>
      <c r="K132" s="53">
        <v>2.0487723954877302E-2</v>
      </c>
      <c r="L132" s="95">
        <f>IFERROR(B132*'Stock Statistics'!$C$41+C132*'Stock Statistics'!$C$42+D132*'Stock Statistics'!$C$43+E132*'Stock Statistics'!$C$44+F132*'Stock Statistics'!$C$45+G132*'Stock Statistics'!$C$46+H132*'Stock Statistics'!$C$47+I132*'Stock Statistics'!$C$48+J132*'Stock Statistics'!$C$49+K132*'Stock Statistics'!$C$50,"")</f>
        <v>3.5099811974670658E-3</v>
      </c>
      <c r="M132" s="96">
        <v>501.89150000000001</v>
      </c>
      <c r="N132" s="97">
        <v>581.43039999999996</v>
      </c>
      <c r="O132" s="93">
        <f t="shared" si="6"/>
        <v>1.3587105617300921E-3</v>
      </c>
      <c r="P132" s="93">
        <f t="shared" si="7"/>
        <v>-1.3383496252896698E-3</v>
      </c>
      <c r="Q132" s="93">
        <f>B132*'Portfolio 2 &amp; 3'!$F$7+C132*'Portfolio 2 &amp; 3'!$F$8+D132*'Portfolio 2 &amp; 3'!$F$9+E132*'Portfolio 2 &amp; 3'!$F$10+F132*'Portfolio 2 &amp; 3'!$F$11+G132*'Portfolio 2 &amp; 3'!$F$12+H132*'Portfolio 2 &amp; 3'!$F$13+I132*'Portfolio 2 &amp; 3'!$F$14+J132*'Portfolio 2 &amp; 3'!$F$15+K132*'Portfolio 2 &amp; 3'!$F$16</f>
        <v>3.6868749641460275E-3</v>
      </c>
      <c r="R132" s="93">
        <f>B132*'Portfolio 2 &amp; 3'!$B$23+C132*'Portfolio 2 &amp; 3'!$B$24+D132*'Portfolio 2 &amp; 3'!$B$25+E132*'Portfolio 2 &amp; 3'!$B$26+F132*'Portfolio 2 &amp; 3'!$B$27+G132*'Portfolio 2 &amp; 3'!$B$28+H132*'Portfolio 2 &amp; 3'!$B$29+I132*'Portfolio 2 &amp; 3'!$B$30+J132*'Portfolio 2 &amp; 3'!$B$31+K132*'Portfolio 2 &amp; 3'!$B$32</f>
        <v>5.2784940306294069E-3</v>
      </c>
      <c r="S132" s="93">
        <f t="shared" si="8"/>
        <v>1.0180468220211125E-5</v>
      </c>
    </row>
    <row r="133" spans="1:19" ht="12.75" customHeight="1">
      <c r="A133" s="82">
        <v>45889</v>
      </c>
      <c r="B133" s="53">
        <v>-1.4200000000000001E-2</v>
      </c>
      <c r="C133" s="53">
        <v>1.8545994065277701E-4</v>
      </c>
      <c r="D133" s="53">
        <v>-5.1605504587156599E-3</v>
      </c>
      <c r="E133" s="53">
        <v>2.3900000000000002E-3</v>
      </c>
      <c r="F133" s="53">
        <v>-6.2155743089595799E-3</v>
      </c>
      <c r="G133" s="53">
        <v>3.34100120495129E-3</v>
      </c>
      <c r="H133" s="87">
        <v>2.5052192066805899E-2</v>
      </c>
      <c r="I133" s="53">
        <v>9.7549079380554503E-4</v>
      </c>
      <c r="J133" s="53">
        <v>3.0205032016040301E-2</v>
      </c>
      <c r="K133" s="53">
        <v>3.8301415487094199E-3</v>
      </c>
      <c r="L133" s="95">
        <f>IFERROR(B133*'Stock Statistics'!$C$41+C133*'Stock Statistics'!$C$42+D133*'Stock Statistics'!$C$43+E133*'Stock Statistics'!$C$44+F133*'Stock Statistics'!$C$45+G133*'Stock Statistics'!$C$46+H133*'Stock Statistics'!$C$47+I133*'Stock Statistics'!$C$48+J133*'Stock Statistics'!$C$49+K133*'Stock Statistics'!$C$50,"")</f>
        <v>4.0403192803289984E-3</v>
      </c>
      <c r="M133" s="97">
        <v>501.21050000000002</v>
      </c>
      <c r="N133" s="96">
        <v>582.20960000000002</v>
      </c>
      <c r="O133" s="93">
        <f t="shared" si="6"/>
        <v>4.0517809025419904E-3</v>
      </c>
      <c r="P133" s="93">
        <f t="shared" si="7"/>
        <v>5.4471471986965447E-3</v>
      </c>
      <c r="Q133" s="93">
        <f>B133*'Portfolio 2 &amp; 3'!$F$7+C133*'Portfolio 2 &amp; 3'!$F$8+D133*'Portfolio 2 &amp; 3'!$F$9+E133*'Portfolio 2 &amp; 3'!$F$10+F133*'Portfolio 2 &amp; 3'!$F$11+G133*'Portfolio 2 &amp; 3'!$F$12+H133*'Portfolio 2 &amp; 3'!$F$13+I133*'Portfolio 2 &amp; 3'!$F$14+J133*'Portfolio 2 &amp; 3'!$F$15+K133*'Portfolio 2 &amp; 3'!$F$16</f>
        <v>6.9763524968859108E-3</v>
      </c>
      <c r="R133" s="93">
        <f>B133*'Portfolio 2 &amp; 3'!$B$23+C133*'Portfolio 2 &amp; 3'!$B$24+D133*'Portfolio 2 &amp; 3'!$B$25+E133*'Portfolio 2 &amp; 3'!$B$26+F133*'Portfolio 2 &amp; 3'!$B$27+G133*'Portfolio 2 &amp; 3'!$B$28+H133*'Portfolio 2 &amp; 3'!$B$29+I133*'Portfolio 2 &amp; 3'!$B$30+J133*'Portfolio 2 &amp; 3'!$B$31+K133*'Portfolio 2 &amp; 3'!$B$32</f>
        <v>-2.3567945277493455E-4</v>
      </c>
      <c r="S133" s="93">
        <f t="shared" si="8"/>
        <v>4.7494640506192676E-3</v>
      </c>
    </row>
    <row r="134" spans="1:19" ht="12.75" customHeight="1">
      <c r="A134" s="81">
        <v>45888</v>
      </c>
      <c r="B134" s="53">
        <v>1.46E-2</v>
      </c>
      <c r="C134" s="53">
        <v>8.6045641601197893E-3</v>
      </c>
      <c r="D134" s="53">
        <v>-3.9735707075341797E-2</v>
      </c>
      <c r="E134" s="53">
        <v>1.0449999999999999E-2</v>
      </c>
      <c r="F134" s="53">
        <v>2.9903699949316298E-3</v>
      </c>
      <c r="G134" s="53">
        <v>0</v>
      </c>
      <c r="H134" s="87">
        <v>9.6447516476461104E-4</v>
      </c>
      <c r="I134" s="53">
        <v>4.3475598554896201E-3</v>
      </c>
      <c r="J134" s="53">
        <v>-1.8077345212732499E-3</v>
      </c>
      <c r="K134" s="53">
        <v>-1.2254297228390399E-2</v>
      </c>
      <c r="L134" s="95">
        <f>IFERROR(B134*'Stock Statistics'!$C$41+C134*'Stock Statistics'!$C$42+D134*'Stock Statistics'!$C$43+E134*'Stock Statistics'!$C$44+F134*'Stock Statistics'!$C$45+G134*'Stock Statistics'!$C$46+H134*'Stock Statistics'!$C$47+I134*'Stock Statistics'!$C$48+J134*'Stock Statistics'!$C$49+K134*'Stock Statistics'!$C$50,"")</f>
        <v>-1.1840769649699796E-3</v>
      </c>
      <c r="M134" s="96">
        <v>499.18790000000001</v>
      </c>
      <c r="N134" s="97">
        <v>579.05539999999996</v>
      </c>
      <c r="O134" s="93">
        <f t="shared" si="6"/>
        <v>4.5915614675995364E-4</v>
      </c>
      <c r="P134" s="93">
        <f t="shared" si="7"/>
        <v>2.5600058728119102E-3</v>
      </c>
      <c r="Q134" s="93">
        <f>B134*'Portfolio 2 &amp; 3'!$F$7+C134*'Portfolio 2 &amp; 3'!$F$8+D134*'Portfolio 2 &amp; 3'!$F$9+E134*'Portfolio 2 &amp; 3'!$F$10+F134*'Portfolio 2 &amp; 3'!$F$11+G134*'Portfolio 2 &amp; 3'!$F$12+H134*'Portfolio 2 &amp; 3'!$F$13+I134*'Portfolio 2 &amp; 3'!$F$14+J134*'Portfolio 2 &amp; 3'!$F$15+K134*'Portfolio 2 &amp; 3'!$F$16</f>
        <v>-3.1240064499145413E-3</v>
      </c>
      <c r="R134" s="93">
        <f>B134*'Portfolio 2 &amp; 3'!$B$23+C134*'Portfolio 2 &amp; 3'!$B$24+D134*'Portfolio 2 &amp; 3'!$B$25+E134*'Portfolio 2 &amp; 3'!$B$26+F134*'Portfolio 2 &amp; 3'!$B$27+G134*'Portfolio 2 &amp; 3'!$B$28+H134*'Portfolio 2 &amp; 3'!$B$29+I134*'Portfolio 2 &amp; 3'!$B$30+J134*'Portfolio 2 &amp; 3'!$B$31+K134*'Portfolio 2 &amp; 3'!$B$32</f>
        <v>3.581236869028101E-3</v>
      </c>
      <c r="S134" s="93">
        <f t="shared" si="8"/>
        <v>1.5095810097859319E-3</v>
      </c>
    </row>
    <row r="135" spans="1:19" ht="12.75" customHeight="1">
      <c r="A135" s="82">
        <v>45887</v>
      </c>
      <c r="B135" s="53">
        <v>-2.0299999999999999E-2</v>
      </c>
      <c r="C135" s="53">
        <v>-2.8050490883591001E-4</v>
      </c>
      <c r="D135" s="53">
        <v>3.6720829890768398E-4</v>
      </c>
      <c r="E135" s="53">
        <v>-1.438E-2</v>
      </c>
      <c r="F135" s="53">
        <v>-2.32605177993528E-3</v>
      </c>
      <c r="G135" s="53">
        <v>7.8940104885454297E-3</v>
      </c>
      <c r="H135" s="87">
        <v>-1.46511443731686E-2</v>
      </c>
      <c r="I135" s="53">
        <v>3.9960654125168497E-3</v>
      </c>
      <c r="J135" s="53">
        <v>-1.0414004600050999E-2</v>
      </c>
      <c r="K135" s="53">
        <v>-1.37886284370185E-2</v>
      </c>
      <c r="L135" s="95">
        <f>IFERROR(B135*'Stock Statistics'!$C$41+C135*'Stock Statistics'!$C$42+D135*'Stock Statistics'!$C$43+E135*'Stock Statistics'!$C$44+F135*'Stock Statistics'!$C$45+G135*'Stock Statistics'!$C$46+H135*'Stock Statistics'!$C$47+I135*'Stock Statistics'!$C$48+J135*'Stock Statistics'!$C$49+K135*'Stock Statistics'!$C$50,"")</f>
        <v>-6.3883049899039332E-3</v>
      </c>
      <c r="M135" s="97">
        <v>498.9588</v>
      </c>
      <c r="N135" s="96">
        <v>577.57680000000005</v>
      </c>
      <c r="O135" s="93">
        <f t="shared" si="6"/>
        <v>3.6494419630510588E-3</v>
      </c>
      <c r="P135" s="93">
        <f t="shared" si="7"/>
        <v>1.9023117016288005E-2</v>
      </c>
      <c r="Q135" s="93">
        <f>B135*'Portfolio 2 &amp; 3'!$F$7+C135*'Portfolio 2 &amp; 3'!$F$8+D135*'Portfolio 2 &amp; 3'!$F$9+E135*'Portfolio 2 &amp; 3'!$F$10+F135*'Portfolio 2 &amp; 3'!$F$11+G135*'Portfolio 2 &amp; 3'!$F$12+H135*'Portfolio 2 &amp; 3'!$F$13+I135*'Portfolio 2 &amp; 3'!$F$14+J135*'Portfolio 2 &amp; 3'!$F$15+K135*'Portfolio 2 &amp; 3'!$F$16</f>
        <v>-6.8460032982434974E-3</v>
      </c>
      <c r="R135" s="93">
        <f>B135*'Portfolio 2 &amp; 3'!$B$23+C135*'Portfolio 2 &amp; 3'!$B$24+D135*'Portfolio 2 &amp; 3'!$B$25+E135*'Portfolio 2 &amp; 3'!$B$26+F135*'Portfolio 2 &amp; 3'!$B$27+G135*'Portfolio 2 &amp; 3'!$B$28+H135*'Portfolio 2 &amp; 3'!$B$29+I135*'Portfolio 2 &amp; 3'!$B$30+J135*'Portfolio 2 &amp; 3'!$B$31+K135*'Portfolio 2 &amp; 3'!$B$32</f>
        <v>-3.2612755196226523E-3</v>
      </c>
      <c r="S135" s="93">
        <f t="shared" si="8"/>
        <v>1.1336279489669532E-2</v>
      </c>
    </row>
    <row r="136" spans="1:19" ht="12.75" customHeight="1">
      <c r="A136" s="81">
        <v>45883</v>
      </c>
      <c r="B136" s="53">
        <v>9.9000000000000008E-3</v>
      </c>
      <c r="C136" s="53">
        <v>-7.6087965110884798E-3</v>
      </c>
      <c r="D136" s="53">
        <v>5.2602436323367901E-3</v>
      </c>
      <c r="E136" s="53">
        <v>-1.72E-3</v>
      </c>
      <c r="F136" s="53">
        <v>2.0230629172557401E-4</v>
      </c>
      <c r="G136" s="53">
        <v>1.4373376084913E-3</v>
      </c>
      <c r="H136" s="87">
        <v>1.8248175182482599E-3</v>
      </c>
      <c r="I136" s="53">
        <v>-3.7361425859007199E-3</v>
      </c>
      <c r="J136" s="53">
        <v>7.6726342711008798E-4</v>
      </c>
      <c r="K136" s="53">
        <v>5.2181002853648496E-3</v>
      </c>
      <c r="L136" s="95">
        <f>IFERROR(B136*'Stock Statistics'!$C$41+C136*'Stock Statistics'!$C$42+D136*'Stock Statistics'!$C$43+E136*'Stock Statistics'!$C$44+F136*'Stock Statistics'!$C$45+G136*'Stock Statistics'!$C$46+H136*'Stock Statistics'!$C$47+I136*'Stock Statistics'!$C$48+J136*'Stock Statistics'!$C$49+K136*'Stock Statistics'!$C$50,"")</f>
        <v>1.1545129666287665E-3</v>
      </c>
      <c r="M136" s="96">
        <v>497.14449999999999</v>
      </c>
      <c r="N136" s="97">
        <v>566.79459999999995</v>
      </c>
      <c r="O136" s="93">
        <f t="shared" si="6"/>
        <v>3.2959894153776759E-3</v>
      </c>
      <c r="P136" s="93">
        <f t="shared" si="7"/>
        <v>3.0797034763376807E-3</v>
      </c>
      <c r="Q136" s="93">
        <f>B136*'Portfolio 2 &amp; 3'!$F$7+C136*'Portfolio 2 &amp; 3'!$F$8+D136*'Portfolio 2 &amp; 3'!$F$9+E136*'Portfolio 2 &amp; 3'!$F$10+F136*'Portfolio 2 &amp; 3'!$F$11+G136*'Portfolio 2 &amp; 3'!$F$12+H136*'Portfolio 2 &amp; 3'!$F$13+I136*'Portfolio 2 &amp; 3'!$F$14+J136*'Portfolio 2 &amp; 3'!$F$15+K136*'Portfolio 2 &amp; 3'!$F$16</f>
        <v>1.1020215995165348E-3</v>
      </c>
      <c r="R136" s="93">
        <f>B136*'Portfolio 2 &amp; 3'!$B$23+C136*'Portfolio 2 &amp; 3'!$B$24+D136*'Portfolio 2 &amp; 3'!$B$25+E136*'Portfolio 2 &amp; 3'!$B$26+F136*'Portfolio 2 &amp; 3'!$B$27+G136*'Portfolio 2 &amp; 3'!$B$28+H136*'Portfolio 2 &amp; 3'!$B$29+I136*'Portfolio 2 &amp; 3'!$B$30+J136*'Portfolio 2 &amp; 3'!$B$31+K136*'Portfolio 2 &amp; 3'!$B$32</f>
        <v>-2.8621925531521162E-4</v>
      </c>
      <c r="S136" s="93">
        <f t="shared" si="8"/>
        <v>3.1878464458576783E-3</v>
      </c>
    </row>
    <row r="137" spans="1:19" ht="12.75" customHeight="1">
      <c r="A137" s="82">
        <v>45882</v>
      </c>
      <c r="B137" s="53">
        <v>1.17E-2</v>
      </c>
      <c r="C137" s="53">
        <v>4.6513886191493603E-2</v>
      </c>
      <c r="D137" s="53">
        <v>5.0083472454090002E-3</v>
      </c>
      <c r="E137" s="53">
        <v>-3.3899999999999998E-3</v>
      </c>
      <c r="F137" s="53">
        <v>3.4479150316538497E-2</v>
      </c>
      <c r="G137" s="53">
        <v>-2.28896059126882E-3</v>
      </c>
      <c r="H137" s="87">
        <v>5.5848093186532397E-3</v>
      </c>
      <c r="I137" s="53">
        <v>-5.3003533568904996E-3</v>
      </c>
      <c r="J137" s="53">
        <v>1.92184497117243E-3</v>
      </c>
      <c r="K137" s="53">
        <v>5.2454716826488799E-3</v>
      </c>
      <c r="L137" s="95">
        <f>IFERROR(B137*'Stock Statistics'!$C$41+C137*'Stock Statistics'!$C$42+D137*'Stock Statistics'!$C$43+E137*'Stock Statistics'!$C$44+F137*'Stock Statistics'!$C$45+G137*'Stock Statistics'!$C$46+H137*'Stock Statistics'!$C$47+I137*'Stock Statistics'!$C$48+J137*'Stock Statistics'!$C$49+K137*'Stock Statistics'!$C$50,"")</f>
        <v>9.9474195777756354E-3</v>
      </c>
      <c r="M137" s="97">
        <v>495.51130000000001</v>
      </c>
      <c r="N137" s="96">
        <v>565.05439999999999</v>
      </c>
      <c r="O137" s="93">
        <f t="shared" si="6"/>
        <v>-1.1415552728041289E-3</v>
      </c>
      <c r="P137" s="93">
        <f t="shared" si="7"/>
        <v>1.026888623125366E-2</v>
      </c>
      <c r="Q137" s="93">
        <f>B137*'Portfolio 2 &amp; 3'!$F$7+C137*'Portfolio 2 &amp; 3'!$F$8+D137*'Portfolio 2 &amp; 3'!$F$9+E137*'Portfolio 2 &amp; 3'!$F$10+F137*'Portfolio 2 &amp; 3'!$F$11+G137*'Portfolio 2 &amp; 3'!$F$12+H137*'Portfolio 2 &amp; 3'!$F$13+I137*'Portfolio 2 &amp; 3'!$F$14+J137*'Portfolio 2 &amp; 3'!$F$15+K137*'Portfolio 2 &amp; 3'!$F$16</f>
        <v>1.0296188147347729E-2</v>
      </c>
      <c r="R137" s="93">
        <f>B137*'Portfolio 2 &amp; 3'!$B$23+C137*'Portfolio 2 &amp; 3'!$B$24+D137*'Portfolio 2 &amp; 3'!$B$25+E137*'Portfolio 2 &amp; 3'!$B$26+F137*'Portfolio 2 &amp; 3'!$B$27+G137*'Portfolio 2 &amp; 3'!$B$28+H137*'Portfolio 2 &amp; 3'!$B$29+I137*'Portfolio 2 &amp; 3'!$B$30+J137*'Portfolio 2 &amp; 3'!$B$31+K137*'Portfolio 2 &amp; 3'!$B$32</f>
        <v>1.5071563593210104E-2</v>
      </c>
      <c r="S137" s="93">
        <f t="shared" si="8"/>
        <v>4.5636654792247655E-3</v>
      </c>
    </row>
    <row r="138" spans="1:19" ht="12.75" customHeight="1">
      <c r="A138" s="81">
        <v>45881</v>
      </c>
      <c r="B138" s="53">
        <v>-1.2699999999999999E-2</v>
      </c>
      <c r="C138" s="53">
        <v>6.2854783775415396E-2</v>
      </c>
      <c r="D138" s="53">
        <v>1.89000189000188E-2</v>
      </c>
      <c r="E138" s="53">
        <v>-1.427E-2</v>
      </c>
      <c r="F138" s="53">
        <v>1.0465177123131201E-4</v>
      </c>
      <c r="G138" s="53">
        <v>3.0982876428116198E-3</v>
      </c>
      <c r="H138" s="87">
        <v>2.71244775874784E-2</v>
      </c>
      <c r="I138" s="53">
        <v>9.75728747408367E-4</v>
      </c>
      <c r="J138" s="53">
        <v>2.5893796004206299E-2</v>
      </c>
      <c r="K138" s="53">
        <v>2.3402113739305501E-2</v>
      </c>
      <c r="L138" s="95">
        <f>IFERROR(B138*'Stock Statistics'!$C$41+C138*'Stock Statistics'!$C$42+D138*'Stock Statistics'!$C$43+E138*'Stock Statistics'!$C$44+F138*'Stock Statistics'!$C$45+G138*'Stock Statistics'!$C$46+H138*'Stock Statistics'!$C$47+I138*'Stock Statistics'!$C$48+J138*'Stock Statistics'!$C$49+K138*'Stock Statistics'!$C$50,"")</f>
        <v>1.353838581678757E-2</v>
      </c>
      <c r="M138" s="96">
        <v>496.07760000000002</v>
      </c>
      <c r="N138" s="97">
        <v>559.31089999999995</v>
      </c>
      <c r="O138" s="93">
        <f t="shared" si="6"/>
        <v>1.2241719790841543E-2</v>
      </c>
      <c r="P138" s="93">
        <f t="shared" si="7"/>
        <v>-8.7359973174541139E-3</v>
      </c>
      <c r="Q138" s="93">
        <f>B138*'Portfolio 2 &amp; 3'!$F$7+C138*'Portfolio 2 &amp; 3'!$F$8+D138*'Portfolio 2 &amp; 3'!$F$9+E138*'Portfolio 2 &amp; 3'!$F$10+F138*'Portfolio 2 &amp; 3'!$F$11+G138*'Portfolio 2 &amp; 3'!$F$12+H138*'Portfolio 2 &amp; 3'!$F$13+I138*'Portfolio 2 &amp; 3'!$F$14+J138*'Portfolio 2 &amp; 3'!$F$15+K138*'Portfolio 2 &amp; 3'!$F$16</f>
        <v>1.7041820031156688E-2</v>
      </c>
      <c r="R138" s="93">
        <f>B138*'Portfolio 2 &amp; 3'!$B$23+C138*'Portfolio 2 &amp; 3'!$B$24+D138*'Portfolio 2 &amp; 3'!$B$25+E138*'Portfolio 2 &amp; 3'!$B$26+F138*'Portfolio 2 &amp; 3'!$B$27+G138*'Portfolio 2 &amp; 3'!$B$28+H138*'Portfolio 2 &amp; 3'!$B$29+I138*'Portfolio 2 &amp; 3'!$B$30+J138*'Portfolio 2 &amp; 3'!$B$31+K138*'Portfolio 2 &amp; 3'!$B$32</f>
        <v>1.4818290597430603E-2</v>
      </c>
      <c r="S138" s="93">
        <f t="shared" si="8"/>
        <v>1.7528612366937146E-3</v>
      </c>
    </row>
    <row r="139" spans="1:19" ht="12.75" customHeight="1">
      <c r="A139" s="82">
        <v>45880</v>
      </c>
      <c r="B139" s="53">
        <v>4.1000000000000003E-3</v>
      </c>
      <c r="C139" s="53">
        <v>1.6897565071368501E-2</v>
      </c>
      <c r="D139" s="53">
        <v>5.0337164023173103E-3</v>
      </c>
      <c r="E139" s="53">
        <v>2.366E-2</v>
      </c>
      <c r="F139" s="53">
        <v>2.0723174704908399E-2</v>
      </c>
      <c r="G139" s="53">
        <v>1.16702115750589E-2</v>
      </c>
      <c r="H139" s="87">
        <v>6.5600656006559199E-4</v>
      </c>
      <c r="I139" s="53">
        <v>1.0849463691283499E-2</v>
      </c>
      <c r="J139" s="53">
        <v>1.1164274322168899E-2</v>
      </c>
      <c r="K139" s="53">
        <v>-5.1735647530040101E-3</v>
      </c>
      <c r="L139" s="95">
        <f>IFERROR(B139*'Stock Statistics'!$C$41+C139*'Stock Statistics'!$C$42+D139*'Stock Statistics'!$C$43+E139*'Stock Statistics'!$C$44+F139*'Stock Statistics'!$C$45+G139*'Stock Statistics'!$C$46+H139*'Stock Statistics'!$C$47+I139*'Stock Statistics'!$C$48+J139*'Stock Statistics'!$C$49+K139*'Stock Statistics'!$C$50,"")</f>
        <v>9.9580847574167082E-3</v>
      </c>
      <c r="M139" s="97">
        <v>490.07819999999998</v>
      </c>
      <c r="N139" s="96">
        <v>564.24009999999998</v>
      </c>
      <c r="O139" s="93">
        <f t="shared" si="6"/>
        <v>6.1911946860229161E-3</v>
      </c>
      <c r="P139" s="93">
        <f t="shared" si="7"/>
        <v>4.4629736079286886E-3</v>
      </c>
      <c r="Q139" s="93">
        <f>B139*'Portfolio 2 &amp; 3'!$F$7+C139*'Portfolio 2 &amp; 3'!$F$8+D139*'Portfolio 2 &amp; 3'!$F$9+E139*'Portfolio 2 &amp; 3'!$F$10+F139*'Portfolio 2 &amp; 3'!$F$11+G139*'Portfolio 2 &amp; 3'!$F$12+H139*'Portfolio 2 &amp; 3'!$F$13+I139*'Portfolio 2 &amp; 3'!$F$14+J139*'Portfolio 2 &amp; 3'!$F$15+K139*'Portfolio 2 &amp; 3'!$F$16</f>
        <v>9.3196338599672197E-3</v>
      </c>
      <c r="R139" s="93">
        <f>B139*'Portfolio 2 &amp; 3'!$B$23+C139*'Portfolio 2 &amp; 3'!$B$24+D139*'Portfolio 2 &amp; 3'!$B$25+E139*'Portfolio 2 &amp; 3'!$B$26+F139*'Portfolio 2 &amp; 3'!$B$27+G139*'Portfolio 2 &amp; 3'!$B$28+H139*'Portfolio 2 &amp; 3'!$B$29+I139*'Portfolio 2 &amp; 3'!$B$30+J139*'Portfolio 2 &amp; 3'!$B$31+K139*'Portfolio 2 &amp; 3'!$B$32</f>
        <v>1.1004175177808856E-2</v>
      </c>
      <c r="S139" s="93">
        <f t="shared" si="8"/>
        <v>5.3270841469758023E-3</v>
      </c>
    </row>
    <row r="140" spans="1:19" ht="12.75" customHeight="1">
      <c r="A140" s="81">
        <v>45877</v>
      </c>
      <c r="B140" s="53">
        <v>3.8E-3</v>
      </c>
      <c r="C140" s="53">
        <v>-2.2167487684729099E-2</v>
      </c>
      <c r="D140" s="53">
        <v>1.0363688705498799E-2</v>
      </c>
      <c r="E140" s="53">
        <v>3.2000000000000002E-3</v>
      </c>
      <c r="F140" s="53">
        <v>-8.7881835989200904E-3</v>
      </c>
      <c r="G140" s="53">
        <v>-6.5337670642533503E-3</v>
      </c>
      <c r="H140" s="87">
        <v>6.6864784546805103E-3</v>
      </c>
      <c r="I140" s="53">
        <v>8.5799552350160901E-3</v>
      </c>
      <c r="J140" s="53">
        <v>1.27877237851664E-2</v>
      </c>
      <c r="K140" s="53">
        <v>1.31033899737931E-2</v>
      </c>
      <c r="L140" s="95">
        <f>IFERROR(B140*'Stock Statistics'!$C$41+C140*'Stock Statistics'!$C$42+D140*'Stock Statistics'!$C$43+E140*'Stock Statistics'!$C$44+F140*'Stock Statistics'!$C$45+G140*'Stock Statistics'!$C$46+H140*'Stock Statistics'!$C$47+I140*'Stock Statistics'!$C$48+J140*'Stock Statistics'!$C$49+K140*'Stock Statistics'!$C$50,"")</f>
        <v>2.1031797806252365E-3</v>
      </c>
      <c r="M140" s="96">
        <v>487.06270000000001</v>
      </c>
      <c r="N140" s="97">
        <v>561.73310000000004</v>
      </c>
      <c r="O140" s="93">
        <f t="shared" si="6"/>
        <v>9.932558874909958E-3</v>
      </c>
      <c r="P140" s="93">
        <f t="shared" si="7"/>
        <v>-1.8362203177788472E-2</v>
      </c>
      <c r="Q140" s="93">
        <f>B140*'Portfolio 2 &amp; 3'!$F$7+C140*'Portfolio 2 &amp; 3'!$F$8+D140*'Portfolio 2 &amp; 3'!$F$9+E140*'Portfolio 2 &amp; 3'!$F$10+F140*'Portfolio 2 &amp; 3'!$F$11+G140*'Portfolio 2 &amp; 3'!$F$12+H140*'Portfolio 2 &amp; 3'!$F$13+I140*'Portfolio 2 &amp; 3'!$F$14+J140*'Portfolio 2 &amp; 3'!$F$15+K140*'Portfolio 2 &amp; 3'!$F$16</f>
        <v>3.1710427628805406E-3</v>
      </c>
      <c r="R140" s="93">
        <f>B140*'Portfolio 2 &amp; 3'!$B$23+C140*'Portfolio 2 &amp; 3'!$B$24+D140*'Portfolio 2 &amp; 3'!$B$25+E140*'Portfolio 2 &amp; 3'!$B$26+F140*'Portfolio 2 &amp; 3'!$B$27+G140*'Portfolio 2 &amp; 3'!$B$28+H140*'Portfolio 2 &amp; 3'!$B$29+I140*'Portfolio 2 &amp; 3'!$B$30+J140*'Portfolio 2 &amp; 3'!$B$31+K140*'Portfolio 2 &amp; 3'!$B$32</f>
        <v>-1.7893760474701837E-3</v>
      </c>
      <c r="S140" s="93">
        <f t="shared" si="8"/>
        <v>-4.214822151439257E-3</v>
      </c>
    </row>
    <row r="141" spans="1:19" ht="12.75" customHeight="1">
      <c r="A141" s="82">
        <v>45876</v>
      </c>
      <c r="B141" s="53">
        <v>3.5000000000000001E-3</v>
      </c>
      <c r="C141" s="53">
        <v>2.05296653664533E-4</v>
      </c>
      <c r="D141" s="53">
        <v>-2.57105459985041E-2</v>
      </c>
      <c r="E141" s="53">
        <v>1.397E-2</v>
      </c>
      <c r="F141" s="53">
        <v>1.2597834244666E-2</v>
      </c>
      <c r="G141" s="53">
        <v>2.0601004511790099E-2</v>
      </c>
      <c r="H141" s="87">
        <v>8.8274483677548404E-3</v>
      </c>
      <c r="I141" s="53">
        <v>1.3548427752221299E-2</v>
      </c>
      <c r="J141" s="53">
        <v>-3.4875922199866199E-3</v>
      </c>
      <c r="K141" s="53">
        <v>-3.53910136182011E-2</v>
      </c>
      <c r="L141" s="95">
        <f>IFERROR(B141*'Stock Statistics'!$C$41+C141*'Stock Statistics'!$C$42+D141*'Stock Statistics'!$C$43+E141*'Stock Statistics'!$C$44+F141*'Stock Statistics'!$C$45+G141*'Stock Statistics'!$C$46+H141*'Stock Statistics'!$C$47+I141*'Stock Statistics'!$C$48+J141*'Stock Statistics'!$C$49+K141*'Stock Statistics'!$C$50,"")</f>
        <v>8.6608596934049454E-4</v>
      </c>
      <c r="M141" s="97">
        <v>482.27249999999998</v>
      </c>
      <c r="N141" s="96">
        <v>572.24069999999995</v>
      </c>
      <c r="O141" s="93">
        <f t="shared" si="6"/>
        <v>-1.4642676761485451E-2</v>
      </c>
      <c r="P141" s="93">
        <f t="shared" si="7"/>
        <v>-7.5772211988072158E-3</v>
      </c>
      <c r="Q141" s="93">
        <f>B141*'Portfolio 2 &amp; 3'!$F$7+C141*'Portfolio 2 &amp; 3'!$F$8+D141*'Portfolio 2 &amp; 3'!$F$9+E141*'Portfolio 2 &amp; 3'!$F$10+F141*'Portfolio 2 &amp; 3'!$F$11+G141*'Portfolio 2 &amp; 3'!$F$12+H141*'Portfolio 2 &amp; 3'!$F$13+I141*'Portfolio 2 &amp; 3'!$F$14+J141*'Portfolio 2 &amp; 3'!$F$15+K141*'Portfolio 2 &amp; 3'!$F$16</f>
        <v>-4.387959915081157E-4</v>
      </c>
      <c r="R141" s="93">
        <f>B141*'Portfolio 2 &amp; 3'!$B$23+C141*'Portfolio 2 &amp; 3'!$B$24+D141*'Portfolio 2 &amp; 3'!$B$25+E141*'Portfolio 2 &amp; 3'!$B$26+F141*'Portfolio 2 &amp; 3'!$B$27+G141*'Portfolio 2 &amp; 3'!$B$28+H141*'Portfolio 2 &amp; 3'!$B$29+I141*'Portfolio 2 &amp; 3'!$B$30+J141*'Portfolio 2 &amp; 3'!$B$31+K141*'Portfolio 2 &amp; 3'!$B$32</f>
        <v>4.8603476245820789E-3</v>
      </c>
      <c r="S141" s="93">
        <f t="shared" si="8"/>
        <v>-1.1109948980146334E-2</v>
      </c>
    </row>
    <row r="142" spans="1:19" ht="12.75" customHeight="1">
      <c r="A142" s="81">
        <v>45875</v>
      </c>
      <c r="B142" s="53">
        <v>-1.95E-2</v>
      </c>
      <c r="C142" s="53">
        <v>-1.0160536476326001E-2</v>
      </c>
      <c r="D142" s="53">
        <v>-2.51795206565331E-3</v>
      </c>
      <c r="E142" s="53">
        <v>-7.7600000000000004E-3</v>
      </c>
      <c r="F142" s="53">
        <v>-2.8690445196563399E-2</v>
      </c>
      <c r="G142" s="53">
        <v>-1.8137746573052501E-2</v>
      </c>
      <c r="H142" s="87">
        <v>3.4260884097936399E-3</v>
      </c>
      <c r="I142" s="53">
        <v>-7.1946946946946904E-3</v>
      </c>
      <c r="J142" s="53">
        <v>2.89231183157335E-3</v>
      </c>
      <c r="K142" s="53">
        <v>-3.2607809570395202E-4</v>
      </c>
      <c r="L142" s="95">
        <f>IFERROR(B142*'Stock Statistics'!$C$41+C142*'Stock Statistics'!$C$42+D142*'Stock Statistics'!$C$43+E142*'Stock Statistics'!$C$44+F142*'Stock Statistics'!$C$45+G142*'Stock Statistics'!$C$46+H142*'Stock Statistics'!$C$47+I142*'Stock Statistics'!$C$48+J142*'Stock Statistics'!$C$49+K142*'Stock Statistics'!$C$50,"")</f>
        <v>-8.7969052860626864E-3</v>
      </c>
      <c r="M142" s="96">
        <v>489.43920000000003</v>
      </c>
      <c r="N142" s="97">
        <v>576.60979999999995</v>
      </c>
      <c r="O142" s="93">
        <f t="shared" si="6"/>
        <v>2.6925485669753169E-3</v>
      </c>
      <c r="P142" s="93">
        <f t="shared" si="7"/>
        <v>1.3376991331783827E-3</v>
      </c>
      <c r="Q142" s="93">
        <f>B142*'Portfolio 2 &amp; 3'!$F$7+C142*'Portfolio 2 &amp; 3'!$F$8+D142*'Portfolio 2 &amp; 3'!$F$9+E142*'Portfolio 2 &amp; 3'!$F$10+F142*'Portfolio 2 &amp; 3'!$F$11+G142*'Portfolio 2 &amp; 3'!$F$12+H142*'Portfolio 2 &amp; 3'!$F$13+I142*'Portfolio 2 &amp; 3'!$F$14+J142*'Portfolio 2 &amp; 3'!$F$15+K142*'Portfolio 2 &amp; 3'!$F$16</f>
        <v>-6.7854890091656218E-3</v>
      </c>
      <c r="R142" s="93">
        <f>B142*'Portfolio 2 &amp; 3'!$B$23+C142*'Portfolio 2 &amp; 3'!$B$24+D142*'Portfolio 2 &amp; 3'!$B$25+E142*'Portfolio 2 &amp; 3'!$B$26+F142*'Portfolio 2 &amp; 3'!$B$27+G142*'Portfolio 2 &amp; 3'!$B$28+H142*'Portfolio 2 &amp; 3'!$B$29+I142*'Portfolio 2 &amp; 3'!$B$30+J142*'Portfolio 2 &amp; 3'!$B$31+K142*'Portfolio 2 &amp; 3'!$B$32</f>
        <v>-1.2662473143985928E-2</v>
      </c>
      <c r="S142" s="93">
        <f t="shared" si="8"/>
        <v>2.0151238500768498E-3</v>
      </c>
    </row>
    <row r="143" spans="1:19" ht="12.75" customHeight="1">
      <c r="A143" s="82">
        <v>45874</v>
      </c>
      <c r="B143" s="53">
        <v>-2.18E-2</v>
      </c>
      <c r="C143" s="53">
        <v>3.77358490566038E-3</v>
      </c>
      <c r="D143" s="53">
        <v>-6.4856851663115398E-3</v>
      </c>
      <c r="E143" s="53">
        <v>4.7579999999999997E-2</v>
      </c>
      <c r="F143" s="53">
        <v>1.4600823903634401E-3</v>
      </c>
      <c r="G143" s="53">
        <v>-6.5323294951284997E-3</v>
      </c>
      <c r="H143" s="87">
        <v>-1.48995719459993E-2</v>
      </c>
      <c r="I143" s="53">
        <v>2.0060180541625599E-3</v>
      </c>
      <c r="J143" s="53">
        <v>-8.7344979330576892E-3</v>
      </c>
      <c r="K143" s="53">
        <v>-4.2986425339366502E-2</v>
      </c>
      <c r="L143" s="95">
        <f>IFERROR(B143*'Stock Statistics'!$C$41+C143*'Stock Statistics'!$C$42+D143*'Stock Statistics'!$C$43+E143*'Stock Statistics'!$C$44+F143*'Stock Statistics'!$C$45+G143*'Stock Statistics'!$C$46+H143*'Stock Statistics'!$C$47+I143*'Stock Statistics'!$C$48+J143*'Stock Statistics'!$C$49+K143*'Stock Statistics'!$C$50,"")</f>
        <v>-4.6618824529677146E-3</v>
      </c>
      <c r="M143" s="97">
        <v>488.12490000000003</v>
      </c>
      <c r="N143" s="96">
        <v>575.83950000000004</v>
      </c>
      <c r="O143" s="93">
        <f t="shared" si="6"/>
        <v>-1.6249694168216089E-2</v>
      </c>
      <c r="P143" s="93">
        <f t="shared" si="7"/>
        <v>-2.6313270923359555E-2</v>
      </c>
      <c r="Q143" s="93">
        <f>B143*'Portfolio 2 &amp; 3'!$F$7+C143*'Portfolio 2 &amp; 3'!$F$8+D143*'Portfolio 2 &amp; 3'!$F$9+E143*'Portfolio 2 &amp; 3'!$F$10+F143*'Portfolio 2 &amp; 3'!$F$11+G143*'Portfolio 2 &amp; 3'!$F$12+H143*'Portfolio 2 &amp; 3'!$F$13+I143*'Portfolio 2 &amp; 3'!$F$14+J143*'Portfolio 2 &amp; 3'!$F$15+K143*'Portfolio 2 &amp; 3'!$F$16</f>
        <v>-5.6228663610734557E-3</v>
      </c>
      <c r="R143" s="93">
        <f>B143*'Portfolio 2 &amp; 3'!$B$23+C143*'Portfolio 2 &amp; 3'!$B$24+D143*'Portfolio 2 &amp; 3'!$B$25+E143*'Portfolio 2 &amp; 3'!$B$26+F143*'Portfolio 2 &amp; 3'!$B$27+G143*'Portfolio 2 &amp; 3'!$B$28+H143*'Portfolio 2 &amp; 3'!$B$29+I143*'Portfolio 2 &amp; 3'!$B$30+J143*'Portfolio 2 &amp; 3'!$B$31+K143*'Portfolio 2 &amp; 3'!$B$32</f>
        <v>-6.6646130250108508E-3</v>
      </c>
      <c r="S143" s="93">
        <f t="shared" si="8"/>
        <v>-2.1281482545787822E-2</v>
      </c>
    </row>
    <row r="144" spans="1:19" ht="12.75" customHeight="1">
      <c r="A144" s="81">
        <v>45873</v>
      </c>
      <c r="B144" s="53">
        <v>1.1900000000000001E-2</v>
      </c>
      <c r="C144" s="53">
        <v>7.1443151663608305E-4</v>
      </c>
      <c r="D144" s="53">
        <v>-1.01797505502569E-2</v>
      </c>
      <c r="E144" s="53">
        <v>-2.945E-2</v>
      </c>
      <c r="F144" s="53">
        <v>1.03261155892735E-2</v>
      </c>
      <c r="G144" s="53">
        <v>-1.7780436082866499E-2</v>
      </c>
      <c r="H144" s="87">
        <v>-8.3265306122448698E-3</v>
      </c>
      <c r="I144" s="53">
        <v>-2.26089087678451E-2</v>
      </c>
      <c r="J144" s="53">
        <v>-1.00983433436737E-2</v>
      </c>
      <c r="K144" s="53">
        <v>-1.2404653671315199E-2</v>
      </c>
      <c r="L144" s="95">
        <f>IFERROR(B144*'Stock Statistics'!$C$41+C144*'Stock Statistics'!$C$42+D144*'Stock Statistics'!$C$43+E144*'Stock Statistics'!$C$44+F144*'Stock Statistics'!$C$45+G144*'Stock Statistics'!$C$46+H144*'Stock Statistics'!$C$47+I144*'Stock Statistics'!$C$48+J144*'Stock Statistics'!$C$49+K144*'Stock Statistics'!$C$50,"")</f>
        <v>-8.7908075922292703E-3</v>
      </c>
      <c r="M144" s="96">
        <v>496.18779999999998</v>
      </c>
      <c r="N144" s="97">
        <v>591.40120000000002</v>
      </c>
      <c r="O144" s="93">
        <f t="shared" si="6"/>
        <v>-3.7065757384338038E-3</v>
      </c>
      <c r="P144" s="93">
        <f t="shared" si="7"/>
        <v>-1.1175995936366312E-2</v>
      </c>
      <c r="Q144" s="93">
        <f>B144*'Portfolio 2 &amp; 3'!$F$7+C144*'Portfolio 2 &amp; 3'!$F$8+D144*'Portfolio 2 &amp; 3'!$F$9+E144*'Portfolio 2 &amp; 3'!$F$10+F144*'Portfolio 2 &amp; 3'!$F$11+G144*'Portfolio 2 &amp; 3'!$F$12+H144*'Portfolio 2 &amp; 3'!$F$13+I144*'Portfolio 2 &amp; 3'!$F$14+J144*'Portfolio 2 &amp; 3'!$F$15+K144*'Portfolio 2 &amp; 3'!$F$16</f>
        <v>-8.2694869989292895E-3</v>
      </c>
      <c r="R144" s="93">
        <f>B144*'Portfolio 2 &amp; 3'!$B$23+C144*'Portfolio 2 &amp; 3'!$B$24+D144*'Portfolio 2 &amp; 3'!$B$25+E144*'Portfolio 2 &amp; 3'!$B$26+F144*'Portfolio 2 &amp; 3'!$B$27+G144*'Portfolio 2 &amp; 3'!$B$28+H144*'Portfolio 2 &amp; 3'!$B$29+I144*'Portfolio 2 &amp; 3'!$B$30+J144*'Portfolio 2 &amp; 3'!$B$31+K144*'Portfolio 2 &amp; 3'!$B$32</f>
        <v>-5.9570818411158197E-3</v>
      </c>
      <c r="S144" s="93">
        <f t="shared" si="8"/>
        <v>-7.4412858374000579E-3</v>
      </c>
    </row>
    <row r="145" spans="1:19" ht="12.75" customHeight="1">
      <c r="A145" s="82">
        <v>45870</v>
      </c>
      <c r="B145" s="53">
        <v>-2.35E-2</v>
      </c>
      <c r="C145" s="53">
        <v>-2.6256683429071299E-2</v>
      </c>
      <c r="D145" s="53">
        <v>9.8166327097613006E-3</v>
      </c>
      <c r="E145" s="53">
        <v>-1.2970000000000001E-2</v>
      </c>
      <c r="F145" s="53">
        <v>-2.1396164157558299E-2</v>
      </c>
      <c r="G145" s="53">
        <v>-1.70234372912158E-2</v>
      </c>
      <c r="H145" s="87">
        <v>3.6047845321973701E-3</v>
      </c>
      <c r="I145" s="53">
        <v>-5.7870370370370896E-3</v>
      </c>
      <c r="J145" s="53">
        <v>8.1847218525419301E-3</v>
      </c>
      <c r="K145" s="53">
        <v>2.0121040635070302E-2</v>
      </c>
      <c r="L145" s="95">
        <f>IFERROR(B145*'Stock Statistics'!$C$41+C145*'Stock Statistics'!$C$42+D145*'Stock Statistics'!$C$43+E145*'Stock Statistics'!$C$44+F145*'Stock Statistics'!$C$45+G145*'Stock Statistics'!$C$46+H145*'Stock Statistics'!$C$47+I145*'Stock Statistics'!$C$48+J145*'Stock Statistics'!$C$49+K145*'Stock Statistics'!$C$50,"")</f>
        <v>-6.5206142185311611E-3</v>
      </c>
      <c r="M145" s="97">
        <v>498.03379999999999</v>
      </c>
      <c r="N145" s="96">
        <v>598.08540000000005</v>
      </c>
      <c r="O145" s="93">
        <f t="shared" si="6"/>
        <v>4.9142622159923377E-3</v>
      </c>
      <c r="P145" s="93">
        <f t="shared" si="7"/>
        <v>2.3528465353794825E-3</v>
      </c>
      <c r="Q145" s="93">
        <f>B145*'Portfolio 2 &amp; 3'!$F$7+C145*'Portfolio 2 &amp; 3'!$F$8+D145*'Portfolio 2 &amp; 3'!$F$9+E145*'Portfolio 2 &amp; 3'!$F$10+F145*'Portfolio 2 &amp; 3'!$F$11+G145*'Portfolio 2 &amp; 3'!$F$12+H145*'Portfolio 2 &amp; 3'!$F$13+I145*'Portfolio 2 &amp; 3'!$F$14+J145*'Portfolio 2 &amp; 3'!$F$15+K145*'Portfolio 2 &amp; 3'!$F$16</f>
        <v>-4.0055104544369433E-3</v>
      </c>
      <c r="R145" s="93">
        <f>B145*'Portfolio 2 &amp; 3'!$B$23+C145*'Portfolio 2 &amp; 3'!$B$24+D145*'Portfolio 2 &amp; 3'!$B$25+E145*'Portfolio 2 &amp; 3'!$B$26+F145*'Portfolio 2 &amp; 3'!$B$27+G145*'Portfolio 2 &amp; 3'!$B$28+H145*'Portfolio 2 &amp; 3'!$B$29+I145*'Portfolio 2 &amp; 3'!$B$30+J145*'Portfolio 2 &amp; 3'!$B$31+K145*'Portfolio 2 &amp; 3'!$B$32</f>
        <v>-1.2565856737803638E-2</v>
      </c>
      <c r="S145" s="93">
        <f t="shared" si="8"/>
        <v>3.6335543756859101E-3</v>
      </c>
    </row>
    <row r="146" spans="1:19" ht="12.75" customHeight="1">
      <c r="A146" s="81">
        <v>45869</v>
      </c>
      <c r="B146" s="53">
        <v>-2.24E-2</v>
      </c>
      <c r="C146" s="53">
        <v>-1.3432426072633201E-2</v>
      </c>
      <c r="D146" s="53">
        <v>-5.2640814177926001E-2</v>
      </c>
      <c r="E146" s="53">
        <v>-8.9999999999999998E-4</v>
      </c>
      <c r="F146" s="53">
        <v>-2.54735467015023E-2</v>
      </c>
      <c r="G146" s="53">
        <v>3.0290033774729198E-3</v>
      </c>
      <c r="H146" s="87">
        <v>-3.9124616232386097E-2</v>
      </c>
      <c r="I146" s="53">
        <v>7.30195741547512E-3</v>
      </c>
      <c r="J146" s="53">
        <v>-3.33204682876624E-2</v>
      </c>
      <c r="K146" s="53">
        <v>-3.5478735501478301E-2</v>
      </c>
      <c r="L146" s="95">
        <f>IFERROR(B146*'Stock Statistics'!$C$41+C146*'Stock Statistics'!$C$42+D146*'Stock Statistics'!$C$43+E146*'Stock Statistics'!$C$44+F146*'Stock Statistics'!$C$45+G146*'Stock Statistics'!$C$46+H146*'Stock Statistics'!$C$47+I146*'Stock Statistics'!$C$48+J146*'Stock Statistics'!$C$49+K146*'Stock Statistics'!$C$50,"")</f>
        <v>-2.1243964618064028E-2</v>
      </c>
      <c r="M146" s="96">
        <v>495.59829999999999</v>
      </c>
      <c r="N146" s="97">
        <v>596.68150000000003</v>
      </c>
      <c r="O146" s="93">
        <f t="shared" si="6"/>
        <v>-1.9926450725426981E-2</v>
      </c>
      <c r="P146" s="93">
        <f t="shared" si="7"/>
        <v>1.1932421780133762E-2</v>
      </c>
      <c r="Q146" s="93">
        <f>B146*'Portfolio 2 &amp; 3'!$F$7+C146*'Portfolio 2 &amp; 3'!$F$8+D146*'Portfolio 2 &amp; 3'!$F$9+E146*'Portfolio 2 &amp; 3'!$F$10+F146*'Portfolio 2 &amp; 3'!$F$11+G146*'Portfolio 2 &amp; 3'!$F$12+H146*'Portfolio 2 &amp; 3'!$F$13+I146*'Portfolio 2 &amp; 3'!$F$14+J146*'Portfolio 2 &amp; 3'!$F$15+K146*'Portfolio 2 &amp; 3'!$F$16</f>
        <v>-2.5763988045367725E-2</v>
      </c>
      <c r="R146" s="93">
        <f>B146*'Portfolio 2 &amp; 3'!$B$23+C146*'Portfolio 2 &amp; 3'!$B$24+D146*'Portfolio 2 &amp; 3'!$B$25+E146*'Portfolio 2 &amp; 3'!$B$26+F146*'Portfolio 2 &amp; 3'!$B$27+G146*'Portfolio 2 &amp; 3'!$B$28+H146*'Portfolio 2 &amp; 3'!$B$29+I146*'Portfolio 2 &amp; 3'!$B$30+J146*'Portfolio 2 &amp; 3'!$B$31+K146*'Portfolio 2 &amp; 3'!$B$32</f>
        <v>-1.3405760036376922E-2</v>
      </c>
      <c r="S146" s="93">
        <f t="shared" si="8"/>
        <v>-3.9970144726466095E-3</v>
      </c>
    </row>
    <row r="147" spans="1:19" ht="12.75" customHeight="1">
      <c r="A147" s="82">
        <v>45868</v>
      </c>
      <c r="B147" s="53">
        <v>1.4E-2</v>
      </c>
      <c r="C147" s="53">
        <v>5.6994103378233997E-3</v>
      </c>
      <c r="D147" s="53">
        <v>-1.5716753022452599E-2</v>
      </c>
      <c r="E147" s="53">
        <v>-3.2989999999999998E-2</v>
      </c>
      <c r="F147" s="53">
        <v>3.01552997939325E-4</v>
      </c>
      <c r="G147" s="53">
        <v>-9.9519651813911904E-3</v>
      </c>
      <c r="H147" s="87">
        <v>-1.68717591517684E-2</v>
      </c>
      <c r="I147" s="53">
        <v>-4.51163063221421E-2</v>
      </c>
      <c r="J147" s="53">
        <v>-3.0781069642171802E-3</v>
      </c>
      <c r="K147" s="53">
        <v>-8.1954887218045301E-3</v>
      </c>
      <c r="L147" s="95">
        <f>IFERROR(B147*'Stock Statistics'!$C$41+C147*'Stock Statistics'!$C$42+D147*'Stock Statistics'!$C$43+E147*'Stock Statistics'!$C$44+F147*'Stock Statistics'!$C$45+G147*'Stock Statistics'!$C$46+H147*'Stock Statistics'!$C$47+I147*'Stock Statistics'!$C$48+J147*'Stock Statistics'!$C$49+K147*'Stock Statistics'!$C$50,"")</f>
        <v>-1.1191941602801327E-2</v>
      </c>
      <c r="M147" s="97">
        <v>505.6746</v>
      </c>
      <c r="N147" s="96">
        <v>589.64559999999994</v>
      </c>
      <c r="O147" s="93">
        <f t="shared" si="6"/>
        <v>-6.4047572358076899E-3</v>
      </c>
      <c r="P147" s="93">
        <f t="shared" si="7"/>
        <v>-7.8493999750561816E-4</v>
      </c>
      <c r="Q147" s="93">
        <f>B147*'Portfolio 2 &amp; 3'!$F$7+C147*'Portfolio 2 &amp; 3'!$F$8+D147*'Portfolio 2 &amp; 3'!$F$9+E147*'Portfolio 2 &amp; 3'!$F$10+F147*'Portfolio 2 &amp; 3'!$F$11+G147*'Portfolio 2 &amp; 3'!$F$12+H147*'Portfolio 2 &amp; 3'!$F$13+I147*'Portfolio 2 &amp; 3'!$F$14+J147*'Portfolio 2 &amp; 3'!$F$15+K147*'Portfolio 2 &amp; 3'!$F$16</f>
        <v>-1.120291510841662E-2</v>
      </c>
      <c r="R147" s="93">
        <f>B147*'Portfolio 2 &amp; 3'!$B$23+C147*'Portfolio 2 &amp; 3'!$B$24+D147*'Portfolio 2 &amp; 3'!$B$25+E147*'Portfolio 2 &amp; 3'!$B$26+F147*'Portfolio 2 &amp; 3'!$B$27+G147*'Portfolio 2 &amp; 3'!$B$28+H147*'Portfolio 2 &amp; 3'!$B$29+I147*'Portfolio 2 &amp; 3'!$B$30+J147*'Portfolio 2 &amp; 3'!$B$31+K147*'Portfolio 2 &amp; 3'!$B$32</f>
        <v>-1.0831795830789621E-2</v>
      </c>
      <c r="S147" s="93">
        <f t="shared" si="8"/>
        <v>-3.594848616656654E-3</v>
      </c>
    </row>
    <row r="148" spans="1:19" ht="12.75" customHeight="1">
      <c r="A148" s="81">
        <v>45867</v>
      </c>
      <c r="B148" s="53">
        <v>5.5199999999999999E-2</v>
      </c>
      <c r="C148" s="53">
        <v>4.6162380631613598E-3</v>
      </c>
      <c r="D148" s="53">
        <v>-8.6348329159768893E-5</v>
      </c>
      <c r="E148" s="53">
        <v>-3.0500000000000002E-3</v>
      </c>
      <c r="F148" s="53">
        <v>1.50494847464544E-2</v>
      </c>
      <c r="G148" s="53">
        <v>4.0078390239863197E-2</v>
      </c>
      <c r="H148" s="87">
        <v>-5.9239883058932498E-3</v>
      </c>
      <c r="I148" s="53">
        <v>-1.5630407198062E-2</v>
      </c>
      <c r="J148" s="53">
        <v>-9.2757306226174396E-3</v>
      </c>
      <c r="K148" s="53">
        <v>-3.9691455103721997E-3</v>
      </c>
      <c r="L148" s="95">
        <f>IFERROR(B148*'Stock Statistics'!$C$41+C148*'Stock Statistics'!$C$42+D148*'Stock Statistics'!$C$43+E148*'Stock Statistics'!$C$44+F148*'Stock Statistics'!$C$45+G148*'Stock Statistics'!$C$46+H148*'Stock Statistics'!$C$47+I148*'Stock Statistics'!$C$48+J148*'Stock Statistics'!$C$49+K148*'Stock Statistics'!$C$50,"")</f>
        <v>7.7008493083374303E-3</v>
      </c>
      <c r="M148" s="96">
        <v>508.93419999999998</v>
      </c>
      <c r="N148" s="97">
        <v>590.10879999999997</v>
      </c>
      <c r="O148" s="93">
        <f t="shared" si="6"/>
        <v>-1.4632710720452469E-3</v>
      </c>
      <c r="P148" s="93">
        <f t="shared" si="7"/>
        <v>2.9968780254325811E-3</v>
      </c>
      <c r="Q148" s="93">
        <f>B148*'Portfolio 2 &amp; 3'!$F$7+C148*'Portfolio 2 &amp; 3'!$F$8+D148*'Portfolio 2 &amp; 3'!$F$9+E148*'Portfolio 2 &amp; 3'!$F$10+F148*'Portfolio 2 &amp; 3'!$F$11+G148*'Portfolio 2 &amp; 3'!$F$12+H148*'Portfolio 2 &amp; 3'!$F$13+I148*'Portfolio 2 &amp; 3'!$F$14+J148*'Portfolio 2 &amp; 3'!$F$15+K148*'Portfolio 2 &amp; 3'!$F$16</f>
        <v>3.6734368909570755E-3</v>
      </c>
      <c r="R148" s="93">
        <f>B148*'Portfolio 2 &amp; 3'!$B$23+C148*'Portfolio 2 &amp; 3'!$B$24+D148*'Portfolio 2 &amp; 3'!$B$25+E148*'Portfolio 2 &amp; 3'!$B$26+F148*'Portfolio 2 &amp; 3'!$B$27+G148*'Portfolio 2 &amp; 3'!$B$28+H148*'Portfolio 2 &amp; 3'!$B$29+I148*'Portfolio 2 &amp; 3'!$B$30+J148*'Portfolio 2 &amp; 3'!$B$31+K148*'Portfolio 2 &amp; 3'!$B$32</f>
        <v>1.0165500200866815E-2</v>
      </c>
      <c r="S148" s="93">
        <f t="shared" si="8"/>
        <v>7.6680347669366711E-4</v>
      </c>
    </row>
    <row r="149" spans="1:19" ht="12.75" customHeight="1">
      <c r="A149" s="82">
        <v>45866</v>
      </c>
      <c r="B149" s="53">
        <v>-2.6200000000000001E-2</v>
      </c>
      <c r="C149" s="53">
        <v>7.0831421217503196E-3</v>
      </c>
      <c r="D149" s="53">
        <v>2.7595385980479201E-2</v>
      </c>
      <c r="E149" s="53">
        <v>-6.9999999999999999E-4</v>
      </c>
      <c r="F149" s="53">
        <v>3.7894305612453699E-3</v>
      </c>
      <c r="G149" s="53">
        <v>5.2999611521171702E-3</v>
      </c>
      <c r="H149" s="87">
        <v>9.6318160633834804E-3</v>
      </c>
      <c r="I149" s="53">
        <v>1.36217480268928E-2</v>
      </c>
      <c r="J149" s="53">
        <v>1.27226463104324E-3</v>
      </c>
      <c r="K149" s="53">
        <v>1.40492102065615E-2</v>
      </c>
      <c r="L149" s="95">
        <f>IFERROR(B149*'Stock Statistics'!$C$41+C149*'Stock Statistics'!$C$42+D149*'Stock Statistics'!$C$43+E149*'Stock Statistics'!$C$44+F149*'Stock Statistics'!$C$45+G149*'Stock Statistics'!$C$46+H149*'Stock Statistics'!$C$47+I149*'Stock Statistics'!$C$48+J149*'Stock Statistics'!$C$49+K149*'Stock Statistics'!$C$50,"")</f>
        <v>5.5442958743473093E-3</v>
      </c>
      <c r="M149" s="97">
        <v>509.68</v>
      </c>
      <c r="N149" s="96">
        <v>588.34559999999999</v>
      </c>
      <c r="O149" s="93">
        <f t="shared" si="6"/>
        <v>1.1537577604866067E-2</v>
      </c>
      <c r="P149" s="93">
        <f t="shared" si="7"/>
        <v>1.0976049818028244E-2</v>
      </c>
      <c r="Q149" s="93">
        <f>B149*'Portfolio 2 &amp; 3'!$F$7+C149*'Portfolio 2 &amp; 3'!$F$8+D149*'Portfolio 2 &amp; 3'!$F$9+E149*'Portfolio 2 &amp; 3'!$F$10+F149*'Portfolio 2 &amp; 3'!$F$11+G149*'Portfolio 2 &amp; 3'!$F$12+H149*'Portfolio 2 &amp; 3'!$F$13+I149*'Portfolio 2 &amp; 3'!$F$14+J149*'Portfolio 2 &amp; 3'!$F$15+K149*'Portfolio 2 &amp; 3'!$F$16</f>
        <v>7.272038335436143E-3</v>
      </c>
      <c r="R149" s="93">
        <f>B149*'Portfolio 2 &amp; 3'!$B$23+C149*'Portfolio 2 &amp; 3'!$B$24+D149*'Portfolio 2 &amp; 3'!$B$25+E149*'Portfolio 2 &amp; 3'!$B$26+F149*'Portfolio 2 &amp; 3'!$B$27+G149*'Portfolio 2 &amp; 3'!$B$28+H149*'Portfolio 2 &amp; 3'!$B$29+I149*'Portfolio 2 &amp; 3'!$B$30+J149*'Portfolio 2 &amp; 3'!$B$31+K149*'Portfolio 2 &amp; 3'!$B$32</f>
        <v>4.2944447854295015E-3</v>
      </c>
      <c r="S149" s="93">
        <f t="shared" si="8"/>
        <v>1.1256813711447156E-2</v>
      </c>
    </row>
    <row r="150" spans="1:19" ht="12.75" customHeight="1">
      <c r="A150" s="81">
        <v>45863</v>
      </c>
      <c r="B150" s="53">
        <v>-2.3099999999999999E-2</v>
      </c>
      <c r="C150" s="53">
        <v>2.6607450086022499E-3</v>
      </c>
      <c r="D150" s="53">
        <v>3.7406483790523E-3</v>
      </c>
      <c r="E150" s="53">
        <v>1.519E-2</v>
      </c>
      <c r="F150" s="53">
        <v>5.30244530244528E-3</v>
      </c>
      <c r="G150" s="53">
        <v>2.3835904429103199E-2</v>
      </c>
      <c r="H150" s="87">
        <v>7.4340715235934303E-3</v>
      </c>
      <c r="I150" s="53">
        <v>4.8760427681824297E-3</v>
      </c>
      <c r="J150" s="53">
        <v>2.5774877650897299E-2</v>
      </c>
      <c r="K150" s="53">
        <v>-4.91196251794757E-3</v>
      </c>
      <c r="L150" s="95">
        <f>IFERROR(B150*'Stock Statistics'!$C$41+C150*'Stock Statistics'!$C$42+D150*'Stock Statistics'!$C$43+E150*'Stock Statistics'!$C$44+F150*'Stock Statistics'!$C$45+G150*'Stock Statistics'!$C$46+H150*'Stock Statistics'!$C$47+I150*'Stock Statistics'!$C$48+J150*'Stock Statistics'!$C$49+K150*'Stock Statistics'!$C$50,"")</f>
        <v>6.0802772543928629E-3</v>
      </c>
      <c r="M150" s="96">
        <v>503.86660000000001</v>
      </c>
      <c r="N150" s="97">
        <v>581.95799999999997</v>
      </c>
      <c r="O150" s="93">
        <f t="shared" si="6"/>
        <v>-2.5998653945128458E-3</v>
      </c>
      <c r="P150" s="93">
        <f t="shared" si="7"/>
        <v>5.7489092799130059E-3</v>
      </c>
      <c r="Q150" s="93">
        <f>B150*'Portfolio 2 &amp; 3'!$F$7+C150*'Portfolio 2 &amp; 3'!$F$8+D150*'Portfolio 2 &amp; 3'!$F$9+E150*'Portfolio 2 &amp; 3'!$F$10+F150*'Portfolio 2 &amp; 3'!$F$11+G150*'Portfolio 2 &amp; 3'!$F$12+H150*'Portfolio 2 &amp; 3'!$F$13+I150*'Portfolio 2 &amp; 3'!$F$14+J150*'Portfolio 2 &amp; 3'!$F$15+K150*'Portfolio 2 &amp; 3'!$F$16</f>
        <v>7.1602240924853238E-3</v>
      </c>
      <c r="R150" s="93">
        <f>B150*'Portfolio 2 &amp; 3'!$B$23+C150*'Portfolio 2 &amp; 3'!$B$24+D150*'Portfolio 2 &amp; 3'!$B$25+E150*'Portfolio 2 &amp; 3'!$B$26+F150*'Portfolio 2 &amp; 3'!$B$27+G150*'Portfolio 2 &amp; 3'!$B$28+H150*'Portfolio 2 &amp; 3'!$B$29+I150*'Portfolio 2 &amp; 3'!$B$30+J150*'Portfolio 2 &amp; 3'!$B$31+K150*'Portfolio 2 &amp; 3'!$B$32</f>
        <v>2.6999958922876138E-3</v>
      </c>
      <c r="S150" s="93">
        <f t="shared" si="8"/>
        <v>1.5745219427000801E-3</v>
      </c>
    </row>
    <row r="151" spans="1:19" ht="12.75" customHeight="1">
      <c r="A151" s="82">
        <v>45862</v>
      </c>
      <c r="B151" s="53">
        <v>-4.4999999999999997E-3</v>
      </c>
      <c r="C151" s="53">
        <v>4.7235231452633598E-3</v>
      </c>
      <c r="D151" s="53">
        <v>7.8089938066601104E-3</v>
      </c>
      <c r="E151" s="53">
        <v>4.3499999999999997E-3</v>
      </c>
      <c r="F151" s="53">
        <v>9.6678621549977101E-3</v>
      </c>
      <c r="G151" s="53">
        <v>-9.5112136646311497E-3</v>
      </c>
      <c r="H151" s="87">
        <v>9.7984986171473203E-3</v>
      </c>
      <c r="I151" s="53">
        <v>1.8834608593290001E-3</v>
      </c>
      <c r="J151" s="53">
        <v>2.9975132737415099E-2</v>
      </c>
      <c r="K151" s="53">
        <v>-3.0218327415576502E-4</v>
      </c>
      <c r="L151" s="95">
        <f>IFERROR(B151*'Stock Statistics'!$C$41+C151*'Stock Statistics'!$C$42+D151*'Stock Statistics'!$C$43+E151*'Stock Statistics'!$C$44+F151*'Stock Statistics'!$C$45+G151*'Stock Statistics'!$C$46+H151*'Stock Statistics'!$C$47+I151*'Stock Statistics'!$C$48+J151*'Stock Statistics'!$C$49+K151*'Stock Statistics'!$C$50,"")</f>
        <v>5.3894074382025686E-3</v>
      </c>
      <c r="M151" s="97">
        <v>505.18</v>
      </c>
      <c r="N151" s="96">
        <v>578.63149999999996</v>
      </c>
      <c r="O151" s="93">
        <f t="shared" si="6"/>
        <v>-2.4198004207696133E-3</v>
      </c>
      <c r="P151" s="93">
        <f t="shared" si="7"/>
        <v>-5.5530291859282599E-3</v>
      </c>
      <c r="Q151" s="93">
        <f>B151*'Portfolio 2 &amp; 3'!$F$7+C151*'Portfolio 2 &amp; 3'!$F$8+D151*'Portfolio 2 &amp; 3'!$F$9+E151*'Portfolio 2 &amp; 3'!$F$10+F151*'Portfolio 2 &amp; 3'!$F$11+G151*'Portfolio 2 &amp; 3'!$F$12+H151*'Portfolio 2 &amp; 3'!$F$13+I151*'Portfolio 2 &amp; 3'!$F$14+J151*'Portfolio 2 &amp; 3'!$F$15+K151*'Portfolio 2 &amp; 3'!$F$16</f>
        <v>8.0923011245547759E-3</v>
      </c>
      <c r="R151" s="93">
        <f>B151*'Portfolio 2 &amp; 3'!$B$23+C151*'Portfolio 2 &amp; 3'!$B$24+D151*'Portfolio 2 &amp; 3'!$B$25+E151*'Portfolio 2 &amp; 3'!$B$26+F151*'Portfolio 2 &amp; 3'!$B$27+G151*'Portfolio 2 &amp; 3'!$B$28+H151*'Portfolio 2 &amp; 3'!$B$29+I151*'Portfolio 2 &amp; 3'!$B$30+J151*'Portfolio 2 &amp; 3'!$B$31+K151*'Portfolio 2 &amp; 3'!$B$32</f>
        <v>2.6374446163938974E-3</v>
      </c>
      <c r="S151" s="93">
        <f t="shared" si="8"/>
        <v>-3.9864148033489366E-3</v>
      </c>
    </row>
    <row r="152" spans="1:19" ht="12.75" customHeight="1">
      <c r="A152" s="81">
        <v>45861</v>
      </c>
      <c r="B152" s="53">
        <v>1.77E-2</v>
      </c>
      <c r="C152" s="53">
        <v>6.6374351341580396E-4</v>
      </c>
      <c r="D152" s="53">
        <v>-2.9532844102382301E-3</v>
      </c>
      <c r="E152" s="53">
        <v>9.8300000000000002E-3</v>
      </c>
      <c r="F152" s="53">
        <v>5.4350666318265803E-3</v>
      </c>
      <c r="G152" s="53">
        <v>1.43285286142429E-2</v>
      </c>
      <c r="H152" s="87">
        <v>1.4510181176847801E-2</v>
      </c>
      <c r="I152" s="53">
        <v>4.1371158392435898E-3</v>
      </c>
      <c r="J152" s="53">
        <v>9.7726501526977892E-3</v>
      </c>
      <c r="K152" s="53">
        <v>-5.1856305426123397E-3</v>
      </c>
      <c r="L152" s="95">
        <f>IFERROR(B152*'Stock Statistics'!$C$41+C152*'Stock Statistics'!$C$42+D152*'Stock Statistics'!$C$43+E152*'Stock Statistics'!$C$44+F152*'Stock Statistics'!$C$45+G152*'Stock Statistics'!$C$46+H152*'Stock Statistics'!$C$47+I152*'Stock Statistics'!$C$48+J152*'Stock Statistics'!$C$49+K152*'Stock Statistics'!$C$50,"")</f>
        <v>6.823837097542391E-3</v>
      </c>
      <c r="M152" s="96">
        <v>506.40539999999999</v>
      </c>
      <c r="N152" s="97">
        <v>581.86260000000004</v>
      </c>
      <c r="O152" s="93">
        <f t="shared" si="6"/>
        <v>4.424259205338954E-3</v>
      </c>
      <c r="P152" s="93">
        <f t="shared" si="7"/>
        <v>-1.0160452045686608E-3</v>
      </c>
      <c r="Q152" s="93">
        <f>B152*'Portfolio 2 &amp; 3'!$F$7+C152*'Portfolio 2 &amp; 3'!$F$8+D152*'Portfolio 2 &amp; 3'!$F$9+E152*'Portfolio 2 &amp; 3'!$F$10+F152*'Portfolio 2 &amp; 3'!$F$11+G152*'Portfolio 2 &amp; 3'!$F$12+H152*'Portfolio 2 &amp; 3'!$F$13+I152*'Portfolio 2 &amp; 3'!$F$14+J152*'Portfolio 2 &amp; 3'!$F$15+K152*'Portfolio 2 &amp; 3'!$F$16</f>
        <v>6.6453663611741641E-3</v>
      </c>
      <c r="R152" s="93">
        <f>B152*'Portfolio 2 &amp; 3'!$B$23+C152*'Portfolio 2 &amp; 3'!$B$24+D152*'Portfolio 2 &amp; 3'!$B$25+E152*'Portfolio 2 &amp; 3'!$B$26+F152*'Portfolio 2 &amp; 3'!$B$27+G152*'Portfolio 2 &amp; 3'!$B$28+H152*'Portfolio 2 &amp; 3'!$B$29+I152*'Portfolio 2 &amp; 3'!$B$30+J152*'Portfolio 2 &amp; 3'!$B$31+K152*'Portfolio 2 &amp; 3'!$B$32</f>
        <v>6.1830057012794842E-3</v>
      </c>
      <c r="S152" s="93">
        <f t="shared" si="8"/>
        <v>1.7041070003851466E-3</v>
      </c>
    </row>
    <row r="153" spans="1:19" ht="12.75" customHeight="1">
      <c r="A153" s="82">
        <v>45860</v>
      </c>
      <c r="B153" s="53">
        <v>1.2999999999999999E-3</v>
      </c>
      <c r="C153" s="53">
        <v>-5.5803348200891296E-3</v>
      </c>
      <c r="D153" s="53">
        <v>1.45269656800435E-2</v>
      </c>
      <c r="E153" s="53">
        <v>1.0359999999999999E-2</v>
      </c>
      <c r="F153" s="53">
        <v>-1.36597938144329E-2</v>
      </c>
      <c r="G153" s="53">
        <v>-5.81725312145287E-3</v>
      </c>
      <c r="H153" s="87">
        <v>5.9677419354837698E-3</v>
      </c>
      <c r="I153" s="53">
        <v>5.6463595839524299E-3</v>
      </c>
      <c r="J153" s="53">
        <v>6.2141491395792999E-3</v>
      </c>
      <c r="K153" s="53">
        <v>6.04869197036151E-3</v>
      </c>
      <c r="L153" s="95">
        <f>IFERROR(B153*'Stock Statistics'!$C$41+C153*'Stock Statistics'!$C$42+D153*'Stock Statistics'!$C$43+E153*'Stock Statistics'!$C$44+F153*'Stock Statistics'!$C$45+G153*'Stock Statistics'!$C$46+H153*'Stock Statistics'!$C$47+I153*'Stock Statistics'!$C$48+J153*'Stock Statistics'!$C$49+K153*'Stock Statistics'!$C$50,"")</f>
        <v>2.5006526553445611E-3</v>
      </c>
      <c r="M153" s="97">
        <v>504.1748</v>
      </c>
      <c r="N153" s="96">
        <v>582.45439999999996</v>
      </c>
      <c r="O153" s="93">
        <f t="shared" si="6"/>
        <v>9.6825829460054358E-3</v>
      </c>
      <c r="P153" s="93">
        <f t="shared" si="7"/>
        <v>-6.363524391463149E-3</v>
      </c>
      <c r="Q153" s="93">
        <f>B153*'Portfolio 2 &amp; 3'!$F$7+C153*'Portfolio 2 &amp; 3'!$F$8+D153*'Portfolio 2 &amp; 3'!$F$9+E153*'Portfolio 2 &amp; 3'!$F$10+F153*'Portfolio 2 &amp; 3'!$F$11+G153*'Portfolio 2 &amp; 3'!$F$12+H153*'Portfolio 2 &amp; 3'!$F$13+I153*'Portfolio 2 &amp; 3'!$F$14+J153*'Portfolio 2 &amp; 3'!$F$15+K153*'Portfolio 2 &amp; 3'!$F$16</f>
        <v>3.3473136745399662E-3</v>
      </c>
      <c r="R153" s="93">
        <f>B153*'Portfolio 2 &amp; 3'!$B$23+C153*'Portfolio 2 &amp; 3'!$B$24+D153*'Portfolio 2 &amp; 3'!$B$25+E153*'Portfolio 2 &amp; 3'!$B$26+F153*'Portfolio 2 &amp; 3'!$B$27+G153*'Portfolio 2 &amp; 3'!$B$28+H153*'Portfolio 2 &amp; 3'!$B$29+I153*'Portfolio 2 &amp; 3'!$B$30+J153*'Portfolio 2 &amp; 3'!$B$31+K153*'Portfolio 2 &amp; 3'!$B$32</f>
        <v>-1.170177108204032E-3</v>
      </c>
      <c r="S153" s="93">
        <f t="shared" si="8"/>
        <v>1.6595292772711434E-3</v>
      </c>
    </row>
    <row r="154" spans="1:19" ht="12.75" customHeight="1">
      <c r="A154" s="81">
        <v>45859</v>
      </c>
      <c r="B154" s="53">
        <v>-1.1999999999999999E-3</v>
      </c>
      <c r="C154" s="53">
        <v>2.4007202160647499E-4</v>
      </c>
      <c r="D154" s="53">
        <v>-3.2586736934562897E-2</v>
      </c>
      <c r="E154" s="53">
        <v>8.1399999999999997E-3</v>
      </c>
      <c r="F154" s="53">
        <v>-5.0771834453049499E-3</v>
      </c>
      <c r="G154" s="53">
        <v>7.3834270460615403E-4</v>
      </c>
      <c r="H154" s="87">
        <v>-1.53259747478758E-2</v>
      </c>
      <c r="I154" s="53">
        <v>2.68176400476761E-3</v>
      </c>
      <c r="J154" s="53">
        <v>-6.4454847683017603E-3</v>
      </c>
      <c r="K154" s="53">
        <v>-1.12141148325359E-2</v>
      </c>
      <c r="L154" s="95">
        <f>IFERROR(B154*'Stock Statistics'!$C$41+C154*'Stock Statistics'!$C$42+D154*'Stock Statistics'!$C$43+E154*'Stock Statistics'!$C$44+F154*'Stock Statistics'!$C$45+G154*'Stock Statistics'!$C$46+H154*'Stock Statistics'!$C$47+I154*'Stock Statistics'!$C$48+J154*'Stock Statistics'!$C$49+K154*'Stock Statistics'!$C$50,"")</f>
        <v>-6.0049315997601068E-3</v>
      </c>
      <c r="M154" s="96">
        <v>499.3399</v>
      </c>
      <c r="N154" s="97">
        <v>586.18460000000005</v>
      </c>
      <c r="O154" s="93">
        <f t="shared" si="6"/>
        <v>-4.7317804031341559E-3</v>
      </c>
      <c r="P154" s="93">
        <f t="shared" si="7"/>
        <v>2.9921159873993464E-3</v>
      </c>
      <c r="Q154" s="93">
        <f>B154*'Portfolio 2 &amp; 3'!$F$7+C154*'Portfolio 2 &amp; 3'!$F$8+D154*'Portfolio 2 &amp; 3'!$F$9+E154*'Portfolio 2 &amp; 3'!$F$10+F154*'Portfolio 2 &amp; 3'!$F$11+G154*'Portfolio 2 &amp; 3'!$F$12+H154*'Portfolio 2 &amp; 3'!$F$13+I154*'Portfolio 2 &amp; 3'!$F$14+J154*'Portfolio 2 &amp; 3'!$F$15+K154*'Portfolio 2 &amp; 3'!$F$16</f>
        <v>-8.3938535989788975E-3</v>
      </c>
      <c r="R154" s="93">
        <f>B154*'Portfolio 2 &amp; 3'!$B$23+C154*'Portfolio 2 &amp; 3'!$B$24+D154*'Portfolio 2 &amp; 3'!$B$25+E154*'Portfolio 2 &amp; 3'!$B$26+F154*'Portfolio 2 &amp; 3'!$B$27+G154*'Portfolio 2 &amp; 3'!$B$28+H154*'Portfolio 2 &amp; 3'!$B$29+I154*'Portfolio 2 &amp; 3'!$B$30+J154*'Portfolio 2 &amp; 3'!$B$31+K154*'Portfolio 2 &amp; 3'!$B$32</f>
        <v>-2.2056807557891719E-3</v>
      </c>
      <c r="S154" s="93">
        <f t="shared" si="8"/>
        <v>-8.6983220786740478E-4</v>
      </c>
    </row>
    <row r="155" spans="1:19" ht="12.75" customHeight="1">
      <c r="A155" s="82">
        <v>45856</v>
      </c>
      <c r="B155" s="53">
        <v>-1.1999999999999999E-3</v>
      </c>
      <c r="C155" s="53">
        <v>-4.0249466993443903E-3</v>
      </c>
      <c r="D155" s="53">
        <v>-8.7757788503728396E-4</v>
      </c>
      <c r="E155" s="53">
        <v>-1.389E-2</v>
      </c>
      <c r="F155" s="53">
        <v>-7.9369117272958308E-3</v>
      </c>
      <c r="G155" s="53">
        <v>4.79369970895394E-3</v>
      </c>
      <c r="H155" s="87">
        <v>1.4314115308151599E-3</v>
      </c>
      <c r="I155" s="53">
        <v>-8.4500384092655E-3</v>
      </c>
      <c r="J155" s="53">
        <v>-5.66686905484715E-3</v>
      </c>
      <c r="K155" s="53">
        <v>-6.4621555373988197E-3</v>
      </c>
      <c r="L155" s="95">
        <f>IFERROR(B155*'Stock Statistics'!$C$41+C155*'Stock Statistics'!$C$42+D155*'Stock Statistics'!$C$43+E155*'Stock Statistics'!$C$44+F155*'Stock Statistics'!$C$45+G155*'Stock Statistics'!$C$46+H155*'Stock Statistics'!$C$47+I155*'Stock Statistics'!$C$48+J155*'Stock Statistics'!$C$49+K155*'Stock Statistics'!$C$50,"")</f>
        <v>-4.2283388073419883E-3</v>
      </c>
      <c r="M155" s="97">
        <v>501.71390000000002</v>
      </c>
      <c r="N155" s="96">
        <v>584.43589999999995</v>
      </c>
      <c r="O155" s="93">
        <f t="shared" si="6"/>
        <v>-3.95014051914655E-3</v>
      </c>
      <c r="P155" s="93">
        <f t="shared" si="7"/>
        <v>1.1892246176690158E-3</v>
      </c>
      <c r="Q155" s="93">
        <f>B155*'Portfolio 2 &amp; 3'!$F$7+C155*'Portfolio 2 &amp; 3'!$F$8+D155*'Portfolio 2 &amp; 3'!$F$9+E155*'Portfolio 2 &amp; 3'!$F$10+F155*'Portfolio 2 &amp; 3'!$F$11+G155*'Portfolio 2 &amp; 3'!$F$12+H155*'Portfolio 2 &amp; 3'!$F$13+I155*'Portfolio 2 &amp; 3'!$F$14+J155*'Portfolio 2 &amp; 3'!$F$15+K155*'Portfolio 2 &amp; 3'!$F$16</f>
        <v>-3.9699113232969574E-3</v>
      </c>
      <c r="R155" s="93">
        <f>B155*'Portfolio 2 &amp; 3'!$B$23+C155*'Portfolio 2 &amp; 3'!$B$24+D155*'Portfolio 2 &amp; 3'!$B$25+E155*'Portfolio 2 &amp; 3'!$B$26+F155*'Portfolio 2 &amp; 3'!$B$27+G155*'Portfolio 2 &amp; 3'!$B$28+H155*'Portfolio 2 &amp; 3'!$B$29+I155*'Portfolio 2 &amp; 3'!$B$30+J155*'Portfolio 2 &amp; 3'!$B$31+K155*'Portfolio 2 &amp; 3'!$B$32</f>
        <v>-4.4946782539517036E-3</v>
      </c>
      <c r="S155" s="93">
        <f t="shared" si="8"/>
        <v>-1.3804579507387671E-3</v>
      </c>
    </row>
    <row r="156" spans="1:19" ht="12.75" customHeight="1">
      <c r="A156" s="81">
        <v>45855</v>
      </c>
      <c r="B156" s="53">
        <v>-3.3999999999999998E-3</v>
      </c>
      <c r="C156" s="53">
        <v>3.2985486385990201E-3</v>
      </c>
      <c r="D156" s="53">
        <v>-1.2736094264425599E-2</v>
      </c>
      <c r="E156" s="53">
        <v>-3.1099999999999999E-3</v>
      </c>
      <c r="F156" s="53">
        <v>1.42945608421923E-2</v>
      </c>
      <c r="G156" s="53">
        <v>1.30365659777425E-2</v>
      </c>
      <c r="H156" s="87">
        <v>-4.4335365370913298E-3</v>
      </c>
      <c r="I156" s="53">
        <v>-7.6759565422768205E-4</v>
      </c>
      <c r="J156" s="53">
        <v>-6.7458175931012194E-5</v>
      </c>
      <c r="K156" s="53">
        <v>-8.6886090862233808E-3</v>
      </c>
      <c r="L156" s="95">
        <f>IFERROR(B156*'Stock Statistics'!$C$41+C156*'Stock Statistics'!$C$42+D156*'Stock Statistics'!$C$43+E156*'Stock Statistics'!$C$44+F156*'Stock Statistics'!$C$45+G156*'Stock Statistics'!$C$46+H156*'Stock Statistics'!$C$47+I156*'Stock Statistics'!$C$48+J156*'Stock Statistics'!$C$49+K156*'Stock Statistics'!$C$50,"")</f>
        <v>-2.5736182593651851E-4</v>
      </c>
      <c r="M156" s="96">
        <v>503.70359999999999</v>
      </c>
      <c r="N156" s="97">
        <v>583.74170000000004</v>
      </c>
      <c r="O156" s="93">
        <f t="shared" si="6"/>
        <v>-4.5709962874735943E-3</v>
      </c>
      <c r="P156" s="93">
        <f t="shared" si="7"/>
        <v>1.0253767240106626E-2</v>
      </c>
      <c r="Q156" s="93">
        <f>B156*'Portfolio 2 &amp; 3'!$F$7+C156*'Portfolio 2 &amp; 3'!$F$8+D156*'Portfolio 2 &amp; 3'!$F$9+E156*'Portfolio 2 &amp; 3'!$F$10+F156*'Portfolio 2 &amp; 3'!$F$11+G156*'Portfolio 2 &amp; 3'!$F$12+H156*'Portfolio 2 &amp; 3'!$F$13+I156*'Portfolio 2 &amp; 3'!$F$14+J156*'Portfolio 2 &amp; 3'!$F$15+K156*'Portfolio 2 &amp; 3'!$F$16</f>
        <v>-1.1322630756771452E-3</v>
      </c>
      <c r="R156" s="93">
        <f>B156*'Portfolio 2 &amp; 3'!$B$23+C156*'Portfolio 2 &amp; 3'!$B$24+D156*'Portfolio 2 &amp; 3'!$B$25+E156*'Portfolio 2 &amp; 3'!$B$26+F156*'Portfolio 2 &amp; 3'!$B$27+G156*'Portfolio 2 &amp; 3'!$B$28+H156*'Portfolio 2 &amp; 3'!$B$29+I156*'Portfolio 2 &amp; 3'!$B$30+J156*'Portfolio 2 &amp; 3'!$B$31+K156*'Portfolio 2 &amp; 3'!$B$32</f>
        <v>2.5830945783068553E-3</v>
      </c>
      <c r="S156" s="93">
        <f t="shared" si="8"/>
        <v>2.8413854763165158E-3</v>
      </c>
    </row>
    <row r="157" spans="1:19" ht="12.75" customHeight="1">
      <c r="A157" s="82">
        <v>45854</v>
      </c>
      <c r="B157" s="53">
        <v>1E-4</v>
      </c>
      <c r="C157" s="53">
        <v>1.3986864509851499E-2</v>
      </c>
      <c r="D157" s="53">
        <v>1.1275912915256201E-3</v>
      </c>
      <c r="E157" s="53">
        <v>-8.8699999999999994E-3</v>
      </c>
      <c r="F157" s="53">
        <v>1.2917893866584199E-3</v>
      </c>
      <c r="G157" s="53">
        <v>5.7855564600535203E-3</v>
      </c>
      <c r="H157" s="87">
        <v>2.9379069398125499E-3</v>
      </c>
      <c r="I157" s="53">
        <v>-5.7531994833862603E-3</v>
      </c>
      <c r="J157" s="53">
        <v>4.47215069792661E-3</v>
      </c>
      <c r="K157" s="53">
        <v>-5.9288537549406798E-3</v>
      </c>
      <c r="L157" s="95">
        <f>IFERROR(B157*'Stock Statistics'!$C$41+C157*'Stock Statistics'!$C$42+D157*'Stock Statistics'!$C$43+E157*'Stock Statistics'!$C$44+F157*'Stock Statistics'!$C$45+G157*'Stock Statistics'!$C$46+H157*'Stock Statistics'!$C$47+I157*'Stock Statistics'!$C$48+J157*'Stock Statistics'!$C$49+K157*'Stock Statistics'!$C$50,"")</f>
        <v>9.1498060475012782E-4</v>
      </c>
      <c r="M157" s="97">
        <v>506.01659999999998</v>
      </c>
      <c r="N157" s="96">
        <v>577.81690000000003</v>
      </c>
      <c r="O157" s="93">
        <f t="shared" si="6"/>
        <v>2.5101555305839796E-3</v>
      </c>
      <c r="P157" s="93">
        <f t="shared" si="7"/>
        <v>6.0474252694728836E-3</v>
      </c>
      <c r="Q157" s="93">
        <f>B157*'Portfolio 2 &amp; 3'!$F$7+C157*'Portfolio 2 &amp; 3'!$F$8+D157*'Portfolio 2 &amp; 3'!$F$9+E157*'Portfolio 2 &amp; 3'!$F$10+F157*'Portfolio 2 &amp; 3'!$F$11+G157*'Portfolio 2 &amp; 3'!$F$12+H157*'Portfolio 2 &amp; 3'!$F$13+I157*'Portfolio 2 &amp; 3'!$F$14+J157*'Portfolio 2 &amp; 3'!$F$15+K157*'Portfolio 2 &amp; 3'!$F$16</f>
        <v>1.4928635201721422E-3</v>
      </c>
      <c r="R157" s="93">
        <f>B157*'Portfolio 2 &amp; 3'!$B$23+C157*'Portfolio 2 &amp; 3'!$B$24+D157*'Portfolio 2 &amp; 3'!$B$25+E157*'Portfolio 2 &amp; 3'!$B$26+F157*'Portfolio 2 &amp; 3'!$B$27+G157*'Portfolio 2 &amp; 3'!$B$28+H157*'Portfolio 2 &amp; 3'!$B$29+I157*'Portfolio 2 &amp; 3'!$B$30+J157*'Portfolio 2 &amp; 3'!$B$31+K157*'Portfolio 2 &amp; 3'!$B$32</f>
        <v>1.8074744663924341E-3</v>
      </c>
      <c r="S157" s="93">
        <f t="shared" si="8"/>
        <v>4.2787904000284316E-3</v>
      </c>
    </row>
    <row r="158" spans="1:19" ht="12.75" customHeight="1">
      <c r="A158" s="81">
        <v>45853</v>
      </c>
      <c r="B158" s="53">
        <v>-5.9999999999999995E-4</v>
      </c>
      <c r="C158" s="53">
        <v>1.9108806577561099E-2</v>
      </c>
      <c r="D158" s="53">
        <v>7.8125000000017796E-4</v>
      </c>
      <c r="E158" s="53">
        <v>9.1299999999999992E-3</v>
      </c>
      <c r="F158" s="53">
        <v>-8.2606226444326104E-4</v>
      </c>
      <c r="G158" s="53">
        <v>1.01911950424387E-2</v>
      </c>
      <c r="H158" s="87">
        <v>-1.18962645729237E-3</v>
      </c>
      <c r="I158" s="53">
        <v>1.41093474426812E-3</v>
      </c>
      <c r="J158" s="53">
        <v>-1.01281105372595E-2</v>
      </c>
      <c r="K158" s="53">
        <v>6.0382916053018897E-3</v>
      </c>
      <c r="L158" s="95">
        <f>IFERROR(B158*'Stock Statistics'!$C$41+C158*'Stock Statistics'!$C$42+D158*'Stock Statistics'!$C$43+E158*'Stock Statistics'!$C$44+F158*'Stock Statistics'!$C$45+G158*'Stock Statistics'!$C$46+H158*'Stock Statistics'!$C$47+I158*'Stock Statistics'!$C$48+J158*'Stock Statistics'!$C$49+K158*'Stock Statistics'!$C$50,"")</f>
        <v>3.3916678710574862E-3</v>
      </c>
      <c r="M158" s="96">
        <v>504.74959999999999</v>
      </c>
      <c r="N158" s="97">
        <v>574.34360000000004</v>
      </c>
      <c r="O158" s="93">
        <f t="shared" si="6"/>
        <v>2.1036748793901161E-3</v>
      </c>
      <c r="P158" s="93">
        <f t="shared" si="7"/>
        <v>1.4133450036877271E-3</v>
      </c>
      <c r="Q158" s="93">
        <f>B158*'Portfolio 2 &amp; 3'!$F$7+C158*'Portfolio 2 &amp; 3'!$F$8+D158*'Portfolio 2 &amp; 3'!$F$9+E158*'Portfolio 2 &amp; 3'!$F$10+F158*'Portfolio 2 &amp; 3'!$F$11+G158*'Portfolio 2 &amp; 3'!$F$12+H158*'Portfolio 2 &amp; 3'!$F$13+I158*'Portfolio 2 &amp; 3'!$F$14+J158*'Portfolio 2 &amp; 3'!$F$15+K158*'Portfolio 2 &amp; 3'!$F$16</f>
        <v>1.979529770757276E-3</v>
      </c>
      <c r="R158" s="93">
        <f>B158*'Portfolio 2 &amp; 3'!$B$23+C158*'Portfolio 2 &amp; 3'!$B$24+D158*'Portfolio 2 &amp; 3'!$B$25+E158*'Portfolio 2 &amp; 3'!$B$26+F158*'Portfolio 2 &amp; 3'!$B$27+G158*'Portfolio 2 &amp; 3'!$B$28+H158*'Portfolio 2 &amp; 3'!$B$29+I158*'Portfolio 2 &amp; 3'!$B$30+J158*'Portfolio 2 &amp; 3'!$B$31+K158*'Portfolio 2 &amp; 3'!$B$32</f>
        <v>5.0375655166018263E-3</v>
      </c>
      <c r="S158" s="93">
        <f t="shared" si="8"/>
        <v>1.7585099415389216E-3</v>
      </c>
    </row>
    <row r="159" spans="1:19" ht="12.75" customHeight="1">
      <c r="A159" s="82">
        <v>45852</v>
      </c>
      <c r="B159" s="53">
        <v>-3.5999999999999999E-3</v>
      </c>
      <c r="C159" s="53">
        <v>7.0734599621362602E-3</v>
      </c>
      <c r="D159" s="53">
        <v>1.17688389249957E-2</v>
      </c>
      <c r="E159" s="53">
        <v>-1.021E-2</v>
      </c>
      <c r="F159" s="53">
        <v>-1.13821968150265E-2</v>
      </c>
      <c r="G159" s="53">
        <v>2.7367087079838402E-2</v>
      </c>
      <c r="H159" s="87">
        <v>8.2360466975852607E-3</v>
      </c>
      <c r="I159" s="53">
        <v>-1.5340086830680199E-2</v>
      </c>
      <c r="J159" s="53">
        <v>4.6495956873315904E-3</v>
      </c>
      <c r="K159" s="53">
        <v>1.69654053256618E-3</v>
      </c>
      <c r="L159" s="95">
        <f>IFERROR(B159*'Stock Statistics'!$C$41+C159*'Stock Statistics'!$C$42+D159*'Stock Statistics'!$C$43+E159*'Stock Statistics'!$C$44+F159*'Stock Statistics'!$C$45+G159*'Stock Statistics'!$C$46+H159*'Stock Statistics'!$C$47+I159*'Stock Statistics'!$C$48+J159*'Stock Statistics'!$C$49+K159*'Stock Statistics'!$C$50,"")</f>
        <v>2.0259285238746691E-3</v>
      </c>
      <c r="M159" s="97">
        <v>503.69</v>
      </c>
      <c r="N159" s="96">
        <v>573.53300000000002</v>
      </c>
      <c r="O159" s="93">
        <f t="shared" si="6"/>
        <v>9.178355830089302E-3</v>
      </c>
      <c r="P159" s="93">
        <f t="shared" si="7"/>
        <v>-8.2350660639987083E-3</v>
      </c>
      <c r="Q159" s="93">
        <f>B159*'Portfolio 2 &amp; 3'!$F$7+C159*'Portfolio 2 &amp; 3'!$F$8+D159*'Portfolio 2 &amp; 3'!$F$9+E159*'Portfolio 2 &amp; 3'!$F$10+F159*'Portfolio 2 &amp; 3'!$F$11+G159*'Portfolio 2 &amp; 3'!$F$12+H159*'Portfolio 2 &amp; 3'!$F$13+I159*'Portfolio 2 &amp; 3'!$F$14+J159*'Portfolio 2 &amp; 3'!$F$15+K159*'Portfolio 2 &amp; 3'!$F$16</f>
        <v>2.4486886195865358E-3</v>
      </c>
      <c r="R159" s="93">
        <f>B159*'Portfolio 2 &amp; 3'!$B$23+C159*'Portfolio 2 &amp; 3'!$B$24+D159*'Portfolio 2 &amp; 3'!$B$25+E159*'Portfolio 2 &amp; 3'!$B$26+F159*'Portfolio 2 &amp; 3'!$B$27+G159*'Portfolio 2 &amp; 3'!$B$28+H159*'Portfolio 2 &amp; 3'!$B$29+I159*'Portfolio 2 &amp; 3'!$B$30+J159*'Portfolio 2 &amp; 3'!$B$31+K159*'Portfolio 2 &amp; 3'!$B$32</f>
        <v>-1.1611244193022888E-3</v>
      </c>
      <c r="S159" s="93">
        <f t="shared" si="8"/>
        <v>4.7164488304529684E-4</v>
      </c>
    </row>
    <row r="160" spans="1:19" ht="12.75" customHeight="1">
      <c r="A160" s="81">
        <v>45849</v>
      </c>
      <c r="B160" s="53">
        <v>-3.8999999999999998E-3</v>
      </c>
      <c r="C160" s="53">
        <v>1.56144354293442E-2</v>
      </c>
      <c r="D160" s="53">
        <v>1.2268847795163599E-2</v>
      </c>
      <c r="E160" s="53">
        <v>1.0200000000000001E-2</v>
      </c>
      <c r="F160" s="53">
        <v>6.8348836014182597E-3</v>
      </c>
      <c r="G160" s="53">
        <v>-7.5462657962509496E-3</v>
      </c>
      <c r="H160" s="87">
        <v>-2.7113237639553298E-3</v>
      </c>
      <c r="I160" s="53">
        <v>2.6684892428384701E-2</v>
      </c>
      <c r="J160" s="53">
        <v>-6.7340067340071496E-4</v>
      </c>
      <c r="K160" s="53">
        <v>-8.2662765179224405E-3</v>
      </c>
      <c r="L160" s="95">
        <f>IFERROR(B160*'Stock Statistics'!$C$41+C160*'Stock Statistics'!$C$42+D160*'Stock Statistics'!$C$43+E160*'Stock Statistics'!$C$44+F160*'Stock Statistics'!$C$45+G160*'Stock Statistics'!$C$46+H160*'Stock Statistics'!$C$47+I160*'Stock Statistics'!$C$48+J160*'Stock Statistics'!$C$49+K160*'Stock Statistics'!$C$50,"")</f>
        <v>4.8505792502781331E-3</v>
      </c>
      <c r="M160" s="96">
        <v>499.10899999999998</v>
      </c>
      <c r="N160" s="97">
        <v>578.2953</v>
      </c>
      <c r="O160" s="93">
        <f t="shared" si="6"/>
        <v>7.7289457903695347E-3</v>
      </c>
      <c r="P160" s="93">
        <f t="shared" si="7"/>
        <v>2.8154667551745227E-3</v>
      </c>
      <c r="Q160" s="93">
        <f>B160*'Portfolio 2 &amp; 3'!$F$7+C160*'Portfolio 2 &amp; 3'!$F$8+D160*'Portfolio 2 &amp; 3'!$F$9+E160*'Portfolio 2 &amp; 3'!$F$10+F160*'Portfolio 2 &amp; 3'!$F$11+G160*'Portfolio 2 &amp; 3'!$F$12+H160*'Portfolio 2 &amp; 3'!$F$13+I160*'Portfolio 2 &amp; 3'!$F$14+J160*'Portfolio 2 &amp; 3'!$F$15+K160*'Portfolio 2 &amp; 3'!$F$16</f>
        <v>4.9956472054360082E-3</v>
      </c>
      <c r="R160" s="93">
        <f>B160*'Portfolio 2 &amp; 3'!$B$23+C160*'Portfolio 2 &amp; 3'!$B$24+D160*'Portfolio 2 &amp; 3'!$B$25+E160*'Portfolio 2 &amp; 3'!$B$26+F160*'Portfolio 2 &amp; 3'!$B$27+G160*'Portfolio 2 &amp; 3'!$B$28+H160*'Portfolio 2 &amp; 3'!$B$29+I160*'Portfolio 2 &amp; 3'!$B$30+J160*'Portfolio 2 &amp; 3'!$B$31+K160*'Portfolio 2 &amp; 3'!$B$32</f>
        <v>8.7498968422655421E-3</v>
      </c>
      <c r="S160" s="93">
        <f t="shared" si="8"/>
        <v>5.2722062727720287E-3</v>
      </c>
    </row>
    <row r="161" spans="1:19" ht="12.75" customHeight="1">
      <c r="A161" s="82">
        <v>45848</v>
      </c>
      <c r="B161" s="53">
        <v>4.7999999999999996E-3</v>
      </c>
      <c r="C161" s="53">
        <v>-1.5108003496066801E-2</v>
      </c>
      <c r="D161" s="53">
        <v>-4.5136737764405197E-3</v>
      </c>
      <c r="E161" s="53">
        <v>1.6570000000000001E-2</v>
      </c>
      <c r="F161" s="53">
        <v>-5.6211354693648198E-3</v>
      </c>
      <c r="G161" s="53">
        <v>-4.26394728210622E-3</v>
      </c>
      <c r="H161" s="87">
        <v>-5.5790228739938097E-4</v>
      </c>
      <c r="I161" s="53">
        <v>6.3397129186601999E-3</v>
      </c>
      <c r="J161" s="53">
        <v>0</v>
      </c>
      <c r="K161" s="53">
        <v>0</v>
      </c>
      <c r="L161" s="95">
        <f>IFERROR(B161*'Stock Statistics'!$C$41+C161*'Stock Statistics'!$C$42+D161*'Stock Statistics'!$C$43+E161*'Stock Statistics'!$C$44+F161*'Stock Statistics'!$C$45+G161*'Stock Statistics'!$C$46+H161*'Stock Statistics'!$C$47+I161*'Stock Statistics'!$C$48+J161*'Stock Statistics'!$C$49+K161*'Stock Statistics'!$C$50,"")</f>
        <v>-2.3549493927175385E-4</v>
      </c>
      <c r="M161" s="97">
        <v>495.28100000000001</v>
      </c>
      <c r="N161" s="96">
        <v>576.67169999999999</v>
      </c>
      <c r="O161" s="93">
        <f t="shared" si="6"/>
        <v>-1.5806708383192536E-4</v>
      </c>
      <c r="P161" s="93">
        <f t="shared" si="7"/>
        <v>-8.3615030723903638E-3</v>
      </c>
      <c r="Q161" s="93">
        <f>B161*'Portfolio 2 &amp; 3'!$F$7+C161*'Portfolio 2 &amp; 3'!$F$8+D161*'Portfolio 2 &amp; 3'!$F$9+E161*'Portfolio 2 &amp; 3'!$F$10+F161*'Portfolio 2 &amp; 3'!$F$11+G161*'Portfolio 2 &amp; 3'!$F$12+H161*'Portfolio 2 &amp; 3'!$F$13+I161*'Portfolio 2 &amp; 3'!$F$14+J161*'Portfolio 2 &amp; 3'!$F$15+K161*'Portfolio 2 &amp; 3'!$F$16</f>
        <v>-9.0685508142702206E-4</v>
      </c>
      <c r="R161" s="93">
        <f>B161*'Portfolio 2 &amp; 3'!$B$23+C161*'Portfolio 2 &amp; 3'!$B$24+D161*'Portfolio 2 &amp; 3'!$B$25+E161*'Portfolio 2 &amp; 3'!$B$26+F161*'Portfolio 2 &amp; 3'!$B$27+G161*'Portfolio 2 &amp; 3'!$B$28+H161*'Portfolio 2 &amp; 3'!$B$29+I161*'Portfolio 2 &amp; 3'!$B$30+J161*'Portfolio 2 &amp; 3'!$B$31+K161*'Portfolio 2 &amp; 3'!$B$32</f>
        <v>-2.0734729271112791E-3</v>
      </c>
      <c r="S161" s="93">
        <f t="shared" si="8"/>
        <v>-4.2597850781111446E-3</v>
      </c>
    </row>
    <row r="162" spans="1:19" ht="12.75" customHeight="1">
      <c r="A162" s="81">
        <v>45847</v>
      </c>
      <c r="B162" s="53">
        <v>6.7000000000000002E-3</v>
      </c>
      <c r="C162" s="53">
        <v>9.3732425170278699E-4</v>
      </c>
      <c r="D162" s="53">
        <v>-1.11150008751968E-2</v>
      </c>
      <c r="E162" s="53">
        <v>-1.6000000000000001E-4</v>
      </c>
      <c r="F162" s="53">
        <v>-4.8311635475997202E-3</v>
      </c>
      <c r="G162" s="53">
        <v>9.4209005538163897E-3</v>
      </c>
      <c r="H162" s="87">
        <v>-6.2569301441469704E-3</v>
      </c>
      <c r="I162" s="53">
        <v>0</v>
      </c>
      <c r="J162" s="53">
        <v>4.8721071863582202E-3</v>
      </c>
      <c r="K162" s="53">
        <v>-1.38797574695015E-3</v>
      </c>
      <c r="L162" s="95">
        <f>IFERROR(B162*'Stock Statistics'!$C$41+C162*'Stock Statistics'!$C$42+D162*'Stock Statistics'!$C$43+E162*'Stock Statistics'!$C$44+F162*'Stock Statistics'!$C$45+G162*'Stock Statistics'!$C$46+H162*'Stock Statistics'!$C$47+I162*'Stock Statistics'!$C$48+J162*'Stock Statistics'!$C$49+K162*'Stock Statistics'!$C$50,"")</f>
        <v>-1.8207383220162466E-4</v>
      </c>
      <c r="M162" s="96">
        <v>495.35930000000002</v>
      </c>
      <c r="N162" s="97">
        <v>581.53420000000006</v>
      </c>
      <c r="O162" s="93">
        <f t="shared" si="6"/>
        <v>-4.8687891850041076E-3</v>
      </c>
      <c r="P162" s="93">
        <f t="shared" si="7"/>
        <v>-8.8463327234744593E-4</v>
      </c>
      <c r="Q162" s="93">
        <f>B162*'Portfolio 2 &amp; 3'!$F$7+C162*'Portfolio 2 &amp; 3'!$F$8+D162*'Portfolio 2 &amp; 3'!$F$9+E162*'Portfolio 2 &amp; 3'!$F$10+F162*'Portfolio 2 &amp; 3'!$F$11+G162*'Portfolio 2 &amp; 3'!$F$12+H162*'Portfolio 2 &amp; 3'!$F$13+I162*'Portfolio 2 &amp; 3'!$F$14+J162*'Portfolio 2 &amp; 3'!$F$15+K162*'Portfolio 2 &amp; 3'!$F$16</f>
        <v>-1.3645135314039735E-3</v>
      </c>
      <c r="R162" s="93">
        <f>B162*'Portfolio 2 &amp; 3'!$B$23+C162*'Portfolio 2 &amp; 3'!$B$24+D162*'Portfolio 2 &amp; 3'!$B$25+E162*'Portfolio 2 &amp; 3'!$B$26+F162*'Portfolio 2 &amp; 3'!$B$27+G162*'Portfolio 2 &amp; 3'!$B$28+H162*'Portfolio 2 &amp; 3'!$B$29+I162*'Portfolio 2 &amp; 3'!$B$30+J162*'Portfolio 2 &amp; 3'!$B$31+K162*'Portfolio 2 &amp; 3'!$B$32</f>
        <v>1.0298328388757157E-3</v>
      </c>
      <c r="S162" s="93">
        <f t="shared" si="8"/>
        <v>-2.8767112286757768E-3</v>
      </c>
    </row>
    <row r="163" spans="1:19" ht="12.75" customHeight="1">
      <c r="A163" s="82">
        <v>45846</v>
      </c>
      <c r="B163" s="53">
        <v>-9.4000000000000004E-3</v>
      </c>
      <c r="C163" s="53">
        <v>-1.5664404486088801E-2</v>
      </c>
      <c r="D163" s="53">
        <v>-4.4436699485929099E-3</v>
      </c>
      <c r="E163" s="53">
        <v>-1.307E-2</v>
      </c>
      <c r="F163" s="53">
        <v>-1.56187424909891E-2</v>
      </c>
      <c r="G163" s="53">
        <v>-8.9192494705128099E-3</v>
      </c>
      <c r="H163" s="87">
        <v>-5.3568615093745296E-3</v>
      </c>
      <c r="I163" s="53">
        <v>5.7142857142857802E-3</v>
      </c>
      <c r="J163" s="53">
        <v>-9.3182275256419294E-3</v>
      </c>
      <c r="K163" s="53">
        <v>-1.9904059568984001E-2</v>
      </c>
      <c r="L163" s="95">
        <f>IFERROR(B163*'Stock Statistics'!$C$41+C163*'Stock Statistics'!$C$42+D163*'Stock Statistics'!$C$43+E163*'Stock Statistics'!$C$44+F163*'Stock Statistics'!$C$45+G163*'Stock Statistics'!$C$46+H163*'Stock Statistics'!$C$47+I163*'Stock Statistics'!$C$48+J163*'Stock Statistics'!$C$49+K163*'Stock Statistics'!$C$50,"")</f>
        <v>-9.5980929285898308E-3</v>
      </c>
      <c r="M163" s="97">
        <v>497.78289999999998</v>
      </c>
      <c r="N163" s="96">
        <v>582.04909999999995</v>
      </c>
      <c r="O163" s="93">
        <f t="shared" si="6"/>
        <v>1.5049245032894287E-3</v>
      </c>
      <c r="P163" s="93">
        <f t="shared" si="7"/>
        <v>5.5865815618274528E-3</v>
      </c>
      <c r="Q163" s="93">
        <f>B163*'Portfolio 2 &amp; 3'!$F$7+C163*'Portfolio 2 &amp; 3'!$F$8+D163*'Portfolio 2 &amp; 3'!$F$9+E163*'Portfolio 2 &amp; 3'!$F$10+F163*'Portfolio 2 &amp; 3'!$F$11+G163*'Portfolio 2 &amp; 3'!$F$12+H163*'Portfolio 2 &amp; 3'!$F$13+I163*'Portfolio 2 &amp; 3'!$F$14+J163*'Portfolio 2 &amp; 3'!$F$15+K163*'Portfolio 2 &amp; 3'!$F$16</f>
        <v>-9.0996883272315421E-3</v>
      </c>
      <c r="R163" s="93">
        <f>B163*'Portfolio 2 &amp; 3'!$B$23+C163*'Portfolio 2 &amp; 3'!$B$24+D163*'Portfolio 2 &amp; 3'!$B$25+E163*'Portfolio 2 &amp; 3'!$B$26+F163*'Portfolio 2 &amp; 3'!$B$27+G163*'Portfolio 2 &amp; 3'!$B$28+H163*'Portfolio 2 &amp; 3'!$B$29+I163*'Portfolio 2 &amp; 3'!$B$30+J163*'Portfolio 2 &amp; 3'!$B$31+K163*'Portfolio 2 &amp; 3'!$B$32</f>
        <v>-8.4666184489793073E-3</v>
      </c>
      <c r="S163" s="93">
        <f t="shared" si="8"/>
        <v>3.5457530325584408E-3</v>
      </c>
    </row>
    <row r="164" spans="1:19" ht="12.75" customHeight="1">
      <c r="A164" s="81">
        <v>45845</v>
      </c>
      <c r="B164" s="53">
        <v>-7.1999999999999998E-3</v>
      </c>
      <c r="C164" s="53">
        <v>-1.84188445244871E-3</v>
      </c>
      <c r="D164" s="53">
        <v>-3.1558518268500403E-2</v>
      </c>
      <c r="E164" s="53">
        <v>-9.9299999999999996E-3</v>
      </c>
      <c r="F164" s="53">
        <v>-2.19780219780219E-3</v>
      </c>
      <c r="G164" s="53">
        <v>-4.6615201900237499E-3</v>
      </c>
      <c r="H164" s="87">
        <v>-1.1216700420626301E-2</v>
      </c>
      <c r="I164" s="53">
        <v>-4.1332215167126903E-3</v>
      </c>
      <c r="J164" s="53">
        <v>2.2844856547739102E-3</v>
      </c>
      <c r="K164" s="53">
        <v>6.5580859037186502E-3</v>
      </c>
      <c r="L164" s="95">
        <f>IFERROR(B164*'Stock Statistics'!$C$41+C164*'Stock Statistics'!$C$42+D164*'Stock Statistics'!$C$43+E164*'Stock Statistics'!$C$44+F164*'Stock Statistics'!$C$45+G164*'Stock Statistics'!$C$46+H164*'Stock Statistics'!$C$47+I164*'Stock Statistics'!$C$48+J164*'Stock Statistics'!$C$49+K164*'Stock Statistics'!$C$50,"")</f>
        <v>-6.38970754876215E-3</v>
      </c>
      <c r="M164" s="96">
        <v>497.03489999999999</v>
      </c>
      <c r="N164" s="97">
        <v>578.81550000000004</v>
      </c>
      <c r="O164" s="93">
        <f t="shared" si="6"/>
        <v>-6.4037479737156788E-3</v>
      </c>
      <c r="P164" s="93">
        <f t="shared" si="7"/>
        <v>5.3880966835067046E-3</v>
      </c>
      <c r="Q164" s="93">
        <f>B164*'Portfolio 2 &amp; 3'!$F$7+C164*'Portfolio 2 &amp; 3'!$F$8+D164*'Portfolio 2 &amp; 3'!$F$9+E164*'Portfolio 2 &amp; 3'!$F$10+F164*'Portfolio 2 &amp; 3'!$F$11+G164*'Portfolio 2 &amp; 3'!$F$12+H164*'Portfolio 2 &amp; 3'!$F$13+I164*'Portfolio 2 &amp; 3'!$F$14+J164*'Portfolio 2 &amp; 3'!$F$15+K164*'Portfolio 2 &amp; 3'!$F$16</f>
        <v>-7.4064673475576406E-3</v>
      </c>
      <c r="R164" s="93">
        <f>B164*'Portfolio 2 &amp; 3'!$B$23+C164*'Portfolio 2 &amp; 3'!$B$24+D164*'Portfolio 2 &amp; 3'!$B$25+E164*'Portfolio 2 &amp; 3'!$B$26+F164*'Portfolio 2 &amp; 3'!$B$27+G164*'Portfolio 2 &amp; 3'!$B$28+H164*'Portfolio 2 &amp; 3'!$B$29+I164*'Portfolio 2 &amp; 3'!$B$30+J164*'Portfolio 2 &amp; 3'!$B$31+K164*'Portfolio 2 &amp; 3'!$B$32</f>
        <v>-3.2798080192369943E-3</v>
      </c>
      <c r="S164" s="93">
        <f t="shared" si="8"/>
        <v>-5.0782564510448713E-4</v>
      </c>
    </row>
    <row r="165" spans="1:19" ht="12.75" customHeight="1">
      <c r="A165" s="82">
        <v>45842</v>
      </c>
      <c r="B165" s="53">
        <v>-1.9300000000000001E-2</v>
      </c>
      <c r="C165" s="53">
        <v>1.33347158855248E-2</v>
      </c>
      <c r="D165" s="53">
        <v>-5.2043985561991404E-3</v>
      </c>
      <c r="E165" s="53">
        <v>-2.6780000000000002E-2</v>
      </c>
      <c r="F165" s="53">
        <v>1.60096057634585E-3</v>
      </c>
      <c r="G165" s="53">
        <v>1.01676614378694E-2</v>
      </c>
      <c r="H165" s="87">
        <v>-2.0373903090423501E-2</v>
      </c>
      <c r="I165" s="53">
        <v>-1.85351270553058E-3</v>
      </c>
      <c r="J165" s="53">
        <v>-1.46971201588878E-2</v>
      </c>
      <c r="K165" s="53">
        <v>7.1858895260217296E-3</v>
      </c>
      <c r="L165" s="95">
        <f>IFERROR(B165*'Stock Statistics'!$C$41+C165*'Stock Statistics'!$C$42+D165*'Stock Statistics'!$C$43+E165*'Stock Statistics'!$C$44+F165*'Stock Statistics'!$C$45+G165*'Stock Statistics'!$C$46+H165*'Stock Statistics'!$C$47+I165*'Stock Statistics'!$C$48+J165*'Stock Statistics'!$C$49+K165*'Stock Statistics'!$C$50,"")</f>
        <v>-5.5919707085279238E-3</v>
      </c>
      <c r="M165" s="97">
        <v>500.23829999999998</v>
      </c>
      <c r="N165" s="96">
        <v>575.71349999999995</v>
      </c>
      <c r="O165" s="93">
        <f t="shared" si="6"/>
        <v>-1.0442102942480602E-3</v>
      </c>
      <c r="P165" s="93">
        <f t="shared" si="7"/>
        <v>-5.9785656962618727E-4</v>
      </c>
      <c r="Q165" s="93">
        <f>B165*'Portfolio 2 &amp; 3'!$F$7+C165*'Portfolio 2 &amp; 3'!$F$8+D165*'Portfolio 2 &amp; 3'!$F$9+E165*'Portfolio 2 &amp; 3'!$F$10+F165*'Portfolio 2 &amp; 3'!$F$11+G165*'Portfolio 2 &amp; 3'!$F$12+H165*'Portfolio 2 &amp; 3'!$F$13+I165*'Portfolio 2 &amp; 3'!$F$14+J165*'Portfolio 2 &amp; 3'!$F$15+K165*'Portfolio 2 &amp; 3'!$F$16</f>
        <v>-6.9783934098373804E-3</v>
      </c>
      <c r="R165" s="93">
        <f>B165*'Portfolio 2 &amp; 3'!$B$23+C165*'Portfolio 2 &amp; 3'!$B$24+D165*'Portfolio 2 &amp; 3'!$B$25+E165*'Portfolio 2 &amp; 3'!$B$26+F165*'Portfolio 2 &amp; 3'!$B$27+G165*'Portfolio 2 &amp; 3'!$B$28+H165*'Portfolio 2 &amp; 3'!$B$29+I165*'Portfolio 2 &amp; 3'!$B$30+J165*'Portfolio 2 &amp; 3'!$B$31+K165*'Portfolio 2 &amp; 3'!$B$32</f>
        <v>2.9413765076945106E-4</v>
      </c>
      <c r="S165" s="93">
        <f t="shared" si="8"/>
        <v>-8.2103343193712375E-4</v>
      </c>
    </row>
    <row r="166" spans="1:19" ht="12.75" customHeight="1">
      <c r="A166" s="81">
        <v>45841</v>
      </c>
      <c r="B166" s="53">
        <v>-1.1000000000000001E-3</v>
      </c>
      <c r="C166" s="53">
        <v>-1.0831213588249801E-2</v>
      </c>
      <c r="D166" s="53">
        <v>3.0447193149381501E-2</v>
      </c>
      <c r="E166" s="53">
        <v>-3.2200000000000002E-3</v>
      </c>
      <c r="F166" s="53">
        <v>4.0184850311433297E-3</v>
      </c>
      <c r="G166" s="53">
        <v>-4.5679823251926202E-3</v>
      </c>
      <c r="H166" s="87">
        <v>2.3711182499617199E-3</v>
      </c>
      <c r="I166" s="53">
        <v>-4.4050241085778997E-3</v>
      </c>
      <c r="J166" s="53">
        <v>-1.85026101896513E-3</v>
      </c>
      <c r="K166" s="53">
        <v>-2.6062404980815601E-3</v>
      </c>
      <c r="L166" s="95">
        <f>IFERROR(B166*'Stock Statistics'!$C$41+C166*'Stock Statistics'!$C$42+D166*'Stock Statistics'!$C$43+E166*'Stock Statistics'!$C$44+F166*'Stock Statistics'!$C$45+G166*'Stock Statistics'!$C$46+H166*'Stock Statistics'!$C$47+I166*'Stock Statistics'!$C$48+J166*'Stock Statistics'!$C$49+K166*'Stock Statistics'!$C$50,"")</f>
        <v>8.2560748914195384E-4</v>
      </c>
      <c r="M166" s="96">
        <v>500.76119999999997</v>
      </c>
      <c r="N166" s="97">
        <v>576.05790000000002</v>
      </c>
      <c r="O166" s="93">
        <f t="shared" si="6"/>
        <v>6.4327855607508866E-3</v>
      </c>
      <c r="P166" s="93">
        <f t="shared" si="7"/>
        <v>-2.8628461457772536E-3</v>
      </c>
      <c r="Q166" s="93">
        <f>B166*'Portfolio 2 &amp; 3'!$F$7+C166*'Portfolio 2 &amp; 3'!$F$8+D166*'Portfolio 2 &amp; 3'!$F$9+E166*'Portfolio 2 &amp; 3'!$F$10+F166*'Portfolio 2 &amp; 3'!$F$11+G166*'Portfolio 2 &amp; 3'!$F$12+H166*'Portfolio 2 &amp; 3'!$F$13+I166*'Portfolio 2 &amp; 3'!$F$14+J166*'Portfolio 2 &amp; 3'!$F$15+K166*'Portfolio 2 &amp; 3'!$F$16</f>
        <v>2.4064466713681928E-3</v>
      </c>
      <c r="R166" s="93">
        <f>B166*'Portfolio 2 &amp; 3'!$B$23+C166*'Portfolio 2 &amp; 3'!$B$24+D166*'Portfolio 2 &amp; 3'!$B$25+E166*'Portfolio 2 &amp; 3'!$B$26+F166*'Portfolio 2 &amp; 3'!$B$27+G166*'Portfolio 2 &amp; 3'!$B$28+H166*'Portfolio 2 &amp; 3'!$B$29+I166*'Portfolio 2 &amp; 3'!$B$30+J166*'Portfolio 2 &amp; 3'!$B$31+K166*'Portfolio 2 &amp; 3'!$B$32</f>
        <v>-3.0068396024999669E-3</v>
      </c>
      <c r="S166" s="93">
        <f t="shared" si="8"/>
        <v>1.7849697074868165E-3</v>
      </c>
    </row>
    <row r="167" spans="1:19" ht="12.75" customHeight="1">
      <c r="A167" s="82">
        <v>45840</v>
      </c>
      <c r="B167" s="53">
        <v>2.29E-2</v>
      </c>
      <c r="C167" s="53">
        <v>5.3206846772531104E-3</v>
      </c>
      <c r="D167" s="53">
        <v>-1.6407599309154999E-3</v>
      </c>
      <c r="E167" s="53">
        <v>9.6299999999999997E-3</v>
      </c>
      <c r="F167" s="53">
        <v>-7.0822942643391498E-3</v>
      </c>
      <c r="G167" s="53">
        <v>-1.9697368806157901E-2</v>
      </c>
      <c r="H167" s="87">
        <v>1.2468055447998099E-2</v>
      </c>
      <c r="I167" s="53">
        <v>2.1475869474438798E-3</v>
      </c>
      <c r="J167" s="53">
        <v>3.04898256777353E-3</v>
      </c>
      <c r="K167" s="53">
        <v>4.4357184409540302E-3</v>
      </c>
      <c r="L167" s="95">
        <f>IFERROR(B167*'Stock Statistics'!$C$41+C167*'Stock Statistics'!$C$42+D167*'Stock Statistics'!$C$43+E167*'Stock Statistics'!$C$44+F167*'Stock Statistics'!$C$45+G167*'Stock Statistics'!$C$46+H167*'Stock Statistics'!$C$47+I167*'Stock Statistics'!$C$48+J167*'Stock Statistics'!$C$49+K167*'Stock Statistics'!$C$50,"")</f>
        <v>3.1530605080010102E-3</v>
      </c>
      <c r="M167" s="97">
        <v>497.56049999999999</v>
      </c>
      <c r="N167" s="96">
        <v>577.71180000000004</v>
      </c>
      <c r="O167" s="93">
        <f t="shared" si="6"/>
        <v>6.3498516446509612E-3</v>
      </c>
      <c r="P167" s="93">
        <f t="shared" si="7"/>
        <v>2.0057049157808926E-3</v>
      </c>
      <c r="Q167" s="93">
        <f>B167*'Portfolio 2 &amp; 3'!$F$7+C167*'Portfolio 2 &amp; 3'!$F$8+D167*'Portfolio 2 &amp; 3'!$F$9+E167*'Portfolio 2 &amp; 3'!$F$10+F167*'Portfolio 2 &amp; 3'!$F$11+G167*'Portfolio 2 &amp; 3'!$F$12+H167*'Portfolio 2 &amp; 3'!$F$13+I167*'Portfolio 2 &amp; 3'!$F$14+J167*'Portfolio 2 &amp; 3'!$F$15+K167*'Portfolio 2 &amp; 3'!$F$16</f>
        <v>3.7355306080354678E-3</v>
      </c>
      <c r="R167" s="93">
        <f>B167*'Portfolio 2 &amp; 3'!$B$23+C167*'Portfolio 2 &amp; 3'!$B$24+D167*'Portfolio 2 &amp; 3'!$B$25+E167*'Portfolio 2 &amp; 3'!$B$26+F167*'Portfolio 2 &amp; 3'!$B$27+G167*'Portfolio 2 &amp; 3'!$B$28+H167*'Portfolio 2 &amp; 3'!$B$29+I167*'Portfolio 2 &amp; 3'!$B$30+J167*'Portfolio 2 &amp; 3'!$B$31+K167*'Portfolio 2 &amp; 3'!$B$32</f>
        <v>2.2445292553058029E-3</v>
      </c>
      <c r="S167" s="93">
        <f t="shared" si="8"/>
        <v>4.1777782802159269E-3</v>
      </c>
    </row>
    <row r="168" spans="1:19" ht="12.75" customHeight="1">
      <c r="A168" s="81">
        <v>45839</v>
      </c>
      <c r="B168" s="53">
        <v>-2.8199999999999999E-2</v>
      </c>
      <c r="C168" s="53">
        <v>-1.8222312208949199E-2</v>
      </c>
      <c r="D168" s="53">
        <v>2.25165562913907E-2</v>
      </c>
      <c r="E168" s="53">
        <v>-6.9100000000000003E-3</v>
      </c>
      <c r="F168" s="53">
        <v>1.2677407949896399E-2</v>
      </c>
      <c r="G168" s="53">
        <v>2.4939850947713902E-3</v>
      </c>
      <c r="H168" s="87">
        <v>1.6131570664148501E-2</v>
      </c>
      <c r="I168" s="53">
        <v>-2.0241709829136299E-3</v>
      </c>
      <c r="J168" s="53">
        <v>7.4118589743590304E-3</v>
      </c>
      <c r="K168" s="53">
        <v>2.4054231357970601E-3</v>
      </c>
      <c r="L168" s="95">
        <f>IFERROR(B168*'Stock Statistics'!$C$41+C168*'Stock Statistics'!$C$42+D168*'Stock Statistics'!$C$43+E168*'Stock Statistics'!$C$44+F168*'Stock Statistics'!$C$45+G168*'Stock Statistics'!$C$46+H168*'Stock Statistics'!$C$47+I168*'Stock Statistics'!$C$48+J168*'Stock Statistics'!$C$49+K168*'Stock Statistics'!$C$50,"")</f>
        <v>8.2803189185002462E-4</v>
      </c>
      <c r="M168" s="96">
        <v>494.42099999999999</v>
      </c>
      <c r="N168" s="97">
        <v>576.55539999999996</v>
      </c>
      <c r="O168" s="93">
        <f t="shared" si="6"/>
        <v>6.8713360042815808E-4</v>
      </c>
      <c r="P168" s="93">
        <f t="shared" si="7"/>
        <v>1.0734848454302615E-2</v>
      </c>
      <c r="Q168" s="93">
        <f>B168*'Portfolio 2 &amp; 3'!$F$7+C168*'Portfolio 2 &amp; 3'!$F$8+D168*'Portfolio 2 &amp; 3'!$F$9+E168*'Portfolio 2 &amp; 3'!$F$10+F168*'Portfolio 2 &amp; 3'!$F$11+G168*'Portfolio 2 &amp; 3'!$F$12+H168*'Portfolio 2 &amp; 3'!$F$13+I168*'Portfolio 2 &amp; 3'!$F$14+J168*'Portfolio 2 &amp; 3'!$F$15+K168*'Portfolio 2 &amp; 3'!$F$16</f>
        <v>4.0304131781199199E-3</v>
      </c>
      <c r="R168" s="93">
        <f>B168*'Portfolio 2 &amp; 3'!$B$23+C168*'Portfolio 2 &amp; 3'!$B$24+D168*'Portfolio 2 &amp; 3'!$B$25+E168*'Portfolio 2 &amp; 3'!$B$26+F168*'Portfolio 2 &amp; 3'!$B$27+G168*'Portfolio 2 &amp; 3'!$B$28+H168*'Portfolio 2 &amp; 3'!$B$29+I168*'Portfolio 2 &amp; 3'!$B$30+J168*'Portfolio 2 &amp; 3'!$B$31+K168*'Portfolio 2 &amp; 3'!$B$32</f>
        <v>-4.2855919637570317E-3</v>
      </c>
      <c r="S168" s="93">
        <f t="shared" si="8"/>
        <v>5.7109910273653863E-3</v>
      </c>
    </row>
    <row r="169" spans="1:19" ht="12.75" customHeight="1">
      <c r="A169" s="82">
        <v>45838</v>
      </c>
      <c r="B169" s="53">
        <v>2.0899999999999998E-2</v>
      </c>
      <c r="C169" s="53">
        <v>6.6238662998063802E-3</v>
      </c>
      <c r="D169" s="53">
        <v>-2.02678886147334E-3</v>
      </c>
      <c r="E169" s="53">
        <v>-3.3400000000000001E-3</v>
      </c>
      <c r="F169" s="53">
        <v>8.3010796496232296E-3</v>
      </c>
      <c r="G169" s="53">
        <v>1.9991620278924999E-2</v>
      </c>
      <c r="H169" s="87">
        <v>-4.6992481203007603E-3</v>
      </c>
      <c r="I169" s="53">
        <v>1.3114754098360101E-3</v>
      </c>
      <c r="J169" s="53">
        <v>-1.1941677112885201E-2</v>
      </c>
      <c r="K169" s="53">
        <v>4.3754101947057799E-4</v>
      </c>
      <c r="L169" s="95">
        <f>IFERROR(B169*'Stock Statistics'!$C$41+C169*'Stock Statistics'!$C$42+D169*'Stock Statistics'!$C$43+E169*'Stock Statistics'!$C$44+F169*'Stock Statistics'!$C$45+G169*'Stock Statistics'!$C$46+H169*'Stock Statistics'!$C$47+I169*'Stock Statistics'!$C$48+J169*'Stock Statistics'!$C$49+K169*'Stock Statistics'!$C$50,"")</f>
        <v>3.5557868563001888E-3</v>
      </c>
      <c r="M169" s="97">
        <v>494.08150000000001</v>
      </c>
      <c r="N169" s="96">
        <v>570.43190000000004</v>
      </c>
      <c r="O169" s="93">
        <f t="shared" si="6"/>
        <v>-1.7474619473946129E-3</v>
      </c>
      <c r="P169" s="93">
        <f t="shared" si="7"/>
        <v>2.633875951034037E-3</v>
      </c>
      <c r="Q169" s="93">
        <f>B169*'Portfolio 2 &amp; 3'!$F$7+C169*'Portfolio 2 &amp; 3'!$F$8+D169*'Portfolio 2 &amp; 3'!$F$9+E169*'Portfolio 2 &amp; 3'!$F$10+F169*'Portfolio 2 &amp; 3'!$F$11+G169*'Portfolio 2 &amp; 3'!$F$12+H169*'Portfolio 2 &amp; 3'!$F$13+I169*'Portfolio 2 &amp; 3'!$F$14+J169*'Portfolio 2 &amp; 3'!$F$15+K169*'Portfolio 2 &amp; 3'!$F$16</f>
        <v>1.1080253420113013E-3</v>
      </c>
      <c r="R169" s="93">
        <f>B169*'Portfolio 2 &amp; 3'!$B$23+C169*'Portfolio 2 &amp; 3'!$B$24+D169*'Portfolio 2 &amp; 3'!$B$25+E169*'Portfolio 2 &amp; 3'!$B$26+F169*'Portfolio 2 &amp; 3'!$B$27+G169*'Portfolio 2 &amp; 3'!$B$28+H169*'Portfolio 2 &amp; 3'!$B$29+I169*'Portfolio 2 &amp; 3'!$B$30+J169*'Portfolio 2 &amp; 3'!$B$31+K169*'Portfolio 2 &amp; 3'!$B$32</f>
        <v>7.3015563944167075E-3</v>
      </c>
      <c r="S169" s="93">
        <f t="shared" si="8"/>
        <v>4.4320700181971207E-4</v>
      </c>
    </row>
    <row r="170" spans="1:19" ht="12.75" customHeight="1">
      <c r="A170" s="81">
        <v>45835</v>
      </c>
      <c r="B170" s="53">
        <v>5.7000000000000002E-2</v>
      </c>
      <c r="C170" s="53">
        <v>1.35302623424913E-2</v>
      </c>
      <c r="D170" s="53">
        <v>1.2310437109723399E-2</v>
      </c>
      <c r="E170" s="53">
        <v>6.11E-3</v>
      </c>
      <c r="F170" s="53">
        <v>-1.5275726870012099E-4</v>
      </c>
      <c r="G170" s="53">
        <v>3.6896819239720803E-2</v>
      </c>
      <c r="H170" s="87">
        <v>-5.0650666251072004E-3</v>
      </c>
      <c r="I170" s="53">
        <v>6.1780230326295999E-3</v>
      </c>
      <c r="J170" s="53">
        <v>6.5077362374659203E-3</v>
      </c>
      <c r="K170" s="53">
        <v>6.90212203539176E-3</v>
      </c>
      <c r="L170" s="95">
        <f>IFERROR(B170*'Stock Statistics'!$C$41+C170*'Stock Statistics'!$C$42+D170*'Stock Statistics'!$C$43+E170*'Stock Statistics'!$C$44+F170*'Stock Statistics'!$C$45+G170*'Stock Statistics'!$C$46+H170*'Stock Statistics'!$C$47+I170*'Stock Statistics'!$C$48+J170*'Stock Statistics'!$C$49+K170*'Stock Statistics'!$C$50,"")</f>
        <v>1.4021757610361547E-2</v>
      </c>
      <c r="M170" s="96">
        <v>494.94639999999998</v>
      </c>
      <c r="N170" s="97">
        <v>568.93340000000001</v>
      </c>
      <c r="O170" s="93">
        <f t="shared" si="6"/>
        <v>1.0735789149525665E-2</v>
      </c>
      <c r="P170" s="93">
        <f t="shared" si="7"/>
        <v>9.7131936867256297E-3</v>
      </c>
      <c r="Q170" s="93">
        <f>B170*'Portfolio 2 &amp; 3'!$F$7+C170*'Portfolio 2 &amp; 3'!$F$8+D170*'Portfolio 2 &amp; 3'!$F$9+E170*'Portfolio 2 &amp; 3'!$F$10+F170*'Portfolio 2 &amp; 3'!$F$11+G170*'Portfolio 2 &amp; 3'!$F$12+H170*'Portfolio 2 &amp; 3'!$F$13+I170*'Portfolio 2 &amp; 3'!$F$14+J170*'Portfolio 2 &amp; 3'!$F$15+K170*'Portfolio 2 &amp; 3'!$F$16</f>
        <v>1.0380346019524582E-2</v>
      </c>
      <c r="R170" s="93">
        <f>B170*'Portfolio 2 &amp; 3'!$B$23+C170*'Portfolio 2 &amp; 3'!$B$24+D170*'Portfolio 2 &amp; 3'!$B$25+E170*'Portfolio 2 &amp; 3'!$B$26+F170*'Portfolio 2 &amp; 3'!$B$27+G170*'Portfolio 2 &amp; 3'!$B$28+H170*'Portfolio 2 &amp; 3'!$B$29+I170*'Portfolio 2 &amp; 3'!$B$30+J170*'Portfolio 2 &amp; 3'!$B$31+K170*'Portfolio 2 &amp; 3'!$B$32</f>
        <v>1.6460138526486215E-2</v>
      </c>
      <c r="S170" s="93">
        <f t="shared" si="8"/>
        <v>1.0224491418125647E-2</v>
      </c>
    </row>
    <row r="171" spans="1:19" ht="12.75" customHeight="1">
      <c r="A171" s="82">
        <v>45834</v>
      </c>
      <c r="B171" s="53">
        <v>4.3400000000000001E-2</v>
      </c>
      <c r="C171" s="53">
        <v>-2.6782035434692601E-3</v>
      </c>
      <c r="D171" s="53">
        <v>-1.95868945868949E-3</v>
      </c>
      <c r="E171" s="53">
        <v>-2.5999999999999998E-4</v>
      </c>
      <c r="F171" s="53">
        <v>7.3865093613747499E-3</v>
      </c>
      <c r="G171" s="53">
        <v>-1.3016394458734699E-3</v>
      </c>
      <c r="H171" s="87">
        <v>-1.36049192928517E-2</v>
      </c>
      <c r="I171" s="53">
        <v>-5.07250701199502E-3</v>
      </c>
      <c r="J171" s="53">
        <v>2.3296059637911699E-3</v>
      </c>
      <c r="K171" s="53">
        <v>2.2754580955241899E-2</v>
      </c>
      <c r="L171" s="95">
        <f>IFERROR(B171*'Stock Statistics'!$C$41+C171*'Stock Statistics'!$C$42+D171*'Stock Statistics'!$C$43+E171*'Stock Statistics'!$C$44+F171*'Stock Statistics'!$C$45+G171*'Stock Statistics'!$C$46+H171*'Stock Statistics'!$C$47+I171*'Stock Statistics'!$C$48+J171*'Stock Statistics'!$C$49+K171*'Stock Statistics'!$C$50,"")</f>
        <v>5.099473752752888E-3</v>
      </c>
      <c r="M171" s="97">
        <v>489.68920000000003</v>
      </c>
      <c r="N171" s="96">
        <v>563.46040000000005</v>
      </c>
      <c r="O171" s="93">
        <f t="shared" si="6"/>
        <v>5.79541542711004E-3</v>
      </c>
      <c r="P171" s="93">
        <f t="shared" si="7"/>
        <v>1.284079370534652E-3</v>
      </c>
      <c r="Q171" s="93">
        <f>B171*'Portfolio 2 &amp; 3'!$F$7+C171*'Portfolio 2 &amp; 3'!$F$8+D171*'Portfolio 2 &amp; 3'!$F$9+E171*'Portfolio 2 &amp; 3'!$F$10+F171*'Portfolio 2 &amp; 3'!$F$11+G171*'Portfolio 2 &amp; 3'!$F$12+H171*'Portfolio 2 &amp; 3'!$F$13+I171*'Portfolio 2 &amp; 3'!$F$14+J171*'Portfolio 2 &amp; 3'!$F$15+K171*'Portfolio 2 &amp; 3'!$F$16</f>
        <v>2.5185797322305405E-3</v>
      </c>
      <c r="R171" s="93">
        <f>B171*'Portfolio 2 &amp; 3'!$B$23+C171*'Portfolio 2 &amp; 3'!$B$24+D171*'Portfolio 2 &amp; 3'!$B$25+E171*'Portfolio 2 &amp; 3'!$B$26+F171*'Portfolio 2 &amp; 3'!$B$27+G171*'Portfolio 2 &amp; 3'!$B$28+H171*'Portfolio 2 &amp; 3'!$B$29+I171*'Portfolio 2 &amp; 3'!$B$30+J171*'Portfolio 2 &amp; 3'!$B$31+K171*'Portfolio 2 &amp; 3'!$B$32</f>
        <v>6.6521663588176667E-3</v>
      </c>
      <c r="S171" s="93">
        <f t="shared" si="8"/>
        <v>3.539747398822346E-3</v>
      </c>
    </row>
    <row r="172" spans="1:19" ht="12.75" customHeight="1">
      <c r="A172" s="81">
        <v>45833</v>
      </c>
      <c r="B172" s="53">
        <v>4.5999999999999999E-3</v>
      </c>
      <c r="C172" s="53">
        <v>8.9378507586779198E-3</v>
      </c>
      <c r="D172" s="53">
        <v>2.6780931976433399E-3</v>
      </c>
      <c r="E172" s="53">
        <v>-5.0000000000000002E-5</v>
      </c>
      <c r="F172" s="53">
        <v>1.05748794774765E-2</v>
      </c>
      <c r="G172" s="53">
        <v>1.43984406928857E-2</v>
      </c>
      <c r="H172" s="87">
        <v>-1.5512674990541099E-2</v>
      </c>
      <c r="I172" s="53">
        <v>-7.0514339890969096E-3</v>
      </c>
      <c r="J172" s="53">
        <v>-7.5307173999206202E-3</v>
      </c>
      <c r="K172" s="53">
        <v>6.3482466747280001E-3</v>
      </c>
      <c r="L172" s="95">
        <f>IFERROR(B172*'Stock Statistics'!$C$41+C172*'Stock Statistics'!$C$42+D172*'Stock Statistics'!$C$43+E172*'Stock Statistics'!$C$44+F172*'Stock Statistics'!$C$45+G172*'Stock Statistics'!$C$46+H172*'Stock Statistics'!$C$47+I172*'Stock Statistics'!$C$48+J172*'Stock Statistics'!$C$49+K172*'Stock Statistics'!$C$50,"")</f>
        <v>1.7392684421852832E-3</v>
      </c>
      <c r="M172" s="96">
        <v>486.86759999999998</v>
      </c>
      <c r="N172" s="97">
        <v>562.73779999999999</v>
      </c>
      <c r="O172" s="93">
        <f t="shared" si="6"/>
        <v>7.5875209772819918E-3</v>
      </c>
      <c r="P172" s="93">
        <f t="shared" si="7"/>
        <v>-1.9714484044852654E-3</v>
      </c>
      <c r="Q172" s="93">
        <f>B172*'Portfolio 2 &amp; 3'!$F$7+C172*'Portfolio 2 &amp; 3'!$F$8+D172*'Portfolio 2 &amp; 3'!$F$9+E172*'Portfolio 2 &amp; 3'!$F$10+F172*'Portfolio 2 &amp; 3'!$F$11+G172*'Portfolio 2 &amp; 3'!$F$12+H172*'Portfolio 2 &amp; 3'!$F$13+I172*'Portfolio 2 &amp; 3'!$F$14+J172*'Portfolio 2 &amp; 3'!$F$15+K172*'Portfolio 2 &amp; 3'!$F$16</f>
        <v>-3.302407974456079E-4</v>
      </c>
      <c r="R172" s="93">
        <f>B172*'Portfolio 2 &amp; 3'!$B$23+C172*'Portfolio 2 &amp; 3'!$B$24+D172*'Portfolio 2 &amp; 3'!$B$25+E172*'Portfolio 2 &amp; 3'!$B$26+F172*'Portfolio 2 &amp; 3'!$B$27+G172*'Portfolio 2 &amp; 3'!$B$28+H172*'Portfolio 2 &amp; 3'!$B$29+I172*'Portfolio 2 &amp; 3'!$B$30+J172*'Portfolio 2 &amp; 3'!$B$31+K172*'Portfolio 2 &amp; 3'!$B$32</f>
        <v>3.6236933558037878E-3</v>
      </c>
      <c r="S172" s="93">
        <f t="shared" si="8"/>
        <v>2.8080362863983632E-3</v>
      </c>
    </row>
    <row r="173" spans="1:19" ht="12.75" customHeight="1">
      <c r="A173" s="82">
        <v>45832</v>
      </c>
      <c r="B173" s="53">
        <v>1.5599999999999999E-2</v>
      </c>
      <c r="C173" s="53">
        <v>1.0714285714285701E-2</v>
      </c>
      <c r="D173" s="53">
        <v>1.44901285998913E-2</v>
      </c>
      <c r="E173" s="53">
        <v>-5.8199999999999997E-3</v>
      </c>
      <c r="F173" s="53">
        <v>1.3076357525469999E-2</v>
      </c>
      <c r="G173" s="53">
        <v>4.86495024482703E-3</v>
      </c>
      <c r="H173" s="87">
        <v>-1.4982110912343499E-2</v>
      </c>
      <c r="I173" s="53">
        <v>1.06599592765599E-2</v>
      </c>
      <c r="J173" s="53">
        <v>2.5165562913906899E-3</v>
      </c>
      <c r="K173" s="53">
        <v>4.4788582707051602E-3</v>
      </c>
      <c r="L173" s="95">
        <f>IFERROR(B173*'Stock Statistics'!$C$41+C173*'Stock Statistics'!$C$42+D173*'Stock Statistics'!$C$43+E173*'Stock Statistics'!$C$44+F173*'Stock Statistics'!$C$45+G173*'Stock Statistics'!$C$46+H173*'Stock Statistics'!$C$47+I173*'Stock Statistics'!$C$48+J173*'Stock Statistics'!$C$49+K173*'Stock Statistics'!$C$50,"")</f>
        <v>5.559898501078628E-3</v>
      </c>
      <c r="M173" s="97">
        <v>483.2013</v>
      </c>
      <c r="N173" s="96">
        <v>563.84939999999995</v>
      </c>
      <c r="O173" s="93">
        <f t="shared" si="6"/>
        <v>1.0679244904157281E-2</v>
      </c>
      <c r="P173" s="93">
        <f t="shared" si="7"/>
        <v>8.8027233498046975E-3</v>
      </c>
      <c r="Q173" s="93">
        <f>B173*'Portfolio 2 &amp; 3'!$F$7+C173*'Portfolio 2 &amp; 3'!$F$8+D173*'Portfolio 2 &amp; 3'!$F$9+E173*'Portfolio 2 &amp; 3'!$F$10+F173*'Portfolio 2 &amp; 3'!$F$11+G173*'Portfolio 2 &amp; 3'!$F$12+H173*'Portfolio 2 &amp; 3'!$F$13+I173*'Portfolio 2 &amp; 3'!$F$14+J173*'Portfolio 2 &amp; 3'!$F$15+K173*'Portfolio 2 &amp; 3'!$F$16</f>
        <v>4.3721149970528533E-3</v>
      </c>
      <c r="R173" s="93">
        <f>B173*'Portfolio 2 &amp; 3'!$B$23+C173*'Portfolio 2 &amp; 3'!$B$24+D173*'Portfolio 2 &amp; 3'!$B$25+E173*'Portfolio 2 &amp; 3'!$B$26+F173*'Portfolio 2 &amp; 3'!$B$27+G173*'Portfolio 2 &amp; 3'!$B$28+H173*'Portfolio 2 &amp; 3'!$B$29+I173*'Portfolio 2 &amp; 3'!$B$30+J173*'Portfolio 2 &amp; 3'!$B$31+K173*'Portfolio 2 &amp; 3'!$B$32</f>
        <v>9.5773834401873259E-3</v>
      </c>
      <c r="S173" s="93">
        <f t="shared" si="8"/>
        <v>9.7409841269809894E-3</v>
      </c>
    </row>
    <row r="174" spans="1:19" ht="12.75" customHeight="1">
      <c r="A174" s="81">
        <v>45831</v>
      </c>
      <c r="B174" s="53">
        <v>-1.7999999999999999E-2</v>
      </c>
      <c r="C174" s="53">
        <v>-2.82811354352153E-3</v>
      </c>
      <c r="D174" s="53">
        <v>4.0920250977538597E-3</v>
      </c>
      <c r="E174" s="53">
        <v>-2.4199999999999998E-3</v>
      </c>
      <c r="F174" s="53">
        <v>-5.2241145125900799E-3</v>
      </c>
      <c r="G174" s="53">
        <v>-5.3675170497591296E-4</v>
      </c>
      <c r="H174" s="87">
        <v>3.2154340836012501E-3</v>
      </c>
      <c r="I174" s="53">
        <v>1.19789171058926E-4</v>
      </c>
      <c r="J174" s="53">
        <v>5.05857294994661E-3</v>
      </c>
      <c r="K174" s="53">
        <v>3.1985378112862101E-3</v>
      </c>
      <c r="L174" s="95">
        <f>IFERROR(B174*'Stock Statistics'!$C$41+C174*'Stock Statistics'!$C$42+D174*'Stock Statistics'!$C$43+E174*'Stock Statistics'!$C$44+F174*'Stock Statistics'!$C$45+G174*'Stock Statistics'!$C$46+H174*'Stock Statistics'!$C$47+I174*'Stock Statistics'!$C$48+J174*'Stock Statistics'!$C$49+K174*'Stock Statistics'!$C$50,"")</f>
        <v>-1.3324620647440668E-3</v>
      </c>
      <c r="M174" s="96">
        <v>478.09559999999999</v>
      </c>
      <c r="N174" s="97">
        <v>558.92930000000001</v>
      </c>
      <c r="O174" s="93">
        <f t="shared" si="6"/>
        <v>3.0065786954702745E-4</v>
      </c>
      <c r="P174" s="93">
        <f t="shared" si="7"/>
        <v>-8.0746547521185486E-3</v>
      </c>
      <c r="Q174" s="93">
        <f>B174*'Portfolio 2 &amp; 3'!$F$7+C174*'Portfolio 2 &amp; 3'!$F$8+D174*'Portfolio 2 &amp; 3'!$F$9+E174*'Portfolio 2 &amp; 3'!$F$10+F174*'Portfolio 2 &amp; 3'!$F$11+G174*'Portfolio 2 &amp; 3'!$F$12+H174*'Portfolio 2 &amp; 3'!$F$13+I174*'Portfolio 2 &amp; 3'!$F$14+J174*'Portfolio 2 &amp; 3'!$F$15+K174*'Portfolio 2 &amp; 3'!$F$16</f>
        <v>-1.4803312489136992E-4</v>
      </c>
      <c r="R174" s="93">
        <f>B174*'Portfolio 2 &amp; 3'!$B$23+C174*'Portfolio 2 &amp; 3'!$B$24+D174*'Portfolio 2 &amp; 3'!$B$25+E174*'Portfolio 2 &amp; 3'!$B$26+F174*'Portfolio 2 &amp; 3'!$B$27+G174*'Portfolio 2 &amp; 3'!$B$28+H174*'Portfolio 2 &amp; 3'!$B$29+I174*'Portfolio 2 &amp; 3'!$B$30+J174*'Portfolio 2 &amp; 3'!$B$31+K174*'Portfolio 2 &amp; 3'!$B$32</f>
        <v>-3.2116483246975684E-3</v>
      </c>
      <c r="S174" s="93">
        <f t="shared" si="8"/>
        <v>-3.8869984412857606E-3</v>
      </c>
    </row>
    <row r="175" spans="1:19" ht="12.75" customHeight="1">
      <c r="A175" s="82">
        <v>45828</v>
      </c>
      <c r="B175" s="53">
        <v>1.9E-2</v>
      </c>
      <c r="C175" s="53">
        <v>-1.7774989544123701E-3</v>
      </c>
      <c r="D175" s="53">
        <v>2.27852716004384E-3</v>
      </c>
      <c r="E175" s="53">
        <v>-5.2599999999999999E-3</v>
      </c>
      <c r="F175" s="53">
        <v>7.4206620704173601E-3</v>
      </c>
      <c r="G175" s="53">
        <v>1.0113780025284901E-3</v>
      </c>
      <c r="H175" s="87">
        <v>1.4720388496851E-2</v>
      </c>
      <c r="I175" s="53">
        <v>4.7541674189082199E-3</v>
      </c>
      <c r="J175" s="53">
        <v>2.20132079247559E-3</v>
      </c>
      <c r="K175" s="53">
        <v>-1.0623869801085E-2</v>
      </c>
      <c r="L175" s="95">
        <f>IFERROR(B175*'Stock Statistics'!$C$41+C175*'Stock Statistics'!$C$42+D175*'Stock Statistics'!$C$43+E175*'Stock Statistics'!$C$44+F175*'Stock Statistics'!$C$45+G175*'Stock Statistics'!$C$46+H175*'Stock Statistics'!$C$47+I175*'Stock Statistics'!$C$48+J175*'Stock Statistics'!$C$49+K175*'Stock Statistics'!$C$50,"")</f>
        <v>3.3725075185727137E-3</v>
      </c>
      <c r="M175" s="97">
        <v>477.95190000000002</v>
      </c>
      <c r="N175" s="96">
        <v>563.47919999999999</v>
      </c>
      <c r="O175" s="93">
        <f t="shared" si="6"/>
        <v>1.5380481729243556E-4</v>
      </c>
      <c r="P175" s="93">
        <f t="shared" si="7"/>
        <v>-1.9004446179546886E-3</v>
      </c>
      <c r="Q175" s="93">
        <f>B175*'Portfolio 2 &amp; 3'!$F$7+C175*'Portfolio 2 &amp; 3'!$F$8+D175*'Portfolio 2 &amp; 3'!$F$9+E175*'Portfolio 2 &amp; 3'!$F$10+F175*'Portfolio 2 &amp; 3'!$F$11+G175*'Portfolio 2 &amp; 3'!$F$12+H175*'Portfolio 2 &amp; 3'!$F$13+I175*'Portfolio 2 &amp; 3'!$F$14+J175*'Portfolio 2 &amp; 3'!$F$15+K175*'Portfolio 2 &amp; 3'!$F$16</f>
        <v>4.1306151294255716E-3</v>
      </c>
      <c r="R175" s="93">
        <f>B175*'Portfolio 2 &amp; 3'!$B$23+C175*'Portfolio 2 &amp; 3'!$B$24+D175*'Portfolio 2 &amp; 3'!$B$25+E175*'Portfolio 2 &amp; 3'!$B$26+F175*'Portfolio 2 &amp; 3'!$B$27+G175*'Portfolio 2 &amp; 3'!$B$28+H175*'Portfolio 2 &amp; 3'!$B$29+I175*'Portfolio 2 &amp; 3'!$B$30+J175*'Portfolio 2 &amp; 3'!$B$31+K175*'Portfolio 2 &amp; 3'!$B$32</f>
        <v>4.2982292368660717E-3</v>
      </c>
      <c r="S175" s="93">
        <f t="shared" si="8"/>
        <v>-8.733199003311265E-4</v>
      </c>
    </row>
    <row r="176" spans="1:19" ht="12.75" customHeight="1">
      <c r="A176" s="81">
        <v>45827</v>
      </c>
      <c r="B176" s="53">
        <v>-1.6899999999999998E-2</v>
      </c>
      <c r="C176" s="53">
        <v>-4.7866805411029799E-3</v>
      </c>
      <c r="D176" s="53">
        <v>1.3579676674365E-2</v>
      </c>
      <c r="E176" s="53">
        <v>1.09E-3</v>
      </c>
      <c r="F176" s="53">
        <v>-8.6089950954816308E-3</v>
      </c>
      <c r="G176" s="53">
        <v>-1.9522776572668099E-2</v>
      </c>
      <c r="H176" s="87">
        <v>-5.5836414396740501E-3</v>
      </c>
      <c r="I176" s="53">
        <v>-4.81203007518749E-4</v>
      </c>
      <c r="J176" s="53">
        <v>-4.0008001600333497E-4</v>
      </c>
      <c r="K176" s="53">
        <v>6.6747572815533101E-3</v>
      </c>
      <c r="L176" s="95">
        <f>IFERROR(B176*'Stock Statistics'!$C$41+C176*'Stock Statistics'!$C$42+D176*'Stock Statistics'!$C$43+E176*'Stock Statistics'!$C$44+F176*'Stock Statistics'!$C$45+G176*'Stock Statistics'!$C$46+H176*'Stock Statistics'!$C$47+I176*'Stock Statistics'!$C$48+J176*'Stock Statistics'!$C$49+K176*'Stock Statistics'!$C$50,"")</f>
        <v>-3.4938942716530542E-3</v>
      </c>
      <c r="M176" s="96">
        <v>477.8784</v>
      </c>
      <c r="N176" s="97">
        <v>564.5521</v>
      </c>
      <c r="O176" s="93">
        <f t="shared" si="6"/>
        <v>4.6511627906977715E-3</v>
      </c>
      <c r="P176" s="93">
        <f t="shared" si="7"/>
        <v>-1.6952136342859636E-2</v>
      </c>
      <c r="Q176" s="93">
        <f>B176*'Portfolio 2 &amp; 3'!$F$7+C176*'Portfolio 2 &amp; 3'!$F$8+D176*'Portfolio 2 &amp; 3'!$F$9+E176*'Portfolio 2 &amp; 3'!$F$10+F176*'Portfolio 2 &amp; 3'!$F$11+G176*'Portfolio 2 &amp; 3'!$F$12+H176*'Portfolio 2 &amp; 3'!$F$13+I176*'Portfolio 2 &amp; 3'!$F$14+J176*'Portfolio 2 &amp; 3'!$F$15+K176*'Portfolio 2 &amp; 3'!$F$16</f>
        <v>-2.1396190563585885E-3</v>
      </c>
      <c r="R176" s="93">
        <f>B176*'Portfolio 2 &amp; 3'!$B$23+C176*'Portfolio 2 &amp; 3'!$B$24+D176*'Portfolio 2 &amp; 3'!$B$25+E176*'Portfolio 2 &amp; 3'!$B$26+F176*'Portfolio 2 &amp; 3'!$B$27+G176*'Portfolio 2 &amp; 3'!$B$28+H176*'Portfolio 2 &amp; 3'!$B$29+I176*'Portfolio 2 &amp; 3'!$B$30+J176*'Portfolio 2 &amp; 3'!$B$31+K176*'Portfolio 2 &amp; 3'!$B$32</f>
        <v>-6.166613704382558E-3</v>
      </c>
      <c r="S176" s="93">
        <f t="shared" si="8"/>
        <v>-6.1504867760809323E-3</v>
      </c>
    </row>
    <row r="177" spans="1:19" ht="12.75" customHeight="1">
      <c r="A177" s="82">
        <v>45826</v>
      </c>
      <c r="B177" s="53">
        <v>-7.4000000000000003E-3</v>
      </c>
      <c r="C177" s="53">
        <v>-1.6621649698732601E-3</v>
      </c>
      <c r="D177" s="53">
        <v>-2.06278838324436E-2</v>
      </c>
      <c r="E177" s="53">
        <v>1.0370000000000001E-2</v>
      </c>
      <c r="F177" s="53">
        <v>6.7874484414964797E-4</v>
      </c>
      <c r="G177" s="53">
        <v>-8.7239663328623207E-3</v>
      </c>
      <c r="H177" s="87">
        <v>-6.0327275469418396E-4</v>
      </c>
      <c r="I177" s="53">
        <v>-1.5614677797128899E-3</v>
      </c>
      <c r="J177" s="53">
        <v>1.0579514824797799E-2</v>
      </c>
      <c r="K177" s="53">
        <v>1.5247189280764E-2</v>
      </c>
      <c r="L177" s="95">
        <f>IFERROR(B177*'Stock Statistics'!$C$41+C177*'Stock Statistics'!$C$42+D177*'Stock Statistics'!$C$43+E177*'Stock Statistics'!$C$44+F177*'Stock Statistics'!$C$45+G177*'Stock Statistics'!$C$46+H177*'Stock Statistics'!$C$47+I177*'Stock Statistics'!$C$48+J177*'Stock Statistics'!$C$49+K177*'Stock Statistics'!$C$50,"")</f>
        <v>-3.7033067198748095E-4</v>
      </c>
      <c r="M177" s="97">
        <v>475.666</v>
      </c>
      <c r="N177" s="96">
        <v>574.28750000000002</v>
      </c>
      <c r="O177" s="93">
        <f t="shared" si="6"/>
        <v>-1.0295987802279694E-2</v>
      </c>
      <c r="P177" s="93">
        <f t="shared" si="7"/>
        <v>4.2129600323985716E-3</v>
      </c>
      <c r="Q177" s="93">
        <f>B177*'Portfolio 2 &amp; 3'!$F$7+C177*'Portfolio 2 &amp; 3'!$F$8+D177*'Portfolio 2 &amp; 3'!$F$9+E177*'Portfolio 2 &amp; 3'!$F$10+F177*'Portfolio 2 &amp; 3'!$F$11+G177*'Portfolio 2 &amp; 3'!$F$12+H177*'Portfolio 2 &amp; 3'!$F$13+I177*'Portfolio 2 &amp; 3'!$F$14+J177*'Portfolio 2 &amp; 3'!$F$15+K177*'Portfolio 2 &amp; 3'!$F$16</f>
        <v>-5.4771039590662115E-4</v>
      </c>
      <c r="R177" s="93">
        <f>B177*'Portfolio 2 &amp; 3'!$B$23+C177*'Portfolio 2 &amp; 3'!$B$24+D177*'Portfolio 2 &amp; 3'!$B$25+E177*'Portfolio 2 &amp; 3'!$B$26+F177*'Portfolio 2 &amp; 3'!$B$27+G177*'Portfolio 2 &amp; 3'!$B$28+H177*'Portfolio 2 &amp; 3'!$B$29+I177*'Portfolio 2 &amp; 3'!$B$30+J177*'Portfolio 2 &amp; 3'!$B$31+K177*'Portfolio 2 &amp; 3'!$B$32</f>
        <v>-1.1338243950052196E-3</v>
      </c>
      <c r="S177" s="93">
        <f t="shared" si="8"/>
        <v>-3.041513884940561E-3</v>
      </c>
    </row>
    <row r="178" spans="1:19" ht="12.75" customHeight="1">
      <c r="A178" s="81">
        <v>45825</v>
      </c>
      <c r="B178" s="53">
        <v>3.8999999999999998E-3</v>
      </c>
      <c r="C178" s="53">
        <v>-1.12982744453575E-2</v>
      </c>
      <c r="D178" s="53">
        <v>-3.9650355952060004E-3</v>
      </c>
      <c r="E178" s="53">
        <v>-1.136E-2</v>
      </c>
      <c r="F178" s="53">
        <v>-1.7190065681444999E-2</v>
      </c>
      <c r="G178" s="53">
        <v>-6.2274864155320601E-3</v>
      </c>
      <c r="H178" s="87">
        <v>9.7464402649813896E-3</v>
      </c>
      <c r="I178" s="53">
        <v>1.0621510075260901E-2</v>
      </c>
      <c r="J178" s="53">
        <v>-9.4119217675722195E-3</v>
      </c>
      <c r="K178" s="53">
        <v>-8.5509238051610908E-3</v>
      </c>
      <c r="L178" s="95">
        <f>IFERROR(B178*'Stock Statistics'!$C$41+C178*'Stock Statistics'!$C$42+D178*'Stock Statistics'!$C$43+E178*'Stock Statistics'!$C$44+F178*'Stock Statistics'!$C$45+G178*'Stock Statistics'!$C$46+H178*'Stock Statistics'!$C$47+I178*'Stock Statistics'!$C$48+J178*'Stock Statistics'!$C$49+K178*'Stock Statistics'!$C$50,"")</f>
        <v>-4.3735757370031584E-3</v>
      </c>
      <c r="M178" s="96">
        <v>480.61439999999999</v>
      </c>
      <c r="N178" s="97">
        <v>571.87819999999999</v>
      </c>
      <c r="O178" s="93">
        <f t="shared" si="6"/>
        <v>-4.7289489705901744E-3</v>
      </c>
      <c r="P178" s="93">
        <f t="shared" si="7"/>
        <v>-1.4040943818239837E-3</v>
      </c>
      <c r="Q178" s="93">
        <f>B178*'Portfolio 2 &amp; 3'!$F$7+C178*'Portfolio 2 &amp; 3'!$F$8+D178*'Portfolio 2 &amp; 3'!$F$9+E178*'Portfolio 2 &amp; 3'!$F$10+F178*'Portfolio 2 &amp; 3'!$F$11+G178*'Portfolio 2 &amp; 3'!$F$12+H178*'Portfolio 2 &amp; 3'!$F$13+I178*'Portfolio 2 &amp; 3'!$F$14+J178*'Portfolio 2 &amp; 3'!$F$15+K178*'Portfolio 2 &amp; 3'!$F$16</f>
        <v>-3.8478471043956533E-3</v>
      </c>
      <c r="R178" s="93">
        <f>B178*'Portfolio 2 &amp; 3'!$B$23+C178*'Portfolio 2 &amp; 3'!$B$24+D178*'Portfolio 2 &amp; 3'!$B$25+E178*'Portfolio 2 &amp; 3'!$B$26+F178*'Portfolio 2 &amp; 3'!$B$27+G178*'Portfolio 2 &amp; 3'!$B$28+H178*'Portfolio 2 &amp; 3'!$B$29+I178*'Portfolio 2 &amp; 3'!$B$30+J178*'Portfolio 2 &amp; 3'!$B$31+K178*'Portfolio 2 &amp; 3'!$B$32</f>
        <v>-3.1562147848780862E-3</v>
      </c>
      <c r="S178" s="93">
        <f t="shared" si="8"/>
        <v>-3.0665216762070791E-3</v>
      </c>
    </row>
    <row r="179" spans="1:19" ht="12.75" customHeight="1">
      <c r="A179" s="82">
        <v>45824</v>
      </c>
      <c r="B179" s="53">
        <v>5.1000000000000004E-3</v>
      </c>
      <c r="C179" s="53">
        <v>4.22898401237748E-3</v>
      </c>
      <c r="D179" s="53">
        <v>-3.11681508643269E-2</v>
      </c>
      <c r="E179" s="53">
        <v>5.1399999999999996E-3</v>
      </c>
      <c r="F179" s="53">
        <v>-5.6413149392286999E-4</v>
      </c>
      <c r="G179" s="53">
        <v>7.1637202152190502E-3</v>
      </c>
      <c r="H179" s="87">
        <v>-4.1704579921140201E-3</v>
      </c>
      <c r="I179" s="53">
        <v>-2.4271844660195301E-4</v>
      </c>
      <c r="J179" s="53">
        <v>-3.5916195543731501E-3</v>
      </c>
      <c r="K179" s="53">
        <v>1.68247170388503E-3</v>
      </c>
      <c r="L179" s="95">
        <f>IFERROR(B179*'Stock Statistics'!$C$41+C179*'Stock Statistics'!$C$42+D179*'Stock Statistics'!$C$43+E179*'Stock Statistics'!$C$44+F179*'Stock Statistics'!$C$45+G179*'Stock Statistics'!$C$46+H179*'Stock Statistics'!$C$47+I179*'Stock Statistics'!$C$48+J179*'Stock Statistics'!$C$49+K179*'Stock Statistics'!$C$50,"")</f>
        <v>-1.6421902419857331E-3</v>
      </c>
      <c r="M179" s="97">
        <v>482.89800000000002</v>
      </c>
      <c r="N179" s="96">
        <v>572.68230000000005</v>
      </c>
      <c r="O179" s="93">
        <f t="shared" si="6"/>
        <v>-1.470259973499477E-2</v>
      </c>
      <c r="P179" s="93">
        <f t="shared" si="7"/>
        <v>-5.9366216746403744E-5</v>
      </c>
      <c r="Q179" s="93">
        <f>B179*'Portfolio 2 &amp; 3'!$F$7+C179*'Portfolio 2 &amp; 3'!$F$8+D179*'Portfolio 2 &amp; 3'!$F$9+E179*'Portfolio 2 &amp; 3'!$F$10+F179*'Portfolio 2 &amp; 3'!$F$11+G179*'Portfolio 2 &amp; 3'!$F$12+H179*'Portfolio 2 &amp; 3'!$F$13+I179*'Portfolio 2 &amp; 3'!$F$14+J179*'Portfolio 2 &amp; 3'!$F$15+K179*'Portfolio 2 &amp; 3'!$F$16</f>
        <v>-3.7921181180050039E-3</v>
      </c>
      <c r="R179" s="93">
        <f>B179*'Portfolio 2 &amp; 3'!$B$23+C179*'Portfolio 2 &amp; 3'!$B$24+D179*'Portfolio 2 &amp; 3'!$B$25+E179*'Portfolio 2 &amp; 3'!$B$26+F179*'Portfolio 2 &amp; 3'!$B$27+G179*'Portfolio 2 &amp; 3'!$B$28+H179*'Portfolio 2 &amp; 3'!$B$29+I179*'Portfolio 2 &amp; 3'!$B$30+J179*'Portfolio 2 &amp; 3'!$B$31+K179*'Portfolio 2 &amp; 3'!$B$32</f>
        <v>1.6168669073244855E-3</v>
      </c>
      <c r="S179" s="93">
        <f t="shared" si="8"/>
        <v>-7.3809829758705869E-3</v>
      </c>
    </row>
    <row r="180" spans="1:19" ht="12.75" customHeight="1">
      <c r="A180" s="81">
        <v>45821</v>
      </c>
      <c r="B180" s="53">
        <v>-1.9E-3</v>
      </c>
      <c r="C180" s="53">
        <v>2.06334468172864E-4</v>
      </c>
      <c r="D180" s="53">
        <v>-4.1731872717787298E-3</v>
      </c>
      <c r="E180" s="53">
        <v>-3.3270000000000001E-2</v>
      </c>
      <c r="F180" s="53">
        <v>-3.9333878218225102E-3</v>
      </c>
      <c r="G180" s="53">
        <v>-1.9332269547073201E-3</v>
      </c>
      <c r="H180" s="87">
        <v>-2.0790020790020802E-2</v>
      </c>
      <c r="I180" s="53">
        <v>-1.3331717367591801E-3</v>
      </c>
      <c r="J180" s="53">
        <v>-1.53896529142109E-2</v>
      </c>
      <c r="K180" s="53">
        <v>-2.2355140186915898E-2</v>
      </c>
      <c r="L180" s="95">
        <f>IFERROR(B180*'Stock Statistics'!$C$41+C180*'Stock Statistics'!$C$42+D180*'Stock Statistics'!$C$43+E180*'Stock Statistics'!$C$44+F180*'Stock Statistics'!$C$45+G180*'Stock Statistics'!$C$46+H180*'Stock Statistics'!$C$47+I180*'Stock Statistics'!$C$48+J180*'Stock Statistics'!$C$49+K180*'Stock Statistics'!$C$50,"")</f>
        <v>-1.0487145320804248E-2</v>
      </c>
      <c r="M180" s="96">
        <v>490.10379999999998</v>
      </c>
      <c r="N180" s="97">
        <v>572.71630000000005</v>
      </c>
      <c r="O180" s="93">
        <f t="shared" si="6"/>
        <v>4.4409430809597694E-3</v>
      </c>
      <c r="P180" s="93">
        <f t="shared" si="7"/>
        <v>3.6480437744224048E-3</v>
      </c>
      <c r="Q180" s="93">
        <f>B180*'Portfolio 2 &amp; 3'!$F$7+C180*'Portfolio 2 &amp; 3'!$F$8+D180*'Portfolio 2 &amp; 3'!$F$9+E180*'Portfolio 2 &amp; 3'!$F$10+F180*'Portfolio 2 &amp; 3'!$F$11+G180*'Portfolio 2 &amp; 3'!$F$12+H180*'Portfolio 2 &amp; 3'!$F$13+I180*'Portfolio 2 &amp; 3'!$F$14+J180*'Portfolio 2 &amp; 3'!$F$15+K180*'Portfolio 2 &amp; 3'!$F$16</f>
        <v>-1.1108356739805291E-2</v>
      </c>
      <c r="R180" s="93">
        <f>B180*'Portfolio 2 &amp; 3'!$B$23+C180*'Portfolio 2 &amp; 3'!$B$24+D180*'Portfolio 2 &amp; 3'!$B$25+E180*'Portfolio 2 &amp; 3'!$B$26+F180*'Portfolio 2 &amp; 3'!$B$27+G180*'Portfolio 2 &amp; 3'!$B$28+H180*'Portfolio 2 &amp; 3'!$B$29+I180*'Portfolio 2 &amp; 3'!$B$30+J180*'Portfolio 2 &amp; 3'!$B$31+K180*'Portfolio 2 &amp; 3'!$B$32</f>
        <v>-4.475740014770766E-3</v>
      </c>
      <c r="S180" s="93">
        <f t="shared" si="8"/>
        <v>4.0444934276910871E-3</v>
      </c>
    </row>
    <row r="181" spans="1:19" ht="12.75" customHeight="1">
      <c r="A181" s="82">
        <v>45820</v>
      </c>
      <c r="B181" s="53">
        <v>-1.9E-3</v>
      </c>
      <c r="C181" s="53">
        <v>-7.9828062634326197E-3</v>
      </c>
      <c r="D181" s="53">
        <v>-4.3282548476454297E-3</v>
      </c>
      <c r="E181" s="53">
        <v>5.6499999999999996E-3</v>
      </c>
      <c r="F181" s="53">
        <v>0</v>
      </c>
      <c r="G181" s="53">
        <v>1.6532534780709901E-2</v>
      </c>
      <c r="H181" s="87">
        <v>-1.15229357798166E-2</v>
      </c>
      <c r="I181" s="53">
        <v>-2.08271524357681E-2</v>
      </c>
      <c r="J181" s="53">
        <v>1.4483125166090899E-2</v>
      </c>
      <c r="K181" s="53">
        <v>3.0748462576870601E-3</v>
      </c>
      <c r="L181" s="95">
        <f>IFERROR(B181*'Stock Statistics'!$C$41+C181*'Stock Statistics'!$C$42+D181*'Stock Statistics'!$C$43+E181*'Stock Statistics'!$C$44+F181*'Stock Statistics'!$C$45+G181*'Stock Statistics'!$C$46+H181*'Stock Statistics'!$C$47+I181*'Stock Statistics'!$C$48+J181*'Stock Statistics'!$C$49+K181*'Stock Statistics'!$C$50,"")</f>
        <v>-6.8206431221748865E-4</v>
      </c>
      <c r="M181" s="97">
        <v>487.93689999999998</v>
      </c>
      <c r="N181" s="96">
        <v>570.63459999999998</v>
      </c>
      <c r="O181" s="93">
        <f t="shared" si="6"/>
        <v>-3.0732232313557262E-4</v>
      </c>
      <c r="P181" s="93">
        <f t="shared" si="7"/>
        <v>4.7752986058311464E-3</v>
      </c>
      <c r="Q181" s="93">
        <f>B181*'Portfolio 2 &amp; 3'!$F$7+C181*'Portfolio 2 &amp; 3'!$F$8+D181*'Portfolio 2 &amp; 3'!$F$9+E181*'Portfolio 2 &amp; 3'!$F$10+F181*'Portfolio 2 &amp; 3'!$F$11+G181*'Portfolio 2 &amp; 3'!$F$12+H181*'Portfolio 2 &amp; 3'!$F$13+I181*'Portfolio 2 &amp; 3'!$F$14+J181*'Portfolio 2 &amp; 3'!$F$15+K181*'Portfolio 2 &amp; 3'!$F$16</f>
        <v>-1.4690005373116399E-3</v>
      </c>
      <c r="R181" s="93">
        <f>B181*'Portfolio 2 &amp; 3'!$B$23+C181*'Portfolio 2 &amp; 3'!$B$24+D181*'Portfolio 2 &amp; 3'!$B$25+E181*'Portfolio 2 &amp; 3'!$B$26+F181*'Portfolio 2 &amp; 3'!$B$27+G181*'Portfolio 2 &amp; 3'!$B$28+H181*'Portfolio 2 &amp; 3'!$B$29+I181*'Portfolio 2 &amp; 3'!$B$30+J181*'Portfolio 2 &amp; 3'!$B$31+K181*'Portfolio 2 &amp; 3'!$B$32</f>
        <v>-4.8902997948045424E-3</v>
      </c>
      <c r="S181" s="93">
        <f t="shared" si="8"/>
        <v>2.2339881413477869E-3</v>
      </c>
    </row>
    <row r="182" spans="1:19" ht="12.75" customHeight="1">
      <c r="A182" s="81">
        <v>45819</v>
      </c>
      <c r="B182" s="53">
        <v>-2.9999999999999997E-4</v>
      </c>
      <c r="C182" s="53">
        <v>-1.4821536600121E-2</v>
      </c>
      <c r="D182" s="53">
        <v>-4.9956933677863802E-3</v>
      </c>
      <c r="E182" s="53">
        <v>8.0000000000000004E-4</v>
      </c>
      <c r="F182" s="53">
        <v>-3.0556121409656099E-3</v>
      </c>
      <c r="G182" s="53">
        <v>-4.7190313567214703E-3</v>
      </c>
      <c r="H182" s="87">
        <v>-1.46767446980278E-4</v>
      </c>
      <c r="I182" s="53">
        <v>-1.48121815380964E-3</v>
      </c>
      <c r="J182" s="53">
        <v>1.5970188980569699E-3</v>
      </c>
      <c r="K182" s="53">
        <v>-8.6245353159851695E-3</v>
      </c>
      <c r="L182" s="95">
        <f>IFERROR(B182*'Stock Statistics'!$C$41+C182*'Stock Statistics'!$C$42+D182*'Stock Statistics'!$C$43+E182*'Stock Statistics'!$C$44+F182*'Stock Statistics'!$C$45+G182*'Stock Statistics'!$C$46+H182*'Stock Statistics'!$C$47+I182*'Stock Statistics'!$C$48+J182*'Stock Statistics'!$C$49+K182*'Stock Statistics'!$C$50,"")</f>
        <v>-3.574737548431258E-3</v>
      </c>
      <c r="M182" s="96">
        <v>488.08690000000001</v>
      </c>
      <c r="N182" s="97">
        <v>567.92259999999999</v>
      </c>
      <c r="O182" s="93">
        <f t="shared" si="6"/>
        <v>-4.2842857028757564E-4</v>
      </c>
      <c r="P182" s="93">
        <f t="shared" si="7"/>
        <v>4.1472690721158223E-3</v>
      </c>
      <c r="Q182" s="93">
        <f>B182*'Portfolio 2 &amp; 3'!$F$7+C182*'Portfolio 2 &amp; 3'!$F$8+D182*'Portfolio 2 &amp; 3'!$F$9+E182*'Portfolio 2 &amp; 3'!$F$10+F182*'Portfolio 2 &amp; 3'!$F$11+G182*'Portfolio 2 &amp; 3'!$F$12+H182*'Portfolio 2 &amp; 3'!$F$13+I182*'Portfolio 2 &amp; 3'!$F$14+J182*'Portfolio 2 &amp; 3'!$F$15+K182*'Portfolio 2 &amp; 3'!$F$16</f>
        <v>-3.2342836913720439E-3</v>
      </c>
      <c r="R182" s="93">
        <f>B182*'Portfolio 2 &amp; 3'!$B$23+C182*'Portfolio 2 &amp; 3'!$B$24+D182*'Portfolio 2 &amp; 3'!$B$25+E182*'Portfolio 2 &amp; 3'!$B$26+F182*'Portfolio 2 &amp; 3'!$B$27+G182*'Portfolio 2 &amp; 3'!$B$28+H182*'Portfolio 2 &amp; 3'!$B$29+I182*'Portfolio 2 &amp; 3'!$B$30+J182*'Portfolio 2 &amp; 3'!$B$31+K182*'Portfolio 2 &amp; 3'!$B$32</f>
        <v>-4.9820087841766537E-3</v>
      </c>
      <c r="S182" s="93">
        <f t="shared" si="8"/>
        <v>1.8594202509141233E-3</v>
      </c>
    </row>
    <row r="183" spans="1:19" ht="12.75" customHeight="1">
      <c r="A183" s="82">
        <v>45818</v>
      </c>
      <c r="B183" s="53">
        <v>-5.1999999999999998E-3</v>
      </c>
      <c r="C183" s="53">
        <v>1.75438596491229E-2</v>
      </c>
      <c r="D183" s="53">
        <v>-8.4550345887779398E-3</v>
      </c>
      <c r="E183" s="53">
        <v>-4.3299999999999996E-3</v>
      </c>
      <c r="F183" s="53">
        <v>8.37056437118067E-3</v>
      </c>
      <c r="G183" s="53">
        <v>1.26701669443834E-2</v>
      </c>
      <c r="H183" s="87">
        <v>8.5855969210273404E-3</v>
      </c>
      <c r="I183" s="53">
        <v>2.3705108450866599E-4</v>
      </c>
      <c r="J183" s="53">
        <v>-1.24203193796413E-2</v>
      </c>
      <c r="K183" s="53">
        <v>8.9299002827791796E-4</v>
      </c>
      <c r="L183" s="95">
        <f>IFERROR(B183*'Stock Statistics'!$C$41+C183*'Stock Statistics'!$C$42+D183*'Stock Statistics'!$C$43+E183*'Stock Statistics'!$C$44+F183*'Stock Statistics'!$C$45+G183*'Stock Statistics'!$C$46+H183*'Stock Statistics'!$C$47+I183*'Stock Statistics'!$C$48+J183*'Stock Statistics'!$C$49+K183*'Stock Statistics'!$C$50,"")</f>
        <v>1.7894875030081655E-3</v>
      </c>
      <c r="M183" s="97">
        <v>488.29610000000002</v>
      </c>
      <c r="N183" s="96">
        <v>565.577</v>
      </c>
      <c r="O183" s="93">
        <f t="shared" si="6"/>
        <v>2.2759213961447422E-3</v>
      </c>
      <c r="P183" s="93">
        <f t="shared" si="7"/>
        <v>-4.1232900850340926E-4</v>
      </c>
      <c r="Q183" s="93">
        <f>B183*'Portfolio 2 &amp; 3'!$F$7+C183*'Portfolio 2 &amp; 3'!$F$8+D183*'Portfolio 2 &amp; 3'!$F$9+E183*'Portfolio 2 &amp; 3'!$F$10+F183*'Portfolio 2 &amp; 3'!$F$11+G183*'Portfolio 2 &amp; 3'!$F$12+H183*'Portfolio 2 &amp; 3'!$F$13+I183*'Portfolio 2 &amp; 3'!$F$14+J183*'Portfolio 2 &amp; 3'!$F$15+K183*'Portfolio 2 &amp; 3'!$F$16</f>
        <v>1.1546250154512421E-3</v>
      </c>
      <c r="R183" s="93">
        <f>B183*'Portfolio 2 &amp; 3'!$B$23+C183*'Portfolio 2 &amp; 3'!$B$24+D183*'Portfolio 2 &amp; 3'!$B$25+E183*'Portfolio 2 &amp; 3'!$B$26+F183*'Portfolio 2 &amp; 3'!$B$27+G183*'Portfolio 2 &amp; 3'!$B$28+H183*'Portfolio 2 &amp; 3'!$B$29+I183*'Portfolio 2 &amp; 3'!$B$30+J183*'Portfolio 2 &amp; 3'!$B$31+K183*'Portfolio 2 &amp; 3'!$B$32</f>
        <v>5.2043032814370217E-3</v>
      </c>
      <c r="S183" s="93">
        <f t="shared" si="8"/>
        <v>9.3179619382066647E-4</v>
      </c>
    </row>
    <row r="184" spans="1:19" ht="12.75" customHeight="1">
      <c r="A184" s="81">
        <v>45817</v>
      </c>
      <c r="B184" s="53">
        <v>5.7000000000000002E-3</v>
      </c>
      <c r="C184" s="53">
        <v>2.2622107969152401E-3</v>
      </c>
      <c r="D184" s="53">
        <v>8.4402721557146308E-3</v>
      </c>
      <c r="E184" s="53">
        <v>6.8100000000000001E-3</v>
      </c>
      <c r="F184" s="53">
        <v>1.4060303077644099E-2</v>
      </c>
      <c r="G184" s="53">
        <v>8.36952731192331E-3</v>
      </c>
      <c r="H184" s="87">
        <v>1.70521945432967E-3</v>
      </c>
      <c r="I184" s="53">
        <v>-1.8928191174729699E-3</v>
      </c>
      <c r="J184" s="53">
        <v>7.2147206777866098E-3</v>
      </c>
      <c r="K184" s="53">
        <v>6.7425831585257202E-3</v>
      </c>
      <c r="L184" s="95">
        <f>IFERROR(B184*'Stock Statistics'!$C$41+C184*'Stock Statistics'!$C$42+D184*'Stock Statistics'!$C$43+E184*'Stock Statistics'!$C$44+F184*'Stock Statistics'!$C$45+G184*'Stock Statistics'!$C$46+H184*'Stock Statistics'!$C$47+I184*'Stock Statistics'!$C$48+J184*'Stock Statistics'!$C$49+K184*'Stock Statistics'!$C$50,"")</f>
        <v>5.9412017515366317E-3</v>
      </c>
      <c r="M184" s="96">
        <v>487.18729999999999</v>
      </c>
      <c r="N184" s="97">
        <v>565.81029999999998</v>
      </c>
      <c r="O184" s="93">
        <f t="shared" si="6"/>
        <v>3.3892042640208953E-3</v>
      </c>
      <c r="P184" s="93">
        <f t="shared" si="7"/>
        <v>8.2416642491640602E-3</v>
      </c>
      <c r="Q184" s="93">
        <f>B184*'Portfolio 2 &amp; 3'!$F$7+C184*'Portfolio 2 &amp; 3'!$F$8+D184*'Portfolio 2 &amp; 3'!$F$9+E184*'Portfolio 2 &amp; 3'!$F$10+F184*'Portfolio 2 &amp; 3'!$F$11+G184*'Portfolio 2 &amp; 3'!$F$12+H184*'Portfolio 2 &amp; 3'!$F$13+I184*'Portfolio 2 &amp; 3'!$F$14+J184*'Portfolio 2 &amp; 3'!$F$15+K184*'Portfolio 2 &amp; 3'!$F$16</f>
        <v>5.824246019718894E-3</v>
      </c>
      <c r="R184" s="93">
        <f>B184*'Portfolio 2 &amp; 3'!$B$23+C184*'Portfolio 2 &amp; 3'!$B$24+D184*'Portfolio 2 &amp; 3'!$B$25+E184*'Portfolio 2 &amp; 3'!$B$26+F184*'Portfolio 2 &amp; 3'!$B$27+G184*'Portfolio 2 &amp; 3'!$B$28+H184*'Portfolio 2 &amp; 3'!$B$29+I184*'Portfolio 2 &amp; 3'!$B$30+J184*'Portfolio 2 &amp; 3'!$B$31+K184*'Portfolio 2 &amp; 3'!$B$32</f>
        <v>4.8005116828499722E-3</v>
      </c>
      <c r="S184" s="93">
        <f t="shared" si="8"/>
        <v>5.8154342565924777E-3</v>
      </c>
    </row>
    <row r="185" spans="1:19" ht="12.75" customHeight="1">
      <c r="A185" s="82">
        <v>45814</v>
      </c>
      <c r="B185" s="53">
        <v>-2.0999999999999999E-3</v>
      </c>
      <c r="C185" s="53">
        <v>3.9227831113863897E-3</v>
      </c>
      <c r="D185" s="53">
        <v>0</v>
      </c>
      <c r="E185" s="53">
        <v>5.11E-3</v>
      </c>
      <c r="F185" s="53">
        <v>4.6562728889818503E-3</v>
      </c>
      <c r="G185" s="53">
        <v>4.0105675271351303E-3</v>
      </c>
      <c r="H185" s="87">
        <v>2.25153513759382E-2</v>
      </c>
      <c r="I185" s="53">
        <v>1.06584557081946E-3</v>
      </c>
      <c r="J185" s="53">
        <v>2.7877339705297799E-3</v>
      </c>
      <c r="K185" s="53">
        <v>6.1812151364390999E-3</v>
      </c>
      <c r="L185" s="95">
        <f>IFERROR(B185*'Stock Statistics'!$C$41+C185*'Stock Statistics'!$C$42+D185*'Stock Statistics'!$C$43+E185*'Stock Statistics'!$C$44+F185*'Stock Statistics'!$C$45+G185*'Stock Statistics'!$C$46+H185*'Stock Statistics'!$C$47+I185*'Stock Statistics'!$C$48+J185*'Stock Statistics'!$C$49+K185*'Stock Statistics'!$C$50,"")</f>
        <v>4.814976958122991E-3</v>
      </c>
      <c r="M185" s="97">
        <v>485.54169999999999</v>
      </c>
      <c r="N185" s="96">
        <v>561.18520000000001</v>
      </c>
      <c r="O185" s="93">
        <f t="shared" si="6"/>
        <v>6.6196923511974148E-3</v>
      </c>
      <c r="P185" s="93">
        <f t="shared" si="7"/>
        <v>4.1282712863988102E-3</v>
      </c>
      <c r="Q185" s="93">
        <f>B185*'Portfolio 2 &amp; 3'!$F$7+C185*'Portfolio 2 &amp; 3'!$F$8+D185*'Portfolio 2 &amp; 3'!$F$9+E185*'Portfolio 2 &amp; 3'!$F$10+F185*'Portfolio 2 &amp; 3'!$F$11+G185*'Portfolio 2 &amp; 3'!$F$12+H185*'Portfolio 2 &amp; 3'!$F$13+I185*'Portfolio 2 &amp; 3'!$F$14+J185*'Portfolio 2 &amp; 3'!$F$15+K185*'Portfolio 2 &amp; 3'!$F$16</f>
        <v>5.9777819021049495E-3</v>
      </c>
      <c r="R185" s="93">
        <f>B185*'Portfolio 2 &amp; 3'!$B$23+C185*'Portfolio 2 &amp; 3'!$B$24+D185*'Portfolio 2 &amp; 3'!$B$25+E185*'Portfolio 2 &amp; 3'!$B$26+F185*'Portfolio 2 &amp; 3'!$B$27+G185*'Portfolio 2 &amp; 3'!$B$28+H185*'Portfolio 2 &amp; 3'!$B$29+I185*'Portfolio 2 &amp; 3'!$B$30+J185*'Portfolio 2 &amp; 3'!$B$31+K185*'Portfolio 2 &amp; 3'!$B$32</f>
        <v>3.193877398704826E-3</v>
      </c>
      <c r="S185" s="93">
        <f t="shared" si="8"/>
        <v>5.3739818187981125E-3</v>
      </c>
    </row>
    <row r="186" spans="1:19" ht="12.75" customHeight="1">
      <c r="A186" s="81">
        <v>45813</v>
      </c>
      <c r="B186" s="53">
        <v>1.2800000000000001E-2</v>
      </c>
      <c r="C186" s="53">
        <v>-5.1350518640238497E-3</v>
      </c>
      <c r="D186" s="53">
        <v>1.3799051315222001E-3</v>
      </c>
      <c r="E186" s="53">
        <v>-7.6600000000000001E-3</v>
      </c>
      <c r="F186" s="53">
        <v>2.5979602791197199E-2</v>
      </c>
      <c r="G186" s="53">
        <v>1.4663223996684901E-3</v>
      </c>
      <c r="H186" s="87">
        <v>-1.36270724506016E-3</v>
      </c>
      <c r="I186" s="53">
        <v>-3.3050047214353601E-3</v>
      </c>
      <c r="J186" s="53">
        <v>1.59553250897471E-3</v>
      </c>
      <c r="K186" s="53">
        <v>1.35228054091221E-2</v>
      </c>
      <c r="L186" s="95">
        <f>IFERROR(B186*'Stock Statistics'!$C$41+C186*'Stock Statistics'!$C$42+D186*'Stock Statistics'!$C$43+E186*'Stock Statistics'!$C$44+F186*'Stock Statistics'!$C$45+G186*'Stock Statistics'!$C$46+H186*'Stock Statistics'!$C$47+I186*'Stock Statistics'!$C$48+J186*'Stock Statistics'!$C$49+K186*'Stock Statistics'!$C$50,"")</f>
        <v>3.9281404409965328E-3</v>
      </c>
      <c r="M186" s="96">
        <v>482.34870000000001</v>
      </c>
      <c r="N186" s="97">
        <v>558.87800000000004</v>
      </c>
      <c r="O186" s="93">
        <f t="shared" si="6"/>
        <v>1.8100545571004822E-3</v>
      </c>
      <c r="P186" s="93">
        <f t="shared" si="7"/>
        <v>-2.6027222218653057E-3</v>
      </c>
      <c r="Q186" s="93">
        <f>B186*'Portfolio 2 &amp; 3'!$F$7+C186*'Portfolio 2 &amp; 3'!$F$8+D186*'Portfolio 2 &amp; 3'!$F$9+E186*'Portfolio 2 &amp; 3'!$F$10+F186*'Portfolio 2 &amp; 3'!$F$11+G186*'Portfolio 2 &amp; 3'!$F$12+H186*'Portfolio 2 &amp; 3'!$F$13+I186*'Portfolio 2 &amp; 3'!$F$14+J186*'Portfolio 2 &amp; 3'!$F$15+K186*'Portfolio 2 &amp; 3'!$F$16</f>
        <v>3.5330504299014337E-3</v>
      </c>
      <c r="R186" s="93">
        <f>B186*'Portfolio 2 &amp; 3'!$B$23+C186*'Portfolio 2 &amp; 3'!$B$24+D186*'Portfolio 2 &amp; 3'!$B$25+E186*'Portfolio 2 &amp; 3'!$B$26+F186*'Portfolio 2 &amp; 3'!$B$27+G186*'Portfolio 2 &amp; 3'!$B$28+H186*'Portfolio 2 &amp; 3'!$B$29+I186*'Portfolio 2 &amp; 3'!$B$30+J186*'Portfolio 2 &amp; 3'!$B$31+K186*'Portfolio 2 &amp; 3'!$B$32</f>
        <v>5.3476053127243205E-3</v>
      </c>
      <c r="S186" s="93">
        <f t="shared" si="8"/>
        <v>-3.9633383238241171E-4</v>
      </c>
    </row>
    <row r="187" spans="1:19" ht="12.75" customHeight="1">
      <c r="A187" s="82">
        <v>45812</v>
      </c>
      <c r="B187" s="53">
        <v>5.1000000000000004E-3</v>
      </c>
      <c r="C187" s="53">
        <v>-2.5617932552787E-2</v>
      </c>
      <c r="D187" s="53">
        <v>1.82664441907439E-2</v>
      </c>
      <c r="E187" s="53">
        <v>-2.6900000000000001E-3</v>
      </c>
      <c r="F187" s="53">
        <v>5.5051813471502804E-3</v>
      </c>
      <c r="G187" s="53">
        <v>6.6985645933015402E-4</v>
      </c>
      <c r="H187" s="87">
        <v>2.34774523477452E-2</v>
      </c>
      <c r="I187" s="53">
        <v>9.0519294902333697E-3</v>
      </c>
      <c r="J187" s="53">
        <v>9.6657269432138797E-3</v>
      </c>
      <c r="K187" s="53">
        <v>-1.2672550350758101E-2</v>
      </c>
      <c r="L187" s="95">
        <f>IFERROR(B187*'Stock Statistics'!$C$41+C187*'Stock Statistics'!$C$42+D187*'Stock Statistics'!$C$43+E187*'Stock Statistics'!$C$44+F187*'Stock Statistics'!$C$45+G187*'Stock Statistics'!$C$46+H187*'Stock Statistics'!$C$47+I187*'Stock Statistics'!$C$48+J187*'Stock Statistics'!$C$49+K187*'Stock Statistics'!$C$50,"")</f>
        <v>3.0756107874871678E-3</v>
      </c>
      <c r="M187" s="97">
        <v>481.47719999999998</v>
      </c>
      <c r="N187" s="96">
        <v>560.33640000000003</v>
      </c>
      <c r="O187" s="93">
        <f t="shared" si="6"/>
        <v>7.1764985205413634E-3</v>
      </c>
      <c r="P187" s="93">
        <f t="shared" si="7"/>
        <v>-9.3623826916267028E-4</v>
      </c>
      <c r="Q187" s="93">
        <f>B187*'Portfolio 2 &amp; 3'!$F$7+C187*'Portfolio 2 &amp; 3'!$F$8+D187*'Portfolio 2 &amp; 3'!$F$9+E187*'Portfolio 2 &amp; 3'!$F$10+F187*'Portfolio 2 &amp; 3'!$F$11+G187*'Portfolio 2 &amp; 3'!$F$12+H187*'Portfolio 2 &amp; 3'!$F$13+I187*'Portfolio 2 &amp; 3'!$F$14+J187*'Portfolio 2 &amp; 3'!$F$15+K187*'Portfolio 2 &amp; 3'!$F$16</f>
        <v>5.7167524891937301E-3</v>
      </c>
      <c r="R187" s="93">
        <f>B187*'Portfolio 2 &amp; 3'!$B$23+C187*'Portfolio 2 &amp; 3'!$B$24+D187*'Portfolio 2 &amp; 3'!$B$25+E187*'Portfolio 2 &amp; 3'!$B$26+F187*'Portfolio 2 &amp; 3'!$B$27+G187*'Portfolio 2 &amp; 3'!$B$28+H187*'Portfolio 2 &amp; 3'!$B$29+I187*'Portfolio 2 &amp; 3'!$B$30+J187*'Portfolio 2 &amp; 3'!$B$31+K187*'Portfolio 2 &amp; 3'!$B$32</f>
        <v>-8.5322265740887522E-4</v>
      </c>
      <c r="S187" s="93">
        <f t="shared" si="8"/>
        <v>3.1201301256893466E-3</v>
      </c>
    </row>
    <row r="188" spans="1:19" ht="12.75" customHeight="1">
      <c r="A188" s="81">
        <v>45811</v>
      </c>
      <c r="B188" s="53">
        <v>1.7299999999999999E-2</v>
      </c>
      <c r="C188" s="53">
        <v>-1.96213087412931E-2</v>
      </c>
      <c r="D188" s="53">
        <v>-4.4588214722852699E-3</v>
      </c>
      <c r="E188" s="53">
        <v>2.1080000000000002E-2</v>
      </c>
      <c r="F188" s="53">
        <v>-1.72413793103454E-3</v>
      </c>
      <c r="G188" s="53">
        <v>2.3019374640320701E-3</v>
      </c>
      <c r="H188" s="87">
        <v>3.0913012221423401E-2</v>
      </c>
      <c r="I188" s="53">
        <v>-2.3171528726753099E-3</v>
      </c>
      <c r="J188" s="53">
        <v>1.21611522521909E-2</v>
      </c>
      <c r="K188" s="53">
        <v>1.5865820489573399E-3</v>
      </c>
      <c r="L188" s="95">
        <f>IFERROR(B188*'Stock Statistics'!$C$41+C188*'Stock Statistics'!$C$42+D188*'Stock Statistics'!$C$43+E188*'Stock Statistics'!$C$44+F188*'Stock Statistics'!$C$45+G188*'Stock Statistics'!$C$46+H188*'Stock Statistics'!$C$47+I188*'Stock Statistics'!$C$48+J188*'Stock Statistics'!$C$49+K188*'Stock Statistics'!$C$50,"")</f>
        <v>5.7221262969315489E-3</v>
      </c>
      <c r="M188" s="96">
        <v>478.04649999999998</v>
      </c>
      <c r="N188" s="97">
        <v>560.86149999999998</v>
      </c>
      <c r="O188" s="93">
        <f t="shared" si="6"/>
        <v>4.4992144445543669E-3</v>
      </c>
      <c r="P188" s="93">
        <f t="shared" si="7"/>
        <v>-3.5022840712702896E-3</v>
      </c>
      <c r="Q188" s="93">
        <f>B188*'Portfolio 2 &amp; 3'!$F$7+C188*'Portfolio 2 &amp; 3'!$F$8+D188*'Portfolio 2 &amp; 3'!$F$9+E188*'Portfolio 2 &amp; 3'!$F$10+F188*'Portfolio 2 &amp; 3'!$F$11+G188*'Portfolio 2 &amp; 3'!$F$12+H188*'Portfolio 2 &amp; 3'!$F$13+I188*'Portfolio 2 &amp; 3'!$F$14+J188*'Portfolio 2 &amp; 3'!$F$15+K188*'Portfolio 2 &amp; 3'!$F$16</f>
        <v>6.8929484275620624E-3</v>
      </c>
      <c r="R188" s="93">
        <f>B188*'Portfolio 2 &amp; 3'!$B$23+C188*'Portfolio 2 &amp; 3'!$B$24+D188*'Portfolio 2 &amp; 3'!$B$25+E188*'Portfolio 2 &amp; 3'!$B$26+F188*'Portfolio 2 &amp; 3'!$B$27+G188*'Portfolio 2 &amp; 3'!$B$28+H188*'Portfolio 2 &amp; 3'!$B$29+I188*'Portfolio 2 &amp; 3'!$B$30+J188*'Portfolio 2 &amp; 3'!$B$31+K188*'Portfolio 2 &amp; 3'!$B$32</f>
        <v>-6.3508295505912882E-4</v>
      </c>
      <c r="S188" s="93">
        <f t="shared" si="8"/>
        <v>4.9846518664203865E-4</v>
      </c>
    </row>
    <row r="189" spans="1:19" ht="12.75" customHeight="1">
      <c r="A189" s="82">
        <v>45810</v>
      </c>
      <c r="B189" s="53">
        <v>4.8999999999999998E-3</v>
      </c>
      <c r="C189" s="53">
        <v>-3.9227223693238901E-4</v>
      </c>
      <c r="D189" s="53">
        <v>6.15763546798021E-3</v>
      </c>
      <c r="E189" s="53">
        <v>-5.1200000000000004E-3</v>
      </c>
      <c r="F189" s="53">
        <v>-2.1505376344086499E-3</v>
      </c>
      <c r="G189" s="53">
        <v>-1.47730494219925E-2</v>
      </c>
      <c r="H189" s="87">
        <v>2.8839221341023799E-3</v>
      </c>
      <c r="I189" s="53">
        <v>1.0931587482731601E-2</v>
      </c>
      <c r="J189" s="53">
        <v>-8.82432799348298E-4</v>
      </c>
      <c r="K189" s="53">
        <v>1.34762633996937E-2</v>
      </c>
      <c r="L189" s="95">
        <f>IFERROR(B189*'Stock Statistics'!$C$41+C189*'Stock Statistics'!$C$42+D189*'Stock Statistics'!$C$43+E189*'Stock Statistics'!$C$44+F189*'Stock Statistics'!$C$45+G189*'Stock Statistics'!$C$46+H189*'Stock Statistics'!$C$47+I189*'Stock Statistics'!$C$48+J189*'Stock Statistics'!$C$49+K189*'Stock Statistics'!$C$50,"")</f>
        <v>1.5031116391826052E-3</v>
      </c>
      <c r="M189" s="97">
        <v>475.90530000000001</v>
      </c>
      <c r="N189" s="96">
        <v>562.83270000000005</v>
      </c>
      <c r="O189" s="93">
        <f t="shared" si="6"/>
        <v>-1.6184970613212224E-3</v>
      </c>
      <c r="P189" s="93">
        <f t="shared" si="7"/>
        <v>5.2000183597296079E-3</v>
      </c>
      <c r="Q189" s="93">
        <f>B189*'Portfolio 2 &amp; 3'!$F$7+C189*'Portfolio 2 &amp; 3'!$F$8+D189*'Portfolio 2 &amp; 3'!$F$9+E189*'Portfolio 2 &amp; 3'!$F$10+F189*'Portfolio 2 &amp; 3'!$F$11+G189*'Portfolio 2 &amp; 3'!$F$12+H189*'Portfolio 2 &amp; 3'!$F$13+I189*'Portfolio 2 &amp; 3'!$F$14+J189*'Portfolio 2 &amp; 3'!$F$15+K189*'Portfolio 2 &amp; 3'!$F$16</f>
        <v>2.0427648443177727E-3</v>
      </c>
      <c r="R189" s="93">
        <f>B189*'Portfolio 2 &amp; 3'!$B$23+C189*'Portfolio 2 &amp; 3'!$B$24+D189*'Portfolio 2 &amp; 3'!$B$25+E189*'Portfolio 2 &amp; 3'!$B$26+F189*'Portfolio 2 &amp; 3'!$B$27+G189*'Portfolio 2 &amp; 3'!$B$28+H189*'Portfolio 2 &amp; 3'!$B$29+I189*'Portfolio 2 &amp; 3'!$B$30+J189*'Portfolio 2 &amp; 3'!$B$31+K189*'Portfolio 2 &amp; 3'!$B$32</f>
        <v>2.6969281161807355E-3</v>
      </c>
      <c r="S189" s="93">
        <f t="shared" si="8"/>
        <v>1.7907606492041928E-3</v>
      </c>
    </row>
    <row r="190" spans="1:19" ht="12.75" customHeight="1">
      <c r="A190" s="81">
        <v>45807</v>
      </c>
      <c r="B190" s="53">
        <v>3.5000000000000001E-3</v>
      </c>
      <c r="C190" s="53">
        <v>-3.7019548588157501E-2</v>
      </c>
      <c r="D190" s="53">
        <v>-9.5835511413138192E-3</v>
      </c>
      <c r="E190" s="53">
        <v>-8.1200000000000005E-3</v>
      </c>
      <c r="F190" s="53">
        <v>5.6772100567721298E-3</v>
      </c>
      <c r="G190" s="53">
        <v>4.3022998323367602E-3</v>
      </c>
      <c r="H190" s="87">
        <v>4.80884828083728E-4</v>
      </c>
      <c r="I190" s="53">
        <v>-1.5592203898050501E-3</v>
      </c>
      <c r="J190" s="53">
        <v>2.04053870221732E-3</v>
      </c>
      <c r="K190" s="53">
        <v>-1.3763572411683599E-3</v>
      </c>
      <c r="L190" s="95">
        <f>IFERROR(B190*'Stock Statistics'!$C$41+C190*'Stock Statistics'!$C$42+D190*'Stock Statistics'!$C$43+E190*'Stock Statistics'!$C$44+F190*'Stock Statistics'!$C$45+G190*'Stock Statistics'!$C$46+H190*'Stock Statistics'!$C$47+I190*'Stock Statistics'!$C$48+J190*'Stock Statistics'!$C$49+K190*'Stock Statistics'!$C$50,"")</f>
        <v>-4.1657743941034787E-3</v>
      </c>
      <c r="M190" s="96">
        <v>476.67680000000001</v>
      </c>
      <c r="N190" s="97">
        <v>559.92110000000002</v>
      </c>
      <c r="O190" s="93">
        <f t="shared" si="6"/>
        <v>-2.9348650717170299E-3</v>
      </c>
      <c r="P190" s="93">
        <f t="shared" si="7"/>
        <v>-2.0934040307204471E-3</v>
      </c>
      <c r="Q190" s="93">
        <f>B190*'Portfolio 2 &amp; 3'!$F$7+C190*'Portfolio 2 &amp; 3'!$F$8+D190*'Portfolio 2 &amp; 3'!$F$9+E190*'Portfolio 2 &amp; 3'!$F$10+F190*'Portfolio 2 &amp; 3'!$F$11+G190*'Portfolio 2 &amp; 3'!$F$12+H190*'Portfolio 2 &amp; 3'!$F$13+I190*'Portfolio 2 &amp; 3'!$F$14+J190*'Portfolio 2 &amp; 3'!$F$15+K190*'Portfolio 2 &amp; 3'!$F$16</f>
        <v>-4.2704396572378787E-3</v>
      </c>
      <c r="R190" s="93">
        <f>B190*'Portfolio 2 &amp; 3'!$B$23+C190*'Portfolio 2 &amp; 3'!$B$24+D190*'Portfolio 2 &amp; 3'!$B$25+E190*'Portfolio 2 &amp; 3'!$B$26+F190*'Portfolio 2 &amp; 3'!$B$27+G190*'Portfolio 2 &amp; 3'!$B$28+H190*'Portfolio 2 &amp; 3'!$B$29+I190*'Portfolio 2 &amp; 3'!$B$30+J190*'Portfolio 2 &amp; 3'!$B$31+K190*'Portfolio 2 &amp; 3'!$B$32</f>
        <v>-5.8029473723830395E-3</v>
      </c>
      <c r="S190" s="93">
        <f t="shared" si="8"/>
        <v>-2.5141345512187385E-3</v>
      </c>
    </row>
    <row r="191" spans="1:19" ht="12.75" customHeight="1">
      <c r="A191" s="82">
        <v>45806</v>
      </c>
      <c r="B191" s="53">
        <v>7.6E-3</v>
      </c>
      <c r="C191" s="53">
        <v>5.6985468705479398E-3</v>
      </c>
      <c r="D191" s="53">
        <v>-2.1399948844743898E-2</v>
      </c>
      <c r="E191" s="53">
        <v>3.63E-3</v>
      </c>
      <c r="F191" s="53">
        <v>-9.1832324978391401E-4</v>
      </c>
      <c r="G191" s="53">
        <v>-1.5161565431631701E-3</v>
      </c>
      <c r="H191" s="87">
        <v>-2.7973145780051398E-3</v>
      </c>
      <c r="I191" s="53">
        <v>-4.2398184641108099E-3</v>
      </c>
      <c r="J191" s="53">
        <v>3.07020536262526E-3</v>
      </c>
      <c r="K191" s="53">
        <v>-1.10405323653963E-2</v>
      </c>
      <c r="L191" s="95">
        <f>IFERROR(B191*'Stock Statistics'!$C$41+C191*'Stock Statistics'!$C$42+D191*'Stock Statistics'!$C$43+E191*'Stock Statistics'!$C$44+F191*'Stock Statistics'!$C$45+G191*'Stock Statistics'!$C$46+H191*'Stock Statistics'!$C$47+I191*'Stock Statistics'!$C$48+J191*'Stock Statistics'!$C$49+K191*'Stock Statistics'!$C$50,"")</f>
        <v>-2.1913341812030036E-3</v>
      </c>
      <c r="M191" s="97">
        <v>478.07990000000001</v>
      </c>
      <c r="N191" s="96">
        <v>561.09569999999997</v>
      </c>
      <c r="O191" s="93">
        <f t="shared" si="6"/>
        <v>-1.8197463817370974E-5</v>
      </c>
      <c r="P191" s="93">
        <f t="shared" si="7"/>
        <v>1.6488319496210657E-4</v>
      </c>
      <c r="Q191" s="93">
        <f>B191*'Portfolio 2 &amp; 3'!$F$7+C191*'Portfolio 2 &amp; 3'!$F$8+D191*'Portfolio 2 &amp; 3'!$F$9+E191*'Portfolio 2 &amp; 3'!$F$10+F191*'Portfolio 2 &amp; 3'!$F$11+G191*'Portfolio 2 &amp; 3'!$F$12+H191*'Portfolio 2 &amp; 3'!$F$13+I191*'Portfolio 2 &amp; 3'!$F$14+J191*'Portfolio 2 &amp; 3'!$F$15+K191*'Portfolio 2 &amp; 3'!$F$16</f>
        <v>-2.9481574117650273E-3</v>
      </c>
      <c r="R191" s="93">
        <f>B191*'Portfolio 2 &amp; 3'!$B$23+C191*'Portfolio 2 &amp; 3'!$B$24+D191*'Portfolio 2 &amp; 3'!$B$25+E191*'Portfolio 2 &amp; 3'!$B$26+F191*'Portfolio 2 &amp; 3'!$B$27+G191*'Portfolio 2 &amp; 3'!$B$28+H191*'Portfolio 2 &amp; 3'!$B$29+I191*'Portfolio 2 &amp; 3'!$B$30+J191*'Portfolio 2 &amp; 3'!$B$31+K191*'Portfolio 2 &amp; 3'!$B$32</f>
        <v>-4.5599863252593787E-4</v>
      </c>
      <c r="S191" s="93">
        <f t="shared" si="8"/>
        <v>7.3342865572367799E-5</v>
      </c>
    </row>
    <row r="192" spans="1:19" ht="12.75" customHeight="1">
      <c r="A192" s="81">
        <v>45805</v>
      </c>
      <c r="B192" s="53">
        <v>-9.7000000000000003E-3</v>
      </c>
      <c r="C192" s="53">
        <v>-2.8484618306112702E-4</v>
      </c>
      <c r="D192" s="53">
        <v>2.1867921240634299E-2</v>
      </c>
      <c r="E192" s="53">
        <v>-6.2399999999999999E-3</v>
      </c>
      <c r="F192" s="53">
        <v>8.1690447663653708E-3</v>
      </c>
      <c r="G192" s="53">
        <v>-3.0859338098686599E-3</v>
      </c>
      <c r="H192" s="87">
        <v>2.4034609838166098E-3</v>
      </c>
      <c r="I192" s="53">
        <v>-1.78826895565099E-3</v>
      </c>
      <c r="J192" s="53">
        <v>-7.5834518247681598E-3</v>
      </c>
      <c r="K192" s="53">
        <v>-2.9405111965619098E-3</v>
      </c>
      <c r="L192" s="95">
        <f>IFERROR(B192*'Stock Statistics'!$C$41+C192*'Stock Statistics'!$C$42+D192*'Stock Statistics'!$C$43+E192*'Stock Statistics'!$C$44+F192*'Stock Statistics'!$C$45+G192*'Stock Statistics'!$C$46+H192*'Stock Statistics'!$C$47+I192*'Stock Statistics'!$C$48+J192*'Stock Statistics'!$C$49+K192*'Stock Statistics'!$C$50,"")</f>
        <v>8.1741502090543487E-5</v>
      </c>
      <c r="M192" s="96">
        <v>478.08859999999999</v>
      </c>
      <c r="N192" s="97">
        <v>561.00319999999999</v>
      </c>
      <c r="O192" s="93">
        <f t="shared" si="6"/>
        <v>-9.7880223886459561E-5</v>
      </c>
      <c r="P192" s="93">
        <f t="shared" si="7"/>
        <v>7.4225608930489351E-3</v>
      </c>
      <c r="Q192" s="93">
        <f>B192*'Portfolio 2 &amp; 3'!$F$7+C192*'Portfolio 2 &amp; 3'!$F$8+D192*'Portfolio 2 &amp; 3'!$F$9+E192*'Portfolio 2 &amp; 3'!$F$10+F192*'Portfolio 2 &amp; 3'!$F$11+G192*'Portfolio 2 &amp; 3'!$F$12+H192*'Portfolio 2 &amp; 3'!$F$13+I192*'Portfolio 2 &amp; 3'!$F$14+J192*'Portfolio 2 &amp; 3'!$F$15+K192*'Portfolio 2 &amp; 3'!$F$16</f>
        <v>1.367789557203417E-3</v>
      </c>
      <c r="R192" s="93">
        <f>B192*'Portfolio 2 &amp; 3'!$B$23+C192*'Portfolio 2 &amp; 3'!$B$24+D192*'Portfolio 2 &amp; 3'!$B$25+E192*'Portfolio 2 &amp; 3'!$B$26+F192*'Portfolio 2 &amp; 3'!$B$27+G192*'Portfolio 2 &amp; 3'!$B$28+H192*'Portfolio 2 &amp; 3'!$B$29+I192*'Portfolio 2 &amp; 3'!$B$30+J192*'Portfolio 2 &amp; 3'!$B$31+K192*'Portfolio 2 &amp; 3'!$B$32</f>
        <v>-9.9767706398744445E-4</v>
      </c>
      <c r="S192" s="93">
        <f t="shared" si="8"/>
        <v>3.6623403345812378E-3</v>
      </c>
    </row>
    <row r="193" spans="1:19" ht="12.75" customHeight="1">
      <c r="A193" s="82">
        <v>45804</v>
      </c>
      <c r="B193" s="53">
        <v>6.4999999999999997E-3</v>
      </c>
      <c r="C193" s="53">
        <v>3.23871213564497E-3</v>
      </c>
      <c r="D193" s="53">
        <v>-3.64338482202822E-2</v>
      </c>
      <c r="E193" s="53">
        <v>5.1500000000000001E-3</v>
      </c>
      <c r="F193" s="53">
        <v>5.7512187106314502E-3</v>
      </c>
      <c r="G193" s="53">
        <v>-3.6707033946163899E-3</v>
      </c>
      <c r="H193" s="87">
        <v>4.5066795428938501E-3</v>
      </c>
      <c r="I193" s="53">
        <v>-1.3060360042358001E-2</v>
      </c>
      <c r="J193" s="53">
        <v>5.7201225740553001E-3</v>
      </c>
      <c r="K193" s="53">
        <v>-6.7811934900541303E-4</v>
      </c>
      <c r="L193" s="95">
        <f>IFERROR(B193*'Stock Statistics'!$C$41+C193*'Stock Statistics'!$C$42+D193*'Stock Statistics'!$C$43+E193*'Stock Statistics'!$C$44+F193*'Stock Statistics'!$C$45+G193*'Stock Statistics'!$C$46+H193*'Stock Statistics'!$C$47+I193*'Stock Statistics'!$C$48+J193*'Stock Statistics'!$C$49+K193*'Stock Statistics'!$C$50,"")</f>
        <v>-2.297629804303643E-3</v>
      </c>
      <c r="M193" s="97">
        <v>478.1354</v>
      </c>
      <c r="N193" s="96">
        <v>556.86980000000005</v>
      </c>
      <c r="O193" s="93">
        <f t="shared" si="6"/>
        <v>3.0460469149964364E-3</v>
      </c>
      <c r="P193" s="93">
        <f t="shared" si="7"/>
        <v>2.5687604308635148E-3</v>
      </c>
      <c r="Q193" s="93">
        <f>B193*'Portfolio 2 &amp; 3'!$F$7+C193*'Portfolio 2 &amp; 3'!$F$8+D193*'Portfolio 2 &amp; 3'!$F$9+E193*'Portfolio 2 &amp; 3'!$F$10+F193*'Portfolio 2 &amp; 3'!$F$11+G193*'Portfolio 2 &amp; 3'!$F$12+H193*'Portfolio 2 &amp; 3'!$F$13+I193*'Portfolio 2 &amp; 3'!$F$14+J193*'Portfolio 2 &amp; 3'!$F$15+K193*'Portfolio 2 &amp; 3'!$F$16</f>
        <v>-2.9356859505534718E-3</v>
      </c>
      <c r="R193" s="93">
        <f>B193*'Portfolio 2 &amp; 3'!$B$23+C193*'Portfolio 2 &amp; 3'!$B$24+D193*'Portfolio 2 &amp; 3'!$B$25+E193*'Portfolio 2 &amp; 3'!$B$26+F193*'Portfolio 2 &amp; 3'!$B$27+G193*'Portfolio 2 &amp; 3'!$B$28+H193*'Portfolio 2 &amp; 3'!$B$29+I193*'Portfolio 2 &amp; 3'!$B$30+J193*'Portfolio 2 &amp; 3'!$B$31+K193*'Portfolio 2 &amp; 3'!$B$32</f>
        <v>-1.4456475111336922E-3</v>
      </c>
      <c r="S193" s="93">
        <f t="shared" si="8"/>
        <v>2.8074036729299756E-3</v>
      </c>
    </row>
    <row r="194" spans="1:19" ht="12.75" customHeight="1">
      <c r="A194" s="81">
        <v>45803</v>
      </c>
      <c r="B194" s="53">
        <v>-1.8700000000000001E-2</v>
      </c>
      <c r="C194" s="53">
        <v>-7.3751891074129699E-3</v>
      </c>
      <c r="D194" s="53">
        <v>8.72216106359547E-3</v>
      </c>
      <c r="E194" s="53">
        <v>-1.5169999999999999E-2</v>
      </c>
      <c r="F194" s="53">
        <v>4.6775258639666396E-3</v>
      </c>
      <c r="G194" s="53">
        <v>4.0003779884714196E-3</v>
      </c>
      <c r="H194" s="87">
        <v>-4.8262548262545401E-4</v>
      </c>
      <c r="I194" s="53">
        <v>2.0043206913106001E-2</v>
      </c>
      <c r="J194" s="53">
        <v>-8.1053698074974295E-3</v>
      </c>
      <c r="K194" s="53">
        <v>-9.2564944759630004E-3</v>
      </c>
      <c r="L194" s="95">
        <f>IFERROR(B194*'Stock Statistics'!$C$41+C194*'Stock Statistics'!$C$42+D194*'Stock Statistics'!$C$43+E194*'Stock Statistics'!$C$44+F194*'Stock Statistics'!$C$45+G194*'Stock Statistics'!$C$46+H194*'Stock Statistics'!$C$47+I194*'Stock Statistics'!$C$48+J194*'Stock Statistics'!$C$49+K194*'Stock Statistics'!$C$50,"")</f>
        <v>-2.1646407044359326E-3</v>
      </c>
      <c r="M194" s="96">
        <v>476.68340000000001</v>
      </c>
      <c r="N194" s="97">
        <v>555.44299999999998</v>
      </c>
      <c r="O194" s="93">
        <f t="shared" ref="O194:O257" si="9">M194/M195-1</f>
        <v>-2.8265736413222164E-3</v>
      </c>
      <c r="P194" s="93">
        <f t="shared" ref="P194:P257" si="10">N194/N195-1</f>
        <v>-6.1665152353936881E-3</v>
      </c>
      <c r="Q194" s="93">
        <f>B194*'Portfolio 2 &amp; 3'!$F$7+C194*'Portfolio 2 &amp; 3'!$F$8+D194*'Portfolio 2 &amp; 3'!$F$9+E194*'Portfolio 2 &amp; 3'!$F$10+F194*'Portfolio 2 &amp; 3'!$F$11+G194*'Portfolio 2 &amp; 3'!$F$12+H194*'Portfolio 2 &amp; 3'!$F$13+I194*'Portfolio 2 &amp; 3'!$F$14+J194*'Portfolio 2 &amp; 3'!$F$15+K194*'Portfolio 2 &amp; 3'!$F$16</f>
        <v>-1.4886268821254064E-3</v>
      </c>
      <c r="R194" s="93">
        <f>B194*'Portfolio 2 &amp; 3'!$B$23+C194*'Portfolio 2 &amp; 3'!$B$24+D194*'Portfolio 2 &amp; 3'!$B$25+E194*'Portfolio 2 &amp; 3'!$B$26+F194*'Portfolio 2 &amp; 3'!$B$27+G194*'Portfolio 2 &amp; 3'!$B$28+H194*'Portfolio 2 &amp; 3'!$B$29+I194*'Portfolio 2 &amp; 3'!$B$30+J194*'Portfolio 2 &amp; 3'!$B$31+K194*'Portfolio 2 &amp; 3'!$B$32</f>
        <v>1.2929680326202774E-3</v>
      </c>
      <c r="S194" s="93">
        <f t="shared" ref="S194:S257" si="11">IFERROR(AVERAGE(O194,P194),"")</f>
        <v>-4.4965444383579523E-3</v>
      </c>
    </row>
    <row r="195" spans="1:19" ht="12.75" customHeight="1">
      <c r="A195" s="82">
        <v>45800</v>
      </c>
      <c r="B195" s="53">
        <v>-1.12E-2</v>
      </c>
      <c r="C195" s="53">
        <v>-2.0758633704472998E-3</v>
      </c>
      <c r="D195" s="53">
        <v>-1.3532704034750501E-2</v>
      </c>
      <c r="E195" s="53">
        <v>-9.3500000000000007E-3</v>
      </c>
      <c r="F195" s="53">
        <v>5.7003708008189803E-3</v>
      </c>
      <c r="G195" s="53">
        <v>-1.16127023661271E-2</v>
      </c>
      <c r="H195" s="87">
        <v>1.85349343218633E-3</v>
      </c>
      <c r="I195" s="53">
        <v>-1.00986099560414E-2</v>
      </c>
      <c r="J195" s="53">
        <v>-2.4929254817410702E-3</v>
      </c>
      <c r="K195" s="53">
        <v>-5.7889268220275899E-3</v>
      </c>
      <c r="L195" s="95">
        <f>IFERROR(B195*'Stock Statistics'!$C$41+C195*'Stock Statistics'!$C$42+D195*'Stock Statistics'!$C$43+E195*'Stock Statistics'!$C$44+F195*'Stock Statistics'!$C$45+G195*'Stock Statistics'!$C$46+H195*'Stock Statistics'!$C$47+I195*'Stock Statistics'!$C$48+J195*'Stock Statistics'!$C$49+K195*'Stock Statistics'!$C$50,"")</f>
        <v>-5.8597867798129656E-3</v>
      </c>
      <c r="M195" s="97">
        <v>478.03460000000001</v>
      </c>
      <c r="N195" s="96">
        <v>558.88940000000002</v>
      </c>
      <c r="O195" s="93">
        <f t="shared" si="9"/>
        <v>1.4206010586104156E-4</v>
      </c>
      <c r="P195" s="93">
        <f t="shared" si="10"/>
        <v>1.4327166552449144E-2</v>
      </c>
      <c r="Q195" s="93">
        <f>B195*'Portfolio 2 &amp; 3'!$F$7+C195*'Portfolio 2 &amp; 3'!$F$8+D195*'Portfolio 2 &amp; 3'!$F$9+E195*'Portfolio 2 &amp; 3'!$F$10+F195*'Portfolio 2 &amp; 3'!$F$11+G195*'Portfolio 2 &amp; 3'!$F$12+H195*'Portfolio 2 &amp; 3'!$F$13+I195*'Portfolio 2 &amp; 3'!$F$14+J195*'Portfolio 2 &amp; 3'!$F$15+K195*'Portfolio 2 &amp; 3'!$F$16</f>
        <v>-4.8506896808277701E-3</v>
      </c>
      <c r="R195" s="93">
        <f>B195*'Portfolio 2 &amp; 3'!$B$23+C195*'Portfolio 2 &amp; 3'!$B$24+D195*'Portfolio 2 &amp; 3'!$B$25+E195*'Portfolio 2 &amp; 3'!$B$26+F195*'Portfolio 2 &amp; 3'!$B$27+G195*'Portfolio 2 &amp; 3'!$B$28+H195*'Portfolio 2 &amp; 3'!$B$29+I195*'Portfolio 2 &amp; 3'!$B$30+J195*'Portfolio 2 &amp; 3'!$B$31+K195*'Portfolio 2 &amp; 3'!$B$32</f>
        <v>-5.4459248708601865E-3</v>
      </c>
      <c r="S195" s="93">
        <f t="shared" si="11"/>
        <v>7.2346133291550929E-3</v>
      </c>
    </row>
    <row r="196" spans="1:19" ht="12.75" customHeight="1">
      <c r="A196" s="81">
        <v>45799</v>
      </c>
      <c r="B196" s="53">
        <v>-9.1999999999999998E-3</v>
      </c>
      <c r="C196" s="53">
        <v>-1.39560848529959E-2</v>
      </c>
      <c r="D196" s="53">
        <v>7.4903214946977501E-3</v>
      </c>
      <c r="E196" s="53">
        <v>1.66E-3</v>
      </c>
      <c r="F196" s="53">
        <v>1.5511718091384401E-2</v>
      </c>
      <c r="G196" s="53">
        <v>-2.3411371237458199E-2</v>
      </c>
      <c r="H196" s="87">
        <v>8.7797740021136102E-3</v>
      </c>
      <c r="I196" s="53">
        <v>4.3553487262098E-3</v>
      </c>
      <c r="J196" s="53">
        <v>0</v>
      </c>
      <c r="K196" s="53">
        <v>3.9179392256671199E-2</v>
      </c>
      <c r="L196" s="95">
        <f>IFERROR(B196*'Stock Statistics'!$C$41+C196*'Stock Statistics'!$C$42+D196*'Stock Statistics'!$C$43+E196*'Stock Statistics'!$C$44+F196*'Stock Statistics'!$C$45+G196*'Stock Statistics'!$C$46+H196*'Stock Statistics'!$C$47+I196*'Stock Statistics'!$C$48+J196*'Stock Statistics'!$C$49+K196*'Stock Statistics'!$C$50,"")</f>
        <v>3.0409098480622667E-3</v>
      </c>
      <c r="M196" s="96">
        <v>477.9667</v>
      </c>
      <c r="N196" s="97">
        <v>550.99519999999995</v>
      </c>
      <c r="O196" s="93">
        <f t="shared" si="9"/>
        <v>1.2868899370779285E-3</v>
      </c>
      <c r="P196" s="93">
        <f t="shared" si="10"/>
        <v>-8.9752372949430947E-3</v>
      </c>
      <c r="Q196" s="93">
        <f>B196*'Portfolio 2 &amp; 3'!$F$7+C196*'Portfolio 2 &amp; 3'!$F$8+D196*'Portfolio 2 &amp; 3'!$F$9+E196*'Portfolio 2 &amp; 3'!$F$10+F196*'Portfolio 2 &amp; 3'!$F$11+G196*'Portfolio 2 &amp; 3'!$F$12+H196*'Portfolio 2 &amp; 3'!$F$13+I196*'Portfolio 2 &amp; 3'!$F$14+J196*'Portfolio 2 &amp; 3'!$F$15+K196*'Portfolio 2 &amp; 3'!$F$16</f>
        <v>4.3670755225003475E-3</v>
      </c>
      <c r="R196" s="93">
        <f>B196*'Portfolio 2 &amp; 3'!$B$23+C196*'Portfolio 2 &amp; 3'!$B$24+D196*'Portfolio 2 &amp; 3'!$B$25+E196*'Portfolio 2 &amp; 3'!$B$26+F196*'Portfolio 2 &amp; 3'!$B$27+G196*'Portfolio 2 &amp; 3'!$B$28+H196*'Portfolio 2 &amp; 3'!$B$29+I196*'Portfolio 2 &amp; 3'!$B$30+J196*'Portfolio 2 &amp; 3'!$B$31+K196*'Portfolio 2 &amp; 3'!$B$32</f>
        <v>8.7116707669861009E-4</v>
      </c>
      <c r="S196" s="93">
        <f t="shared" si="11"/>
        <v>-3.8441736789325831E-3</v>
      </c>
    </row>
    <row r="197" spans="1:19" ht="12.75" customHeight="1">
      <c r="A197" s="82">
        <v>45798</v>
      </c>
      <c r="B197" s="53">
        <v>1.9099999999999999E-2</v>
      </c>
      <c r="C197" s="53">
        <v>2.1867275147366499E-2</v>
      </c>
      <c r="D197" s="53">
        <v>-1.32048833153392E-2</v>
      </c>
      <c r="E197" s="53">
        <v>4.6000000000000001E-4</v>
      </c>
      <c r="F197" s="53">
        <v>7.1889505264350903E-3</v>
      </c>
      <c r="G197" s="53">
        <v>1.46537097022983E-2</v>
      </c>
      <c r="H197" s="87">
        <v>6.4637538864342802E-3</v>
      </c>
      <c r="I197" s="53">
        <v>-4.45473984319311E-3</v>
      </c>
      <c r="J197" s="53">
        <v>1.0691181477698399E-2</v>
      </c>
      <c r="K197" s="53">
        <v>-8.4123585194249006E-3</v>
      </c>
      <c r="L197" s="95">
        <f>IFERROR(B197*'Stock Statistics'!$C$41+C197*'Stock Statistics'!$C$42+D197*'Stock Statistics'!$C$43+E197*'Stock Statistics'!$C$44+F197*'Stock Statistics'!$C$45+G197*'Stock Statistics'!$C$46+H197*'Stock Statistics'!$C$47+I197*'Stock Statistics'!$C$48+J197*'Stock Statistics'!$C$49+K197*'Stock Statistics'!$C$50,"")</f>
        <v>5.4352889062275356E-3</v>
      </c>
      <c r="M197" s="97">
        <v>477.35239999999999</v>
      </c>
      <c r="N197" s="96">
        <v>555.98530000000005</v>
      </c>
      <c r="O197" s="93">
        <f t="shared" si="9"/>
        <v>-3.5239191675860981E-3</v>
      </c>
      <c r="P197" s="93">
        <f t="shared" si="10"/>
        <v>5.1935166196690474E-3</v>
      </c>
      <c r="Q197" s="93">
        <f>B197*'Portfolio 2 &amp; 3'!$F$7+C197*'Portfolio 2 &amp; 3'!$F$8+D197*'Portfolio 2 &amp; 3'!$F$9+E197*'Portfolio 2 &amp; 3'!$F$10+F197*'Portfolio 2 &amp; 3'!$F$11+G197*'Portfolio 2 &amp; 3'!$F$12+H197*'Portfolio 2 &amp; 3'!$F$13+I197*'Portfolio 2 &amp; 3'!$F$14+J197*'Portfolio 2 &amp; 3'!$F$15+K197*'Portfolio 2 &amp; 3'!$F$16</f>
        <v>4.7785891365560162E-3</v>
      </c>
      <c r="R197" s="93">
        <f>B197*'Portfolio 2 &amp; 3'!$B$23+C197*'Portfolio 2 &amp; 3'!$B$24+D197*'Portfolio 2 &amp; 3'!$B$25+E197*'Portfolio 2 &amp; 3'!$B$26+F197*'Portfolio 2 &amp; 3'!$B$27+G197*'Portfolio 2 &amp; 3'!$B$28+H197*'Portfolio 2 &amp; 3'!$B$29+I197*'Portfolio 2 &amp; 3'!$B$30+J197*'Portfolio 2 &amp; 3'!$B$31+K197*'Portfolio 2 &amp; 3'!$B$32</f>
        <v>7.9721298530615898E-3</v>
      </c>
      <c r="S197" s="93">
        <f t="shared" si="11"/>
        <v>8.3479872604147465E-4</v>
      </c>
    </row>
    <row r="198" spans="1:19" ht="12.75" customHeight="1">
      <c r="A198" s="81">
        <v>45797</v>
      </c>
      <c r="B198" s="53">
        <v>5.1999999999999998E-3</v>
      </c>
      <c r="C198" s="53">
        <v>-1.2208865514650599E-2</v>
      </c>
      <c r="D198" s="53">
        <v>1.03205235777815E-2</v>
      </c>
      <c r="E198" s="53">
        <v>-1.353E-2</v>
      </c>
      <c r="F198" s="53">
        <v>-3.0672153635116699E-2</v>
      </c>
      <c r="G198" s="53">
        <v>-1.8560009688749102E-2</v>
      </c>
      <c r="H198" s="87">
        <v>-2.0413162407120198E-3</v>
      </c>
      <c r="I198" s="53">
        <v>-2.0422412288357498E-2</v>
      </c>
      <c r="J198" s="53">
        <v>-9.3766864543983804E-3</v>
      </c>
      <c r="K198" s="53">
        <v>-2.13675213675213E-3</v>
      </c>
      <c r="L198" s="95">
        <f>IFERROR(B198*'Stock Statistics'!$C$41+C198*'Stock Statistics'!$C$42+D198*'Stock Statistics'!$C$43+E198*'Stock Statistics'!$C$44+F198*'Stock Statistics'!$C$45+G198*'Stock Statistics'!$C$46+H198*'Stock Statistics'!$C$47+I198*'Stock Statistics'!$C$48+J198*'Stock Statistics'!$C$49+K198*'Stock Statistics'!$C$50,"")</f>
        <v>-9.3427672380954913E-3</v>
      </c>
      <c r="M198" s="96">
        <v>479.04050000000001</v>
      </c>
      <c r="N198" s="97">
        <v>553.11270000000002</v>
      </c>
      <c r="O198" s="93">
        <f t="shared" si="9"/>
        <v>-1.2459393863831769E-3</v>
      </c>
      <c r="P198" s="93">
        <f t="shared" si="10"/>
        <v>1.2798564533276213E-3</v>
      </c>
      <c r="Q198" s="93">
        <f>B198*'Portfolio 2 &amp; 3'!$F$7+C198*'Portfolio 2 &amp; 3'!$F$8+D198*'Portfolio 2 &amp; 3'!$F$9+E198*'Portfolio 2 &amp; 3'!$F$10+F198*'Portfolio 2 &amp; 3'!$F$11+G198*'Portfolio 2 &amp; 3'!$F$12+H198*'Portfolio 2 &amp; 3'!$F$13+I198*'Portfolio 2 &amp; 3'!$F$14+J198*'Portfolio 2 &amp; 3'!$F$15+K198*'Portfolio 2 &amp; 3'!$F$16</f>
        <v>-8.2167551014455213E-3</v>
      </c>
      <c r="R198" s="93">
        <f>B198*'Portfolio 2 &amp; 3'!$B$23+C198*'Portfolio 2 &amp; 3'!$B$24+D198*'Portfolio 2 &amp; 3'!$B$25+E198*'Portfolio 2 &amp; 3'!$B$26+F198*'Portfolio 2 &amp; 3'!$B$27+G198*'Portfolio 2 &amp; 3'!$B$28+H198*'Portfolio 2 &amp; 3'!$B$29+I198*'Portfolio 2 &amp; 3'!$B$30+J198*'Portfolio 2 &amp; 3'!$B$31+K198*'Portfolio 2 &amp; 3'!$B$32</f>
        <v>-1.3977554803447209E-2</v>
      </c>
      <c r="S198" s="93">
        <f t="shared" si="11"/>
        <v>1.6958533472222204E-5</v>
      </c>
    </row>
    <row r="199" spans="1:19" ht="12.75" customHeight="1">
      <c r="A199" s="82">
        <v>45796</v>
      </c>
      <c r="B199" s="53">
        <v>4.1000000000000003E-3</v>
      </c>
      <c r="C199" s="53">
        <v>1.9728021451829201E-2</v>
      </c>
      <c r="D199" s="53">
        <v>-1.16925118169003E-2</v>
      </c>
      <c r="E199" s="53">
        <v>1.1140000000000001E-2</v>
      </c>
      <c r="F199" s="53">
        <v>9.4715852442670608E-3</v>
      </c>
      <c r="G199" s="53">
        <v>1.10199583690462E-2</v>
      </c>
      <c r="H199" s="87">
        <v>4.0842999509882498E-4</v>
      </c>
      <c r="I199" s="53">
        <v>-7.5643838780459199E-3</v>
      </c>
      <c r="J199" s="53">
        <v>1.9251925192519202E-2</v>
      </c>
      <c r="K199" s="53">
        <v>1.54203796977916E-2</v>
      </c>
      <c r="L199" s="95">
        <f>IFERROR(B199*'Stock Statistics'!$C$41+C199*'Stock Statistics'!$C$42+D199*'Stock Statistics'!$C$43+E199*'Stock Statistics'!$C$44+F199*'Stock Statistics'!$C$45+G199*'Stock Statistics'!$C$46+H199*'Stock Statistics'!$C$47+I199*'Stock Statistics'!$C$48+J199*'Stock Statistics'!$C$49+K199*'Stock Statistics'!$C$50,"")</f>
        <v>7.1283404255605863E-3</v>
      </c>
      <c r="M199" s="97">
        <v>479.63810000000001</v>
      </c>
      <c r="N199" s="96">
        <v>552.40570000000002</v>
      </c>
      <c r="O199" s="93">
        <f t="shared" si="9"/>
        <v>6.3990227206538464E-3</v>
      </c>
      <c r="P199" s="93">
        <f t="shared" si="10"/>
        <v>6.1046829828548255E-3</v>
      </c>
      <c r="Q199" s="93">
        <f>B199*'Portfolio 2 &amp; 3'!$F$7+C199*'Portfolio 2 &amp; 3'!$F$8+D199*'Portfolio 2 &amp; 3'!$F$9+E199*'Portfolio 2 &amp; 3'!$F$10+F199*'Portfolio 2 &amp; 3'!$F$11+G199*'Portfolio 2 &amp; 3'!$F$12+H199*'Portfolio 2 &amp; 3'!$F$13+I199*'Portfolio 2 &amp; 3'!$F$14+J199*'Portfolio 2 &amp; 3'!$F$15+K199*'Portfolio 2 &amp; 3'!$F$16</f>
        <v>6.454709296958747E-3</v>
      </c>
      <c r="R199" s="93">
        <f>B199*'Portfolio 2 &amp; 3'!$B$23+C199*'Portfolio 2 &amp; 3'!$B$24+D199*'Portfolio 2 &amp; 3'!$B$25+E199*'Portfolio 2 &amp; 3'!$B$26+F199*'Portfolio 2 &amp; 3'!$B$27+G199*'Portfolio 2 &amp; 3'!$B$28+H199*'Portfolio 2 &amp; 3'!$B$29+I199*'Portfolio 2 &amp; 3'!$B$30+J199*'Portfolio 2 &amp; 3'!$B$31+K199*'Portfolio 2 &amp; 3'!$B$32</f>
        <v>6.9187350120894671E-3</v>
      </c>
      <c r="S199" s="93">
        <f t="shared" si="11"/>
        <v>6.2518528517543359E-3</v>
      </c>
    </row>
    <row r="200" spans="1:19" ht="12.75" customHeight="1">
      <c r="A200" s="81">
        <v>45793</v>
      </c>
      <c r="B200" s="53">
        <v>7.6E-3</v>
      </c>
      <c r="C200" s="53">
        <v>-1.0612090202766799E-2</v>
      </c>
      <c r="D200" s="53">
        <v>3.9127539127539199E-3</v>
      </c>
      <c r="E200" s="53">
        <v>-3.4700000000000002E-2</v>
      </c>
      <c r="F200" s="53">
        <v>-2.2106775726760102E-3</v>
      </c>
      <c r="G200" s="53">
        <v>5.5130168453287897E-4</v>
      </c>
      <c r="H200" s="87">
        <v>4.2657916324857501E-3</v>
      </c>
      <c r="I200" s="53">
        <v>1.40531678182456E-2</v>
      </c>
      <c r="J200" s="53">
        <v>-2.4939662107803601E-2</v>
      </c>
      <c r="K200" s="53">
        <v>-1.93768996960486E-2</v>
      </c>
      <c r="L200" s="95">
        <f>IFERROR(B200*'Stock Statistics'!$C$41+C200*'Stock Statistics'!$C$42+D200*'Stock Statistics'!$C$43+E200*'Stock Statistics'!$C$44+F200*'Stock Statistics'!$C$45+G200*'Stock Statistics'!$C$46+H200*'Stock Statistics'!$C$47+I200*'Stock Statistics'!$C$48+J200*'Stock Statistics'!$C$49+K200*'Stock Statistics'!$C$50,"")</f>
        <v>-6.1456314531276876E-3</v>
      </c>
      <c r="M200" s="96">
        <v>476.58839999999998</v>
      </c>
      <c r="N200" s="97">
        <v>549.0539</v>
      </c>
      <c r="O200" s="93">
        <f t="shared" si="9"/>
        <v>-9.3797352323109484E-3</v>
      </c>
      <c r="P200" s="93">
        <f t="shared" si="10"/>
        <v>5.113493449829809E-3</v>
      </c>
      <c r="Q200" s="93">
        <f>B200*'Portfolio 2 &amp; 3'!$F$7+C200*'Portfolio 2 &amp; 3'!$F$8+D200*'Portfolio 2 &amp; 3'!$F$9+E200*'Portfolio 2 &amp; 3'!$F$10+F200*'Portfolio 2 &amp; 3'!$F$11+G200*'Portfolio 2 &amp; 3'!$F$12+H200*'Portfolio 2 &amp; 3'!$F$13+I200*'Portfolio 2 &amp; 3'!$F$14+J200*'Portfolio 2 &amp; 3'!$F$15+K200*'Portfolio 2 &amp; 3'!$F$16</f>
        <v>-5.9858395384348078E-3</v>
      </c>
      <c r="R200" s="93">
        <f>B200*'Portfolio 2 &amp; 3'!$B$23+C200*'Portfolio 2 &amp; 3'!$B$24+D200*'Portfolio 2 &amp; 3'!$B$25+E200*'Portfolio 2 &amp; 3'!$B$26+F200*'Portfolio 2 &amp; 3'!$B$27+G200*'Portfolio 2 &amp; 3'!$B$28+H200*'Portfolio 2 &amp; 3'!$B$29+I200*'Portfolio 2 &amp; 3'!$B$30+J200*'Portfolio 2 &amp; 3'!$B$31+K200*'Portfolio 2 &amp; 3'!$B$32</f>
        <v>-9.7433976265819556E-5</v>
      </c>
      <c r="S200" s="93">
        <f t="shared" si="11"/>
        <v>-2.1331208912405697E-3</v>
      </c>
    </row>
    <row r="201" spans="1:19" ht="12.75" customHeight="1">
      <c r="A201" s="82">
        <v>45792</v>
      </c>
      <c r="B201" s="53">
        <v>2.0000000000000001E-4</v>
      </c>
      <c r="C201" s="53">
        <v>2.9256875365711001E-2</v>
      </c>
      <c r="D201" s="53">
        <v>-1.29016353028186E-2</v>
      </c>
      <c r="E201" s="53">
        <v>-2.051E-2</v>
      </c>
      <c r="F201" s="53">
        <v>1.3281682346431001E-3</v>
      </c>
      <c r="G201" s="53">
        <v>6.1943357268328097E-3</v>
      </c>
      <c r="H201" s="87">
        <v>-9.5067847566425705E-3</v>
      </c>
      <c r="I201" s="53">
        <v>-1.29464801757023E-2</v>
      </c>
      <c r="J201" s="53">
        <v>-5.5337022468165999E-3</v>
      </c>
      <c r="K201" s="53">
        <v>4.7854128513416597E-2</v>
      </c>
      <c r="L201" s="95">
        <f>IFERROR(B201*'Stock Statistics'!$C$41+C201*'Stock Statistics'!$C$42+D201*'Stock Statistics'!$C$43+E201*'Stock Statistics'!$C$44+F201*'Stock Statistics'!$C$45+G201*'Stock Statistics'!$C$46+H201*'Stock Statistics'!$C$47+I201*'Stock Statistics'!$C$48+J201*'Stock Statistics'!$C$49+K201*'Stock Statistics'!$C$50,"")</f>
        <v>2.3434905358623434E-3</v>
      </c>
      <c r="M201" s="97">
        <v>481.101</v>
      </c>
      <c r="N201" s="96">
        <v>546.26059999999995</v>
      </c>
      <c r="O201" s="93">
        <f t="shared" si="9"/>
        <v>6.8935754840027119E-3</v>
      </c>
      <c r="P201" s="93">
        <f t="shared" si="10"/>
        <v>1.0171419758439937E-2</v>
      </c>
      <c r="Q201" s="93">
        <f>B201*'Portfolio 2 &amp; 3'!$F$7+C201*'Portfolio 2 &amp; 3'!$F$8+D201*'Portfolio 2 &amp; 3'!$F$9+E201*'Portfolio 2 &amp; 3'!$F$10+F201*'Portfolio 2 &amp; 3'!$F$11+G201*'Portfolio 2 &amp; 3'!$F$12+H201*'Portfolio 2 &amp; 3'!$F$13+I201*'Portfolio 2 &amp; 3'!$F$14+J201*'Portfolio 2 &amp; 3'!$F$15+K201*'Portfolio 2 &amp; 3'!$F$16</f>
        <v>4.2450191867533663E-4</v>
      </c>
      <c r="R201" s="93">
        <f>B201*'Portfolio 2 &amp; 3'!$B$23+C201*'Portfolio 2 &amp; 3'!$B$24+D201*'Portfolio 2 &amp; 3'!$B$25+E201*'Portfolio 2 &amp; 3'!$B$26+F201*'Portfolio 2 &amp; 3'!$B$27+G201*'Portfolio 2 &amp; 3'!$B$28+H201*'Portfolio 2 &amp; 3'!$B$29+I201*'Portfolio 2 &amp; 3'!$B$30+J201*'Portfolio 2 &amp; 3'!$B$31+K201*'Portfolio 2 &amp; 3'!$B$32</f>
        <v>6.7347721257192215E-3</v>
      </c>
      <c r="S201" s="93">
        <f t="shared" si="11"/>
        <v>8.5324976212213244E-3</v>
      </c>
    </row>
    <row r="202" spans="1:19" ht="12.75" customHeight="1">
      <c r="A202" s="81">
        <v>45791</v>
      </c>
      <c r="B202" s="53">
        <v>-2.0999999999999999E-3</v>
      </c>
      <c r="C202" s="53">
        <v>9.7532429532920504E-5</v>
      </c>
      <c r="D202" s="53">
        <v>-2.5409836065573002E-3</v>
      </c>
      <c r="E202" s="53">
        <v>-7.4900000000000001E-3</v>
      </c>
      <c r="F202" s="53">
        <v>1.82957254532346E-3</v>
      </c>
      <c r="G202" s="53">
        <v>2.7503090234857201E-3</v>
      </c>
      <c r="H202" s="87">
        <v>-4.5296449081938502E-3</v>
      </c>
      <c r="I202" s="53">
        <v>-2.7090898610870901E-3</v>
      </c>
      <c r="J202" s="53">
        <v>-1.53108773798427E-3</v>
      </c>
      <c r="K202" s="53">
        <v>1.0459409445651401E-2</v>
      </c>
      <c r="L202" s="95">
        <f>IFERROR(B202*'Stock Statistics'!$C$41+C202*'Stock Statistics'!$C$42+D202*'Stock Statistics'!$C$43+E202*'Stock Statistics'!$C$44+F202*'Stock Statistics'!$C$45+G202*'Stock Statistics'!$C$46+H202*'Stock Statistics'!$C$47+I202*'Stock Statistics'!$C$48+J202*'Stock Statistics'!$C$49+K202*'Stock Statistics'!$C$50,"")</f>
        <v>-5.7639826698290117E-4</v>
      </c>
      <c r="M202" s="96">
        <v>477.80720000000002</v>
      </c>
      <c r="N202" s="97">
        <v>540.76030000000003</v>
      </c>
      <c r="O202" s="93">
        <f t="shared" si="9"/>
        <v>-3.8891774797589207E-4</v>
      </c>
      <c r="P202" s="93">
        <f t="shared" si="10"/>
        <v>4.7298977025149735E-3</v>
      </c>
      <c r="Q202" s="93">
        <f>B202*'Portfolio 2 &amp; 3'!$F$7+C202*'Portfolio 2 &amp; 3'!$F$8+D202*'Portfolio 2 &amp; 3'!$F$9+E202*'Portfolio 2 &amp; 3'!$F$10+F202*'Portfolio 2 &amp; 3'!$F$11+G202*'Portfolio 2 &amp; 3'!$F$12+H202*'Portfolio 2 &amp; 3'!$F$13+I202*'Portfolio 2 &amp; 3'!$F$14+J202*'Portfolio 2 &amp; 3'!$F$15+K202*'Portfolio 2 &amp; 3'!$F$16</f>
        <v>-1.0452549059664913E-3</v>
      </c>
      <c r="R202" s="93">
        <f>B202*'Portfolio 2 &amp; 3'!$B$23+C202*'Portfolio 2 &amp; 3'!$B$24+D202*'Portfolio 2 &amp; 3'!$B$25+E202*'Portfolio 2 &amp; 3'!$B$26+F202*'Portfolio 2 &amp; 3'!$B$27+G202*'Portfolio 2 &amp; 3'!$B$28+H202*'Portfolio 2 &amp; 3'!$B$29+I202*'Portfolio 2 &amp; 3'!$B$30+J202*'Portfolio 2 &amp; 3'!$B$31+K202*'Portfolio 2 &amp; 3'!$B$32</f>
        <v>3.2169508478126175E-4</v>
      </c>
      <c r="S202" s="93">
        <f t="shared" si="11"/>
        <v>2.1704899772695407E-3</v>
      </c>
    </row>
    <row r="203" spans="1:19" ht="12.75" customHeight="1">
      <c r="A203" s="82">
        <v>45790</v>
      </c>
      <c r="B203" s="53">
        <v>1.0800000000000001E-2</v>
      </c>
      <c r="C203" s="53">
        <v>2.1113434916840899E-2</v>
      </c>
      <c r="D203" s="53">
        <v>-3.1050825298251099E-3</v>
      </c>
      <c r="E203" s="53">
        <v>-1.29E-2</v>
      </c>
      <c r="F203" s="53">
        <v>1.92122958693564E-2</v>
      </c>
      <c r="G203" s="53">
        <v>-5.2506408870489597E-4</v>
      </c>
      <c r="H203" s="87">
        <v>1.3360655737704801E-2</v>
      </c>
      <c r="I203" s="53">
        <v>-2.9883340037928402E-3</v>
      </c>
      <c r="J203" s="53">
        <v>4.9504950495049601E-3</v>
      </c>
      <c r="K203" s="53">
        <v>-1.6088810232484099E-4</v>
      </c>
      <c r="L203" s="95">
        <f>IFERROR(B203*'Stock Statistics'!$C$41+C203*'Stock Statistics'!$C$42+D203*'Stock Statistics'!$C$43+E203*'Stock Statistics'!$C$44+F203*'Stock Statistics'!$C$45+G203*'Stock Statistics'!$C$46+H203*'Stock Statistics'!$C$47+I203*'Stock Statistics'!$C$48+J203*'Stock Statistics'!$C$49+K203*'Stock Statistics'!$C$50,"")</f>
        <v>4.9757512848759384E-3</v>
      </c>
      <c r="M203" s="97">
        <v>477.99310000000003</v>
      </c>
      <c r="N203" s="96">
        <v>538.21460000000002</v>
      </c>
      <c r="O203" s="93">
        <f t="shared" si="9"/>
        <v>5.7977290526973757E-3</v>
      </c>
      <c r="P203" s="93">
        <f t="shared" si="10"/>
        <v>-2.0346296827494781E-3</v>
      </c>
      <c r="Q203" s="93">
        <f>B203*'Portfolio 2 &amp; 3'!$F$7+C203*'Portfolio 2 &amp; 3'!$F$8+D203*'Portfolio 2 &amp; 3'!$F$9+E203*'Portfolio 2 &amp; 3'!$F$10+F203*'Portfolio 2 &amp; 3'!$F$11+G203*'Portfolio 2 &amp; 3'!$F$12+H203*'Portfolio 2 &amp; 3'!$F$13+I203*'Portfolio 2 &amp; 3'!$F$14+J203*'Portfolio 2 &amp; 3'!$F$15+K203*'Portfolio 2 &amp; 3'!$F$16</f>
        <v>6.006108852829351E-3</v>
      </c>
      <c r="R203" s="93">
        <f>B203*'Portfolio 2 &amp; 3'!$B$23+C203*'Portfolio 2 &amp; 3'!$B$24+D203*'Portfolio 2 &amp; 3'!$B$25+E203*'Portfolio 2 &amp; 3'!$B$26+F203*'Portfolio 2 &amp; 3'!$B$27+G203*'Portfolio 2 &amp; 3'!$B$28+H203*'Portfolio 2 &amp; 3'!$B$29+I203*'Portfolio 2 &amp; 3'!$B$30+J203*'Portfolio 2 &amp; 3'!$B$31+K203*'Portfolio 2 &amp; 3'!$B$32</f>
        <v>8.2202301554291351E-3</v>
      </c>
      <c r="S203" s="93">
        <f t="shared" si="11"/>
        <v>1.8815496849739488E-3</v>
      </c>
    </row>
    <row r="204" spans="1:19" ht="12.75" customHeight="1">
      <c r="A204" s="81">
        <v>45789</v>
      </c>
      <c r="B204" s="53">
        <v>-3.3E-3</v>
      </c>
      <c r="C204" s="53">
        <v>1.49600727787325E-2</v>
      </c>
      <c r="D204" s="53">
        <v>1.4843685214362501E-2</v>
      </c>
      <c r="E204" s="53">
        <v>2.5200000000000001E-3</v>
      </c>
      <c r="F204" s="53">
        <v>7.0562795197177701E-3</v>
      </c>
      <c r="G204" s="53">
        <v>3.07207436648416E-2</v>
      </c>
      <c r="H204" s="87">
        <v>1.0686769944495E-2</v>
      </c>
      <c r="I204" s="53">
        <v>1.86746282636692E-2</v>
      </c>
      <c r="J204" s="53">
        <v>-1.6643641865666699E-2</v>
      </c>
      <c r="K204" s="53">
        <v>2.2875010285526201E-2</v>
      </c>
      <c r="L204" s="95">
        <f>IFERROR(B204*'Stock Statistics'!$C$41+C204*'Stock Statistics'!$C$42+D204*'Stock Statistics'!$C$43+E204*'Stock Statistics'!$C$44+F204*'Stock Statistics'!$C$45+G204*'Stock Statistics'!$C$46+H204*'Stock Statistics'!$C$47+I204*'Stock Statistics'!$C$48+J204*'Stock Statistics'!$C$49+K204*'Stock Statistics'!$C$50,"")</f>
        <v>1.0239354780567807E-2</v>
      </c>
      <c r="M204" s="96">
        <v>475.23779999999999</v>
      </c>
      <c r="N204" s="97">
        <v>539.31190000000004</v>
      </c>
      <c r="O204" s="93">
        <f t="shared" si="9"/>
        <v>1.8116339192508768E-3</v>
      </c>
      <c r="P204" s="93">
        <f t="shared" si="10"/>
        <v>-1.5227392909939685E-2</v>
      </c>
      <c r="Q204" s="93">
        <f>B204*'Portfolio 2 &amp; 3'!$F$7+C204*'Portfolio 2 &amp; 3'!$F$8+D204*'Portfolio 2 &amp; 3'!$F$9+E204*'Portfolio 2 &amp; 3'!$F$10+F204*'Portfolio 2 &amp; 3'!$F$11+G204*'Portfolio 2 &amp; 3'!$F$12+H204*'Portfolio 2 &amp; 3'!$F$13+I204*'Portfolio 2 &amp; 3'!$F$14+J204*'Portfolio 2 &amp; 3'!$F$15+K204*'Portfolio 2 &amp; 3'!$F$16</f>
        <v>8.5104302855942126E-3</v>
      </c>
      <c r="R204" s="93">
        <f>B204*'Portfolio 2 &amp; 3'!$B$23+C204*'Portfolio 2 &amp; 3'!$B$24+D204*'Portfolio 2 &amp; 3'!$B$25+E204*'Portfolio 2 &amp; 3'!$B$26+F204*'Portfolio 2 &amp; 3'!$B$27+G204*'Portfolio 2 &amp; 3'!$B$28+H204*'Portfolio 2 &amp; 3'!$B$29+I204*'Portfolio 2 &amp; 3'!$B$30+J204*'Portfolio 2 &amp; 3'!$B$31+K204*'Portfolio 2 &amp; 3'!$B$32</f>
        <v>1.3384853599815838E-2</v>
      </c>
      <c r="S204" s="93">
        <f t="shared" si="11"/>
        <v>-6.7078794953444043E-3</v>
      </c>
    </row>
    <row r="205" spans="1:19" ht="12.75" customHeight="1">
      <c r="A205" s="82">
        <v>45786</v>
      </c>
      <c r="B205" s="53">
        <v>5.3E-3</v>
      </c>
      <c r="C205" s="53">
        <v>1.4171474845632299E-3</v>
      </c>
      <c r="D205" s="53">
        <v>3.56406733081416E-2</v>
      </c>
      <c r="E205" s="53">
        <v>6.3400000000000001E-3</v>
      </c>
      <c r="F205" s="53">
        <v>5.6655602609589897E-3</v>
      </c>
      <c r="G205" s="53">
        <v>-1.39996233285205E-2</v>
      </c>
      <c r="H205" s="87">
        <v>9.6186015389763107E-3</v>
      </c>
      <c r="I205" s="53">
        <v>4.8235294117646701E-3</v>
      </c>
      <c r="J205" s="53">
        <v>5.6231807356443798E-3</v>
      </c>
      <c r="K205" s="53">
        <v>2.2635476270616E-2</v>
      </c>
      <c r="L205" s="95">
        <f>IFERROR(B205*'Stock Statistics'!$C$41+C205*'Stock Statistics'!$C$42+D205*'Stock Statistics'!$C$43+E205*'Stock Statistics'!$C$44+F205*'Stock Statistics'!$C$45+G205*'Stock Statistics'!$C$46+H205*'Stock Statistics'!$C$47+I205*'Stock Statistics'!$C$48+J205*'Stock Statistics'!$C$49+K205*'Stock Statistics'!$C$50,"")</f>
        <v>8.3064545682144681E-3</v>
      </c>
      <c r="M205" s="97">
        <v>474.3784</v>
      </c>
      <c r="N205" s="96">
        <v>547.65120000000002</v>
      </c>
      <c r="O205" s="93">
        <f t="shared" si="9"/>
        <v>3.3592066840639756E-3</v>
      </c>
      <c r="P205" s="93">
        <f t="shared" si="10"/>
        <v>2.6301023986530225E-4</v>
      </c>
      <c r="Q205" s="93">
        <f>B205*'Portfolio 2 &amp; 3'!$F$7+C205*'Portfolio 2 &amp; 3'!$F$8+D205*'Portfolio 2 &amp; 3'!$F$9+E205*'Portfolio 2 &amp; 3'!$F$10+F205*'Portfolio 2 &amp; 3'!$F$11+G205*'Portfolio 2 &amp; 3'!$F$12+H205*'Portfolio 2 &amp; 3'!$F$13+I205*'Portfolio 2 &amp; 3'!$F$14+J205*'Portfolio 2 &amp; 3'!$F$15+K205*'Portfolio 2 &amp; 3'!$F$16</f>
        <v>1.0108583451528996E-2</v>
      </c>
      <c r="R205" s="93">
        <f>B205*'Portfolio 2 &amp; 3'!$B$23+C205*'Portfolio 2 &amp; 3'!$B$24+D205*'Portfolio 2 &amp; 3'!$B$25+E205*'Portfolio 2 &amp; 3'!$B$26+F205*'Portfolio 2 &amp; 3'!$B$27+G205*'Portfolio 2 &amp; 3'!$B$28+H205*'Portfolio 2 &amp; 3'!$B$29+I205*'Portfolio 2 &amp; 3'!$B$30+J205*'Portfolio 2 &amp; 3'!$B$31+K205*'Portfolio 2 &amp; 3'!$B$32</f>
        <v>4.4525722606928719E-3</v>
      </c>
      <c r="S205" s="93">
        <f t="shared" si="11"/>
        <v>1.8111084619646389E-3</v>
      </c>
    </row>
    <row r="206" spans="1:19" ht="12.75" customHeight="1">
      <c r="A206" s="81">
        <v>45785</v>
      </c>
      <c r="B206" s="53">
        <v>-1.12E-2</v>
      </c>
      <c r="C206" s="53">
        <v>-1.8577389231074899E-2</v>
      </c>
      <c r="D206" s="53">
        <v>5.8742225293713099E-3</v>
      </c>
      <c r="E206" s="53">
        <v>2.0920000000000001E-2</v>
      </c>
      <c r="F206" s="53">
        <v>-1.40495401455735E-2</v>
      </c>
      <c r="G206" s="53">
        <v>-3.1995381483394501E-2</v>
      </c>
      <c r="H206" s="87">
        <v>3.4345531620382501E-2</v>
      </c>
      <c r="I206" s="53">
        <v>8.1840825524848206E-3</v>
      </c>
      <c r="J206" s="53">
        <v>2.1351351351351199E-2</v>
      </c>
      <c r="K206" s="53">
        <v>-1.3857771139324499E-2</v>
      </c>
      <c r="L206" s="95">
        <f>IFERROR(B206*'Stock Statistics'!$C$41+C206*'Stock Statistics'!$C$42+D206*'Stock Statistics'!$C$43+E206*'Stock Statistics'!$C$44+F206*'Stock Statistics'!$C$45+G206*'Stock Statistics'!$C$46+H206*'Stock Statistics'!$C$47+I206*'Stock Statistics'!$C$48+J206*'Stock Statistics'!$C$49+K206*'Stock Statistics'!$C$50,"")</f>
        <v>9.9510605422243074E-5</v>
      </c>
      <c r="M206" s="96">
        <v>472.79020000000003</v>
      </c>
      <c r="N206" s="97">
        <v>547.50720000000001</v>
      </c>
      <c r="O206" s="93">
        <f t="shared" si="9"/>
        <v>3.3098451819226771E-3</v>
      </c>
      <c r="P206" s="93">
        <f t="shared" si="10"/>
        <v>-9.4093117556871553E-3</v>
      </c>
      <c r="Q206" s="93">
        <f>B206*'Portfolio 2 &amp; 3'!$F$7+C206*'Portfolio 2 &amp; 3'!$F$8+D206*'Portfolio 2 &amp; 3'!$F$9+E206*'Portfolio 2 &amp; 3'!$F$10+F206*'Portfolio 2 &amp; 3'!$F$11+G206*'Portfolio 2 &amp; 3'!$F$12+H206*'Portfolio 2 &amp; 3'!$F$13+I206*'Portfolio 2 &amp; 3'!$F$14+J206*'Portfolio 2 &amp; 3'!$F$15+K206*'Portfolio 2 &amp; 3'!$F$16</f>
        <v>4.8922543589696712E-3</v>
      </c>
      <c r="R206" s="93">
        <f>B206*'Portfolio 2 &amp; 3'!$B$23+C206*'Portfolio 2 &amp; 3'!$B$24+D206*'Portfolio 2 &amp; 3'!$B$25+E206*'Portfolio 2 &amp; 3'!$B$26+F206*'Portfolio 2 &amp; 3'!$B$27+G206*'Portfolio 2 &amp; 3'!$B$28+H206*'Portfolio 2 &amp; 3'!$B$29+I206*'Portfolio 2 &amp; 3'!$B$30+J206*'Portfolio 2 &amp; 3'!$B$31+K206*'Portfolio 2 &amp; 3'!$B$32</f>
        <v>-8.0027749507865908E-3</v>
      </c>
      <c r="S206" s="93">
        <f t="shared" si="11"/>
        <v>-3.0497332868822391E-3</v>
      </c>
    </row>
    <row r="207" spans="1:19" ht="12.75" customHeight="1">
      <c r="A207" s="82">
        <v>45784</v>
      </c>
      <c r="B207" s="53">
        <v>6.1000000000000004E-3</v>
      </c>
      <c r="C207" s="53">
        <v>1.8911117746591699E-3</v>
      </c>
      <c r="D207" s="53">
        <v>-3.2996407985966002E-2</v>
      </c>
      <c r="E207" s="53">
        <v>3.0499999999999999E-2</v>
      </c>
      <c r="F207" s="53">
        <v>6.2453869301084498E-3</v>
      </c>
      <c r="G207" s="53">
        <v>6.4218219626310802E-3</v>
      </c>
      <c r="H207" s="87">
        <v>6.8815331010452204E-3</v>
      </c>
      <c r="I207" s="53">
        <v>-3.3585511233379203E-2</v>
      </c>
      <c r="J207" s="53">
        <v>-4.5735808447672204E-3</v>
      </c>
      <c r="K207" s="53">
        <v>1.09051254089423E-2</v>
      </c>
      <c r="L207" s="95">
        <f>IFERROR(B207*'Stock Statistics'!$C$41+C207*'Stock Statistics'!$C$42+D207*'Stock Statistics'!$C$43+E207*'Stock Statistics'!$C$44+F207*'Stock Statistics'!$C$45+G207*'Stock Statistics'!$C$46+H207*'Stock Statistics'!$C$47+I207*'Stock Statistics'!$C$48+J207*'Stock Statistics'!$C$49+K207*'Stock Statistics'!$C$50,"")</f>
        <v>-2.2105208867262047E-4</v>
      </c>
      <c r="M207" s="97">
        <v>471.23050000000001</v>
      </c>
      <c r="N207" s="96">
        <v>552.70780000000002</v>
      </c>
      <c r="O207" s="93">
        <f t="shared" si="9"/>
        <v>-2.1995924782745035E-3</v>
      </c>
      <c r="P207" s="93">
        <f t="shared" si="10"/>
        <v>7.1430159343923716E-3</v>
      </c>
      <c r="Q207" s="93">
        <f>B207*'Portfolio 2 &amp; 3'!$F$7+C207*'Portfolio 2 &amp; 3'!$F$8+D207*'Portfolio 2 &amp; 3'!$F$9+E207*'Portfolio 2 &amp; 3'!$F$10+F207*'Portfolio 2 &amp; 3'!$F$11+G207*'Portfolio 2 &amp; 3'!$F$12+H207*'Portfolio 2 &amp; 3'!$F$13+I207*'Portfolio 2 &amp; 3'!$F$14+J207*'Portfolio 2 &amp; 3'!$F$15+K207*'Portfolio 2 &amp; 3'!$F$16</f>
        <v>-2.1272138504147475E-3</v>
      </c>
      <c r="R207" s="93">
        <f>B207*'Portfolio 2 &amp; 3'!$B$23+C207*'Portfolio 2 &amp; 3'!$B$24+D207*'Portfolio 2 &amp; 3'!$B$25+E207*'Portfolio 2 &amp; 3'!$B$26+F207*'Portfolio 2 &amp; 3'!$B$27+G207*'Portfolio 2 &amp; 3'!$B$28+H207*'Portfolio 2 &amp; 3'!$B$29+I207*'Portfolio 2 &amp; 3'!$B$30+J207*'Portfolio 2 &amp; 3'!$B$31+K207*'Portfolio 2 &amp; 3'!$B$32</f>
        <v>-4.9681522288797641E-3</v>
      </c>
      <c r="S207" s="93">
        <f t="shared" si="11"/>
        <v>2.471711728058934E-3</v>
      </c>
    </row>
    <row r="208" spans="1:19" ht="12.75" customHeight="1">
      <c r="A208" s="81">
        <v>45783</v>
      </c>
      <c r="B208" s="53">
        <v>-1.84E-2</v>
      </c>
      <c r="C208" s="53">
        <v>-1.2191524923802899E-2</v>
      </c>
      <c r="D208" s="53">
        <v>-1.07429138087761E-2</v>
      </c>
      <c r="E208" s="53">
        <v>-3.0790000000000001E-2</v>
      </c>
      <c r="F208" s="53">
        <v>-1.32773109243698E-2</v>
      </c>
      <c r="G208" s="53">
        <v>-4.5963716059904697E-3</v>
      </c>
      <c r="H208" s="87">
        <v>-1.09416731282847E-2</v>
      </c>
      <c r="I208" s="53">
        <v>-1.2675418741512E-2</v>
      </c>
      <c r="J208" s="53">
        <v>-1.4581124072110299E-2</v>
      </c>
      <c r="K208" s="53">
        <v>-3.0497722836694802E-2</v>
      </c>
      <c r="L208" s="95">
        <f>IFERROR(B208*'Stock Statistics'!$C$41+C208*'Stock Statistics'!$C$42+D208*'Stock Statistics'!$C$43+E208*'Stock Statistics'!$C$44+F208*'Stock Statistics'!$C$45+G208*'Stock Statistics'!$C$46+H208*'Stock Statistics'!$C$47+I208*'Stock Statistics'!$C$48+J208*'Stock Statistics'!$C$49+K208*'Stock Statistics'!$C$50,"")</f>
        <v>-1.5869406004154107E-2</v>
      </c>
      <c r="M208" s="96">
        <v>472.26929999999999</v>
      </c>
      <c r="N208" s="97">
        <v>548.78779999999995</v>
      </c>
      <c r="O208" s="93">
        <f t="shared" si="9"/>
        <v>-1.4313935226009766E-2</v>
      </c>
      <c r="P208" s="93">
        <f t="shared" si="10"/>
        <v>-6.6290162005613329E-3</v>
      </c>
      <c r="Q208" s="93">
        <f>B208*'Portfolio 2 &amp; 3'!$F$7+C208*'Portfolio 2 &amp; 3'!$F$8+D208*'Portfolio 2 &amp; 3'!$F$9+E208*'Portfolio 2 &amp; 3'!$F$10+F208*'Portfolio 2 &amp; 3'!$F$11+G208*'Portfolio 2 &amp; 3'!$F$12+H208*'Portfolio 2 &amp; 3'!$F$13+I208*'Portfolio 2 &amp; 3'!$F$14+J208*'Portfolio 2 &amp; 3'!$F$15+K208*'Portfolio 2 &amp; 3'!$F$16</f>
        <v>-1.5088900267846398E-2</v>
      </c>
      <c r="R208" s="93">
        <f>B208*'Portfolio 2 &amp; 3'!$B$23+C208*'Portfolio 2 &amp; 3'!$B$24+D208*'Portfolio 2 &amp; 3'!$B$25+E208*'Portfolio 2 &amp; 3'!$B$26+F208*'Portfolio 2 &amp; 3'!$B$27+G208*'Portfolio 2 &amp; 3'!$B$28+H208*'Portfolio 2 &amp; 3'!$B$29+I208*'Portfolio 2 &amp; 3'!$B$30+J208*'Portfolio 2 &amp; 3'!$B$31+K208*'Portfolio 2 &amp; 3'!$B$32</f>
        <v>-1.4104696546860298E-2</v>
      </c>
      <c r="S208" s="93">
        <f t="shared" si="11"/>
        <v>-1.047147571328555E-2</v>
      </c>
    </row>
    <row r="209" spans="1:19" ht="12.75" customHeight="1">
      <c r="A209" s="82">
        <v>45782</v>
      </c>
      <c r="B209" s="53">
        <v>0</v>
      </c>
      <c r="C209" s="53">
        <v>1.87155240346737E-3</v>
      </c>
      <c r="D209" s="53">
        <v>-2.5684380032206199E-2</v>
      </c>
      <c r="E209" s="53">
        <v>2.2859999999999998E-2</v>
      </c>
      <c r="F209" s="53">
        <v>7.7913279132790798E-3</v>
      </c>
      <c r="G209" s="53">
        <v>9.2160235930203206E-3</v>
      </c>
      <c r="H209" s="87">
        <v>2.5853154084787299E-4</v>
      </c>
      <c r="I209" s="53">
        <v>-7.9155672823219003E-3</v>
      </c>
      <c r="J209" s="53">
        <v>-1.7202593621809001E-3</v>
      </c>
      <c r="K209" s="53">
        <v>-2.1100470702808401E-3</v>
      </c>
      <c r="L209" s="95">
        <f>IFERROR(B209*'Stock Statistics'!$C$41+C209*'Stock Statistics'!$C$42+D209*'Stock Statistics'!$C$43+E209*'Stock Statistics'!$C$44+F209*'Stock Statistics'!$C$45+G209*'Stock Statistics'!$C$46+H209*'Stock Statistics'!$C$47+I209*'Stock Statistics'!$C$48+J209*'Stock Statistics'!$C$49+K209*'Stock Statistics'!$C$50,"")</f>
        <v>4.5671817036247977E-4</v>
      </c>
      <c r="M209" s="97">
        <v>479.1275</v>
      </c>
      <c r="N209" s="96">
        <v>552.45000000000005</v>
      </c>
      <c r="O209" s="93">
        <f t="shared" si="9"/>
        <v>-2.2415478091701857E-3</v>
      </c>
      <c r="P209" s="93">
        <f t="shared" si="10"/>
        <v>7.8113281649105915E-4</v>
      </c>
      <c r="Q209" s="93">
        <f>B209*'Portfolio 2 &amp; 3'!$F$7+C209*'Portfolio 2 &amp; 3'!$F$8+D209*'Portfolio 2 &amp; 3'!$F$9+E209*'Portfolio 2 &amp; 3'!$F$10+F209*'Portfolio 2 &amp; 3'!$F$11+G209*'Portfolio 2 &amp; 3'!$F$12+H209*'Portfolio 2 &amp; 3'!$F$13+I209*'Portfolio 2 &amp; 3'!$F$14+J209*'Portfolio 2 &amp; 3'!$F$15+K209*'Portfolio 2 &amp; 3'!$F$16</f>
        <v>-1.3209040142165929E-3</v>
      </c>
      <c r="R209" s="93">
        <f>B209*'Portfolio 2 &amp; 3'!$B$23+C209*'Portfolio 2 &amp; 3'!$B$24+D209*'Portfolio 2 &amp; 3'!$B$25+E209*'Portfolio 2 &amp; 3'!$B$26+F209*'Portfolio 2 &amp; 3'!$B$27+G209*'Portfolio 2 &amp; 3'!$B$28+H209*'Portfolio 2 &amp; 3'!$B$29+I209*'Portfolio 2 &amp; 3'!$B$30+J209*'Portfolio 2 &amp; 3'!$B$31+K209*'Portfolio 2 &amp; 3'!$B$32</f>
        <v>3.7803173938558588E-5</v>
      </c>
      <c r="S209" s="93">
        <f t="shared" si="11"/>
        <v>-7.3020749633956328E-4</v>
      </c>
    </row>
    <row r="210" spans="1:19" ht="12.75" customHeight="1">
      <c r="A210" s="81">
        <v>45779</v>
      </c>
      <c r="B210" s="53">
        <v>2.47E-2</v>
      </c>
      <c r="C210" s="53">
        <v>-7.8186082877247393E-3</v>
      </c>
      <c r="D210" s="53">
        <v>2.48370327584784E-2</v>
      </c>
      <c r="E210" s="53">
        <v>-2.9199999999999999E-3</v>
      </c>
      <c r="F210" s="53">
        <v>-2.98339431466366E-3</v>
      </c>
      <c r="G210" s="53">
        <v>-2.0108368452739299E-2</v>
      </c>
      <c r="H210" s="87">
        <v>-9.3058994279859898E-3</v>
      </c>
      <c r="I210" s="53">
        <v>-2.0779506349293601E-2</v>
      </c>
      <c r="J210" s="53">
        <v>-2.0416099552790199E-2</v>
      </c>
      <c r="K210" s="53">
        <v>5.9596701771573697E-3</v>
      </c>
      <c r="L210" s="95">
        <f>IFERROR(B210*'Stock Statistics'!$C$41+C210*'Stock Statistics'!$C$42+D210*'Stock Statistics'!$C$43+E210*'Stock Statistics'!$C$44+F210*'Stock Statistics'!$C$45+G210*'Stock Statistics'!$C$46+H210*'Stock Statistics'!$C$47+I210*'Stock Statistics'!$C$48+J210*'Stock Statistics'!$C$49+K210*'Stock Statistics'!$C$50,"")</f>
        <v>-2.8835173449561721E-3</v>
      </c>
      <c r="M210" s="96">
        <v>480.20389999999998</v>
      </c>
      <c r="N210" s="97">
        <v>552.01880000000006</v>
      </c>
      <c r="O210" s="93">
        <f t="shared" si="9"/>
        <v>-5.077337930134318E-3</v>
      </c>
      <c r="P210" s="93">
        <f t="shared" si="10"/>
        <v>-6.1501367937333296E-3</v>
      </c>
      <c r="Q210" s="93">
        <f>B210*'Portfolio 2 &amp; 3'!$F$7+C210*'Portfolio 2 &amp; 3'!$F$8+D210*'Portfolio 2 &amp; 3'!$F$9+E210*'Portfolio 2 &amp; 3'!$F$10+F210*'Portfolio 2 &amp; 3'!$F$11+G210*'Portfolio 2 &amp; 3'!$F$12+H210*'Portfolio 2 &amp; 3'!$F$13+I210*'Portfolio 2 &amp; 3'!$F$14+J210*'Portfolio 2 &amp; 3'!$F$15+K210*'Portfolio 2 &amp; 3'!$F$16</f>
        <v>-3.202418677276715E-3</v>
      </c>
      <c r="R210" s="93">
        <f>B210*'Portfolio 2 &amp; 3'!$B$23+C210*'Portfolio 2 &amp; 3'!$B$24+D210*'Portfolio 2 &amp; 3'!$B$25+E210*'Portfolio 2 &amp; 3'!$B$26+F210*'Portfolio 2 &amp; 3'!$B$27+G210*'Portfolio 2 &amp; 3'!$B$28+H210*'Portfolio 2 &amp; 3'!$B$29+I210*'Portfolio 2 &amp; 3'!$B$30+J210*'Portfolio 2 &amp; 3'!$B$31+K210*'Portfolio 2 &amp; 3'!$B$32</f>
        <v>-6.1218762887431701E-3</v>
      </c>
      <c r="S210" s="93">
        <f t="shared" si="11"/>
        <v>-5.6137373619338238E-3</v>
      </c>
    </row>
    <row r="211" spans="1:19" ht="12.75" customHeight="1">
      <c r="A211" s="82">
        <v>45777</v>
      </c>
      <c r="B211" s="53">
        <v>-3.8E-3</v>
      </c>
      <c r="C211" s="53">
        <v>1.6935676234396201E-2</v>
      </c>
      <c r="D211" s="53">
        <v>-1.39939793344722E-2</v>
      </c>
      <c r="E211" s="53">
        <v>7.3899999999999999E-3</v>
      </c>
      <c r="F211" s="53">
        <v>2.25212544338715E-4</v>
      </c>
      <c r="G211" s="53">
        <v>-2.1067204381974901E-4</v>
      </c>
      <c r="H211" s="87">
        <v>-9.8064079803872294E-3</v>
      </c>
      <c r="I211" s="53">
        <v>-9.5284765327234792E-3</v>
      </c>
      <c r="J211" s="53">
        <v>1.1339800734137401E-2</v>
      </c>
      <c r="K211" s="53">
        <v>3.3584534731323501E-3</v>
      </c>
      <c r="L211" s="95">
        <f>IFERROR(B211*'Stock Statistics'!$C$41+C211*'Stock Statistics'!$C$42+D211*'Stock Statistics'!$C$43+E211*'Stock Statistics'!$C$44+F211*'Stock Statistics'!$C$45+G211*'Stock Statistics'!$C$46+H211*'Stock Statistics'!$C$47+I211*'Stock Statistics'!$C$48+J211*'Stock Statistics'!$C$49+K211*'Stock Statistics'!$C$50,"")</f>
        <v>1.9096070946020066E-4</v>
      </c>
      <c r="M211" s="97">
        <v>482.65449999999998</v>
      </c>
      <c r="N211" s="96">
        <v>555.4348</v>
      </c>
      <c r="O211" s="93">
        <f t="shared" si="9"/>
        <v>9.3803635575782085E-3</v>
      </c>
      <c r="P211" s="93">
        <f t="shared" si="10"/>
        <v>1.3152648131913969E-2</v>
      </c>
      <c r="Q211" s="93">
        <f>B211*'Portfolio 2 &amp; 3'!$F$7+C211*'Portfolio 2 &amp; 3'!$F$8+D211*'Portfolio 2 &amp; 3'!$F$9+E211*'Portfolio 2 &amp; 3'!$F$10+F211*'Portfolio 2 &amp; 3'!$F$11+G211*'Portfolio 2 &amp; 3'!$F$12+H211*'Portfolio 2 &amp; 3'!$F$13+I211*'Portfolio 2 &amp; 3'!$F$14+J211*'Portfolio 2 &amp; 3'!$F$15+K211*'Portfolio 2 &amp; 3'!$F$16</f>
        <v>-4.2691354489233054E-4</v>
      </c>
      <c r="R211" s="93">
        <f>B211*'Portfolio 2 &amp; 3'!$B$23+C211*'Portfolio 2 &amp; 3'!$B$24+D211*'Portfolio 2 &amp; 3'!$B$25+E211*'Portfolio 2 &amp; 3'!$B$26+F211*'Portfolio 2 &amp; 3'!$B$27+G211*'Portfolio 2 &amp; 3'!$B$28+H211*'Portfolio 2 &amp; 3'!$B$29+I211*'Portfolio 2 &amp; 3'!$B$30+J211*'Portfolio 2 &amp; 3'!$B$31+K211*'Portfolio 2 &amp; 3'!$B$32</f>
        <v>5.5453782436035897E-4</v>
      </c>
      <c r="S211" s="93">
        <f t="shared" si="11"/>
        <v>1.1266505844746089E-2</v>
      </c>
    </row>
    <row r="212" spans="1:19" ht="12.75" customHeight="1">
      <c r="A212" s="81">
        <v>45776</v>
      </c>
      <c r="B212" s="53">
        <v>1.0699999999999999E-2</v>
      </c>
      <c r="C212" s="53">
        <v>9.9486648891722296E-4</v>
      </c>
      <c r="D212" s="53">
        <v>1.61210317460319E-2</v>
      </c>
      <c r="E212" s="53">
        <v>-1.4330000000000001E-2</v>
      </c>
      <c r="F212" s="53">
        <v>1.6919519485647501E-3</v>
      </c>
      <c r="G212" s="53">
        <v>-3.6881559220390799E-3</v>
      </c>
      <c r="H212" s="87">
        <v>-8.44665934622846E-4</v>
      </c>
      <c r="I212" s="53">
        <v>3.9357166284026404E-3</v>
      </c>
      <c r="J212" s="53">
        <v>-1.5805431907618898E-2</v>
      </c>
      <c r="K212" s="53">
        <v>2.7928371940200199E-3</v>
      </c>
      <c r="L212" s="95">
        <f>IFERROR(B212*'Stock Statistics'!$C$41+C212*'Stock Statistics'!$C$42+D212*'Stock Statistics'!$C$43+E212*'Stock Statistics'!$C$44+F212*'Stock Statistics'!$C$45+G212*'Stock Statistics'!$C$46+H212*'Stock Statistics'!$C$47+I212*'Stock Statistics'!$C$48+J212*'Stock Statistics'!$C$49+K212*'Stock Statistics'!$C$50,"")</f>
        <v>1.568150241655703E-4</v>
      </c>
      <c r="M212" s="96">
        <v>478.16910000000001</v>
      </c>
      <c r="N212" s="97">
        <v>548.2242</v>
      </c>
      <c r="O212" s="93">
        <f t="shared" si="9"/>
        <v>-3.7541851486860844E-3</v>
      </c>
      <c r="P212" s="93">
        <f t="shared" si="10"/>
        <v>-1.98592213820733E-2</v>
      </c>
      <c r="Q212" s="93">
        <f>B212*'Portfolio 2 &amp; 3'!$F$7+C212*'Portfolio 2 &amp; 3'!$F$8+D212*'Portfolio 2 &amp; 3'!$F$9+E212*'Portfolio 2 &amp; 3'!$F$10+F212*'Portfolio 2 &amp; 3'!$F$11+G212*'Portfolio 2 &amp; 3'!$F$12+H212*'Portfolio 2 &amp; 3'!$F$13+I212*'Portfolio 2 &amp; 3'!$F$14+J212*'Portfolio 2 &amp; 3'!$F$15+K212*'Portfolio 2 &amp; 3'!$F$16</f>
        <v>7.035832514261809E-6</v>
      </c>
      <c r="R212" s="93">
        <f>B212*'Portfolio 2 &amp; 3'!$B$23+C212*'Portfolio 2 &amp; 3'!$B$24+D212*'Portfolio 2 &amp; 3'!$B$25+E212*'Portfolio 2 &amp; 3'!$B$26+F212*'Portfolio 2 &amp; 3'!$B$27+G212*'Portfolio 2 &amp; 3'!$B$28+H212*'Portfolio 2 &amp; 3'!$B$29+I212*'Portfolio 2 &amp; 3'!$B$30+J212*'Portfolio 2 &amp; 3'!$B$31+K212*'Portfolio 2 &amp; 3'!$B$32</f>
        <v>2.3754131139675123E-3</v>
      </c>
      <c r="S212" s="93">
        <f t="shared" si="11"/>
        <v>-1.1806703265379692E-2</v>
      </c>
    </row>
    <row r="213" spans="1:19" ht="12.75" customHeight="1">
      <c r="A213" s="82">
        <v>45775</v>
      </c>
      <c r="B213" s="53">
        <v>2.5000000000000001E-3</v>
      </c>
      <c r="C213" s="53">
        <v>-1.52975067050754E-3</v>
      </c>
      <c r="D213" s="53">
        <v>-3.0147530468249001E-2</v>
      </c>
      <c r="E213" s="53">
        <v>1.188E-2</v>
      </c>
      <c r="F213" s="53">
        <v>3.1291804804280697E-2</v>
      </c>
      <c r="G213" s="53">
        <v>2.9670567167865699E-2</v>
      </c>
      <c r="H213" s="87">
        <v>6.7176870748299998E-3</v>
      </c>
      <c r="I213" s="53">
        <v>-1.58271025487089E-3</v>
      </c>
      <c r="J213" s="53">
        <v>5.5789815115145896E-3</v>
      </c>
      <c r="K213" s="53">
        <v>-3.43811394891946E-3</v>
      </c>
      <c r="L213" s="95">
        <f>IFERROR(B213*'Stock Statistics'!$C$41+C213*'Stock Statistics'!$C$42+D213*'Stock Statistics'!$C$43+E213*'Stock Statistics'!$C$44+F213*'Stock Statistics'!$C$45+G213*'Stock Statistics'!$C$46+H213*'Stock Statistics'!$C$47+I213*'Stock Statistics'!$C$48+J213*'Stock Statistics'!$C$49+K213*'Stock Statistics'!$C$50,"")</f>
        <v>5.0940935215944101E-3</v>
      </c>
      <c r="M213" s="97">
        <v>479.971</v>
      </c>
      <c r="N213" s="96">
        <v>559.33209999999997</v>
      </c>
      <c r="O213" s="93">
        <f t="shared" si="9"/>
        <v>-2.9784592825865541E-4</v>
      </c>
      <c r="P213" s="93">
        <f t="shared" si="10"/>
        <v>8.2690259973547953E-3</v>
      </c>
      <c r="Q213" s="93">
        <f>B213*'Portfolio 2 &amp; 3'!$F$7+C213*'Portfolio 2 &amp; 3'!$F$8+D213*'Portfolio 2 &amp; 3'!$F$9+E213*'Portfolio 2 &amp; 3'!$F$10+F213*'Portfolio 2 &amp; 3'!$F$11+G213*'Portfolio 2 &amp; 3'!$F$12+H213*'Portfolio 2 &amp; 3'!$F$13+I213*'Portfolio 2 &amp; 3'!$F$14+J213*'Portfolio 2 &amp; 3'!$F$15+K213*'Portfolio 2 &amp; 3'!$F$16</f>
        <v>3.2106290154338131E-3</v>
      </c>
      <c r="R213" s="93">
        <f>B213*'Portfolio 2 &amp; 3'!$B$23+C213*'Portfolio 2 &amp; 3'!$B$24+D213*'Portfolio 2 &amp; 3'!$B$25+E213*'Portfolio 2 &amp; 3'!$B$26+F213*'Portfolio 2 &amp; 3'!$B$27+G213*'Portfolio 2 &amp; 3'!$B$28+H213*'Portfolio 2 &amp; 3'!$B$29+I213*'Portfolio 2 &amp; 3'!$B$30+J213*'Portfolio 2 &amp; 3'!$B$31+K213*'Portfolio 2 &amp; 3'!$B$32</f>
        <v>7.4479816968989017E-3</v>
      </c>
      <c r="S213" s="93">
        <f t="shared" si="11"/>
        <v>3.9855900345480699E-3</v>
      </c>
    </row>
    <row r="214" spans="1:19" ht="12.75" customHeight="1">
      <c r="A214" s="81">
        <v>45772</v>
      </c>
      <c r="B214" s="53">
        <v>-1.18E-2</v>
      </c>
      <c r="C214" s="53">
        <v>-3.2242559409367003E-2</v>
      </c>
      <c r="D214" s="53">
        <v>2.22112941562169E-2</v>
      </c>
      <c r="E214" s="53">
        <v>-1.9259999999999999E-2</v>
      </c>
      <c r="F214" s="53">
        <v>-2.3402442487929598E-2</v>
      </c>
      <c r="G214" s="53">
        <v>-2.5924032359928999E-2</v>
      </c>
      <c r="H214" s="87">
        <v>-1.8937181947109399E-2</v>
      </c>
      <c r="I214" s="53">
        <v>1.4843533647188999E-2</v>
      </c>
      <c r="J214" s="53">
        <v>-8.7454183010737801E-3</v>
      </c>
      <c r="K214" s="53">
        <v>1.3523604081971299E-2</v>
      </c>
      <c r="L214" s="95">
        <f>IFERROR(B214*'Stock Statistics'!$C$41+C214*'Stock Statistics'!$C$42+D214*'Stock Statistics'!$C$43+E214*'Stock Statistics'!$C$44+F214*'Stock Statistics'!$C$45+G214*'Stock Statistics'!$C$46+H214*'Stock Statistics'!$C$47+I214*'Stock Statistics'!$C$48+J214*'Stock Statistics'!$C$49+K214*'Stock Statistics'!$C$50,"")</f>
        <v>-8.9733202620031587E-3</v>
      </c>
      <c r="M214" s="96">
        <v>480.11399999999998</v>
      </c>
      <c r="N214" s="97">
        <v>554.74490000000003</v>
      </c>
      <c r="O214" s="93">
        <f t="shared" si="9"/>
        <v>-5.233508460448566E-3</v>
      </c>
      <c r="P214" s="93">
        <f t="shared" si="10"/>
        <v>7.3600151663781865E-3</v>
      </c>
      <c r="Q214" s="93">
        <f>B214*'Portfolio 2 &amp; 3'!$F$7+C214*'Portfolio 2 &amp; 3'!$F$8+D214*'Portfolio 2 &amp; 3'!$F$9+E214*'Portfolio 2 &amp; 3'!$F$10+F214*'Portfolio 2 &amp; 3'!$F$11+G214*'Portfolio 2 &amp; 3'!$F$12+H214*'Portfolio 2 &amp; 3'!$F$13+I214*'Portfolio 2 &amp; 3'!$F$14+J214*'Portfolio 2 &amp; 3'!$F$15+K214*'Portfolio 2 &amp; 3'!$F$16</f>
        <v>-8.2235631534467637E-3</v>
      </c>
      <c r="R214" s="93">
        <f>B214*'Portfolio 2 &amp; 3'!$B$23+C214*'Portfolio 2 &amp; 3'!$B$24+D214*'Portfolio 2 &amp; 3'!$B$25+E214*'Portfolio 2 &amp; 3'!$B$26+F214*'Portfolio 2 &amp; 3'!$B$27+G214*'Portfolio 2 &amp; 3'!$B$28+H214*'Portfolio 2 &amp; 3'!$B$29+I214*'Portfolio 2 &amp; 3'!$B$30+J214*'Portfolio 2 &amp; 3'!$B$31+K214*'Portfolio 2 &amp; 3'!$B$32</f>
        <v>-9.895173446584863E-3</v>
      </c>
      <c r="S214" s="93">
        <f t="shared" si="11"/>
        <v>1.0632533529648103E-3</v>
      </c>
    </row>
    <row r="215" spans="1:19" ht="12.75" customHeight="1">
      <c r="A215" s="82">
        <v>45771</v>
      </c>
      <c r="B215" s="53">
        <v>-1.35E-2</v>
      </c>
      <c r="C215" s="53">
        <v>-6.0768201796292899E-3</v>
      </c>
      <c r="D215" s="53">
        <v>-2.99729686754652E-2</v>
      </c>
      <c r="E215" s="53">
        <v>4.2479999999999997E-2</v>
      </c>
      <c r="F215" s="53">
        <v>1.41129032258065E-2</v>
      </c>
      <c r="G215" s="53">
        <v>-2.19061337174409E-3</v>
      </c>
      <c r="H215" s="87">
        <v>2.0343888321416401E-2</v>
      </c>
      <c r="I215" s="53">
        <v>-1.96025195482189E-2</v>
      </c>
      <c r="J215" s="53">
        <v>1.9136247460515E-2</v>
      </c>
      <c r="K215" s="53">
        <v>2.32848232848237E-3</v>
      </c>
      <c r="L215" s="95">
        <f>IFERROR(B215*'Stock Statistics'!$C$41+C215*'Stock Statistics'!$C$42+D215*'Stock Statistics'!$C$43+E215*'Stock Statistics'!$C$44+F215*'Stock Statistics'!$C$45+G215*'Stock Statistics'!$C$46+H215*'Stock Statistics'!$C$47+I215*'Stock Statistics'!$C$48+J215*'Stock Statistics'!$C$49+K215*'Stock Statistics'!$C$50,"")</f>
        <v>2.7058599561162792E-3</v>
      </c>
      <c r="M215" s="97">
        <v>482.63990000000001</v>
      </c>
      <c r="N215" s="96">
        <v>550.69179999999994</v>
      </c>
      <c r="O215" s="93">
        <f t="shared" si="9"/>
        <v>1.3928068738051858E-2</v>
      </c>
      <c r="P215" s="93">
        <f t="shared" si="10"/>
        <v>5.9918328395551779E-3</v>
      </c>
      <c r="Q215" s="93">
        <f>B215*'Portfolio 2 &amp; 3'!$F$7+C215*'Portfolio 2 &amp; 3'!$F$8+D215*'Portfolio 2 &amp; 3'!$F$9+E215*'Portfolio 2 &amp; 3'!$F$10+F215*'Portfolio 2 &amp; 3'!$F$11+G215*'Portfolio 2 &amp; 3'!$F$12+H215*'Portfolio 2 &amp; 3'!$F$13+I215*'Portfolio 2 &amp; 3'!$F$14+J215*'Portfolio 2 &amp; 3'!$F$15+K215*'Portfolio 2 &amp; 3'!$F$16</f>
        <v>3.5710261883910269E-3</v>
      </c>
      <c r="R215" s="93">
        <f>B215*'Portfolio 2 &amp; 3'!$B$23+C215*'Portfolio 2 &amp; 3'!$B$24+D215*'Portfolio 2 &amp; 3'!$B$25+E215*'Portfolio 2 &amp; 3'!$B$26+F215*'Portfolio 2 &amp; 3'!$B$27+G215*'Portfolio 2 &amp; 3'!$B$28+H215*'Portfolio 2 &amp; 3'!$B$29+I215*'Portfolio 2 &amp; 3'!$B$30+J215*'Portfolio 2 &amp; 3'!$B$31+K215*'Portfolio 2 &amp; 3'!$B$32</f>
        <v>-4.8076051952350802E-3</v>
      </c>
      <c r="S215" s="93">
        <f t="shared" si="11"/>
        <v>9.9599507888035177E-3</v>
      </c>
    </row>
    <row r="216" spans="1:19" ht="12.75" customHeight="1">
      <c r="A216" s="81">
        <v>45770</v>
      </c>
      <c r="B216" s="53">
        <v>-1.7600000000000001E-2</v>
      </c>
      <c r="C216" s="53">
        <v>4.3760970161161698E-2</v>
      </c>
      <c r="D216" s="53">
        <v>8.8225858196984107E-3</v>
      </c>
      <c r="E216" s="53">
        <v>-4.3209999999999998E-2</v>
      </c>
      <c r="F216" s="53">
        <v>1.7943004573707001E-2</v>
      </c>
      <c r="G216" s="53">
        <v>2.6490882207984099E-2</v>
      </c>
      <c r="H216" s="87">
        <v>-2.1407746772178299E-2</v>
      </c>
      <c r="I216" s="53">
        <v>3.0323374734250799E-2</v>
      </c>
      <c r="J216" s="53">
        <v>-1.6626925307727001E-2</v>
      </c>
      <c r="K216" s="53">
        <v>-3.2660284771941203E-2</v>
      </c>
      <c r="L216" s="95">
        <f>IFERROR(B216*'Stock Statistics'!$C$41+C216*'Stock Statistics'!$C$42+D216*'Stock Statistics'!$C$43+E216*'Stock Statistics'!$C$44+F216*'Stock Statistics'!$C$45+G216*'Stock Statistics'!$C$46+H216*'Stock Statistics'!$C$47+I216*'Stock Statistics'!$C$48+J216*'Stock Statistics'!$C$49+K216*'Stock Statistics'!$C$50,"")</f>
        <v>-4.1641393550444954E-4</v>
      </c>
      <c r="M216" s="96">
        <v>476.01</v>
      </c>
      <c r="N216" s="97">
        <v>547.41179999999997</v>
      </c>
      <c r="O216" s="93">
        <f t="shared" si="9"/>
        <v>-1.8101010117678951E-2</v>
      </c>
      <c r="P216" s="93">
        <f t="shared" si="10"/>
        <v>1.0916704770670416E-2</v>
      </c>
      <c r="Q216" s="93">
        <f>B216*'Portfolio 2 &amp; 3'!$F$7+C216*'Portfolio 2 &amp; 3'!$F$8+D216*'Portfolio 2 &amp; 3'!$F$9+E216*'Portfolio 2 &amp; 3'!$F$10+F216*'Portfolio 2 &amp; 3'!$F$11+G216*'Portfolio 2 &amp; 3'!$F$12+H216*'Portfolio 2 &amp; 3'!$F$13+I216*'Portfolio 2 &amp; 3'!$F$14+J216*'Portfolio 2 &amp; 3'!$F$15+K216*'Portfolio 2 &amp; 3'!$F$16</f>
        <v>-1.5243054409282324E-3</v>
      </c>
      <c r="R216" s="93">
        <f>B216*'Portfolio 2 &amp; 3'!$B$23+C216*'Portfolio 2 &amp; 3'!$B$24+D216*'Portfolio 2 &amp; 3'!$B$25+E216*'Portfolio 2 &amp; 3'!$B$26+F216*'Portfolio 2 &amp; 3'!$B$27+G216*'Portfolio 2 &amp; 3'!$B$28+H216*'Portfolio 2 &amp; 3'!$B$29+I216*'Portfolio 2 &amp; 3'!$B$30+J216*'Portfolio 2 &amp; 3'!$B$31+K216*'Portfolio 2 &amp; 3'!$B$32</f>
        <v>1.5350628046603264E-2</v>
      </c>
      <c r="S216" s="93">
        <f t="shared" si="11"/>
        <v>-3.5921526735042675E-3</v>
      </c>
    </row>
    <row r="217" spans="1:19" ht="12.75" customHeight="1">
      <c r="A217" s="82">
        <v>45769</v>
      </c>
      <c r="B217" s="53">
        <v>3.2000000000000002E-3</v>
      </c>
      <c r="C217" s="53">
        <v>2.6397888168947499E-3</v>
      </c>
      <c r="D217" s="53">
        <v>4.9760040414245997E-2</v>
      </c>
      <c r="E217" s="53">
        <v>6.94E-3</v>
      </c>
      <c r="F217" s="53">
        <v>8.6946235287159706E-3</v>
      </c>
      <c r="G217" s="53">
        <v>-2.5195108461868502E-3</v>
      </c>
      <c r="H217" s="87">
        <v>1.22259696458684E-2</v>
      </c>
      <c r="I217" s="53">
        <v>-9.1468484949276396E-3</v>
      </c>
      <c r="J217" s="53">
        <v>1.1736323922540299E-2</v>
      </c>
      <c r="K217" s="53">
        <v>4.9118069035361603E-2</v>
      </c>
      <c r="L217" s="95">
        <f>IFERROR(B217*'Stock Statistics'!$C$41+C217*'Stock Statistics'!$C$42+D217*'Stock Statistics'!$C$43+E217*'Stock Statistics'!$C$44+F217*'Stock Statistics'!$C$45+G217*'Stock Statistics'!$C$46+H217*'Stock Statistics'!$C$47+I217*'Stock Statistics'!$C$48+J217*'Stock Statistics'!$C$49+K217*'Stock Statistics'!$C$50,"")</f>
        <v>1.3264845602251253E-2</v>
      </c>
      <c r="M217" s="97">
        <v>484.7851</v>
      </c>
      <c r="N217" s="96">
        <v>541.50040000000001</v>
      </c>
      <c r="O217" s="93">
        <f t="shared" si="9"/>
        <v>3.857765051547668E-3</v>
      </c>
      <c r="P217" s="93">
        <f t="shared" si="10"/>
        <v>9.6488046904350533E-3</v>
      </c>
      <c r="Q217" s="93">
        <f>B217*'Portfolio 2 &amp; 3'!$F$7+C217*'Portfolio 2 &amp; 3'!$F$8+D217*'Portfolio 2 &amp; 3'!$F$9+E217*'Portfolio 2 &amp; 3'!$F$10+F217*'Portfolio 2 &amp; 3'!$F$11+G217*'Portfolio 2 &amp; 3'!$F$12+H217*'Portfolio 2 &amp; 3'!$F$13+I217*'Portfolio 2 &amp; 3'!$F$14+J217*'Portfolio 2 &amp; 3'!$F$15+K217*'Portfolio 2 &amp; 3'!$F$16</f>
        <v>1.5168621125250579E-2</v>
      </c>
      <c r="R217" s="93">
        <f>B217*'Portfolio 2 &amp; 3'!$B$23+C217*'Portfolio 2 &amp; 3'!$B$24+D217*'Portfolio 2 &amp; 3'!$B$25+E217*'Portfolio 2 &amp; 3'!$B$26+F217*'Portfolio 2 &amp; 3'!$B$27+G217*'Portfolio 2 &amp; 3'!$B$28+H217*'Portfolio 2 &amp; 3'!$B$29+I217*'Portfolio 2 &amp; 3'!$B$30+J217*'Portfolio 2 &amp; 3'!$B$31+K217*'Portfolio 2 &amp; 3'!$B$32</f>
        <v>5.3389163543736719E-3</v>
      </c>
      <c r="S217" s="93">
        <f t="shared" si="11"/>
        <v>6.7532848709913607E-3</v>
      </c>
    </row>
    <row r="218" spans="1:19" ht="12.75" customHeight="1">
      <c r="A218" s="81">
        <v>45768</v>
      </c>
      <c r="B218" s="53">
        <v>7.3000000000000001E-3</v>
      </c>
      <c r="C218" s="53">
        <v>9.5088123069466696E-3</v>
      </c>
      <c r="D218" s="53">
        <v>-1.12387612387612E-2</v>
      </c>
      <c r="E218" s="53">
        <v>1.8270000000000002E-2</v>
      </c>
      <c r="F218" s="53">
        <v>1.6595514400817898E-2</v>
      </c>
      <c r="G218" s="53">
        <v>-6.1447708000539295E-5</v>
      </c>
      <c r="H218" s="87">
        <v>9.3617021276595196E-3</v>
      </c>
      <c r="I218" s="53">
        <v>8.4414132379249107E-3</v>
      </c>
      <c r="J218" s="53">
        <v>3.5990053657897199E-3</v>
      </c>
      <c r="K218" s="53">
        <v>2.1991034424426702E-3</v>
      </c>
      <c r="L218" s="95">
        <f>IFERROR(B218*'Stock Statistics'!$C$41+C218*'Stock Statistics'!$C$42+D218*'Stock Statistics'!$C$43+E218*'Stock Statistics'!$C$44+F218*'Stock Statistics'!$C$45+G218*'Stock Statistics'!$C$46+H218*'Stock Statistics'!$C$47+I218*'Stock Statistics'!$C$48+J218*'Stock Statistics'!$C$49+K218*'Stock Statistics'!$C$50,"")</f>
        <v>6.3975341934819664E-3</v>
      </c>
      <c r="M218" s="96">
        <v>482.9221</v>
      </c>
      <c r="N218" s="97">
        <v>536.32550000000003</v>
      </c>
      <c r="O218" s="93">
        <f t="shared" si="9"/>
        <v>9.5190214238605186E-3</v>
      </c>
      <c r="P218" s="93">
        <f t="shared" si="10"/>
        <v>-8.5202188335298246E-5</v>
      </c>
      <c r="Q218" s="93">
        <f>B218*'Portfolio 2 &amp; 3'!$F$7+C218*'Portfolio 2 &amp; 3'!$F$8+D218*'Portfolio 2 &amp; 3'!$F$9+E218*'Portfolio 2 &amp; 3'!$F$10+F218*'Portfolio 2 &amp; 3'!$F$11+G218*'Portfolio 2 &amp; 3'!$F$12+H218*'Portfolio 2 &amp; 3'!$F$13+I218*'Portfolio 2 &amp; 3'!$F$14+J218*'Portfolio 2 &amp; 3'!$F$15+K218*'Portfolio 2 &amp; 3'!$F$16</f>
        <v>5.8903586752046275E-3</v>
      </c>
      <c r="R218" s="93">
        <f>B218*'Portfolio 2 &amp; 3'!$B$23+C218*'Portfolio 2 &amp; 3'!$B$24+D218*'Portfolio 2 &amp; 3'!$B$25+E218*'Portfolio 2 &amp; 3'!$B$26+F218*'Portfolio 2 &amp; 3'!$B$27+G218*'Portfolio 2 &amp; 3'!$B$28+H218*'Portfolio 2 &amp; 3'!$B$29+I218*'Portfolio 2 &amp; 3'!$B$30+J218*'Portfolio 2 &amp; 3'!$B$31+K218*'Portfolio 2 &amp; 3'!$B$32</f>
        <v>7.9645657836982103E-3</v>
      </c>
      <c r="S218" s="93">
        <f t="shared" si="11"/>
        <v>4.7169096177626102E-3</v>
      </c>
    </row>
    <row r="219" spans="1:19" ht="12.75" customHeight="1">
      <c r="A219" s="82">
        <v>45764</v>
      </c>
      <c r="B219" s="53">
        <v>-6.9999999999999999E-4</v>
      </c>
      <c r="C219" s="53">
        <v>-8.6735517185743095E-4</v>
      </c>
      <c r="D219" s="53">
        <v>2.5264595425059901E-2</v>
      </c>
      <c r="E219" s="53">
        <v>2.1819999999999999E-2</v>
      </c>
      <c r="F219" s="53">
        <v>1.14949519523171E-2</v>
      </c>
      <c r="G219" s="53">
        <v>9.9605920501444293E-3</v>
      </c>
      <c r="H219" s="87">
        <v>-2.0383896721589698E-3</v>
      </c>
      <c r="I219" s="53">
        <v>2.36923429094653E-2</v>
      </c>
      <c r="J219" s="53">
        <v>1.131625967838E-2</v>
      </c>
      <c r="K219" s="53">
        <v>3.3947212085207999E-3</v>
      </c>
      <c r="L219" s="95">
        <f>IFERROR(B219*'Stock Statistics'!$C$41+C219*'Stock Statistics'!$C$42+D219*'Stock Statistics'!$C$43+E219*'Stock Statistics'!$C$44+F219*'Stock Statistics'!$C$45+G219*'Stock Statistics'!$C$46+H219*'Stock Statistics'!$C$47+I219*'Stock Statistics'!$C$48+J219*'Stock Statistics'!$C$49+K219*'Stock Statistics'!$C$50,"")</f>
        <v>1.0333771837987114E-2</v>
      </c>
      <c r="M219" s="97">
        <v>478.36849999999998</v>
      </c>
      <c r="N219" s="96">
        <v>536.37120000000004</v>
      </c>
      <c r="O219" s="93">
        <f t="shared" si="9"/>
        <v>7.4676294962308098E-3</v>
      </c>
      <c r="P219" s="93">
        <f t="shared" si="10"/>
        <v>2.483837962135893E-2</v>
      </c>
      <c r="Q219" s="93">
        <f>B219*'Portfolio 2 &amp; 3'!$F$7+C219*'Portfolio 2 &amp; 3'!$F$8+D219*'Portfolio 2 &amp; 3'!$F$9+E219*'Portfolio 2 &amp; 3'!$F$10+F219*'Portfolio 2 &amp; 3'!$F$11+G219*'Portfolio 2 &amp; 3'!$F$12+H219*'Portfolio 2 &amp; 3'!$F$13+I219*'Portfolio 2 &amp; 3'!$F$14+J219*'Portfolio 2 &amp; 3'!$F$15+K219*'Portfolio 2 &amp; 3'!$F$16</f>
        <v>1.0142550398899405E-2</v>
      </c>
      <c r="R219" s="93">
        <f>B219*'Portfolio 2 &amp; 3'!$B$23+C219*'Portfolio 2 &amp; 3'!$B$24+D219*'Portfolio 2 &amp; 3'!$B$25+E219*'Portfolio 2 &amp; 3'!$B$26+F219*'Portfolio 2 &amp; 3'!$B$27+G219*'Portfolio 2 &amp; 3'!$B$28+H219*'Portfolio 2 &amp; 3'!$B$29+I219*'Portfolio 2 &amp; 3'!$B$30+J219*'Portfolio 2 &amp; 3'!$B$31+K219*'Portfolio 2 &amp; 3'!$B$32</f>
        <v>9.4501970054495406E-3</v>
      </c>
      <c r="S219" s="93">
        <f t="shared" si="11"/>
        <v>1.615300455879487E-2</v>
      </c>
    </row>
    <row r="220" spans="1:19" ht="12.75" customHeight="1">
      <c r="A220" s="81">
        <v>45763</v>
      </c>
      <c r="B220" s="53">
        <v>-7.7999999999999996E-3</v>
      </c>
      <c r="C220" s="53">
        <v>7.4784587871890001E-3</v>
      </c>
      <c r="D220" s="53">
        <v>3.3703899770601599E-2</v>
      </c>
      <c r="E220" s="53">
        <v>2.8139999999999998E-2</v>
      </c>
      <c r="F220" s="53">
        <v>-6.9127554775519406E-2</v>
      </c>
      <c r="G220" s="53">
        <v>2.7934694891040802E-4</v>
      </c>
      <c r="H220" s="87">
        <v>1.18597456170506E-2</v>
      </c>
      <c r="I220" s="53">
        <v>1.43274686228434E-3</v>
      </c>
      <c r="J220" s="53">
        <v>-2.7059134107709801E-3</v>
      </c>
      <c r="K220" s="53">
        <v>4.4592198581560299E-2</v>
      </c>
      <c r="L220" s="95">
        <f>IFERROR(B220*'Stock Statistics'!$C$41+C220*'Stock Statistics'!$C$42+D220*'Stock Statistics'!$C$43+E220*'Stock Statistics'!$C$44+F220*'Stock Statistics'!$C$45+G220*'Stock Statistics'!$C$46+H220*'Stock Statistics'!$C$47+I220*'Stock Statistics'!$C$48+J220*'Stock Statistics'!$C$49+K220*'Stock Statistics'!$C$50,"")</f>
        <v>4.7852928381305849E-3</v>
      </c>
      <c r="M220" s="96">
        <v>474.8227</v>
      </c>
      <c r="N220" s="97">
        <v>523.37149999999997</v>
      </c>
      <c r="O220" s="93">
        <f t="shared" si="9"/>
        <v>6.0218589539187128E-3</v>
      </c>
      <c r="P220" s="93">
        <f t="shared" si="10"/>
        <v>2.0164053807715243E-2</v>
      </c>
      <c r="Q220" s="93">
        <f>B220*'Portfolio 2 &amp; 3'!$F$7+C220*'Portfolio 2 &amp; 3'!$F$8+D220*'Portfolio 2 &amp; 3'!$F$9+E220*'Portfolio 2 &amp; 3'!$F$10+F220*'Portfolio 2 &amp; 3'!$F$11+G220*'Portfolio 2 &amp; 3'!$F$12+H220*'Portfolio 2 &amp; 3'!$F$13+I220*'Portfolio 2 &amp; 3'!$F$14+J220*'Portfolio 2 &amp; 3'!$F$15+K220*'Portfolio 2 &amp; 3'!$F$16</f>
        <v>4.8205762081136383E-3</v>
      </c>
      <c r="R220" s="93">
        <f>B220*'Portfolio 2 &amp; 3'!$B$23+C220*'Portfolio 2 &amp; 3'!$B$24+D220*'Portfolio 2 &amp; 3'!$B$25+E220*'Portfolio 2 &amp; 3'!$B$26+F220*'Portfolio 2 &amp; 3'!$B$27+G220*'Portfolio 2 &amp; 3'!$B$28+H220*'Portfolio 2 &amp; 3'!$B$29+I220*'Portfolio 2 &amp; 3'!$B$30+J220*'Portfolio 2 &amp; 3'!$B$31+K220*'Portfolio 2 &amp; 3'!$B$32</f>
        <v>-5.6121546738348606E-3</v>
      </c>
      <c r="S220" s="93">
        <f t="shared" si="11"/>
        <v>1.3092956380816978E-2</v>
      </c>
    </row>
    <row r="221" spans="1:19" ht="12.75" customHeight="1">
      <c r="A221" s="82">
        <v>45762</v>
      </c>
      <c r="B221" s="53">
        <v>4.4200000000000003E-2</v>
      </c>
      <c r="C221" s="53">
        <v>6.8235992184064696E-3</v>
      </c>
      <c r="D221" s="53">
        <v>-1.1456772715254799E-3</v>
      </c>
      <c r="E221" s="53">
        <v>1.14E-3</v>
      </c>
      <c r="F221" s="53">
        <v>1.64585371468031E-2</v>
      </c>
      <c r="G221" s="53">
        <v>2.9658037711729E-2</v>
      </c>
      <c r="H221" s="87">
        <v>4.4889502762430799E-3</v>
      </c>
      <c r="I221" s="53">
        <v>-3.76819868683975E-3</v>
      </c>
      <c r="J221" s="53">
        <v>1.25634856990109E-2</v>
      </c>
      <c r="K221" s="53">
        <v>-1.9812304483837299E-2</v>
      </c>
      <c r="L221" s="95">
        <f>IFERROR(B221*'Stock Statistics'!$C$41+C221*'Stock Statistics'!$C$42+D221*'Stock Statistics'!$C$43+E221*'Stock Statistics'!$C$44+F221*'Stock Statistics'!$C$45+G221*'Stock Statistics'!$C$46+H221*'Stock Statistics'!$C$47+I221*'Stock Statistics'!$C$48+J221*'Stock Statistics'!$C$49+K221*'Stock Statistics'!$C$50,"")</f>
        <v>9.060642960999005E-3</v>
      </c>
      <c r="M221" s="97">
        <v>471.98050000000001</v>
      </c>
      <c r="N221" s="96">
        <v>513.02679999999998</v>
      </c>
      <c r="O221" s="93">
        <f t="shared" si="9"/>
        <v>8.8079842756245696E-3</v>
      </c>
      <c r="P221" s="93">
        <f t="shared" si="10"/>
        <v>-1.1534767400077306E-2</v>
      </c>
      <c r="Q221" s="93">
        <f>B221*'Portfolio 2 &amp; 3'!$F$7+C221*'Portfolio 2 &amp; 3'!$F$8+D221*'Portfolio 2 &amp; 3'!$F$9+E221*'Portfolio 2 &amp; 3'!$F$10+F221*'Portfolio 2 &amp; 3'!$F$11+G221*'Portfolio 2 &amp; 3'!$F$12+H221*'Portfolio 2 &amp; 3'!$F$13+I221*'Portfolio 2 &amp; 3'!$F$14+J221*'Portfolio 2 &amp; 3'!$F$15+K221*'Portfolio 2 &amp; 3'!$F$16</f>
        <v>7.5332165621293341E-3</v>
      </c>
      <c r="R221" s="93">
        <f>B221*'Portfolio 2 &amp; 3'!$B$23+C221*'Portfolio 2 &amp; 3'!$B$24+D221*'Portfolio 2 &amp; 3'!$B$25+E221*'Portfolio 2 &amp; 3'!$B$26+F221*'Portfolio 2 &amp; 3'!$B$27+G221*'Portfolio 2 &amp; 3'!$B$28+H221*'Portfolio 2 &amp; 3'!$B$29+I221*'Portfolio 2 &amp; 3'!$B$30+J221*'Portfolio 2 &amp; 3'!$B$31+K221*'Portfolio 2 &amp; 3'!$B$32</f>
        <v>1.0853701246342062E-2</v>
      </c>
      <c r="S221" s="93">
        <f t="shared" si="11"/>
        <v>-1.3633915622263681E-3</v>
      </c>
    </row>
    <row r="222" spans="1:19" ht="12.75" customHeight="1">
      <c r="A222" s="81">
        <v>45758</v>
      </c>
      <c r="B222" s="53">
        <v>1.83E-2</v>
      </c>
      <c r="C222" s="53">
        <v>1.00437087324468E-2</v>
      </c>
      <c r="D222" s="53">
        <v>4.8270127950482702E-2</v>
      </c>
      <c r="E222" s="53">
        <v>-3.6850000000000001E-2</v>
      </c>
      <c r="F222" s="53">
        <v>2.8955471340596801E-2</v>
      </c>
      <c r="G222" s="53">
        <v>7.0359472943581902E-4</v>
      </c>
      <c r="H222" s="87">
        <v>3.0305654169191501E-3</v>
      </c>
      <c r="I222" s="53">
        <v>3.4492941940818603E-2</v>
      </c>
      <c r="J222" s="53">
        <v>9.8528816304495094E-3</v>
      </c>
      <c r="K222" s="53">
        <v>3.4004708344233E-3</v>
      </c>
      <c r="L222" s="95">
        <f>IFERROR(B222*'Stock Statistics'!$C$41+C222*'Stock Statistics'!$C$42+D222*'Stock Statistics'!$C$43+E222*'Stock Statistics'!$C$44+F222*'Stock Statistics'!$C$45+G222*'Stock Statistics'!$C$46+H222*'Stock Statistics'!$C$47+I222*'Stock Statistics'!$C$48+J222*'Stock Statistics'!$C$49+K222*'Stock Statistics'!$C$50,"")</f>
        <v>1.2019976257557269E-2</v>
      </c>
      <c r="M222" s="96">
        <v>467.8596</v>
      </c>
      <c r="N222" s="97">
        <v>519.01350000000002</v>
      </c>
      <c r="O222" s="93">
        <f t="shared" si="9"/>
        <v>1.1870194384866473E-3</v>
      </c>
      <c r="P222" s="93">
        <f t="shared" si="10"/>
        <v>2.6195580672198071E-2</v>
      </c>
      <c r="Q222" s="93">
        <f>B222*'Portfolio 2 &amp; 3'!$F$7+C222*'Portfolio 2 &amp; 3'!$F$8+D222*'Portfolio 2 &amp; 3'!$F$9+E222*'Portfolio 2 &amp; 3'!$F$10+F222*'Portfolio 2 &amp; 3'!$F$11+G222*'Portfolio 2 &amp; 3'!$F$12+H222*'Portfolio 2 &amp; 3'!$F$13+I222*'Portfolio 2 &amp; 3'!$F$14+J222*'Portfolio 2 &amp; 3'!$F$15+K222*'Portfolio 2 &amp; 3'!$F$16</f>
        <v>1.4095268202372151E-2</v>
      </c>
      <c r="R222" s="93">
        <f>B222*'Portfolio 2 &amp; 3'!$B$23+C222*'Portfolio 2 &amp; 3'!$B$24+D222*'Portfolio 2 &amp; 3'!$B$25+E222*'Portfolio 2 &amp; 3'!$B$26+F222*'Portfolio 2 &amp; 3'!$B$27+G222*'Portfolio 2 &amp; 3'!$B$28+H222*'Portfolio 2 &amp; 3'!$B$29+I222*'Portfolio 2 &amp; 3'!$B$30+J222*'Portfolio 2 &amp; 3'!$B$31+K222*'Portfolio 2 &amp; 3'!$B$32</f>
        <v>1.8938858984938991E-2</v>
      </c>
      <c r="S222" s="93">
        <f t="shared" si="11"/>
        <v>1.3691300055342359E-2</v>
      </c>
    </row>
    <row r="223" spans="1:19" ht="12.75" customHeight="1">
      <c r="A223" s="82">
        <v>45756</v>
      </c>
      <c r="B223" s="53">
        <v>-9.9000000000000008E-3</v>
      </c>
      <c r="C223" s="53">
        <v>3.5144661629282802E-4</v>
      </c>
      <c r="D223" s="53">
        <v>2.3109640831758201E-2</v>
      </c>
      <c r="E223" s="53">
        <v>-8.4700000000000001E-3</v>
      </c>
      <c r="F223" s="53">
        <v>-1.7110930043068399E-2</v>
      </c>
      <c r="G223" s="53">
        <v>-3.6900141686687503E-2</v>
      </c>
      <c r="H223" s="87">
        <v>4.0919333032897597E-2</v>
      </c>
      <c r="I223" s="53">
        <v>-6.97947214076256E-3</v>
      </c>
      <c r="J223" s="53">
        <v>1.28156932435666E-2</v>
      </c>
      <c r="K223" s="53">
        <v>2.5978208362406701E-2</v>
      </c>
      <c r="L223" s="95">
        <f>IFERROR(B223*'Stock Statistics'!$C$41+C223*'Stock Statistics'!$C$42+D223*'Stock Statistics'!$C$43+E223*'Stock Statistics'!$C$44+F223*'Stock Statistics'!$C$45+G223*'Stock Statistics'!$C$46+H223*'Stock Statistics'!$C$47+I223*'Stock Statistics'!$C$48+J223*'Stock Statistics'!$C$49+K223*'Stock Statistics'!$C$50,"")</f>
        <v>2.3813778216403465E-3</v>
      </c>
      <c r="M223" s="97">
        <v>467.30489999999998</v>
      </c>
      <c r="N223" s="96">
        <v>505.7647</v>
      </c>
      <c r="O223" s="93">
        <f t="shared" si="9"/>
        <v>1.8619639905493646E-2</v>
      </c>
      <c r="P223" s="93">
        <f t="shared" si="10"/>
        <v>-2.8916425110848132E-2</v>
      </c>
      <c r="Q223" s="93">
        <f>B223*'Portfolio 2 &amp; 3'!$F$7+C223*'Portfolio 2 &amp; 3'!$F$8+D223*'Portfolio 2 &amp; 3'!$F$9+E223*'Portfolio 2 &amp; 3'!$F$10+F223*'Portfolio 2 &amp; 3'!$F$11+G223*'Portfolio 2 &amp; 3'!$F$12+H223*'Portfolio 2 &amp; 3'!$F$13+I223*'Portfolio 2 &amp; 3'!$F$14+J223*'Portfolio 2 &amp; 3'!$F$15+K223*'Portfolio 2 &amp; 3'!$F$16</f>
        <v>8.0782477983118786E-3</v>
      </c>
      <c r="R223" s="93">
        <f>B223*'Portfolio 2 &amp; 3'!$B$23+C223*'Portfolio 2 &amp; 3'!$B$24+D223*'Portfolio 2 &amp; 3'!$B$25+E223*'Portfolio 2 &amp; 3'!$B$26+F223*'Portfolio 2 &amp; 3'!$B$27+G223*'Portfolio 2 &amp; 3'!$B$28+H223*'Portfolio 2 &amp; 3'!$B$29+I223*'Portfolio 2 &amp; 3'!$B$30+J223*'Portfolio 2 &amp; 3'!$B$31+K223*'Portfolio 2 &amp; 3'!$B$32</f>
        <v>-5.4521762137287452E-3</v>
      </c>
      <c r="S223" s="93">
        <f t="shared" si="11"/>
        <v>-5.1483926026772431E-3</v>
      </c>
    </row>
    <row r="224" spans="1:19" ht="12.75" customHeight="1">
      <c r="A224" s="81">
        <v>45755</v>
      </c>
      <c r="B224" s="53">
        <v>1.4999999999999999E-2</v>
      </c>
      <c r="C224" s="53">
        <v>2.9071375385597099E-2</v>
      </c>
      <c r="D224" s="53">
        <v>-3.55515041020966E-2</v>
      </c>
      <c r="E224" s="53">
        <v>-2.0590000000000001E-2</v>
      </c>
      <c r="F224" s="53">
        <v>2.5668576886341801E-2</v>
      </c>
      <c r="G224" s="53">
        <v>4.0358120332142401E-3</v>
      </c>
      <c r="H224" s="87">
        <v>1.41218408665051E-2</v>
      </c>
      <c r="I224" s="53">
        <v>1.03404343575007E-2</v>
      </c>
      <c r="J224" s="53">
        <v>3.3519355750211997E-2</v>
      </c>
      <c r="K224" s="53">
        <v>3.7717107767143702E-2</v>
      </c>
      <c r="L224" s="95">
        <f>IFERROR(B224*'Stock Statistics'!$C$41+C224*'Stock Statistics'!$C$42+D224*'Stock Statistics'!$C$43+E224*'Stock Statistics'!$C$44+F224*'Stock Statistics'!$C$45+G224*'Stock Statistics'!$C$46+H224*'Stock Statistics'!$C$47+I224*'Stock Statistics'!$C$48+J224*'Stock Statistics'!$C$49+K224*'Stock Statistics'!$C$50,"")</f>
        <v>1.1333299894441805E-2</v>
      </c>
      <c r="M224" s="96">
        <v>458.7629</v>
      </c>
      <c r="N224" s="97">
        <v>520.82510000000002</v>
      </c>
      <c r="O224" s="93">
        <f t="shared" si="9"/>
        <v>2.0922139935058981E-2</v>
      </c>
      <c r="P224" s="93">
        <f t="shared" si="10"/>
        <v>-3.2109628000863699E-2</v>
      </c>
      <c r="Q224" s="93">
        <f>B224*'Portfolio 2 &amp; 3'!$F$7+C224*'Portfolio 2 &amp; 3'!$F$8+D224*'Portfolio 2 &amp; 3'!$F$9+E224*'Portfolio 2 &amp; 3'!$F$10+F224*'Portfolio 2 &amp; 3'!$F$11+G224*'Portfolio 2 &amp; 3'!$F$12+H224*'Portfolio 2 &amp; 3'!$F$13+I224*'Portfolio 2 &amp; 3'!$F$14+J224*'Portfolio 2 &amp; 3'!$F$15+K224*'Portfolio 2 &amp; 3'!$F$16</f>
        <v>1.1481574270719823E-2</v>
      </c>
      <c r="R224" s="93">
        <f>B224*'Portfolio 2 &amp; 3'!$B$23+C224*'Portfolio 2 &amp; 3'!$B$24+D224*'Portfolio 2 &amp; 3'!$B$25+E224*'Portfolio 2 &amp; 3'!$B$26+F224*'Portfolio 2 &amp; 3'!$B$27+G224*'Portfolio 2 &amp; 3'!$B$28+H224*'Portfolio 2 &amp; 3'!$B$29+I224*'Portfolio 2 &amp; 3'!$B$30+J224*'Portfolio 2 &amp; 3'!$B$31+K224*'Portfolio 2 &amp; 3'!$B$32</f>
        <v>1.8952596312513569E-2</v>
      </c>
      <c r="S224" s="93">
        <f t="shared" si="11"/>
        <v>-5.5937440329023591E-3</v>
      </c>
    </row>
    <row r="225" spans="1:19" ht="12.75" customHeight="1">
      <c r="A225" s="82">
        <v>45754</v>
      </c>
      <c r="B225" s="53">
        <v>-3.8E-3</v>
      </c>
      <c r="C225" s="53">
        <v>-2.6549588916271499E-2</v>
      </c>
      <c r="D225" s="53">
        <v>2.6964032722454098E-3</v>
      </c>
      <c r="E225" s="53">
        <v>-7.9100000000000004E-3</v>
      </c>
      <c r="F225" s="53">
        <v>-3.3798592686584403E-2</v>
      </c>
      <c r="G225" s="53">
        <v>-1.6111364673664901E-2</v>
      </c>
      <c r="H225" s="87">
        <v>-1.25456924951487E-2</v>
      </c>
      <c r="I225" s="53">
        <v>2.1395714804502999E-2</v>
      </c>
      <c r="J225" s="53">
        <v>-1.18320477470246E-2</v>
      </c>
      <c r="K225" s="53">
        <v>-2.1346500102104E-4</v>
      </c>
      <c r="L225" s="95">
        <f>IFERROR(B225*'Stock Statistics'!$C$41+C225*'Stock Statistics'!$C$42+D225*'Stock Statistics'!$C$43+E225*'Stock Statistics'!$C$44+F225*'Stock Statistics'!$C$45+G225*'Stock Statistics'!$C$46+H225*'Stock Statistics'!$C$47+I225*'Stock Statistics'!$C$48+J225*'Stock Statistics'!$C$49+K225*'Stock Statistics'!$C$50,"")</f>
        <v>-8.8668633442966719E-3</v>
      </c>
      <c r="M225" s="97">
        <v>449.36130000000003</v>
      </c>
      <c r="N225" s="96">
        <v>538.10339999999997</v>
      </c>
      <c r="O225" s="93">
        <f t="shared" si="9"/>
        <v>-5.2226985492135336E-3</v>
      </c>
      <c r="P225" s="93">
        <f t="shared" si="10"/>
        <v>1.5433510566027486E-2</v>
      </c>
      <c r="Q225" s="93">
        <f>B225*'Portfolio 2 &amp; 3'!$F$7+C225*'Portfolio 2 &amp; 3'!$F$8+D225*'Portfolio 2 &amp; 3'!$F$9+E225*'Portfolio 2 &amp; 3'!$F$10+F225*'Portfolio 2 &amp; 3'!$F$11+G225*'Portfolio 2 &amp; 3'!$F$12+H225*'Portfolio 2 &amp; 3'!$F$13+I225*'Portfolio 2 &amp; 3'!$F$14+J225*'Portfolio 2 &amp; 3'!$F$15+K225*'Portfolio 2 &amp; 3'!$F$16</f>
        <v>-9.380053269416367E-3</v>
      </c>
      <c r="R225" s="93">
        <f>B225*'Portfolio 2 &amp; 3'!$B$23+C225*'Portfolio 2 &amp; 3'!$B$24+D225*'Portfolio 2 &amp; 3'!$B$25+E225*'Portfolio 2 &amp; 3'!$B$26+F225*'Portfolio 2 &amp; 3'!$B$27+G225*'Portfolio 2 &amp; 3'!$B$28+H225*'Portfolio 2 &amp; 3'!$B$29+I225*'Portfolio 2 &amp; 3'!$B$30+J225*'Portfolio 2 &amp; 3'!$B$31+K225*'Portfolio 2 &amp; 3'!$B$32</f>
        <v>-8.0274040834263684E-3</v>
      </c>
      <c r="S225" s="93">
        <f t="shared" si="11"/>
        <v>5.1054060084069763E-3</v>
      </c>
    </row>
    <row r="226" spans="1:19" ht="12.75" customHeight="1">
      <c r="A226" s="81">
        <v>45751</v>
      </c>
      <c r="B226" s="53">
        <v>-2.7799999999999998E-2</v>
      </c>
      <c r="C226" s="53">
        <v>-2.87334935784616E-2</v>
      </c>
      <c r="D226" s="53">
        <v>-1.02230062876012E-2</v>
      </c>
      <c r="E226" s="53">
        <v>2.6689999999999998E-2</v>
      </c>
      <c r="F226" s="53">
        <v>-3.8806963077946503E-2</v>
      </c>
      <c r="G226" s="53">
        <v>1.1946916279213E-2</v>
      </c>
      <c r="H226" s="87">
        <v>1.8430002757606301E-2</v>
      </c>
      <c r="I226" s="53">
        <v>-2.14114372020019E-2</v>
      </c>
      <c r="J226" s="53">
        <v>3.4556221564237703E-2</v>
      </c>
      <c r="K226" s="53">
        <v>2.4406012607079499E-2</v>
      </c>
      <c r="L226" s="95">
        <f>IFERROR(B226*'Stock Statistics'!$C$41+C226*'Stock Statistics'!$C$42+D226*'Stock Statistics'!$C$43+E226*'Stock Statistics'!$C$44+F226*'Stock Statistics'!$C$45+G226*'Stock Statistics'!$C$46+H226*'Stock Statistics'!$C$47+I226*'Stock Statistics'!$C$48+J226*'Stock Statistics'!$C$49+K226*'Stock Statistics'!$C$50,"")</f>
        <v>-1.0945746937874694E-3</v>
      </c>
      <c r="M226" s="96">
        <v>451.72050000000002</v>
      </c>
      <c r="N226" s="97">
        <v>529.9248</v>
      </c>
      <c r="O226" s="93">
        <f t="shared" si="9"/>
        <v>2.0834750467287E-2</v>
      </c>
      <c r="P226" s="93">
        <f t="shared" si="10"/>
        <v>6.3494468945251015E-3</v>
      </c>
      <c r="Q226" s="93">
        <f>B226*'Portfolio 2 &amp; 3'!$F$7+C226*'Portfolio 2 &amp; 3'!$F$8+D226*'Portfolio 2 &amp; 3'!$F$9+E226*'Portfolio 2 &amp; 3'!$F$10+F226*'Portfolio 2 &amp; 3'!$F$11+G226*'Portfolio 2 &amp; 3'!$F$12+H226*'Portfolio 2 &amp; 3'!$F$13+I226*'Portfolio 2 &amp; 3'!$F$14+J226*'Portfolio 2 &amp; 3'!$F$15+K226*'Portfolio 2 &amp; 3'!$F$16</f>
        <v>7.4011681009876549E-4</v>
      </c>
      <c r="R226" s="93">
        <f>B226*'Portfolio 2 &amp; 3'!$B$23+C226*'Portfolio 2 &amp; 3'!$B$24+D226*'Portfolio 2 &amp; 3'!$B$25+E226*'Portfolio 2 &amp; 3'!$B$26+F226*'Portfolio 2 &amp; 3'!$B$27+G226*'Portfolio 2 &amp; 3'!$B$28+H226*'Portfolio 2 &amp; 3'!$B$29+I226*'Portfolio 2 &amp; 3'!$B$30+J226*'Portfolio 2 &amp; 3'!$B$31+K226*'Portfolio 2 &amp; 3'!$B$32</f>
        <v>-1.5757927864068596E-2</v>
      </c>
      <c r="S226" s="93">
        <f t="shared" si="11"/>
        <v>1.3592098680906051E-2</v>
      </c>
    </row>
    <row r="227" spans="1:19" ht="12.75" customHeight="1">
      <c r="A227" s="82">
        <v>45750</v>
      </c>
      <c r="B227" s="53">
        <v>1.2500000000000001E-2</v>
      </c>
      <c r="C227" s="53">
        <v>1.7155308222681399E-2</v>
      </c>
      <c r="D227" s="53">
        <v>-6.0356186509117199E-2</v>
      </c>
      <c r="E227" s="53">
        <v>7.1220000000000006E-2</v>
      </c>
      <c r="F227" s="53">
        <v>1.20630645794759E-2</v>
      </c>
      <c r="G227" s="53">
        <v>1.2659411929780699E-2</v>
      </c>
      <c r="H227" s="87">
        <v>-1.9865759718906299E-2</v>
      </c>
      <c r="I227" s="53">
        <v>1.3202508476610499E-2</v>
      </c>
      <c r="J227" s="53">
        <v>-2.15862921745275E-2</v>
      </c>
      <c r="K227" s="53">
        <v>-4.0836426311133898E-2</v>
      </c>
      <c r="L227" s="95">
        <f>IFERROR(B227*'Stock Statistics'!$C$41+C227*'Stock Statistics'!$C$42+D227*'Stock Statistics'!$C$43+E227*'Stock Statistics'!$C$44+F227*'Stock Statistics'!$C$45+G227*'Stock Statistics'!$C$46+H227*'Stock Statistics'!$C$47+I227*'Stock Statistics'!$C$48+J227*'Stock Statistics'!$C$49+K227*'Stock Statistics'!$C$50,"")</f>
        <v>-3.8443715051363894E-4</v>
      </c>
      <c r="M227" s="97">
        <v>442.50110000000001</v>
      </c>
      <c r="N227" s="96">
        <v>526.58130000000006</v>
      </c>
      <c r="O227" s="93">
        <f t="shared" si="9"/>
        <v>-3.0250626445580409E-2</v>
      </c>
      <c r="P227" s="93">
        <f t="shared" si="10"/>
        <v>-1.4982671796321179E-2</v>
      </c>
      <c r="Q227" s="93">
        <f>B227*'Portfolio 2 &amp; 3'!$F$7+C227*'Portfolio 2 &amp; 3'!$F$8+D227*'Portfolio 2 &amp; 3'!$F$9+E227*'Portfolio 2 &amp; 3'!$F$10+F227*'Portfolio 2 &amp; 3'!$F$11+G227*'Portfolio 2 &amp; 3'!$F$12+H227*'Portfolio 2 &amp; 3'!$F$13+I227*'Portfolio 2 &amp; 3'!$F$14+J227*'Portfolio 2 &amp; 3'!$F$15+K227*'Portfolio 2 &amp; 3'!$F$16</f>
        <v>-6.9253897841811095E-3</v>
      </c>
      <c r="R227" s="93">
        <f>B227*'Portfolio 2 &amp; 3'!$B$23+C227*'Portfolio 2 &amp; 3'!$B$24+D227*'Portfolio 2 &amp; 3'!$B$25+E227*'Portfolio 2 &amp; 3'!$B$26+F227*'Portfolio 2 &amp; 3'!$B$27+G227*'Portfolio 2 &amp; 3'!$B$28+H227*'Portfolio 2 &amp; 3'!$B$29+I227*'Portfolio 2 &amp; 3'!$B$30+J227*'Portfolio 2 &amp; 3'!$B$31+K227*'Portfolio 2 &amp; 3'!$B$32</f>
        <v>5.9375693455067675E-3</v>
      </c>
      <c r="S227" s="93">
        <f t="shared" si="11"/>
        <v>-2.2616649120950794E-2</v>
      </c>
    </row>
    <row r="228" spans="1:19" ht="12.75" customHeight="1">
      <c r="A228" s="81">
        <v>45749</v>
      </c>
      <c r="B228" s="53">
        <v>-2.5600000000000001E-2</v>
      </c>
      <c r="C228" s="53">
        <v>1.0784709081697E-2</v>
      </c>
      <c r="D228" s="53">
        <v>1.59778900548431E-2</v>
      </c>
      <c r="E228" s="53">
        <v>-5.6890000000000003E-2</v>
      </c>
      <c r="F228" s="53">
        <v>1.55555555555555E-2</v>
      </c>
      <c r="G228" s="53">
        <v>7.28666101322273E-3</v>
      </c>
      <c r="H228" s="87">
        <v>-3.60415128750705E-2</v>
      </c>
      <c r="I228" s="53">
        <v>-2.5155760961769101E-2</v>
      </c>
      <c r="J228" s="53">
        <v>-5.3787524236143601E-2</v>
      </c>
      <c r="K228" s="53">
        <v>-4.8611834114176598E-2</v>
      </c>
      <c r="L228" s="95">
        <f>IFERROR(B228*'Stock Statistics'!$C$41+C228*'Stock Statistics'!$C$42+D228*'Stock Statistics'!$C$43+E228*'Stock Statistics'!$C$44+F228*'Stock Statistics'!$C$45+G228*'Stock Statistics'!$C$46+H228*'Stock Statistics'!$C$47+I228*'Stock Statistics'!$C$48+J228*'Stock Statistics'!$C$49+K228*'Stock Statistics'!$C$50,"")</f>
        <v>-1.9648181648184146E-2</v>
      </c>
      <c r="M228" s="96">
        <v>456.30459999999999</v>
      </c>
      <c r="N228" s="97">
        <v>534.59090000000003</v>
      </c>
      <c r="O228" s="93">
        <f t="shared" si="9"/>
        <v>-3.1443900301919903E-2</v>
      </c>
      <c r="P228" s="93">
        <f t="shared" si="10"/>
        <v>-7.07032750018044E-5</v>
      </c>
      <c r="Q228" s="93">
        <f>B228*'Portfolio 2 &amp; 3'!$F$7+C228*'Portfolio 2 &amp; 3'!$F$8+D228*'Portfolio 2 &amp; 3'!$F$9+E228*'Portfolio 2 &amp; 3'!$F$10+F228*'Portfolio 2 &amp; 3'!$F$11+G228*'Portfolio 2 &amp; 3'!$F$12+H228*'Portfolio 2 &amp; 3'!$F$13+I228*'Portfolio 2 &amp; 3'!$F$14+J228*'Portfolio 2 &amp; 3'!$F$15+K228*'Portfolio 2 &amp; 3'!$F$16</f>
        <v>-2.0353591552522816E-2</v>
      </c>
      <c r="R228" s="93">
        <f>B228*'Portfolio 2 &amp; 3'!$B$23+C228*'Portfolio 2 &amp; 3'!$B$24+D228*'Portfolio 2 &amp; 3'!$B$25+E228*'Portfolio 2 &amp; 3'!$B$26+F228*'Portfolio 2 &amp; 3'!$B$27+G228*'Portfolio 2 &amp; 3'!$B$28+H228*'Portfolio 2 &amp; 3'!$B$29+I228*'Portfolio 2 &amp; 3'!$B$30+J228*'Portfolio 2 &amp; 3'!$B$31+K228*'Portfolio 2 &amp; 3'!$B$32</f>
        <v>-1.1253715000655407E-2</v>
      </c>
      <c r="S228" s="93">
        <f t="shared" si="11"/>
        <v>-1.5757301788460853E-2</v>
      </c>
    </row>
    <row r="229" spans="1:19" ht="12.75" customHeight="1">
      <c r="A229" s="82">
        <v>45748</v>
      </c>
      <c r="B229" s="53">
        <v>-1.3100000000000001E-2</v>
      </c>
      <c r="C229" s="53">
        <v>-9.4536739250670205E-3</v>
      </c>
      <c r="D229" s="53">
        <v>2.0896706784816699E-2</v>
      </c>
      <c r="E229" s="53">
        <v>-2.0500000000000002E-3</v>
      </c>
      <c r="F229" s="53">
        <v>-1.0040613718411501E-2</v>
      </c>
      <c r="G229" s="53">
        <v>-1.36464319459718E-2</v>
      </c>
      <c r="H229" s="87">
        <v>1.2608695652174299E-3</v>
      </c>
      <c r="I229" s="53">
        <v>-3.4265536723163903E-2</v>
      </c>
      <c r="J229" s="53">
        <v>2.98481770922987E-2</v>
      </c>
      <c r="K229" s="53">
        <v>1.7119661136604201E-2</v>
      </c>
      <c r="L229" s="95">
        <f>IFERROR(B229*'Stock Statistics'!$C$41+C229*'Stock Statistics'!$C$42+D229*'Stock Statistics'!$C$43+E229*'Stock Statistics'!$C$44+F229*'Stock Statistics'!$C$45+G229*'Stock Statistics'!$C$46+H229*'Stock Statistics'!$C$47+I229*'Stock Statistics'!$C$48+J229*'Stock Statistics'!$C$49+K229*'Stock Statistics'!$C$50,"")</f>
        <v>-1.3430841733677208E-3</v>
      </c>
      <c r="M229" s="97">
        <v>471.11840000000001</v>
      </c>
      <c r="N229" s="96">
        <v>534.62869999999998</v>
      </c>
      <c r="O229" s="93">
        <f t="shared" si="9"/>
        <v>1.8886842015340521E-2</v>
      </c>
      <c r="P229" s="93">
        <f t="shared" si="10"/>
        <v>-1.2154402383952601E-3</v>
      </c>
      <c r="Q229" s="93">
        <f>B229*'Portfolio 2 &amp; 3'!$F$7+C229*'Portfolio 2 &amp; 3'!$F$8+D229*'Portfolio 2 &amp; 3'!$F$9+E229*'Portfolio 2 &amp; 3'!$F$10+F229*'Portfolio 2 &amp; 3'!$F$11+G229*'Portfolio 2 &amp; 3'!$F$12+H229*'Portfolio 2 &amp; 3'!$F$13+I229*'Portfolio 2 &amp; 3'!$F$14+J229*'Portfolio 2 &amp; 3'!$F$15+K229*'Portfolio 2 &amp; 3'!$F$16</f>
        <v>2.0575651810045611E-3</v>
      </c>
      <c r="R229" s="93">
        <f>B229*'Portfolio 2 &amp; 3'!$B$23+C229*'Portfolio 2 &amp; 3'!$B$24+D229*'Portfolio 2 &amp; 3'!$B$25+E229*'Portfolio 2 &amp; 3'!$B$26+F229*'Portfolio 2 &amp; 3'!$B$27+G229*'Portfolio 2 &amp; 3'!$B$28+H229*'Portfolio 2 &amp; 3'!$B$29+I229*'Portfolio 2 &amp; 3'!$B$30+J229*'Portfolio 2 &amp; 3'!$B$31+K229*'Portfolio 2 &amp; 3'!$B$32</f>
        <v>-1.2409833322260311E-2</v>
      </c>
      <c r="S229" s="93">
        <f t="shared" si="11"/>
        <v>8.8357008884726307E-3</v>
      </c>
    </row>
    <row r="230" spans="1:19" ht="12.75" customHeight="1">
      <c r="A230" s="81">
        <v>45744</v>
      </c>
      <c r="B230" s="53">
        <v>5.0000000000000001E-3</v>
      </c>
      <c r="C230" s="53">
        <v>-1.5816053949981299E-2</v>
      </c>
      <c r="D230" s="53">
        <v>-2.27057302886686E-2</v>
      </c>
      <c r="E230" s="53">
        <v>2.5749999999999999E-2</v>
      </c>
      <c r="F230" s="53">
        <v>-4.8835251192815799E-3</v>
      </c>
      <c r="G230" s="53">
        <v>-1.60833861713816E-3</v>
      </c>
      <c r="H230" s="87">
        <v>-1.9093907307759E-3</v>
      </c>
      <c r="I230" s="53">
        <v>3.2883027456014798E-2</v>
      </c>
      <c r="J230" s="53">
        <v>5.6084472909814203E-3</v>
      </c>
      <c r="K230" s="53">
        <v>2.0956087716453201E-2</v>
      </c>
      <c r="L230" s="95">
        <f>IFERROR(B230*'Stock Statistics'!$C$41+C230*'Stock Statistics'!$C$42+D230*'Stock Statistics'!$C$43+E230*'Stock Statistics'!$C$44+F230*'Stock Statistics'!$C$45+G230*'Stock Statistics'!$C$46+H230*'Stock Statistics'!$C$47+I230*'Stock Statistics'!$C$48+J230*'Stock Statistics'!$C$49+K230*'Stock Statistics'!$C$50,"")</f>
        <v>4.3274523757603888E-3</v>
      </c>
      <c r="M230" s="96">
        <v>462.3854</v>
      </c>
      <c r="N230" s="97">
        <v>535.27930000000003</v>
      </c>
      <c r="O230" s="93">
        <f t="shared" si="9"/>
        <v>1.4634736935350556E-3</v>
      </c>
      <c r="P230" s="93">
        <f t="shared" si="10"/>
        <v>-3.9968196628640262E-3</v>
      </c>
      <c r="Q230" s="93">
        <f>B230*'Portfolio 2 &amp; 3'!$F$7+C230*'Portfolio 2 &amp; 3'!$F$8+D230*'Portfolio 2 &amp; 3'!$F$9+E230*'Portfolio 2 &amp; 3'!$F$10+F230*'Portfolio 2 &amp; 3'!$F$11+G230*'Portfolio 2 &amp; 3'!$F$12+H230*'Portfolio 2 &amp; 3'!$F$13+I230*'Portfolio 2 &amp; 3'!$F$14+J230*'Portfolio 2 &amp; 3'!$F$15+K230*'Portfolio 2 &amp; 3'!$F$16</f>
        <v>1.9985624595046255E-3</v>
      </c>
      <c r="R230" s="93">
        <f>B230*'Portfolio 2 &amp; 3'!$B$23+C230*'Portfolio 2 &amp; 3'!$B$24+D230*'Portfolio 2 &amp; 3'!$B$25+E230*'Portfolio 2 &amp; 3'!$B$26+F230*'Portfolio 2 &amp; 3'!$B$27+G230*'Portfolio 2 &amp; 3'!$B$28+H230*'Portfolio 2 &amp; 3'!$B$29+I230*'Portfolio 2 &amp; 3'!$B$30+J230*'Portfolio 2 &amp; 3'!$B$31+K230*'Portfolio 2 &amp; 3'!$B$32</f>
        <v>6.5706029495303485E-3</v>
      </c>
      <c r="S230" s="93">
        <f t="shared" si="11"/>
        <v>-1.2666729846644853E-3</v>
      </c>
    </row>
    <row r="231" spans="1:19" ht="12.75" customHeight="1">
      <c r="A231" s="82">
        <v>45743</v>
      </c>
      <c r="B231" s="53">
        <v>-6.9999999999999999E-4</v>
      </c>
      <c r="C231" s="53">
        <v>-8.6044931244003697E-3</v>
      </c>
      <c r="D231" s="53">
        <v>-3.2209576980889399E-3</v>
      </c>
      <c r="E231" s="53">
        <v>-3.0849999999999999E-2</v>
      </c>
      <c r="F231" s="53">
        <v>-1.8457300275482098E-2</v>
      </c>
      <c r="G231" s="53">
        <v>4.3645739492406098E-3</v>
      </c>
      <c r="H231" s="87">
        <v>6.9917846530327399E-3</v>
      </c>
      <c r="I231" s="53">
        <v>9.0087437807284693E-3</v>
      </c>
      <c r="J231" s="53">
        <v>1.4214394674802999E-3</v>
      </c>
      <c r="K231" s="53">
        <v>-3.90878632833805E-2</v>
      </c>
      <c r="L231" s="95">
        <f>IFERROR(B231*'Stock Statistics'!$C$41+C231*'Stock Statistics'!$C$42+D231*'Stock Statistics'!$C$43+E231*'Stock Statistics'!$C$44+F231*'Stock Statistics'!$C$45+G231*'Stock Statistics'!$C$46+H231*'Stock Statistics'!$C$47+I231*'Stock Statistics'!$C$48+J231*'Stock Statistics'!$C$49+K231*'Stock Statistics'!$C$50,"")</f>
        <v>-7.9134072530869792E-3</v>
      </c>
      <c r="M231" s="97">
        <v>461.7097</v>
      </c>
      <c r="N231" s="96">
        <v>537.42729999999995</v>
      </c>
      <c r="O231" s="93">
        <f t="shared" si="9"/>
        <v>-1.6013893583402994E-2</v>
      </c>
      <c r="P231" s="93">
        <f t="shared" si="10"/>
        <v>-1.0523926190381117E-2</v>
      </c>
      <c r="Q231" s="93">
        <f>B231*'Portfolio 2 &amp; 3'!$F$7+C231*'Portfolio 2 &amp; 3'!$F$8+D231*'Portfolio 2 &amp; 3'!$F$9+E231*'Portfolio 2 &amp; 3'!$F$10+F231*'Portfolio 2 &amp; 3'!$F$11+G231*'Portfolio 2 &amp; 3'!$F$12+H231*'Portfolio 2 &amp; 3'!$F$13+I231*'Portfolio 2 &amp; 3'!$F$14+J231*'Portfolio 2 &amp; 3'!$F$15+K231*'Portfolio 2 &amp; 3'!$F$16</f>
        <v>-6.1821392447922998E-3</v>
      </c>
      <c r="R231" s="93">
        <f>B231*'Portfolio 2 &amp; 3'!$B$23+C231*'Portfolio 2 &amp; 3'!$B$24+D231*'Portfolio 2 &amp; 3'!$B$25+E231*'Portfolio 2 &amp; 3'!$B$26+F231*'Portfolio 2 &amp; 3'!$B$27+G231*'Portfolio 2 &amp; 3'!$B$28+H231*'Portfolio 2 &amp; 3'!$B$29+I231*'Portfolio 2 &amp; 3'!$B$30+J231*'Portfolio 2 &amp; 3'!$B$31+K231*'Portfolio 2 &amp; 3'!$B$32</f>
        <v>-5.0749200736650117E-3</v>
      </c>
      <c r="S231" s="93">
        <f t="shared" si="11"/>
        <v>-1.3268909886892055E-2</v>
      </c>
    </row>
    <row r="232" spans="1:19" ht="12.75" customHeight="1">
      <c r="A232" s="81">
        <v>45742</v>
      </c>
      <c r="B232" s="53">
        <v>-1.6400000000000001E-2</v>
      </c>
      <c r="C232" s="53">
        <v>-5.9604227926567397E-3</v>
      </c>
      <c r="D232" s="53">
        <v>5.8749838005960299E-3</v>
      </c>
      <c r="E232" s="53">
        <v>-8.26E-3</v>
      </c>
      <c r="F232" s="53">
        <v>1.65316581253183E-4</v>
      </c>
      <c r="G232" s="53">
        <v>-7.9967951187193097E-3</v>
      </c>
      <c r="H232" s="87">
        <v>-1.5487867836861201E-2</v>
      </c>
      <c r="I232" s="53">
        <v>-2.09546319248286E-2</v>
      </c>
      <c r="J232" s="53">
        <v>-2.74462202441163E-2</v>
      </c>
      <c r="K232" s="53">
        <v>-1.6551301371612401E-2</v>
      </c>
      <c r="L232" s="95">
        <f>IFERROR(B232*'Stock Statistics'!$C$41+C232*'Stock Statistics'!$C$42+D232*'Stock Statistics'!$C$43+E232*'Stock Statistics'!$C$44+F232*'Stock Statistics'!$C$45+G232*'Stock Statistics'!$C$46+H232*'Stock Statistics'!$C$47+I232*'Stock Statistics'!$C$48+J232*'Stock Statistics'!$C$49+K232*'Stock Statistics'!$C$50,"")</f>
        <v>-1.1301693890694535E-2</v>
      </c>
      <c r="M232" s="96">
        <v>469.22379999999998</v>
      </c>
      <c r="N232" s="97">
        <v>543.14329999999995</v>
      </c>
      <c r="O232" s="93">
        <f t="shared" si="9"/>
        <v>-1.3344661752199283E-3</v>
      </c>
      <c r="P232" s="93">
        <f t="shared" si="10"/>
        <v>-7.203098610085501E-3</v>
      </c>
      <c r="Q232" s="93">
        <f>B232*'Portfolio 2 &amp; 3'!$F$7+C232*'Portfolio 2 &amp; 3'!$F$8+D232*'Portfolio 2 &amp; 3'!$F$9+E232*'Portfolio 2 &amp; 3'!$F$10+F232*'Portfolio 2 &amp; 3'!$F$11+G232*'Portfolio 2 &amp; 3'!$F$12+H232*'Portfolio 2 &amp; 3'!$F$13+I232*'Portfolio 2 &amp; 3'!$F$14+J232*'Portfolio 2 &amp; 3'!$F$15+K232*'Portfolio 2 &amp; 3'!$F$16</f>
        <v>-1.1516432590843454E-2</v>
      </c>
      <c r="R232" s="93">
        <f>B232*'Portfolio 2 &amp; 3'!$B$23+C232*'Portfolio 2 &amp; 3'!$B$24+D232*'Portfolio 2 &amp; 3'!$B$25+E232*'Portfolio 2 &amp; 3'!$B$26+F232*'Portfolio 2 &amp; 3'!$B$27+G232*'Portfolio 2 &amp; 3'!$B$28+H232*'Portfolio 2 &amp; 3'!$B$29+I232*'Portfolio 2 &amp; 3'!$B$30+J232*'Portfolio 2 &amp; 3'!$B$31+K232*'Portfolio 2 &amp; 3'!$B$32</f>
        <v>-1.2112323705738859E-2</v>
      </c>
      <c r="S232" s="93">
        <f t="shared" si="11"/>
        <v>-4.2687823926527146E-3</v>
      </c>
    </row>
    <row r="233" spans="1:19" ht="12.75" customHeight="1">
      <c r="A233" s="82">
        <v>45741</v>
      </c>
      <c r="B233" s="53">
        <v>1E-3</v>
      </c>
      <c r="C233" s="53">
        <v>-3.8297493344945401E-3</v>
      </c>
      <c r="D233" s="53">
        <v>-3.1382066195238298E-2</v>
      </c>
      <c r="E233" s="53">
        <v>-9.7900000000000001E-3</v>
      </c>
      <c r="F233" s="53">
        <v>-1.7700552127314102E-2</v>
      </c>
      <c r="G233" s="53">
        <v>-8.0698161365754303E-3</v>
      </c>
      <c r="H233" s="87">
        <v>-2.0607934054610601E-3</v>
      </c>
      <c r="I233" s="53">
        <v>1.8770394755840401E-3</v>
      </c>
      <c r="J233" s="53">
        <v>4.5386803956104496E-3</v>
      </c>
      <c r="K233" s="53">
        <v>5.7285244554048402E-3</v>
      </c>
      <c r="L233" s="95">
        <f>IFERROR(B233*'Stock Statistics'!$C$41+C233*'Stock Statistics'!$C$42+D233*'Stock Statistics'!$C$43+E233*'Stock Statistics'!$C$44+F233*'Stock Statistics'!$C$45+G233*'Stock Statistics'!$C$46+H233*'Stock Statistics'!$C$47+I233*'Stock Statistics'!$C$48+J233*'Stock Statistics'!$C$49+K233*'Stock Statistics'!$C$50,"")</f>
        <v>-5.9688732872484095E-3</v>
      </c>
      <c r="M233" s="97">
        <v>469.85079999999999</v>
      </c>
      <c r="N233" s="96">
        <v>547.08399999999995</v>
      </c>
      <c r="O233" s="93">
        <f t="shared" si="9"/>
        <v>2.3244244617515175E-3</v>
      </c>
      <c r="P233" s="93">
        <f t="shared" si="10"/>
        <v>6.9086888767293519E-3</v>
      </c>
      <c r="Q233" s="93">
        <f>B233*'Portfolio 2 &amp; 3'!$F$7+C233*'Portfolio 2 &amp; 3'!$F$8+D233*'Portfolio 2 &amp; 3'!$F$9+E233*'Portfolio 2 &amp; 3'!$F$10+F233*'Portfolio 2 &amp; 3'!$F$11+G233*'Portfolio 2 &amp; 3'!$F$12+H233*'Portfolio 2 &amp; 3'!$F$13+I233*'Portfolio 2 &amp; 3'!$F$14+J233*'Portfolio 2 &amp; 3'!$F$15+K233*'Portfolio 2 &amp; 3'!$F$16</f>
        <v>-6.5312902964547396E-3</v>
      </c>
      <c r="R233" s="93">
        <f>B233*'Portfolio 2 &amp; 3'!$B$23+C233*'Portfolio 2 &amp; 3'!$B$24+D233*'Portfolio 2 &amp; 3'!$B$25+E233*'Portfolio 2 &amp; 3'!$B$26+F233*'Portfolio 2 &amp; 3'!$B$27+G233*'Portfolio 2 &amp; 3'!$B$28+H233*'Portfolio 2 &amp; 3'!$B$29+I233*'Portfolio 2 &amp; 3'!$B$30+J233*'Portfolio 2 &amp; 3'!$B$31+K233*'Portfolio 2 &amp; 3'!$B$32</f>
        <v>-3.5871383352910173E-3</v>
      </c>
      <c r="S233" s="93">
        <f t="shared" si="11"/>
        <v>4.6165566692404347E-3</v>
      </c>
    </row>
    <row r="234" spans="1:19" ht="12.75" customHeight="1">
      <c r="A234" s="81">
        <v>45740</v>
      </c>
      <c r="B234" s="53">
        <v>2.58E-2</v>
      </c>
      <c r="C234" s="53">
        <v>1.47720425788311E-2</v>
      </c>
      <c r="D234" s="53">
        <v>-1.2111441798941599E-2</v>
      </c>
      <c r="E234" s="53">
        <v>-9.7199999999999995E-3</v>
      </c>
      <c r="F234" s="53">
        <v>5.5519268451993398E-3</v>
      </c>
      <c r="G234" s="53">
        <v>1.50010859110794E-2</v>
      </c>
      <c r="H234" s="87">
        <v>-1.1291281093471399E-2</v>
      </c>
      <c r="I234" s="53">
        <v>-1.5634327297535399E-2</v>
      </c>
      <c r="J234" s="53">
        <v>-2.3160402329274701E-2</v>
      </c>
      <c r="K234" s="53">
        <v>-2.4826003955036302E-4</v>
      </c>
      <c r="L234" s="95">
        <f>IFERROR(B234*'Stock Statistics'!$C$41+C234*'Stock Statistics'!$C$42+D234*'Stock Statistics'!$C$43+E234*'Stock Statistics'!$C$44+F234*'Stock Statistics'!$C$45+G234*'Stock Statistics'!$C$46+H234*'Stock Statistics'!$C$47+I234*'Stock Statistics'!$C$48+J234*'Stock Statistics'!$C$49+K234*'Stock Statistics'!$C$50,"")</f>
        <v>-1.1040657223663623E-3</v>
      </c>
      <c r="M234" s="96">
        <v>468.76119999999997</v>
      </c>
      <c r="N234" s="97">
        <v>543.33029999999997</v>
      </c>
      <c r="O234" s="93">
        <f t="shared" si="9"/>
        <v>-1.2630125662080882E-3</v>
      </c>
      <c r="P234" s="93">
        <f t="shared" si="10"/>
        <v>1.0291832172606874E-2</v>
      </c>
      <c r="Q234" s="93">
        <f>B234*'Portfolio 2 &amp; 3'!$F$7+C234*'Portfolio 2 &amp; 3'!$F$8+D234*'Portfolio 2 &amp; 3'!$F$9+E234*'Portfolio 2 &amp; 3'!$F$10+F234*'Portfolio 2 &amp; 3'!$F$11+G234*'Portfolio 2 &amp; 3'!$F$12+H234*'Portfolio 2 &amp; 3'!$F$13+I234*'Portfolio 2 &amp; 3'!$F$14+J234*'Portfolio 2 &amp; 3'!$F$15+K234*'Portfolio 2 &amp; 3'!$F$16</f>
        <v>-4.3416285869896072E-3</v>
      </c>
      <c r="R234" s="93">
        <f>B234*'Portfolio 2 &amp; 3'!$B$23+C234*'Portfolio 2 &amp; 3'!$B$24+D234*'Portfolio 2 &amp; 3'!$B$25+E234*'Portfolio 2 &amp; 3'!$B$26+F234*'Portfolio 2 &amp; 3'!$B$27+G234*'Portfolio 2 &amp; 3'!$B$28+H234*'Portfolio 2 &amp; 3'!$B$29+I234*'Portfolio 2 &amp; 3'!$B$30+J234*'Portfolio 2 &amp; 3'!$B$31+K234*'Portfolio 2 &amp; 3'!$B$32</f>
        <v>3.5643038187916937E-3</v>
      </c>
      <c r="S234" s="93">
        <f t="shared" si="11"/>
        <v>4.5144098031993929E-3</v>
      </c>
    </row>
    <row r="235" spans="1:19" ht="12.75" customHeight="1">
      <c r="A235" s="82">
        <v>45737</v>
      </c>
      <c r="B235" s="53">
        <v>3.7000000000000002E-3</v>
      </c>
      <c r="C235" s="53">
        <v>1.4838367779544301E-2</v>
      </c>
      <c r="D235" s="53">
        <v>7.7060857249968704E-3</v>
      </c>
      <c r="E235" s="53">
        <v>-2.4240000000000001E-2</v>
      </c>
      <c r="F235" s="53">
        <v>1.4717906786589901E-3</v>
      </c>
      <c r="G235" s="53">
        <v>-2.3678712373288498E-3</v>
      </c>
      <c r="H235" s="87">
        <v>-2.6770222258944099E-2</v>
      </c>
      <c r="I235" s="53">
        <v>-3.2865845020541001E-3</v>
      </c>
      <c r="J235" s="53">
        <v>-8.4314819067615697E-3</v>
      </c>
      <c r="K235" s="53">
        <v>-1.18513881604548E-2</v>
      </c>
      <c r="L235" s="95">
        <f>IFERROR(B235*'Stock Statistics'!$C$41+C235*'Stock Statistics'!$C$42+D235*'Stock Statistics'!$C$43+E235*'Stock Statistics'!$C$44+F235*'Stock Statistics'!$C$45+G235*'Stock Statistics'!$C$46+H235*'Stock Statistics'!$C$47+I235*'Stock Statistics'!$C$48+J235*'Stock Statistics'!$C$49+K235*'Stock Statistics'!$C$50,"")</f>
        <v>-4.9231303882343262E-3</v>
      </c>
      <c r="M235" s="97">
        <v>469.35399999999998</v>
      </c>
      <c r="N235" s="96">
        <v>537.79539999999997</v>
      </c>
      <c r="O235" s="93">
        <f t="shared" si="9"/>
        <v>-1.2860570451731057E-2</v>
      </c>
      <c r="P235" s="93">
        <f t="shared" si="10"/>
        <v>6.4363446024102711E-3</v>
      </c>
      <c r="Q235" s="93">
        <f>B235*'Portfolio 2 &amp; 3'!$F$7+C235*'Portfolio 2 &amp; 3'!$F$8+D235*'Portfolio 2 &amp; 3'!$F$9+E235*'Portfolio 2 &amp; 3'!$F$10+F235*'Portfolio 2 &amp; 3'!$F$11+G235*'Portfolio 2 &amp; 3'!$F$12+H235*'Portfolio 2 &amp; 3'!$F$13+I235*'Portfolio 2 &amp; 3'!$F$14+J235*'Portfolio 2 &amp; 3'!$F$15+K235*'Portfolio 2 &amp; 3'!$F$16</f>
        <v>-5.846996515421545E-3</v>
      </c>
      <c r="R235" s="93">
        <f>B235*'Portfolio 2 &amp; 3'!$B$23+C235*'Portfolio 2 &amp; 3'!$B$24+D235*'Portfolio 2 &amp; 3'!$B$25+E235*'Portfolio 2 &amp; 3'!$B$26+F235*'Portfolio 2 &amp; 3'!$B$27+G235*'Portfolio 2 &amp; 3'!$B$28+H235*'Portfolio 2 &amp; 3'!$B$29+I235*'Portfolio 2 &amp; 3'!$B$30+J235*'Portfolio 2 &amp; 3'!$B$31+K235*'Portfolio 2 &amp; 3'!$B$32</f>
        <v>4.8816205606165954E-4</v>
      </c>
      <c r="S235" s="93">
        <f t="shared" si="11"/>
        <v>-3.212112924660393E-3</v>
      </c>
    </row>
    <row r="236" spans="1:19" ht="12.75" customHeight="1">
      <c r="A236" s="81">
        <v>45736</v>
      </c>
      <c r="B236" s="53">
        <v>-5.5999999999999999E-3</v>
      </c>
      <c r="C236" s="53">
        <v>1.12123335669236E-2</v>
      </c>
      <c r="D236" s="53">
        <v>2.23140143933909E-2</v>
      </c>
      <c r="E236" s="53">
        <v>-4.2500000000000003E-3</v>
      </c>
      <c r="F236" s="53">
        <v>8.07781074843383E-3</v>
      </c>
      <c r="G236" s="53">
        <v>1.23617334628521E-2</v>
      </c>
      <c r="H236" s="87">
        <v>8.4572761738115308E-3</v>
      </c>
      <c r="I236" s="53">
        <v>-1.1233751680860601E-2</v>
      </c>
      <c r="J236" s="53">
        <v>1.3124651376461601E-4</v>
      </c>
      <c r="K236" s="53">
        <v>1.95520367064261E-2</v>
      </c>
      <c r="L236" s="95">
        <f>IFERROR(B236*'Stock Statistics'!$C$41+C236*'Stock Statistics'!$C$42+D236*'Stock Statistics'!$C$43+E236*'Stock Statistics'!$C$44+F236*'Stock Statistics'!$C$45+G236*'Stock Statistics'!$C$46+H236*'Stock Statistics'!$C$47+I236*'Stock Statistics'!$C$48+J236*'Stock Statistics'!$C$49+K236*'Stock Statistics'!$C$50,"")</f>
        <v>6.1022699884742074E-3</v>
      </c>
      <c r="M236" s="96">
        <v>475.46879999999999</v>
      </c>
      <c r="N236" s="97">
        <v>534.35609999999997</v>
      </c>
      <c r="O236" s="93">
        <f t="shared" si="9"/>
        <v>-5.4518619664856161E-3</v>
      </c>
      <c r="P236" s="93">
        <f t="shared" si="10"/>
        <v>8.2375092525277527E-3</v>
      </c>
      <c r="Q236" s="93">
        <f>B236*'Portfolio 2 &amp; 3'!$F$7+C236*'Portfolio 2 &amp; 3'!$F$8+D236*'Portfolio 2 &amp; 3'!$F$9+E236*'Portfolio 2 &amp; 3'!$F$10+F236*'Portfolio 2 &amp; 3'!$F$11+G236*'Portfolio 2 &amp; 3'!$F$12+H236*'Portfolio 2 &amp; 3'!$F$13+I236*'Portfolio 2 &amp; 3'!$F$14+J236*'Portfolio 2 &amp; 3'!$F$15+K236*'Portfolio 2 &amp; 3'!$F$16</f>
        <v>6.8768749350859052E-3</v>
      </c>
      <c r="R236" s="93">
        <f>B236*'Portfolio 2 &amp; 3'!$B$23+C236*'Portfolio 2 &amp; 3'!$B$24+D236*'Portfolio 2 &amp; 3'!$B$25+E236*'Portfolio 2 &amp; 3'!$B$26+F236*'Portfolio 2 &amp; 3'!$B$27+G236*'Portfolio 2 &amp; 3'!$B$28+H236*'Portfolio 2 &amp; 3'!$B$29+I236*'Portfolio 2 &amp; 3'!$B$30+J236*'Portfolio 2 &amp; 3'!$B$31+K236*'Portfolio 2 &amp; 3'!$B$32</f>
        <v>3.3870171336408015E-3</v>
      </c>
      <c r="S236" s="93">
        <f t="shared" si="11"/>
        <v>1.3928236430210683E-3</v>
      </c>
    </row>
    <row r="237" spans="1:19" ht="12.75" customHeight="1">
      <c r="A237" s="82">
        <v>45735</v>
      </c>
      <c r="B237" s="53">
        <v>2.0799999999999999E-2</v>
      </c>
      <c r="C237" s="53">
        <v>8.5644202386396806E-3</v>
      </c>
      <c r="D237" s="53">
        <v>8.8932806324111303E-3</v>
      </c>
      <c r="E237" s="53">
        <v>1.23E-2</v>
      </c>
      <c r="F237" s="53">
        <v>8.5905891481461404E-3</v>
      </c>
      <c r="G237" s="53">
        <v>1.77312880696496E-2</v>
      </c>
      <c r="H237" s="87">
        <v>1.09080188679245E-2</v>
      </c>
      <c r="I237" s="53">
        <v>1.6811431773611199E-4</v>
      </c>
      <c r="J237" s="53">
        <v>7.8039747362852498E-3</v>
      </c>
      <c r="K237" s="53">
        <v>-4.2510434379348103E-3</v>
      </c>
      <c r="L237" s="95">
        <f>IFERROR(B237*'Stock Statistics'!$C$41+C237*'Stock Statistics'!$C$42+D237*'Stock Statistics'!$C$43+E237*'Stock Statistics'!$C$44+F237*'Stock Statistics'!$C$45+G237*'Stock Statistics'!$C$46+H237*'Stock Statistics'!$C$47+I237*'Stock Statistics'!$C$48+J237*'Stock Statistics'!$C$49+K237*'Stock Statistics'!$C$50,"")</f>
        <v>9.150864257285762E-3</v>
      </c>
      <c r="M237" s="97">
        <v>478.0752</v>
      </c>
      <c r="N237" s="96">
        <v>529.99030000000005</v>
      </c>
      <c r="O237" s="93">
        <f t="shared" si="9"/>
        <v>6.2692500284677877E-3</v>
      </c>
      <c r="P237" s="93">
        <f t="shared" si="10"/>
        <v>1.5421274384686656E-2</v>
      </c>
      <c r="Q237" s="93">
        <f>B237*'Portfolio 2 &amp; 3'!$F$7+C237*'Portfolio 2 &amp; 3'!$F$8+D237*'Portfolio 2 &amp; 3'!$F$9+E237*'Portfolio 2 &amp; 3'!$F$10+F237*'Portfolio 2 &amp; 3'!$F$11+G237*'Portfolio 2 &amp; 3'!$F$12+H237*'Portfolio 2 &amp; 3'!$F$13+I237*'Portfolio 2 &amp; 3'!$F$14+J237*'Portfolio 2 &amp; 3'!$F$15+K237*'Portfolio 2 &amp; 3'!$F$16</f>
        <v>8.749129968100431E-3</v>
      </c>
      <c r="R237" s="93">
        <f>B237*'Portfolio 2 &amp; 3'!$B$23+C237*'Portfolio 2 &amp; 3'!$B$24+D237*'Portfolio 2 &amp; 3'!$B$25+E237*'Portfolio 2 &amp; 3'!$B$26+F237*'Portfolio 2 &amp; 3'!$B$27+G237*'Portfolio 2 &amp; 3'!$B$28+H237*'Portfolio 2 &amp; 3'!$B$29+I237*'Portfolio 2 &amp; 3'!$B$30+J237*'Portfolio 2 &amp; 3'!$B$31+K237*'Portfolio 2 &amp; 3'!$B$32</f>
        <v>8.0294878141061853E-3</v>
      </c>
      <c r="S237" s="93">
        <f t="shared" si="11"/>
        <v>1.0845262206577222E-2</v>
      </c>
    </row>
    <row r="238" spans="1:19" ht="12.75" customHeight="1">
      <c r="A238" s="81">
        <v>45734</v>
      </c>
      <c r="B238" s="53">
        <v>-1.47E-2</v>
      </c>
      <c r="C238" s="53">
        <v>-1.56699148013229E-3</v>
      </c>
      <c r="D238" s="53">
        <v>2.3570800351802899E-2</v>
      </c>
      <c r="E238" s="53">
        <v>5.1599999999999997E-3</v>
      </c>
      <c r="F238" s="53">
        <v>1.05858631119076E-2</v>
      </c>
      <c r="G238" s="53">
        <v>2.26164658307106E-2</v>
      </c>
      <c r="H238" s="87">
        <v>1.2882859824247E-2</v>
      </c>
      <c r="I238" s="53">
        <v>1.9568633052421201E-2</v>
      </c>
      <c r="J238" s="53">
        <v>8.6048760964545501E-3</v>
      </c>
      <c r="K238" s="53">
        <v>6.8750966810471304E-4</v>
      </c>
      <c r="L238" s="95">
        <f>IFERROR(B238*'Stock Statistics'!$C$41+C238*'Stock Statistics'!$C$42+D238*'Stock Statistics'!$C$43+E238*'Stock Statistics'!$C$44+F238*'Stock Statistics'!$C$45+G238*'Stock Statistics'!$C$46+H238*'Stock Statistics'!$C$47+I238*'Stock Statistics'!$C$48+J238*'Stock Statistics'!$C$49+K238*'Stock Statistics'!$C$50,"")</f>
        <v>8.7410016455516278E-3</v>
      </c>
      <c r="M238" s="96">
        <v>475.0967</v>
      </c>
      <c r="N238" s="97">
        <v>521.94129999999996</v>
      </c>
      <c r="O238" s="93">
        <f t="shared" si="9"/>
        <v>1.3532058960626481E-2</v>
      </c>
      <c r="P238" s="93">
        <f t="shared" si="10"/>
        <v>1.3000077051007475E-2</v>
      </c>
      <c r="Q238" s="93">
        <f>B238*'Portfolio 2 &amp; 3'!$F$7+C238*'Portfolio 2 &amp; 3'!$F$8+D238*'Portfolio 2 &amp; 3'!$F$9+E238*'Portfolio 2 &amp; 3'!$F$10+F238*'Portfolio 2 &amp; 3'!$F$11+G238*'Portfolio 2 &amp; 3'!$F$12+H238*'Portfolio 2 &amp; 3'!$F$13+I238*'Portfolio 2 &amp; 3'!$F$14+J238*'Portfolio 2 &amp; 3'!$F$15+K238*'Portfolio 2 &amp; 3'!$F$16</f>
        <v>9.7846444813648962E-3</v>
      </c>
      <c r="R238" s="93">
        <f>B238*'Portfolio 2 &amp; 3'!$B$23+C238*'Portfolio 2 &amp; 3'!$B$24+D238*'Portfolio 2 &amp; 3'!$B$25+E238*'Portfolio 2 &amp; 3'!$B$26+F238*'Portfolio 2 &amp; 3'!$B$27+G238*'Portfolio 2 &amp; 3'!$B$28+H238*'Portfolio 2 &amp; 3'!$B$29+I238*'Portfolio 2 &amp; 3'!$B$30+J238*'Portfolio 2 &amp; 3'!$B$31+K238*'Portfolio 2 &amp; 3'!$B$32</f>
        <v>7.717869999226616E-3</v>
      </c>
      <c r="S238" s="93">
        <f t="shared" si="11"/>
        <v>1.3266068005816978E-2</v>
      </c>
    </row>
    <row r="239" spans="1:19" ht="12.75" customHeight="1">
      <c r="A239" s="82">
        <v>45733</v>
      </c>
      <c r="B239" s="53">
        <v>1.9599999999999999E-2</v>
      </c>
      <c r="C239" s="53">
        <v>2.3624640159763701E-2</v>
      </c>
      <c r="D239" s="53">
        <v>2.27579382927048E-2</v>
      </c>
      <c r="E239" s="53">
        <v>9.3299999999999998E-3</v>
      </c>
      <c r="F239" s="53">
        <v>1.0870796059336401E-2</v>
      </c>
      <c r="G239" s="53">
        <v>3.3703637047821601E-3</v>
      </c>
      <c r="H239" s="87">
        <v>7.2183552461975199E-3</v>
      </c>
      <c r="I239" s="53">
        <v>1.0332784945305699E-2</v>
      </c>
      <c r="J239" s="53">
        <v>-6.2970205150300104E-3</v>
      </c>
      <c r="K239" s="53">
        <v>7.8209580890187293E-3</v>
      </c>
      <c r="L239" s="95">
        <f>IFERROR(B239*'Stock Statistics'!$C$41+C239*'Stock Statistics'!$C$42+D239*'Stock Statistics'!$C$43+E239*'Stock Statistics'!$C$44+F239*'Stock Statistics'!$C$45+G239*'Stock Statistics'!$C$46+H239*'Stock Statistics'!$C$47+I239*'Stock Statistics'!$C$48+J239*'Stock Statistics'!$C$49+K239*'Stock Statistics'!$C$50,"")</f>
        <v>1.0862881598207899E-2</v>
      </c>
      <c r="M239" s="97">
        <v>468.75349999999997</v>
      </c>
      <c r="N239" s="96">
        <v>515.24310000000003</v>
      </c>
      <c r="O239" s="93">
        <f t="shared" si="9"/>
        <v>9.3055663513064157E-3</v>
      </c>
      <c r="P239" s="93">
        <f t="shared" si="10"/>
        <v>-9.4797297821336279E-4</v>
      </c>
      <c r="Q239" s="93">
        <f>B239*'Portfolio 2 &amp; 3'!$F$7+C239*'Portfolio 2 &amp; 3'!$F$8+D239*'Portfolio 2 &amp; 3'!$F$9+E239*'Portfolio 2 &amp; 3'!$F$10+F239*'Portfolio 2 &amp; 3'!$F$11+G239*'Portfolio 2 &amp; 3'!$F$12+H239*'Portfolio 2 &amp; 3'!$F$13+I239*'Portfolio 2 &amp; 3'!$F$14+J239*'Portfolio 2 &amp; 3'!$F$15+K239*'Portfolio 2 &amp; 3'!$F$16</f>
        <v>1.0372510515306783E-2</v>
      </c>
      <c r="R239" s="93">
        <f>B239*'Portfolio 2 &amp; 3'!$B$23+C239*'Portfolio 2 &amp; 3'!$B$24+D239*'Portfolio 2 &amp; 3'!$B$25+E239*'Portfolio 2 &amp; 3'!$B$26+F239*'Portfolio 2 &amp; 3'!$B$27+G239*'Portfolio 2 &amp; 3'!$B$28+H239*'Portfolio 2 &amp; 3'!$B$29+I239*'Portfolio 2 &amp; 3'!$B$30+J239*'Portfolio 2 &amp; 3'!$B$31+K239*'Portfolio 2 &amp; 3'!$B$32</f>
        <v>1.2758362015996148E-2</v>
      </c>
      <c r="S239" s="93">
        <f t="shared" si="11"/>
        <v>4.1787966865465265E-3</v>
      </c>
    </row>
    <row r="240" spans="1:19" ht="12.75" customHeight="1">
      <c r="A240" s="81">
        <v>45729</v>
      </c>
      <c r="B240" s="53">
        <v>-6.7000000000000002E-3</v>
      </c>
      <c r="C240" s="53">
        <v>-8.9379711121404509E-3</v>
      </c>
      <c r="D240" s="53">
        <v>1.54829869833295E-2</v>
      </c>
      <c r="E240" s="53">
        <v>2.0899999999999998E-2</v>
      </c>
      <c r="F240" s="53">
        <v>-5.7979172530255897E-3</v>
      </c>
      <c r="G240" s="53">
        <v>-1.30631357984821E-2</v>
      </c>
      <c r="H240" s="87">
        <v>1.1297471104544999E-2</v>
      </c>
      <c r="I240" s="53">
        <v>-8.8396841743907401E-3</v>
      </c>
      <c r="J240" s="53">
        <v>1.07530483719684E-2</v>
      </c>
      <c r="K240" s="53">
        <v>1.8004355608065799E-2</v>
      </c>
      <c r="L240" s="95">
        <f>IFERROR(B240*'Stock Statistics'!$C$41+C240*'Stock Statistics'!$C$42+D240*'Stock Statistics'!$C$43+E240*'Stock Statistics'!$C$44+F240*'Stock Statistics'!$C$45+G240*'Stock Statistics'!$C$46+H240*'Stock Statistics'!$C$47+I240*'Stock Statistics'!$C$48+J240*'Stock Statistics'!$C$49+K240*'Stock Statistics'!$C$50,"")</f>
        <v>3.3099153729869817E-3</v>
      </c>
      <c r="M240" s="96">
        <v>464.43169999999998</v>
      </c>
      <c r="N240" s="97">
        <v>515.73199999999997</v>
      </c>
      <c r="O240" s="93">
        <f t="shared" si="9"/>
        <v>1.172179636763504E-2</v>
      </c>
      <c r="P240" s="93">
        <f t="shared" si="10"/>
        <v>-2.6654027811301439E-4</v>
      </c>
      <c r="Q240" s="93">
        <f>B240*'Portfolio 2 &amp; 3'!$F$7+C240*'Portfolio 2 &amp; 3'!$F$8+D240*'Portfolio 2 &amp; 3'!$F$9+E240*'Portfolio 2 &amp; 3'!$F$10+F240*'Portfolio 2 &amp; 3'!$F$11+G240*'Portfolio 2 &amp; 3'!$F$12+H240*'Portfolio 2 &amp; 3'!$F$13+I240*'Portfolio 2 &amp; 3'!$F$14+J240*'Portfolio 2 &amp; 3'!$F$15+K240*'Portfolio 2 &amp; 3'!$F$16</f>
        <v>5.0423714276640573E-3</v>
      </c>
      <c r="R240" s="93">
        <f>B240*'Portfolio 2 &amp; 3'!$B$23+C240*'Portfolio 2 &amp; 3'!$B$24+D240*'Portfolio 2 &amp; 3'!$B$25+E240*'Portfolio 2 &amp; 3'!$B$26+F240*'Portfolio 2 &amp; 3'!$B$27+G240*'Portfolio 2 &amp; 3'!$B$28+H240*'Portfolio 2 &amp; 3'!$B$29+I240*'Portfolio 2 &amp; 3'!$B$30+J240*'Portfolio 2 &amp; 3'!$B$31+K240*'Portfolio 2 &amp; 3'!$B$32</f>
        <v>-4.6856950829396258E-3</v>
      </c>
      <c r="S240" s="93">
        <f t="shared" si="11"/>
        <v>5.7276280447610128E-3</v>
      </c>
    </row>
    <row r="241" spans="1:19" ht="12.75" customHeight="1">
      <c r="A241" s="82">
        <v>45728</v>
      </c>
      <c r="B241" s="53">
        <v>-2.3E-2</v>
      </c>
      <c r="C241" s="53">
        <v>-5.9337554288106898E-3</v>
      </c>
      <c r="D241" s="53">
        <v>-1.1869302283599699E-2</v>
      </c>
      <c r="E241" s="53">
        <v>1.341E-2</v>
      </c>
      <c r="F241" s="53">
        <v>-1.28910373951214E-2</v>
      </c>
      <c r="G241" s="53">
        <v>1.26064847365066E-2</v>
      </c>
      <c r="H241" s="87">
        <v>3.8584773681122897E-2</v>
      </c>
      <c r="I241" s="53">
        <v>2.55236754092589E-2</v>
      </c>
      <c r="J241" s="53">
        <v>2.1000068404131399E-2</v>
      </c>
      <c r="K241" s="53">
        <v>8.9672535117295595E-3</v>
      </c>
      <c r="L241" s="95">
        <f>IFERROR(B241*'Stock Statistics'!$C$41+C241*'Stock Statistics'!$C$42+D241*'Stock Statistics'!$C$43+E241*'Stock Statistics'!$C$44+F241*'Stock Statistics'!$C$45+G241*'Stock Statistics'!$C$46+H241*'Stock Statistics'!$C$47+I241*'Stock Statistics'!$C$48+J241*'Stock Statistics'!$C$49+K241*'Stock Statistics'!$C$50,"")</f>
        <v>6.6398160635217571E-3</v>
      </c>
      <c r="M241" s="97">
        <v>459.05079999999998</v>
      </c>
      <c r="N241" s="96">
        <v>515.86950000000002</v>
      </c>
      <c r="O241" s="93">
        <f t="shared" si="9"/>
        <v>1.2072757994324501E-2</v>
      </c>
      <c r="P241" s="93">
        <f t="shared" si="10"/>
        <v>-1.3924033970538208E-3</v>
      </c>
      <c r="Q241" s="93">
        <f>B241*'Portfolio 2 &amp; 3'!$F$7+C241*'Portfolio 2 &amp; 3'!$F$8+D241*'Portfolio 2 &amp; 3'!$F$9+E241*'Portfolio 2 &amp; 3'!$F$10+F241*'Portfolio 2 &amp; 3'!$F$11+G241*'Portfolio 2 &amp; 3'!$F$12+H241*'Portfolio 2 &amp; 3'!$F$13+I241*'Portfolio 2 &amp; 3'!$F$14+J241*'Portfolio 2 &amp; 3'!$F$15+K241*'Portfolio 2 &amp; 3'!$F$16</f>
        <v>8.8840137714115888E-3</v>
      </c>
      <c r="R241" s="93">
        <f>B241*'Portfolio 2 &amp; 3'!$B$23+C241*'Portfolio 2 &amp; 3'!$B$24+D241*'Portfolio 2 &amp; 3'!$B$25+E241*'Portfolio 2 &amp; 3'!$B$26+F241*'Portfolio 2 &amp; 3'!$B$27+G241*'Portfolio 2 &amp; 3'!$B$28+H241*'Portfolio 2 &amp; 3'!$B$29+I241*'Portfolio 2 &amp; 3'!$B$30+J241*'Portfolio 2 &amp; 3'!$B$31+K241*'Portfolio 2 &amp; 3'!$B$32</f>
        <v>3.9464300854030188E-3</v>
      </c>
      <c r="S241" s="93">
        <f t="shared" si="11"/>
        <v>5.3401772986353402E-3</v>
      </c>
    </row>
    <row r="242" spans="1:19" ht="12.75" customHeight="1">
      <c r="A242" s="81">
        <v>45727</v>
      </c>
      <c r="B242" s="53">
        <v>-4.3E-3</v>
      </c>
      <c r="C242" s="53">
        <v>3.1354560172693002E-2</v>
      </c>
      <c r="D242" s="53">
        <v>1.5816256360885701E-2</v>
      </c>
      <c r="E242" s="53">
        <v>-4.8300000000000001E-3</v>
      </c>
      <c r="F242" s="53">
        <v>6.8815038603558002E-3</v>
      </c>
      <c r="G242" s="53">
        <v>-4.2818534075738102E-3</v>
      </c>
      <c r="H242" s="87">
        <v>2.5335927249694498E-3</v>
      </c>
      <c r="I242" s="53">
        <v>1.2385280228103E-2</v>
      </c>
      <c r="J242" s="53">
        <v>5.2258818675652297E-3</v>
      </c>
      <c r="K242" s="53">
        <v>-8.2404736066629108E-3</v>
      </c>
      <c r="L242" s="95">
        <f>IFERROR(B242*'Stock Statistics'!$C$41+C242*'Stock Statistics'!$C$42+D242*'Stock Statistics'!$C$43+E242*'Stock Statistics'!$C$44+F242*'Stock Statistics'!$C$45+G242*'Stock Statistics'!$C$46+H242*'Stock Statistics'!$C$47+I242*'Stock Statistics'!$C$48+J242*'Stock Statistics'!$C$49+K242*'Stock Statistics'!$C$50,"")</f>
        <v>5.2544748200335466E-3</v>
      </c>
      <c r="M242" s="96">
        <v>453.57490000000001</v>
      </c>
      <c r="N242" s="97">
        <v>516.58879999999999</v>
      </c>
      <c r="O242" s="93">
        <f t="shared" si="9"/>
        <v>7.853515405835676E-3</v>
      </c>
      <c r="P242" s="93">
        <f t="shared" si="10"/>
        <v>-5.6377289936415664E-3</v>
      </c>
      <c r="Q242" s="93">
        <f>B242*'Portfolio 2 &amp; 3'!$F$7+C242*'Portfolio 2 &amp; 3'!$F$8+D242*'Portfolio 2 &amp; 3'!$F$9+E242*'Portfolio 2 &amp; 3'!$F$10+F242*'Portfolio 2 &amp; 3'!$F$11+G242*'Portfolio 2 &amp; 3'!$F$12+H242*'Portfolio 2 &amp; 3'!$F$13+I242*'Portfolio 2 &amp; 3'!$F$14+J242*'Portfolio 2 &amp; 3'!$F$15+K242*'Portfolio 2 &amp; 3'!$F$16</f>
        <v>6.5631237718971067E-3</v>
      </c>
      <c r="R242" s="93">
        <f>B242*'Portfolio 2 &amp; 3'!$B$23+C242*'Portfolio 2 &amp; 3'!$B$24+D242*'Portfolio 2 &amp; 3'!$B$25+E242*'Portfolio 2 &amp; 3'!$B$26+F242*'Portfolio 2 &amp; 3'!$B$27+G242*'Portfolio 2 &amp; 3'!$B$28+H242*'Portfolio 2 &amp; 3'!$B$29+I242*'Portfolio 2 &amp; 3'!$B$30+J242*'Portfolio 2 &amp; 3'!$B$31+K242*'Portfolio 2 &amp; 3'!$B$32</f>
        <v>8.8826564801930408E-3</v>
      </c>
      <c r="S242" s="93">
        <f t="shared" si="11"/>
        <v>1.1078932060970548E-3</v>
      </c>
    </row>
    <row r="243" spans="1:19" ht="12.75" customHeight="1">
      <c r="A243" s="82">
        <v>45726</v>
      </c>
      <c r="B243" s="53">
        <v>-4.4999999999999997E-3</v>
      </c>
      <c r="C243" s="53">
        <v>-2.2277097118012699E-2</v>
      </c>
      <c r="D243" s="53">
        <v>-2.3326015367727301E-3</v>
      </c>
      <c r="E243" s="53">
        <v>-4.7600000000000003E-3</v>
      </c>
      <c r="F243" s="53">
        <v>-7.8818827708702095E-3</v>
      </c>
      <c r="G243" s="53">
        <v>-8.7839156744107304E-4</v>
      </c>
      <c r="H243" s="87">
        <v>-1.02986611740473E-2</v>
      </c>
      <c r="I243" s="53">
        <v>3.93595133732894E-3</v>
      </c>
      <c r="J243" s="53">
        <v>5.9138855265432602E-3</v>
      </c>
      <c r="K243" s="53">
        <v>2.17985125084517E-2</v>
      </c>
      <c r="L243" s="95">
        <f>IFERROR(B243*'Stock Statistics'!$C$41+C243*'Stock Statistics'!$C$42+D243*'Stock Statistics'!$C$43+E243*'Stock Statistics'!$C$44+F243*'Stock Statistics'!$C$45+G243*'Stock Statistics'!$C$46+H243*'Stock Statistics'!$C$47+I243*'Stock Statistics'!$C$48+J243*'Stock Statistics'!$C$49+K243*'Stock Statistics'!$C$50,"")</f>
        <v>-2.1280284794820119E-3</v>
      </c>
      <c r="M243" s="97">
        <v>450.04050000000001</v>
      </c>
      <c r="N243" s="96">
        <v>519.51769999999999</v>
      </c>
      <c r="O243" s="93">
        <f t="shared" si="9"/>
        <v>-4.0357849968297721E-4</v>
      </c>
      <c r="P243" s="93">
        <f t="shared" si="10"/>
        <v>-1.0565942247462434E-3</v>
      </c>
      <c r="Q243" s="93">
        <f>B243*'Portfolio 2 &amp; 3'!$F$7+C243*'Portfolio 2 &amp; 3'!$F$8+D243*'Portfolio 2 &amp; 3'!$F$9+E243*'Portfolio 2 &amp; 3'!$F$10+F243*'Portfolio 2 &amp; 3'!$F$11+G243*'Portfolio 2 &amp; 3'!$F$12+H243*'Portfolio 2 &amp; 3'!$F$13+I243*'Portfolio 2 &amp; 3'!$F$14+J243*'Portfolio 2 &amp; 3'!$F$15+K243*'Portfolio 2 &amp; 3'!$F$16</f>
        <v>-2.750999615992292E-3</v>
      </c>
      <c r="R243" s="93">
        <f>B243*'Portfolio 2 &amp; 3'!$B$23+C243*'Portfolio 2 &amp; 3'!$B$24+D243*'Portfolio 2 &amp; 3'!$B$25+E243*'Portfolio 2 &amp; 3'!$B$26+F243*'Portfolio 2 &amp; 3'!$B$27+G243*'Portfolio 2 &amp; 3'!$B$28+H243*'Portfolio 2 &amp; 3'!$B$29+I243*'Portfolio 2 &amp; 3'!$B$30+J243*'Portfolio 2 &amp; 3'!$B$31+K243*'Portfolio 2 &amp; 3'!$B$32</f>
        <v>-3.4845762680383941E-3</v>
      </c>
      <c r="S243" s="93">
        <f t="shared" si="11"/>
        <v>-7.3008636221461032E-4</v>
      </c>
    </row>
    <row r="244" spans="1:19" ht="12.75" customHeight="1">
      <c r="A244" s="81">
        <v>45723</v>
      </c>
      <c r="B244" s="53">
        <v>-6.8999999999999999E-3</v>
      </c>
      <c r="C244" s="53">
        <v>-1.71716320424753E-3</v>
      </c>
      <c r="D244" s="53">
        <v>-3.8272279934390401E-3</v>
      </c>
      <c r="E244" s="53">
        <v>-1.5789999999999998E-2</v>
      </c>
      <c r="F244" s="53">
        <v>-7.2735287635001802E-3</v>
      </c>
      <c r="G244" s="53">
        <v>4.8381824125531799E-3</v>
      </c>
      <c r="H244" s="87">
        <v>-3.16907695054458E-3</v>
      </c>
      <c r="I244" s="53">
        <v>1.30187881350812E-2</v>
      </c>
      <c r="J244" s="53">
        <v>-1.16219449666724E-2</v>
      </c>
      <c r="K244" s="53">
        <v>5.8031463934351598E-3</v>
      </c>
      <c r="L244" s="95">
        <f>IFERROR(B244*'Stock Statistics'!$C$41+C244*'Stock Statistics'!$C$42+D244*'Stock Statistics'!$C$43+E244*'Stock Statistics'!$C$44+F244*'Stock Statistics'!$C$45+G244*'Stock Statistics'!$C$46+H244*'Stock Statistics'!$C$47+I244*'Stock Statistics'!$C$48+J244*'Stock Statistics'!$C$49+K244*'Stock Statistics'!$C$50,"")</f>
        <v>-2.6638824937334198E-3</v>
      </c>
      <c r="M244" s="96">
        <v>450.22219999999999</v>
      </c>
      <c r="N244" s="97">
        <v>520.06719999999996</v>
      </c>
      <c r="O244" s="93">
        <f t="shared" si="9"/>
        <v>4.7176739889498442E-4</v>
      </c>
      <c r="P244" s="93">
        <f t="shared" si="10"/>
        <v>9.2127275553408605E-3</v>
      </c>
      <c r="Q244" s="93">
        <f>B244*'Portfolio 2 &amp; 3'!$F$7+C244*'Portfolio 2 &amp; 3'!$F$8+D244*'Portfolio 2 &amp; 3'!$F$9+E244*'Portfolio 2 &amp; 3'!$F$10+F244*'Portfolio 2 &amp; 3'!$F$11+G244*'Portfolio 2 &amp; 3'!$F$12+H244*'Portfolio 2 &amp; 3'!$F$13+I244*'Portfolio 2 &amp; 3'!$F$14+J244*'Portfolio 2 &amp; 3'!$F$15+K244*'Portfolio 2 &amp; 3'!$F$16</f>
        <v>-3.417865419692068E-3</v>
      </c>
      <c r="R244" s="93">
        <f>B244*'Portfolio 2 &amp; 3'!$B$23+C244*'Portfolio 2 &amp; 3'!$B$24+D244*'Portfolio 2 &amp; 3'!$B$25+E244*'Portfolio 2 &amp; 3'!$B$26+F244*'Portfolio 2 &amp; 3'!$B$27+G244*'Portfolio 2 &amp; 3'!$B$28+H244*'Portfolio 2 &amp; 3'!$B$29+I244*'Portfolio 2 &amp; 3'!$B$30+J244*'Portfolio 2 &amp; 3'!$B$31+K244*'Portfolio 2 &amp; 3'!$B$32</f>
        <v>1.3435332654849186E-3</v>
      </c>
      <c r="S244" s="93">
        <f t="shared" si="11"/>
        <v>4.8422474771179225E-3</v>
      </c>
    </row>
    <row r="245" spans="1:19" ht="12.75" customHeight="1">
      <c r="A245" s="82">
        <v>45722</v>
      </c>
      <c r="B245" s="53">
        <v>-1.4800000000000001E-2</v>
      </c>
      <c r="C245" s="53">
        <v>1.05823485574363E-2</v>
      </c>
      <c r="D245" s="53">
        <v>-1.53432032301479E-2</v>
      </c>
      <c r="E245" s="53">
        <v>-1.9220000000000001E-2</v>
      </c>
      <c r="F245" s="53">
        <v>2.2480139726181601E-2</v>
      </c>
      <c r="G245" s="53">
        <v>2.6940830885438399E-2</v>
      </c>
      <c r="H245" s="87">
        <v>-1.1515552614162801E-2</v>
      </c>
      <c r="I245" s="53">
        <v>2.71796462922742E-2</v>
      </c>
      <c r="J245" s="53">
        <v>2.9483355617263601E-3</v>
      </c>
      <c r="K245" s="53">
        <v>-1.15617297781762E-2</v>
      </c>
      <c r="L245" s="95">
        <f>IFERROR(B245*'Stock Statistics'!$C$41+C245*'Stock Statistics'!$C$42+D245*'Stock Statistics'!$C$43+E245*'Stock Statistics'!$C$44+F245*'Stock Statistics'!$C$45+G245*'Stock Statistics'!$C$46+H245*'Stock Statistics'!$C$47+I245*'Stock Statistics'!$C$48+J245*'Stock Statistics'!$C$49+K245*'Stock Statistics'!$C$50,"")</f>
        <v>1.7690815400569959E-3</v>
      </c>
      <c r="M245" s="97">
        <v>450.00990000000002</v>
      </c>
      <c r="N245" s="96">
        <v>515.31970000000001</v>
      </c>
      <c r="O245" s="93">
        <f t="shared" si="9"/>
        <v>3.2649983702877083E-3</v>
      </c>
      <c r="P245" s="93">
        <f t="shared" si="10"/>
        <v>1.5193234930531929E-2</v>
      </c>
      <c r="Q245" s="93">
        <f>B245*'Portfolio 2 &amp; 3'!$F$7+C245*'Portfolio 2 &amp; 3'!$F$8+D245*'Portfolio 2 &amp; 3'!$F$9+E245*'Portfolio 2 &amp; 3'!$F$10+F245*'Portfolio 2 &amp; 3'!$F$11+G245*'Portfolio 2 &amp; 3'!$F$12+H245*'Portfolio 2 &amp; 3'!$F$13+I245*'Portfolio 2 &amp; 3'!$F$14+J245*'Portfolio 2 &amp; 3'!$F$15+K245*'Portfolio 2 &amp; 3'!$F$16</f>
        <v>3.2127062451118194E-4</v>
      </c>
      <c r="R245" s="93">
        <f>B245*'Portfolio 2 &amp; 3'!$B$23+C245*'Portfolio 2 &amp; 3'!$B$24+D245*'Portfolio 2 &amp; 3'!$B$25+E245*'Portfolio 2 &amp; 3'!$B$26+F245*'Portfolio 2 &amp; 3'!$B$27+G245*'Portfolio 2 &amp; 3'!$B$28+H245*'Portfolio 2 &amp; 3'!$B$29+I245*'Portfolio 2 &amp; 3'!$B$30+J245*'Portfolio 2 &amp; 3'!$B$31+K245*'Portfolio 2 &amp; 3'!$B$32</f>
        <v>1.1812376245659511E-2</v>
      </c>
      <c r="S245" s="93">
        <f t="shared" si="11"/>
        <v>9.2291166504098188E-3</v>
      </c>
    </row>
    <row r="246" spans="1:19" ht="12.75" customHeight="1">
      <c r="A246" s="81">
        <v>45721</v>
      </c>
      <c r="B246" s="53">
        <v>-2.8999999999999998E-3</v>
      </c>
      <c r="C246" s="53">
        <v>1.7736989804210599E-2</v>
      </c>
      <c r="D246" s="53">
        <v>1.9670631290027399E-2</v>
      </c>
      <c r="E246" s="53">
        <v>4.9500000000000004E-3</v>
      </c>
      <c r="F246" s="53">
        <v>1.8126541616474701E-2</v>
      </c>
      <c r="G246" s="53">
        <v>1.6534143261782E-2</v>
      </c>
      <c r="H246" s="87">
        <v>-6.0082448907990997E-3</v>
      </c>
      <c r="I246" s="53">
        <v>1.36705399863302E-3</v>
      </c>
      <c r="J246" s="53">
        <v>-2.2575679835813399E-3</v>
      </c>
      <c r="K246" s="53">
        <v>1.8047300087991099E-3</v>
      </c>
      <c r="L246" s="95">
        <f>IFERROR(B246*'Stock Statistics'!$C$41+C246*'Stock Statistics'!$C$42+D246*'Stock Statistics'!$C$43+E246*'Stock Statistics'!$C$44+F246*'Stock Statistics'!$C$45+G246*'Stock Statistics'!$C$46+H246*'Stock Statistics'!$C$47+I246*'Stock Statistics'!$C$48+J246*'Stock Statistics'!$C$49+K246*'Stock Statistics'!$C$50,"")</f>
        <v>6.9024277105546395E-3</v>
      </c>
      <c r="M246" s="96">
        <v>448.54539999999997</v>
      </c>
      <c r="N246" s="97">
        <v>507.60750000000002</v>
      </c>
      <c r="O246" s="93">
        <f t="shared" si="9"/>
        <v>-1.0267900091527227E-2</v>
      </c>
      <c r="P246" s="93">
        <f t="shared" si="10"/>
        <v>3.1251352450003544E-3</v>
      </c>
      <c r="Q246" s="93">
        <f>B246*'Portfolio 2 &amp; 3'!$F$7+C246*'Portfolio 2 &amp; 3'!$F$8+D246*'Portfolio 2 &amp; 3'!$F$9+E246*'Portfolio 2 &amp; 3'!$F$10+F246*'Portfolio 2 &amp; 3'!$F$11+G246*'Portfolio 2 &amp; 3'!$F$12+H246*'Portfolio 2 &amp; 3'!$F$13+I246*'Portfolio 2 &amp; 3'!$F$14+J246*'Portfolio 2 &amp; 3'!$F$15+K246*'Portfolio 2 &amp; 3'!$F$16</f>
        <v>6.225455906192748E-3</v>
      </c>
      <c r="R246" s="93">
        <f>B246*'Portfolio 2 &amp; 3'!$B$23+C246*'Portfolio 2 &amp; 3'!$B$24+D246*'Portfolio 2 &amp; 3'!$B$25+E246*'Portfolio 2 &amp; 3'!$B$26+F246*'Portfolio 2 &amp; 3'!$B$27+G246*'Portfolio 2 &amp; 3'!$B$28+H246*'Portfolio 2 &amp; 3'!$B$29+I246*'Portfolio 2 &amp; 3'!$B$30+J246*'Portfolio 2 &amp; 3'!$B$31+K246*'Portfolio 2 &amp; 3'!$B$32</f>
        <v>8.1039583799110155E-3</v>
      </c>
      <c r="S246" s="93">
        <f t="shared" si="11"/>
        <v>-3.5713824232634361E-3</v>
      </c>
    </row>
    <row r="247" spans="1:19" ht="12.75" customHeight="1">
      <c r="A247" s="82">
        <v>45720</v>
      </c>
      <c r="B247" s="53">
        <v>1.14E-2</v>
      </c>
      <c r="C247" s="53">
        <v>3.1084591389785002E-3</v>
      </c>
      <c r="D247" s="53">
        <v>3.9220347040646503E-2</v>
      </c>
      <c r="E247" s="53">
        <v>-1.4300000000000001E-3</v>
      </c>
      <c r="F247" s="53">
        <v>1.3785972772701899E-3</v>
      </c>
      <c r="G247" s="53">
        <v>-9.7828841767339005E-3</v>
      </c>
      <c r="H247" s="87">
        <v>1.21626420454546E-2</v>
      </c>
      <c r="I247" s="53">
        <v>-2.9120198265180099E-3</v>
      </c>
      <c r="J247" s="53">
        <v>2.9582673005810901E-2</v>
      </c>
      <c r="K247" s="53">
        <v>9.45337212569442E-3</v>
      </c>
      <c r="L247" s="95">
        <f>IFERROR(B247*'Stock Statistics'!$C$41+C247*'Stock Statistics'!$C$42+D247*'Stock Statistics'!$C$43+E247*'Stock Statistics'!$C$44+F247*'Stock Statistics'!$C$45+G247*'Stock Statistics'!$C$46+H247*'Stock Statistics'!$C$47+I247*'Stock Statistics'!$C$48+J247*'Stock Statistics'!$C$49+K247*'Stock Statistics'!$C$50,"")</f>
        <v>9.2181186630603228E-3</v>
      </c>
      <c r="M247" s="97">
        <v>453.19880000000001</v>
      </c>
      <c r="N247" s="96">
        <v>506.02609999999999</v>
      </c>
      <c r="O247" s="93">
        <f t="shared" si="9"/>
        <v>-4.5356130963218888E-3</v>
      </c>
      <c r="P247" s="93">
        <f t="shared" si="10"/>
        <v>9.0623482620995066E-3</v>
      </c>
      <c r="Q247" s="93">
        <f>B247*'Portfolio 2 &amp; 3'!$F$7+C247*'Portfolio 2 &amp; 3'!$F$8+D247*'Portfolio 2 &amp; 3'!$F$9+E247*'Portfolio 2 &amp; 3'!$F$10+F247*'Portfolio 2 &amp; 3'!$F$11+G247*'Portfolio 2 &amp; 3'!$F$12+H247*'Portfolio 2 &amp; 3'!$F$13+I247*'Portfolio 2 &amp; 3'!$F$14+J247*'Portfolio 2 &amp; 3'!$F$15+K247*'Portfolio 2 &amp; 3'!$F$16</f>
        <v>1.2586146816184111E-2</v>
      </c>
      <c r="R247" s="93">
        <f>B247*'Portfolio 2 &amp; 3'!$B$23+C247*'Portfolio 2 &amp; 3'!$B$24+D247*'Portfolio 2 &amp; 3'!$B$25+E247*'Portfolio 2 &amp; 3'!$B$26+F247*'Portfolio 2 &amp; 3'!$B$27+G247*'Portfolio 2 &amp; 3'!$B$28+H247*'Portfolio 2 &amp; 3'!$B$29+I247*'Portfolio 2 &amp; 3'!$B$30+J247*'Portfolio 2 &amp; 3'!$B$31+K247*'Portfolio 2 &amp; 3'!$B$32</f>
        <v>3.2066410939555396E-3</v>
      </c>
      <c r="S247" s="93">
        <f t="shared" si="11"/>
        <v>2.2633675828888089E-3</v>
      </c>
    </row>
    <row r="248" spans="1:19" ht="12.75" customHeight="1">
      <c r="A248" s="81">
        <v>45719</v>
      </c>
      <c r="B248" s="53">
        <v>2.5899999999999999E-2</v>
      </c>
      <c r="C248" s="53">
        <v>-9.8682794541774498E-3</v>
      </c>
      <c r="D248" s="53">
        <v>-1.0117647058823599E-2</v>
      </c>
      <c r="E248" s="53">
        <v>3.5549999999999998E-2</v>
      </c>
      <c r="F248" s="53">
        <v>-7.0157426420259803E-3</v>
      </c>
      <c r="G248" s="53">
        <v>3.7820969437942801E-3</v>
      </c>
      <c r="H248" s="87">
        <v>5.5796098736775601E-3</v>
      </c>
      <c r="I248" s="53">
        <v>1.9937438781636001E-2</v>
      </c>
      <c r="J248" s="53">
        <v>1.2804965044942201E-2</v>
      </c>
      <c r="K248" s="53">
        <v>-2.08420175072832E-4</v>
      </c>
      <c r="L248" s="95">
        <f>IFERROR(B248*'Stock Statistics'!$C$41+C248*'Stock Statistics'!$C$42+D248*'Stock Statistics'!$C$43+E248*'Stock Statistics'!$C$44+F248*'Stock Statistics'!$C$45+G248*'Stock Statistics'!$C$46+H248*'Stock Statistics'!$C$47+I248*'Stock Statistics'!$C$48+J248*'Stock Statistics'!$C$49+K248*'Stock Statistics'!$C$50,"")</f>
        <v>7.6344021313950175E-3</v>
      </c>
      <c r="M248" s="96">
        <v>455.26369999999997</v>
      </c>
      <c r="N248" s="97">
        <v>501.48149999999998</v>
      </c>
      <c r="O248" s="93">
        <f t="shared" si="9"/>
        <v>9.4874552368702236E-3</v>
      </c>
      <c r="P248" s="93">
        <f t="shared" si="10"/>
        <v>-1.9500249288793792E-2</v>
      </c>
      <c r="Q248" s="93">
        <f>B248*'Portfolio 2 &amp; 3'!$F$7+C248*'Portfolio 2 &amp; 3'!$F$8+D248*'Portfolio 2 &amp; 3'!$F$9+E248*'Portfolio 2 &amp; 3'!$F$10+F248*'Portfolio 2 &amp; 3'!$F$11+G248*'Portfolio 2 &amp; 3'!$F$12+H248*'Portfolio 2 &amp; 3'!$F$13+I248*'Portfolio 2 &amp; 3'!$F$14+J248*'Portfolio 2 &amp; 3'!$F$15+K248*'Portfolio 2 &amp; 3'!$F$16</f>
        <v>5.9404475718400768E-3</v>
      </c>
      <c r="R248" s="93">
        <f>B248*'Portfolio 2 &amp; 3'!$B$23+C248*'Portfolio 2 &amp; 3'!$B$24+D248*'Portfolio 2 &amp; 3'!$B$25+E248*'Portfolio 2 &amp; 3'!$B$26+F248*'Portfolio 2 &amp; 3'!$B$27+G248*'Portfolio 2 &amp; 3'!$B$28+H248*'Portfolio 2 &amp; 3'!$B$29+I248*'Portfolio 2 &amp; 3'!$B$30+J248*'Portfolio 2 &amp; 3'!$B$31+K248*'Portfolio 2 &amp; 3'!$B$32</f>
        <v>6.3035502741744841E-3</v>
      </c>
      <c r="S248" s="93">
        <f t="shared" si="11"/>
        <v>-5.006397025961784E-3</v>
      </c>
    </row>
    <row r="249" spans="1:19" ht="12.75" customHeight="1">
      <c r="A249" s="82">
        <v>45716</v>
      </c>
      <c r="B249" s="53">
        <v>1.44E-2</v>
      </c>
      <c r="C249" s="53">
        <v>7.3062330623305796E-3</v>
      </c>
      <c r="D249" s="53">
        <v>3.9686289331948297E-3</v>
      </c>
      <c r="E249" s="53">
        <v>6.7999999999999996E-3</v>
      </c>
      <c r="F249" s="53">
        <v>-1.1111737830672999E-2</v>
      </c>
      <c r="G249" s="53">
        <v>-1.30231001004353E-2</v>
      </c>
      <c r="H249" s="87">
        <v>4.9124687388357703E-4</v>
      </c>
      <c r="I249" s="53">
        <v>1.01819342483243E-2</v>
      </c>
      <c r="J249" s="53">
        <v>-4.0851124293985698E-3</v>
      </c>
      <c r="K249" s="53">
        <v>-4.0702134380218302E-3</v>
      </c>
      <c r="L249" s="95">
        <f>IFERROR(B249*'Stock Statistics'!$C$41+C249*'Stock Statistics'!$C$42+D249*'Stock Statistics'!$C$43+E249*'Stock Statistics'!$C$44+F249*'Stock Statistics'!$C$45+G249*'Stock Statistics'!$C$46+H249*'Stock Statistics'!$C$47+I249*'Stock Statistics'!$C$48+J249*'Stock Statistics'!$C$49+K249*'Stock Statistics'!$C$50,"")</f>
        <v>1.0857879319204587E-3</v>
      </c>
      <c r="M249" s="97">
        <v>450.98500000000001</v>
      </c>
      <c r="N249" s="96">
        <v>511.45499999999998</v>
      </c>
      <c r="O249" s="93">
        <f t="shared" si="9"/>
        <v>1.8291471355930566E-2</v>
      </c>
      <c r="P249" s="93">
        <f t="shared" si="10"/>
        <v>-5.9856009739283067E-3</v>
      </c>
      <c r="Q249" s="93">
        <f>B249*'Portfolio 2 &amp; 3'!$F$7+C249*'Portfolio 2 &amp; 3'!$F$8+D249*'Portfolio 2 &amp; 3'!$F$9+E249*'Portfolio 2 &amp; 3'!$F$10+F249*'Portfolio 2 &amp; 3'!$F$11+G249*'Portfolio 2 &amp; 3'!$F$12+H249*'Portfolio 2 &amp; 3'!$F$13+I249*'Portfolio 2 &amp; 3'!$F$14+J249*'Portfolio 2 &amp; 3'!$F$15+K249*'Portfolio 2 &amp; 3'!$F$16</f>
        <v>8.6640844590160095E-4</v>
      </c>
      <c r="R249" s="93">
        <f>B249*'Portfolio 2 &amp; 3'!$B$23+C249*'Portfolio 2 &amp; 3'!$B$24+D249*'Portfolio 2 &amp; 3'!$B$25+E249*'Portfolio 2 &amp; 3'!$B$26+F249*'Portfolio 2 &amp; 3'!$B$27+G249*'Portfolio 2 &amp; 3'!$B$28+H249*'Portfolio 2 &amp; 3'!$B$29+I249*'Portfolio 2 &amp; 3'!$B$30+J249*'Portfolio 2 &amp; 3'!$B$31+K249*'Portfolio 2 &amp; 3'!$B$32</f>
        <v>2.3136979087701563E-3</v>
      </c>
      <c r="S249" s="93">
        <f t="shared" si="11"/>
        <v>6.1529351910011298E-3</v>
      </c>
    </row>
    <row r="250" spans="1:19" ht="12.75" customHeight="1">
      <c r="A250" s="81">
        <v>45715</v>
      </c>
      <c r="B250" s="53">
        <v>-7.7000000000000002E-3</v>
      </c>
      <c r="C250" s="53">
        <v>1.06930779849683E-2</v>
      </c>
      <c r="D250" s="53">
        <v>-2.0727306375497499E-2</v>
      </c>
      <c r="E250" s="53">
        <v>2.571E-2</v>
      </c>
      <c r="F250" s="53">
        <v>3.9639843705758801E-3</v>
      </c>
      <c r="G250" s="53">
        <v>-1.4532917635802899E-2</v>
      </c>
      <c r="H250" s="87">
        <v>2.7765338110166101E-3</v>
      </c>
      <c r="I250" s="53">
        <v>-1.17342754400353E-2</v>
      </c>
      <c r="J250" s="53">
        <v>3.5523978685558802E-5</v>
      </c>
      <c r="K250" s="53">
        <v>1.0948405638428801E-2</v>
      </c>
      <c r="L250" s="95">
        <f>IFERROR(B250*'Stock Statistics'!$C$41+C250*'Stock Statistics'!$C$42+D250*'Stock Statistics'!$C$43+E250*'Stock Statistics'!$C$44+F250*'Stock Statistics'!$C$45+G250*'Stock Statistics'!$C$46+H250*'Stock Statistics'!$C$47+I250*'Stock Statistics'!$C$48+J250*'Stock Statistics'!$C$49+K250*'Stock Statistics'!$C$50,"")</f>
        <v>-5.6697366766054677E-5</v>
      </c>
      <c r="M250" s="96">
        <v>442.88400000000001</v>
      </c>
      <c r="N250" s="97">
        <v>514.53480000000002</v>
      </c>
      <c r="O250" s="93">
        <f t="shared" si="9"/>
        <v>1.0342871977701895E-2</v>
      </c>
      <c r="P250" s="93">
        <f t="shared" si="10"/>
        <v>1.7849841711155001E-3</v>
      </c>
      <c r="Q250" s="93">
        <f>B250*'Portfolio 2 &amp; 3'!$F$7+C250*'Portfolio 2 &amp; 3'!$F$8+D250*'Portfolio 2 &amp; 3'!$F$9+E250*'Portfolio 2 &amp; 3'!$F$10+F250*'Portfolio 2 &amp; 3'!$F$11+G250*'Portfolio 2 &amp; 3'!$F$12+H250*'Portfolio 2 &amp; 3'!$F$13+I250*'Portfolio 2 &amp; 3'!$F$14+J250*'Portfolio 2 &amp; 3'!$F$15+K250*'Portfolio 2 &amp; 3'!$F$16</f>
        <v>-4.2807037211458363E-4</v>
      </c>
      <c r="R250" s="93">
        <f>B250*'Portfolio 2 &amp; 3'!$B$23+C250*'Portfolio 2 &amp; 3'!$B$24+D250*'Portfolio 2 &amp; 3'!$B$25+E250*'Portfolio 2 &amp; 3'!$B$26+F250*'Portfolio 2 &amp; 3'!$B$27+G250*'Portfolio 2 &amp; 3'!$B$28+H250*'Portfolio 2 &amp; 3'!$B$29+I250*'Portfolio 2 &amp; 3'!$B$30+J250*'Portfolio 2 &amp; 3'!$B$31+K250*'Portfolio 2 &amp; 3'!$B$32</f>
        <v>-2.0696736684512195E-3</v>
      </c>
      <c r="S250" s="93">
        <f t="shared" si="11"/>
        <v>6.0639280744086976E-3</v>
      </c>
    </row>
    <row r="251" spans="1:19" ht="12.75" customHeight="1">
      <c r="A251" s="82">
        <v>45713</v>
      </c>
      <c r="B251" s="53">
        <v>1.2800000000000001E-2</v>
      </c>
      <c r="C251" s="53">
        <v>-9.8393378244975294E-3</v>
      </c>
      <c r="D251" s="53">
        <v>-3.2375930808004099E-4</v>
      </c>
      <c r="E251" s="53">
        <v>-7.9900000000000006E-3</v>
      </c>
      <c r="F251" s="53">
        <v>-9.3127629733519308E-3</v>
      </c>
      <c r="G251" s="53">
        <v>2.5634240730327798E-3</v>
      </c>
      <c r="H251" s="87">
        <v>-8.0405135267203106E-3</v>
      </c>
      <c r="I251" s="53">
        <v>-5.1153302997019E-3</v>
      </c>
      <c r="J251" s="53">
        <v>-2.3349408458522701E-2</v>
      </c>
      <c r="K251" s="53">
        <v>-2.4137255600270701E-2</v>
      </c>
      <c r="L251" s="95">
        <f>IFERROR(B251*'Stock Statistics'!$C$41+C251*'Stock Statistics'!$C$42+D251*'Stock Statistics'!$C$43+E251*'Stock Statistics'!$C$44+F251*'Stock Statistics'!$C$45+G251*'Stock Statistics'!$C$46+H251*'Stock Statistics'!$C$47+I251*'Stock Statistics'!$C$48+J251*'Stock Statistics'!$C$49+K251*'Stock Statistics'!$C$50,"")</f>
        <v>-7.2744943918112339E-3</v>
      </c>
      <c r="M251" s="97">
        <v>438.35019999999997</v>
      </c>
      <c r="N251" s="96">
        <v>513.61800000000005</v>
      </c>
      <c r="O251" s="93">
        <f t="shared" si="9"/>
        <v>3.8314351725794449E-3</v>
      </c>
      <c r="P251" s="93">
        <f t="shared" si="10"/>
        <v>-3.6390343319290253E-3</v>
      </c>
      <c r="Q251" s="93">
        <f>B251*'Portfolio 2 &amp; 3'!$F$7+C251*'Portfolio 2 &amp; 3'!$F$8+D251*'Portfolio 2 &amp; 3'!$F$9+E251*'Portfolio 2 &amp; 3'!$F$10+F251*'Portfolio 2 &amp; 3'!$F$11+G251*'Portfolio 2 &amp; 3'!$F$12+H251*'Portfolio 2 &amp; 3'!$F$13+I251*'Portfolio 2 &amp; 3'!$F$14+J251*'Portfolio 2 &amp; 3'!$F$15+K251*'Portfolio 2 &amp; 3'!$F$16</f>
        <v>-8.5924659338469586E-3</v>
      </c>
      <c r="R251" s="93">
        <f>B251*'Portfolio 2 &amp; 3'!$B$23+C251*'Portfolio 2 &amp; 3'!$B$24+D251*'Portfolio 2 &amp; 3'!$B$25+E251*'Portfolio 2 &amp; 3'!$B$26+F251*'Portfolio 2 &amp; 3'!$B$27+G251*'Portfolio 2 &amp; 3'!$B$28+H251*'Portfolio 2 &amp; 3'!$B$29+I251*'Portfolio 2 &amp; 3'!$B$30+J251*'Portfolio 2 &amp; 3'!$B$31+K251*'Portfolio 2 &amp; 3'!$B$32</f>
        <v>-5.7306768668813728E-3</v>
      </c>
      <c r="S251" s="93">
        <f t="shared" si="11"/>
        <v>9.6200420325209812E-5</v>
      </c>
    </row>
    <row r="252" spans="1:19" ht="12.75" customHeight="1">
      <c r="A252" s="81">
        <v>45712</v>
      </c>
      <c r="B252" s="53">
        <v>3.0099999999999998E-2</v>
      </c>
      <c r="C252" s="53">
        <v>1.6951915240424099E-3</v>
      </c>
      <c r="D252" s="53">
        <v>-1.8832819023416301E-2</v>
      </c>
      <c r="E252" s="53">
        <v>-5.0800000000000003E-3</v>
      </c>
      <c r="F252" s="53">
        <v>6.66403117411196E-3</v>
      </c>
      <c r="G252" s="53">
        <v>-5.2807343675456099E-3</v>
      </c>
      <c r="H252" s="87">
        <v>-2.3046580685192101E-3</v>
      </c>
      <c r="I252" s="53">
        <v>-3.2928679817905898E-2</v>
      </c>
      <c r="J252" s="53">
        <v>-1.51706700379266E-2</v>
      </c>
      <c r="K252" s="53">
        <v>-1.9314054205085099E-2</v>
      </c>
      <c r="L252" s="95">
        <f>IFERROR(B252*'Stock Statistics'!$C$41+C252*'Stock Statistics'!$C$42+D252*'Stock Statistics'!$C$43+E252*'Stock Statistics'!$C$44+F252*'Stock Statistics'!$C$45+G252*'Stock Statistics'!$C$46+H252*'Stock Statistics'!$C$47+I252*'Stock Statistics'!$C$48+J252*'Stock Statistics'!$C$49+K252*'Stock Statistics'!$C$50,"")</f>
        <v>-6.0452392822244348E-3</v>
      </c>
      <c r="M252" s="96">
        <v>436.6771</v>
      </c>
      <c r="N252" s="97">
        <v>515.49390000000005</v>
      </c>
      <c r="O252" s="93">
        <f t="shared" si="9"/>
        <v>-1.5273642902855822E-2</v>
      </c>
      <c r="P252" s="93">
        <f t="shared" si="10"/>
        <v>-1.3887799572188442E-2</v>
      </c>
      <c r="Q252" s="93">
        <f>B252*'Portfolio 2 &amp; 3'!$F$7+C252*'Portfolio 2 &amp; 3'!$F$8+D252*'Portfolio 2 &amp; 3'!$F$9+E252*'Portfolio 2 &amp; 3'!$F$10+F252*'Portfolio 2 &amp; 3'!$F$11+G252*'Portfolio 2 &amp; 3'!$F$12+H252*'Portfolio 2 &amp; 3'!$F$13+I252*'Portfolio 2 &amp; 3'!$F$14+J252*'Portfolio 2 &amp; 3'!$F$15+K252*'Portfolio 2 &amp; 3'!$F$16</f>
        <v>-7.2103218445789879E-3</v>
      </c>
      <c r="R252" s="93">
        <f>B252*'Portfolio 2 &amp; 3'!$B$23+C252*'Portfolio 2 &amp; 3'!$B$24+D252*'Portfolio 2 &amp; 3'!$B$25+E252*'Portfolio 2 &amp; 3'!$B$26+F252*'Portfolio 2 &amp; 3'!$B$27+G252*'Portfolio 2 &amp; 3'!$B$28+H252*'Portfolio 2 &amp; 3'!$B$29+I252*'Portfolio 2 &amp; 3'!$B$30+J252*'Portfolio 2 &amp; 3'!$B$31+K252*'Portfolio 2 &amp; 3'!$B$32</f>
        <v>-5.8514246071659868E-3</v>
      </c>
      <c r="S252" s="93">
        <f t="shared" si="11"/>
        <v>-1.4580721237522132E-2</v>
      </c>
    </row>
    <row r="253" spans="1:19" ht="12.75" customHeight="1">
      <c r="A253" s="82">
        <v>45709</v>
      </c>
      <c r="B253" s="53">
        <v>-1.66E-2</v>
      </c>
      <c r="C253" s="53">
        <v>-1.68269230769231E-2</v>
      </c>
      <c r="D253" s="53">
        <v>-1.1971483656907299E-2</v>
      </c>
      <c r="E253" s="53">
        <v>-8.2500000000000004E-3</v>
      </c>
      <c r="F253" s="53">
        <v>-1.5895070305118601E-2</v>
      </c>
      <c r="G253" s="53">
        <v>-1.8281948997884299E-2</v>
      </c>
      <c r="H253" s="87">
        <v>-3.1256708599888397E-2</v>
      </c>
      <c r="I253" s="53">
        <v>2.10089241447695E-2</v>
      </c>
      <c r="J253" s="53">
        <v>-9.0739800237007503E-3</v>
      </c>
      <c r="K253" s="53">
        <v>4.1823394797062497E-3</v>
      </c>
      <c r="L253" s="95">
        <f>IFERROR(B253*'Stock Statistics'!$C$41+C253*'Stock Statistics'!$C$42+D253*'Stock Statistics'!$C$43+E253*'Stock Statistics'!$C$44+F253*'Stock Statistics'!$C$45+G253*'Stock Statistics'!$C$46+H253*'Stock Statistics'!$C$47+I253*'Stock Statistics'!$C$48+J253*'Stock Statistics'!$C$49+K253*'Stock Statistics'!$C$50,"")</f>
        <v>-1.0296485103594669E-2</v>
      </c>
      <c r="M253" s="97">
        <v>443.4502</v>
      </c>
      <c r="N253" s="96">
        <v>522.75379999999996</v>
      </c>
      <c r="O253" s="93">
        <f t="shared" si="9"/>
        <v>-7.441555020212709E-3</v>
      </c>
      <c r="P253" s="93">
        <f t="shared" si="10"/>
        <v>1.1492784595799055E-3</v>
      </c>
      <c r="Q253" s="93">
        <f>B253*'Portfolio 2 &amp; 3'!$F$7+C253*'Portfolio 2 &amp; 3'!$F$8+D253*'Portfolio 2 &amp; 3'!$F$9+E253*'Portfolio 2 &amp; 3'!$F$10+F253*'Portfolio 2 &amp; 3'!$F$11+G253*'Portfolio 2 &amp; 3'!$F$12+H253*'Portfolio 2 &amp; 3'!$F$13+I253*'Portfolio 2 &amp; 3'!$F$14+J253*'Portfolio 2 &amp; 3'!$F$15+K253*'Portfolio 2 &amp; 3'!$F$16</f>
        <v>-1.1891929983960945E-2</v>
      </c>
      <c r="R253" s="93">
        <f>B253*'Portfolio 2 &amp; 3'!$B$23+C253*'Portfolio 2 &amp; 3'!$B$24+D253*'Portfolio 2 &amp; 3'!$B$25+E253*'Portfolio 2 &amp; 3'!$B$26+F253*'Portfolio 2 &amp; 3'!$B$27+G253*'Portfolio 2 &amp; 3'!$B$28+H253*'Portfolio 2 &amp; 3'!$B$29+I253*'Portfolio 2 &amp; 3'!$B$30+J253*'Portfolio 2 &amp; 3'!$B$31+K253*'Portfolio 2 &amp; 3'!$B$32</f>
        <v>-5.6597708636231276E-3</v>
      </c>
      <c r="S253" s="93">
        <f t="shared" si="11"/>
        <v>-3.1461382803164017E-3</v>
      </c>
    </row>
    <row r="254" spans="1:19" ht="12.75" customHeight="1">
      <c r="A254" s="81">
        <v>45708</v>
      </c>
      <c r="B254" s="53">
        <v>-9.7999999999999997E-3</v>
      </c>
      <c r="C254" s="53">
        <v>-8.4745762711864198E-3</v>
      </c>
      <c r="D254" s="53">
        <v>-5.44035674470444E-3</v>
      </c>
      <c r="E254" s="53">
        <v>-1.34E-3</v>
      </c>
      <c r="F254" s="53">
        <v>9.1984968310054906E-3</v>
      </c>
      <c r="G254" s="53">
        <v>-7.8832257134160404E-3</v>
      </c>
      <c r="H254" s="87">
        <v>1.1069630144122201E-2</v>
      </c>
      <c r="I254" s="53">
        <v>-1.5797499237572499E-2</v>
      </c>
      <c r="J254" s="53">
        <v>6.7762154836525901E-4</v>
      </c>
      <c r="K254" s="53">
        <v>-9.4666539286614206E-3</v>
      </c>
      <c r="L254" s="95">
        <f>IFERROR(B254*'Stock Statistics'!$C$41+C254*'Stock Statistics'!$C$42+D254*'Stock Statistics'!$C$43+E254*'Stock Statistics'!$C$44+F254*'Stock Statistics'!$C$45+G254*'Stock Statistics'!$C$46+H254*'Stock Statistics'!$C$47+I254*'Stock Statistics'!$C$48+J254*'Stock Statistics'!$C$49+K254*'Stock Statistics'!$C$50,"")</f>
        <v>-3.7256563372047866E-3</v>
      </c>
      <c r="M254" s="96">
        <v>446.7749</v>
      </c>
      <c r="N254" s="97">
        <v>522.15369999999996</v>
      </c>
      <c r="O254" s="93">
        <f t="shared" si="9"/>
        <v>5.9162818092739489E-3</v>
      </c>
      <c r="P254" s="93">
        <f t="shared" si="10"/>
        <v>-4.9367203944183924E-4</v>
      </c>
      <c r="Q254" s="93">
        <f>B254*'Portfolio 2 &amp; 3'!$F$7+C254*'Portfolio 2 &amp; 3'!$F$8+D254*'Portfolio 2 &amp; 3'!$F$9+E254*'Portfolio 2 &amp; 3'!$F$10+F254*'Portfolio 2 &amp; 3'!$F$11+G254*'Portfolio 2 &amp; 3'!$F$12+H254*'Portfolio 2 &amp; 3'!$F$13+I254*'Portfolio 2 &amp; 3'!$F$14+J254*'Portfolio 2 &amp; 3'!$F$15+K254*'Portfolio 2 &amp; 3'!$F$16</f>
        <v>-1.9565103840162379E-3</v>
      </c>
      <c r="R254" s="93">
        <f>B254*'Portfolio 2 &amp; 3'!$B$23+C254*'Portfolio 2 &amp; 3'!$B$24+D254*'Portfolio 2 &amp; 3'!$B$25+E254*'Portfolio 2 &amp; 3'!$B$26+F254*'Portfolio 2 &amp; 3'!$B$27+G254*'Portfolio 2 &amp; 3'!$B$28+H254*'Portfolio 2 &amp; 3'!$B$29+I254*'Portfolio 2 &amp; 3'!$B$30+J254*'Portfolio 2 &amp; 3'!$B$31+K254*'Portfolio 2 &amp; 3'!$B$32</f>
        <v>-6.7938127558006545E-3</v>
      </c>
      <c r="S254" s="93">
        <f t="shared" si="11"/>
        <v>2.7113048849160548E-3</v>
      </c>
    </row>
    <row r="255" spans="1:19" ht="12.75" customHeight="1">
      <c r="A255" s="82">
        <v>45707</v>
      </c>
      <c r="B255" s="53">
        <v>1.35E-2</v>
      </c>
      <c r="C255" s="53">
        <v>-4.57641774047279E-3</v>
      </c>
      <c r="D255" s="53">
        <v>-1.22885835095138E-2</v>
      </c>
      <c r="E255" s="53">
        <v>-4.0129999999999999E-2</v>
      </c>
      <c r="F255" s="53">
        <v>-2.4725124446146201E-2</v>
      </c>
      <c r="G255" s="53">
        <v>2.5889276086527701E-2</v>
      </c>
      <c r="H255" s="87">
        <v>-1.6354242281907901E-2</v>
      </c>
      <c r="I255" s="53">
        <v>-2.5855513307985198E-3</v>
      </c>
      <c r="J255" s="53">
        <v>-2.6694600256809099E-3</v>
      </c>
      <c r="K255" s="53">
        <v>-3.7008848669354201E-2</v>
      </c>
      <c r="L255" s="95">
        <f>IFERROR(B255*'Stock Statistics'!$C$41+C255*'Stock Statistics'!$C$42+D255*'Stock Statistics'!$C$43+E255*'Stock Statistics'!$C$44+F255*'Stock Statistics'!$C$45+G255*'Stock Statistics'!$C$46+H255*'Stock Statistics'!$C$47+I255*'Stock Statistics'!$C$48+J255*'Stock Statistics'!$C$49+K255*'Stock Statistics'!$C$50,"")</f>
        <v>-1.0094895191734662E-2</v>
      </c>
      <c r="M255" s="97">
        <v>444.1472</v>
      </c>
      <c r="N255" s="96">
        <v>522.41160000000002</v>
      </c>
      <c r="O255" s="93">
        <f t="shared" si="9"/>
        <v>-7.5854333224590897E-3</v>
      </c>
      <c r="P255" s="93">
        <f t="shared" si="10"/>
        <v>7.2945887484032745E-4</v>
      </c>
      <c r="Q255" s="93">
        <f>B255*'Portfolio 2 &amp; 3'!$F$7+C255*'Portfolio 2 &amp; 3'!$F$8+D255*'Portfolio 2 &amp; 3'!$F$9+E255*'Portfolio 2 &amp; 3'!$F$10+F255*'Portfolio 2 &amp; 3'!$F$11+G255*'Portfolio 2 &amp; 3'!$F$12+H255*'Portfolio 2 &amp; 3'!$F$13+I255*'Portfolio 2 &amp; 3'!$F$14+J255*'Portfolio 2 &amp; 3'!$F$15+K255*'Portfolio 2 &amp; 3'!$F$16</f>
        <v>-1.1435754457110566E-2</v>
      </c>
      <c r="R255" s="93">
        <f>B255*'Portfolio 2 &amp; 3'!$B$23+C255*'Portfolio 2 &amp; 3'!$B$24+D255*'Portfolio 2 &amp; 3'!$B$25+E255*'Portfolio 2 &amp; 3'!$B$26+F255*'Portfolio 2 &amp; 3'!$B$27+G255*'Portfolio 2 &amp; 3'!$B$28+H255*'Portfolio 2 &amp; 3'!$B$29+I255*'Portfolio 2 &amp; 3'!$B$30+J255*'Portfolio 2 &amp; 3'!$B$31+K255*'Portfolio 2 &amp; 3'!$B$32</f>
        <v>-4.7747009489636774E-3</v>
      </c>
      <c r="S255" s="93">
        <f t="shared" si="11"/>
        <v>-3.4279872238093811E-3</v>
      </c>
    </row>
    <row r="256" spans="1:19" ht="12.75" customHeight="1">
      <c r="A256" s="81">
        <v>45706</v>
      </c>
      <c r="B256" s="53">
        <v>2.6499999999999999E-2</v>
      </c>
      <c r="C256" s="53">
        <v>4.1400633186154901E-3</v>
      </c>
      <c r="D256" s="53">
        <v>-2.4197361069325601E-2</v>
      </c>
      <c r="E256" s="53">
        <v>-3.8000000000000002E-4</v>
      </c>
      <c r="F256" s="53">
        <v>-1.0661326983439801E-2</v>
      </c>
      <c r="G256" s="53">
        <v>-1.17608836907082E-2</v>
      </c>
      <c r="H256" s="87">
        <v>4.3744907149290101E-3</v>
      </c>
      <c r="I256" s="53">
        <v>-1.5305816809441101E-2</v>
      </c>
      <c r="J256" s="53">
        <v>1.0620496533825E-2</v>
      </c>
      <c r="K256" s="53">
        <v>7.3126758664847601E-3</v>
      </c>
      <c r="L256" s="95">
        <f>IFERROR(B256*'Stock Statistics'!$C$41+C256*'Stock Statistics'!$C$42+D256*'Stock Statistics'!$C$43+E256*'Stock Statistics'!$C$44+F256*'Stock Statistics'!$C$45+G256*'Stock Statistics'!$C$46+H256*'Stock Statistics'!$C$47+I256*'Stock Statistics'!$C$48+J256*'Stock Statistics'!$C$49+K256*'Stock Statistics'!$C$50,"")</f>
        <v>-9.3576621190604489E-4</v>
      </c>
      <c r="M256" s="96">
        <v>447.54199999999997</v>
      </c>
      <c r="N256" s="97">
        <v>522.0308</v>
      </c>
      <c r="O256" s="93">
        <f t="shared" si="9"/>
        <v>-1.1163414491338286E-2</v>
      </c>
      <c r="P256" s="93">
        <f t="shared" si="10"/>
        <v>1.2642149499062727E-2</v>
      </c>
      <c r="Q256" s="93">
        <f>B256*'Portfolio 2 &amp; 3'!$F$7+C256*'Portfolio 2 &amp; 3'!$F$8+D256*'Portfolio 2 &amp; 3'!$F$9+E256*'Portfolio 2 &amp; 3'!$F$10+F256*'Portfolio 2 &amp; 3'!$F$11+G256*'Portfolio 2 &amp; 3'!$F$12+H256*'Portfolio 2 &amp; 3'!$F$13+I256*'Portfolio 2 &amp; 3'!$F$14+J256*'Portfolio 2 &amp; 3'!$F$15+K256*'Portfolio 2 &amp; 3'!$F$16</f>
        <v>-1.2876662140312485E-3</v>
      </c>
      <c r="R256" s="93">
        <f>B256*'Portfolio 2 &amp; 3'!$B$23+C256*'Portfolio 2 &amp; 3'!$B$24+D256*'Portfolio 2 &amp; 3'!$B$25+E256*'Portfolio 2 &amp; 3'!$B$26+F256*'Portfolio 2 &amp; 3'!$B$27+G256*'Portfolio 2 &amp; 3'!$B$28+H256*'Portfolio 2 &amp; 3'!$B$29+I256*'Portfolio 2 &amp; 3'!$B$30+J256*'Portfolio 2 &amp; 3'!$B$31+K256*'Portfolio 2 &amp; 3'!$B$32</f>
        <v>-1.610710572000545E-3</v>
      </c>
      <c r="S256" s="93">
        <f t="shared" si="11"/>
        <v>7.393675038622205E-4</v>
      </c>
    </row>
    <row r="257" spans="1:19" ht="12.75" customHeight="1">
      <c r="A257" s="82">
        <v>45705</v>
      </c>
      <c r="B257" s="53">
        <v>2.6200000000000001E-2</v>
      </c>
      <c r="C257" s="53">
        <v>-1.50491208309869E-2</v>
      </c>
      <c r="D257" s="53">
        <v>-5.3437072503419499E-3</v>
      </c>
      <c r="E257" s="53">
        <v>1.4489999999999999E-2</v>
      </c>
      <c r="F257" s="53">
        <v>2.4449742196595899E-2</v>
      </c>
      <c r="G257" s="53">
        <v>2.1285067272757401E-2</v>
      </c>
      <c r="H257" s="87">
        <v>-2.6348755637213998E-2</v>
      </c>
      <c r="I257" s="53">
        <v>-4.3540498628176199E-3</v>
      </c>
      <c r="J257" s="53">
        <v>-1.21111935766817E-2</v>
      </c>
      <c r="K257" s="53">
        <v>1.6302207305169701E-2</v>
      </c>
      <c r="L257" s="95">
        <f>IFERROR(B257*'Stock Statistics'!$C$41+C257*'Stock Statistics'!$C$42+D257*'Stock Statistics'!$C$43+E257*'Stock Statistics'!$C$44+F257*'Stock Statistics'!$C$45+G257*'Stock Statistics'!$C$46+H257*'Stock Statistics'!$C$47+I257*'Stock Statistics'!$C$48+J257*'Stock Statistics'!$C$49+K257*'Stock Statistics'!$C$50,"")</f>
        <v>3.9520189616480839E-3</v>
      </c>
      <c r="M257" s="97">
        <v>452.59449999999998</v>
      </c>
      <c r="N257" s="96">
        <v>515.5136</v>
      </c>
      <c r="O257" s="93">
        <f t="shared" si="9"/>
        <v>3.9470727577670672E-3</v>
      </c>
      <c r="P257" s="93">
        <f t="shared" si="10"/>
        <v>-2.1908667842495566E-2</v>
      </c>
      <c r="Q257" s="93">
        <f>B257*'Portfolio 2 &amp; 3'!$F$7+C257*'Portfolio 2 &amp; 3'!$F$8+D257*'Portfolio 2 &amp; 3'!$F$9+E257*'Portfolio 2 &amp; 3'!$F$10+F257*'Portfolio 2 &amp; 3'!$F$11+G257*'Portfolio 2 &amp; 3'!$F$12+H257*'Portfolio 2 &amp; 3'!$F$13+I257*'Portfolio 2 &amp; 3'!$F$14+J257*'Portfolio 2 &amp; 3'!$F$15+K257*'Portfolio 2 &amp; 3'!$F$16</f>
        <v>-8.4951103735603434E-4</v>
      </c>
      <c r="R257" s="93">
        <f>B257*'Portfolio 2 &amp; 3'!$B$23+C257*'Portfolio 2 &amp; 3'!$B$24+D257*'Portfolio 2 &amp; 3'!$B$25+E257*'Portfolio 2 &amp; 3'!$B$26+F257*'Portfolio 2 &amp; 3'!$B$27+G257*'Portfolio 2 &amp; 3'!$B$28+H257*'Portfolio 2 &amp; 3'!$B$29+I257*'Portfolio 2 &amp; 3'!$B$30+J257*'Portfolio 2 &amp; 3'!$B$31+K257*'Portfolio 2 &amp; 3'!$B$32</f>
        <v>5.8010308200014994E-3</v>
      </c>
      <c r="S257" s="93">
        <f t="shared" si="11"/>
        <v>-8.9807975423642494E-3</v>
      </c>
    </row>
    <row r="258" spans="1:19" ht="12.75" customHeight="1">
      <c r="A258" s="81">
        <v>45702</v>
      </c>
      <c r="B258" s="53">
        <v>-1.83E-2</v>
      </c>
      <c r="C258" s="53">
        <v>3.0699774266365699E-2</v>
      </c>
      <c r="D258" s="53">
        <v>3.3809166040571097E-2</v>
      </c>
      <c r="E258" s="53">
        <v>1.1900000000000001E-3</v>
      </c>
      <c r="F258" s="53">
        <v>-4.3485177918014498E-2</v>
      </c>
      <c r="G258" s="53">
        <v>-1.96470683906644E-2</v>
      </c>
      <c r="H258" s="87">
        <v>-1.29279786479841E-3</v>
      </c>
      <c r="I258" s="53">
        <v>-1.46920545369065E-2</v>
      </c>
      <c r="J258" s="53">
        <v>5.0520462482621696E-3</v>
      </c>
      <c r="K258" s="53">
        <v>-1.4188647393965E-2</v>
      </c>
      <c r="L258" s="95">
        <f>IFERROR(B258*'Stock Statistics'!$C$41+C258*'Stock Statistics'!$C$42+D258*'Stock Statistics'!$C$43+E258*'Stock Statistics'!$C$44+F258*'Stock Statistics'!$C$45+G258*'Stock Statistics'!$C$46+H258*'Stock Statistics'!$C$47+I258*'Stock Statistics'!$C$48+J258*'Stock Statistics'!$C$49+K258*'Stock Statistics'!$C$50,"")</f>
        <v>-4.0854759549149838E-3</v>
      </c>
      <c r="M258" s="96">
        <v>450.81509999999997</v>
      </c>
      <c r="N258" s="97">
        <v>527.06079999999997</v>
      </c>
      <c r="O258" s="93">
        <f t="shared" ref="O258:O321" si="12">M258/M259-1</f>
        <v>-9.1660836289897407E-4</v>
      </c>
      <c r="P258" s="93">
        <f t="shared" ref="P258:P321" si="13">N258/N259-1</f>
        <v>4.160019875121268E-3</v>
      </c>
      <c r="Q258" s="93">
        <f>B258*'Portfolio 2 &amp; 3'!$F$7+C258*'Portfolio 2 &amp; 3'!$F$8+D258*'Portfolio 2 &amp; 3'!$F$9+E258*'Portfolio 2 &amp; 3'!$F$10+F258*'Portfolio 2 &amp; 3'!$F$11+G258*'Portfolio 2 &amp; 3'!$F$12+H258*'Portfolio 2 &amp; 3'!$F$13+I258*'Portfolio 2 &amp; 3'!$F$14+J258*'Portfolio 2 &amp; 3'!$F$15+K258*'Portfolio 2 &amp; 3'!$F$16</f>
        <v>-1.0417649151352225E-3</v>
      </c>
      <c r="R258" s="93">
        <f>B258*'Portfolio 2 &amp; 3'!$B$23+C258*'Portfolio 2 &amp; 3'!$B$24+D258*'Portfolio 2 &amp; 3'!$B$25+E258*'Portfolio 2 &amp; 3'!$B$26+F258*'Portfolio 2 &amp; 3'!$B$27+G258*'Portfolio 2 &amp; 3'!$B$28+H258*'Portfolio 2 &amp; 3'!$B$29+I258*'Portfolio 2 &amp; 3'!$B$30+J258*'Portfolio 2 &amp; 3'!$B$31+K258*'Portfolio 2 &amp; 3'!$B$32</f>
        <v>-9.8680307818715882E-3</v>
      </c>
      <c r="S258" s="93">
        <f t="shared" ref="S258:S321" si="14">IFERROR(AVERAGE(O258,P258),"")</f>
        <v>1.621705756111147E-3</v>
      </c>
    </row>
    <row r="259" spans="1:19" ht="12.75" customHeight="1">
      <c r="A259" s="82">
        <v>45701</v>
      </c>
      <c r="B259" s="53">
        <v>-1.46E-2</v>
      </c>
      <c r="C259" s="53">
        <v>-1.44187475500842E-2</v>
      </c>
      <c r="D259" s="53">
        <v>-4.1188185940082299E-2</v>
      </c>
      <c r="E259" s="53">
        <v>3.6249999999999998E-2</v>
      </c>
      <c r="F259" s="53">
        <v>9.4213371875167002E-3</v>
      </c>
      <c r="G259" s="53">
        <v>4.68969574169087E-3</v>
      </c>
      <c r="H259" s="87">
        <v>1.5872352867465399E-3</v>
      </c>
      <c r="I259" s="53">
        <v>-7.3503675183760296E-3</v>
      </c>
      <c r="J259" s="53">
        <v>1.04148823186818E-2</v>
      </c>
      <c r="K259" s="53">
        <v>1.36898395721925E-2</v>
      </c>
      <c r="L259" s="95">
        <f>IFERROR(B259*'Stock Statistics'!$C$41+C259*'Stock Statistics'!$C$42+D259*'Stock Statistics'!$C$43+E259*'Stock Statistics'!$C$44+F259*'Stock Statistics'!$C$45+G259*'Stock Statistics'!$C$46+H259*'Stock Statistics'!$C$47+I259*'Stock Statistics'!$C$48+J259*'Stock Statistics'!$C$49+K259*'Stock Statistics'!$C$50,"")</f>
        <v>-1.5043109017141279E-4</v>
      </c>
      <c r="M259" s="97">
        <v>451.2287</v>
      </c>
      <c r="N259" s="96">
        <v>524.87729999999999</v>
      </c>
      <c r="O259" s="93">
        <f t="shared" si="12"/>
        <v>-5.4910505397490761E-3</v>
      </c>
      <c r="P259" s="93">
        <f t="shared" si="13"/>
        <v>-5.4968145721765449E-3</v>
      </c>
      <c r="Q259" s="93">
        <f>B259*'Portfolio 2 &amp; 3'!$F$7+C259*'Portfolio 2 &amp; 3'!$F$8+D259*'Portfolio 2 &amp; 3'!$F$9+E259*'Portfolio 2 &amp; 3'!$F$10+F259*'Portfolio 2 &amp; 3'!$F$11+G259*'Portfolio 2 &amp; 3'!$F$12+H259*'Portfolio 2 &amp; 3'!$F$13+I259*'Portfolio 2 &amp; 3'!$F$14+J259*'Portfolio 2 &amp; 3'!$F$15+K259*'Portfolio 2 &amp; 3'!$F$16</f>
        <v>-1.7708773336266559E-3</v>
      </c>
      <c r="R259" s="93">
        <f>B259*'Portfolio 2 &amp; 3'!$B$23+C259*'Portfolio 2 &amp; 3'!$B$24+D259*'Portfolio 2 &amp; 3'!$B$25+E259*'Portfolio 2 &amp; 3'!$B$26+F259*'Portfolio 2 &amp; 3'!$B$27+G259*'Portfolio 2 &amp; 3'!$B$28+H259*'Portfolio 2 &amp; 3'!$B$29+I259*'Portfolio 2 &amp; 3'!$B$30+J259*'Portfolio 2 &amp; 3'!$B$31+K259*'Portfolio 2 &amp; 3'!$B$32</f>
        <v>-3.5086554484498097E-3</v>
      </c>
      <c r="S259" s="93">
        <f t="shared" si="14"/>
        <v>-5.4939325559628105E-3</v>
      </c>
    </row>
    <row r="260" spans="1:19" ht="12.75" customHeight="1">
      <c r="A260" s="81">
        <v>45700</v>
      </c>
      <c r="B260" s="53">
        <v>-1.2E-2</v>
      </c>
      <c r="C260" s="53">
        <v>2.3255320052668598E-3</v>
      </c>
      <c r="D260" s="53">
        <v>3.0929186143025599E-2</v>
      </c>
      <c r="E260" s="53">
        <v>-4.6149999999999997E-2</v>
      </c>
      <c r="F260" s="53">
        <v>-8.7025736269568093E-3</v>
      </c>
      <c r="G260" s="53">
        <v>-1.5000804764204101E-2</v>
      </c>
      <c r="H260" s="87">
        <v>-2.1698267407649598E-2</v>
      </c>
      <c r="I260" s="53">
        <v>8.0564539841223599E-3</v>
      </c>
      <c r="J260" s="53">
        <v>-8.6268382977278107E-3</v>
      </c>
      <c r="K260" s="53">
        <v>-2.7743116213293399E-2</v>
      </c>
      <c r="L260" s="95">
        <f>IFERROR(B260*'Stock Statistics'!$C$41+C260*'Stock Statistics'!$C$42+D260*'Stock Statistics'!$C$43+E260*'Stock Statistics'!$C$44+F260*'Stock Statistics'!$C$45+G260*'Stock Statistics'!$C$46+H260*'Stock Statistics'!$C$47+I260*'Stock Statistics'!$C$48+J260*'Stock Statistics'!$C$49+K260*'Stock Statistics'!$C$50,"")</f>
        <v>-9.8610428177416908E-3</v>
      </c>
      <c r="M260" s="96">
        <v>453.7201</v>
      </c>
      <c r="N260" s="97">
        <v>527.77840000000003</v>
      </c>
      <c r="O260" s="93">
        <f t="shared" si="12"/>
        <v>5.9819685110773513E-3</v>
      </c>
      <c r="P260" s="93">
        <f t="shared" si="13"/>
        <v>-2.3412415863480751E-2</v>
      </c>
      <c r="Q260" s="93">
        <f>B260*'Portfolio 2 &amp; 3'!$F$7+C260*'Portfolio 2 &amp; 3'!$F$8+D260*'Portfolio 2 &amp; 3'!$F$9+E260*'Portfolio 2 &amp; 3'!$F$10+F260*'Portfolio 2 &amp; 3'!$F$11+G260*'Portfolio 2 &amp; 3'!$F$12+H260*'Portfolio 2 &amp; 3'!$F$13+I260*'Portfolio 2 &amp; 3'!$F$14+J260*'Portfolio 2 &amp; 3'!$F$15+K260*'Portfolio 2 &amp; 3'!$F$16</f>
        <v>-7.8295023118325913E-3</v>
      </c>
      <c r="R260" s="93">
        <f>B260*'Portfolio 2 &amp; 3'!$B$23+C260*'Portfolio 2 &amp; 3'!$B$24+D260*'Portfolio 2 &amp; 3'!$B$25+E260*'Portfolio 2 &amp; 3'!$B$26+F260*'Portfolio 2 &amp; 3'!$B$27+G260*'Portfolio 2 &amp; 3'!$B$28+H260*'Portfolio 2 &amp; 3'!$B$29+I260*'Portfolio 2 &amp; 3'!$B$30+J260*'Portfolio 2 &amp; 3'!$B$31+K260*'Portfolio 2 &amp; 3'!$B$32</f>
        <v>-5.0467088882650696E-3</v>
      </c>
      <c r="S260" s="93">
        <f t="shared" si="14"/>
        <v>-8.7152236762016999E-3</v>
      </c>
    </row>
    <row r="261" spans="1:19" ht="12.75" customHeight="1">
      <c r="A261" s="82">
        <v>45699</v>
      </c>
      <c r="B261" s="53">
        <v>-1.8700000000000001E-2</v>
      </c>
      <c r="C261" s="53">
        <v>1.0842989263315499E-3</v>
      </c>
      <c r="D261" s="53">
        <v>-2.74461967413098E-3</v>
      </c>
      <c r="E261" s="53">
        <v>2E-3</v>
      </c>
      <c r="F261" s="53">
        <v>-2.3220857305758499E-2</v>
      </c>
      <c r="G261" s="53">
        <v>-2.70600394625575E-2</v>
      </c>
      <c r="H261" s="87">
        <v>6.3741415470659497E-3</v>
      </c>
      <c r="I261" s="53">
        <v>-2.6254759927849401E-2</v>
      </c>
      <c r="J261" s="53">
        <v>1.58363234888215E-2</v>
      </c>
      <c r="K261" s="53">
        <v>6.8092163119675099E-3</v>
      </c>
      <c r="L261" s="95">
        <f>IFERROR(B261*'Stock Statistics'!$C$41+C261*'Stock Statistics'!$C$42+D261*'Stock Statistics'!$C$43+E261*'Stock Statistics'!$C$44+F261*'Stock Statistics'!$C$45+G261*'Stock Statistics'!$C$46+H261*'Stock Statistics'!$C$47+I261*'Stock Statistics'!$C$48+J261*'Stock Statistics'!$C$49+K261*'Stock Statistics'!$C$50,"")</f>
        <v>-6.5876296096109869E-3</v>
      </c>
      <c r="M261" s="97">
        <v>451.02210000000002</v>
      </c>
      <c r="N261" s="96">
        <v>540.43119999999999</v>
      </c>
      <c r="O261" s="93">
        <f t="shared" si="12"/>
        <v>-2.6511267202224631E-2</v>
      </c>
      <c r="P261" s="93">
        <f t="shared" si="13"/>
        <v>-1.9860641080049701E-2</v>
      </c>
      <c r="Q261" s="93">
        <f>B261*'Portfolio 2 &amp; 3'!$F$7+C261*'Portfolio 2 &amp; 3'!$F$8+D261*'Portfolio 2 &amp; 3'!$F$9+E261*'Portfolio 2 &amp; 3'!$F$10+F261*'Portfolio 2 &amp; 3'!$F$11+G261*'Portfolio 2 &amp; 3'!$F$12+H261*'Portfolio 2 &amp; 3'!$F$13+I261*'Portfolio 2 &amp; 3'!$F$14+J261*'Portfolio 2 &amp; 3'!$F$15+K261*'Portfolio 2 &amp; 3'!$F$16</f>
        <v>-3.575157701832159E-3</v>
      </c>
      <c r="R261" s="93">
        <f>B261*'Portfolio 2 &amp; 3'!$B$23+C261*'Portfolio 2 &amp; 3'!$B$24+D261*'Portfolio 2 &amp; 3'!$B$25+E261*'Portfolio 2 &amp; 3'!$B$26+F261*'Portfolio 2 &amp; 3'!$B$27+G261*'Portfolio 2 &amp; 3'!$B$28+H261*'Portfolio 2 &amp; 3'!$B$29+I261*'Portfolio 2 &amp; 3'!$B$30+J261*'Portfolio 2 &amp; 3'!$B$31+K261*'Portfolio 2 &amp; 3'!$B$32</f>
        <v>-1.4131019728856491E-2</v>
      </c>
      <c r="S261" s="93">
        <f t="shared" si="14"/>
        <v>-2.3185954141137166E-2</v>
      </c>
    </row>
    <row r="262" spans="1:19" ht="12.75" customHeight="1">
      <c r="A262" s="81">
        <v>45698</v>
      </c>
      <c r="B262" s="53">
        <v>-3.8999999999999998E-3</v>
      </c>
      <c r="C262" s="53">
        <v>-2.02776591645231E-2</v>
      </c>
      <c r="D262" s="53">
        <v>-2.50180520749268E-2</v>
      </c>
      <c r="E262" s="53">
        <v>-2.588E-2</v>
      </c>
      <c r="F262" s="53">
        <v>-2.9673590504451099E-2</v>
      </c>
      <c r="G262" s="53">
        <v>-2.0162032774811201E-2</v>
      </c>
      <c r="H262" s="87">
        <v>5.0008265829062397E-3</v>
      </c>
      <c r="I262" s="53">
        <v>3.0994480030699399E-2</v>
      </c>
      <c r="J262" s="53">
        <v>-2.71823280459693E-3</v>
      </c>
      <c r="K262" s="53">
        <v>3.8844747130786202E-3</v>
      </c>
      <c r="L262" s="95">
        <f>IFERROR(B262*'Stock Statistics'!$C$41+C262*'Stock Statistics'!$C$42+D262*'Stock Statistics'!$C$43+E262*'Stock Statistics'!$C$44+F262*'Stock Statistics'!$C$45+G262*'Stock Statistics'!$C$46+H262*'Stock Statistics'!$C$47+I262*'Stock Statistics'!$C$48+J262*'Stock Statistics'!$C$49+K262*'Stock Statistics'!$C$50,"")</f>
        <v>-8.7749785996624873E-3</v>
      </c>
      <c r="M262" s="96">
        <v>463.30489999999998</v>
      </c>
      <c r="N262" s="97">
        <v>551.38199999999995</v>
      </c>
      <c r="O262" s="93">
        <f t="shared" si="12"/>
        <v>6.7343798653514142E-3</v>
      </c>
      <c r="P262" s="93">
        <f t="shared" si="13"/>
        <v>-1.2966903152502596E-3</v>
      </c>
      <c r="Q262" s="93">
        <f>B262*'Portfolio 2 &amp; 3'!$F$7+C262*'Portfolio 2 &amp; 3'!$F$8+D262*'Portfolio 2 &amp; 3'!$F$9+E262*'Portfolio 2 &amp; 3'!$F$10+F262*'Portfolio 2 &amp; 3'!$F$11+G262*'Portfolio 2 &amp; 3'!$F$12+H262*'Portfolio 2 &amp; 3'!$F$13+I262*'Portfolio 2 &amp; 3'!$F$14+J262*'Portfolio 2 &amp; 3'!$F$15+K262*'Portfolio 2 &amp; 3'!$F$16</f>
        <v>-8.2424448709198343E-3</v>
      </c>
      <c r="R262" s="93">
        <f>B262*'Portfolio 2 &amp; 3'!$B$23+C262*'Portfolio 2 &amp; 3'!$B$24+D262*'Portfolio 2 &amp; 3'!$B$25+E262*'Portfolio 2 &amp; 3'!$B$26+F262*'Portfolio 2 &amp; 3'!$B$27+G262*'Portfolio 2 &amp; 3'!$B$28+H262*'Portfolio 2 &amp; 3'!$B$29+I262*'Portfolio 2 &amp; 3'!$B$30+J262*'Portfolio 2 &amp; 3'!$B$31+K262*'Portfolio 2 &amp; 3'!$B$32</f>
        <v>-3.3869740574785463E-3</v>
      </c>
      <c r="S262" s="93">
        <f t="shared" si="14"/>
        <v>2.7188447750505773E-3</v>
      </c>
    </row>
    <row r="263" spans="1:19" ht="12.75" customHeight="1">
      <c r="A263" s="82">
        <v>45695</v>
      </c>
      <c r="B263" s="53">
        <v>2.47E-2</v>
      </c>
      <c r="C263" s="53">
        <v>-6.8040416589826E-2</v>
      </c>
      <c r="D263" s="53">
        <v>-1.220944868675E-2</v>
      </c>
      <c r="E263" s="53">
        <v>-5.0950000000000002E-2</v>
      </c>
      <c r="F263" s="53">
        <v>-1.3935727038286201E-2</v>
      </c>
      <c r="G263" s="53">
        <v>3.07947805456701E-2</v>
      </c>
      <c r="H263" s="87">
        <v>-9.1322330971784806E-3</v>
      </c>
      <c r="I263" s="53">
        <v>-3.4710986909840501E-3</v>
      </c>
      <c r="J263" s="53">
        <v>-3.9071871679746701E-3</v>
      </c>
      <c r="K263" s="53">
        <v>1.3386542735906999E-3</v>
      </c>
      <c r="L263" s="95">
        <f>IFERROR(B263*'Stock Statistics'!$C$41+C263*'Stock Statistics'!$C$42+D263*'Stock Statistics'!$C$43+E263*'Stock Statistics'!$C$44+F263*'Stock Statistics'!$C$45+G263*'Stock Statistics'!$C$46+H263*'Stock Statistics'!$C$47+I263*'Stock Statistics'!$C$48+J263*'Stock Statistics'!$C$49+K263*'Stock Statistics'!$C$50,"")</f>
        <v>-1.0481267645173859E-2</v>
      </c>
      <c r="M263" s="97">
        <v>460.20569999999998</v>
      </c>
      <c r="N263" s="96">
        <v>552.09789999999998</v>
      </c>
      <c r="O263" s="93">
        <f t="shared" si="12"/>
        <v>-5.6935331341719797E-3</v>
      </c>
      <c r="P263" s="93">
        <f t="shared" si="13"/>
        <v>8.9620882104131105E-3</v>
      </c>
      <c r="Q263" s="93">
        <f>B263*'Portfolio 2 &amp; 3'!$F$7+C263*'Portfolio 2 &amp; 3'!$F$8+D263*'Portfolio 2 &amp; 3'!$F$9+E263*'Portfolio 2 &amp; 3'!$F$10+F263*'Portfolio 2 &amp; 3'!$F$11+G263*'Portfolio 2 &amp; 3'!$F$12+H263*'Portfolio 2 &amp; 3'!$F$13+I263*'Portfolio 2 &amp; 3'!$F$14+J263*'Portfolio 2 &amp; 3'!$F$15+K263*'Portfolio 2 &amp; 3'!$F$16</f>
        <v>-1.229239110944157E-2</v>
      </c>
      <c r="R263" s="93">
        <f>B263*'Portfolio 2 &amp; 3'!$B$23+C263*'Portfolio 2 &amp; 3'!$B$24+D263*'Portfolio 2 &amp; 3'!$B$25+E263*'Portfolio 2 &amp; 3'!$B$26+F263*'Portfolio 2 &amp; 3'!$B$27+G263*'Portfolio 2 &amp; 3'!$B$28+H263*'Portfolio 2 &amp; 3'!$B$29+I263*'Portfolio 2 &amp; 3'!$B$30+J263*'Portfolio 2 &amp; 3'!$B$31+K263*'Portfolio 2 &amp; 3'!$B$32</f>
        <v>-9.9384209970642956E-3</v>
      </c>
      <c r="S263" s="93">
        <f t="shared" si="14"/>
        <v>1.6342775381205654E-3</v>
      </c>
    </row>
    <row r="264" spans="1:19" ht="12.75" customHeight="1">
      <c r="A264" s="81">
        <v>45694</v>
      </c>
      <c r="B264" s="53">
        <v>4.5999999999999999E-2</v>
      </c>
      <c r="C264" s="53">
        <v>-1.9854634016401099E-2</v>
      </c>
      <c r="D264" s="53">
        <v>-8.3906695754198997E-5</v>
      </c>
      <c r="E264" s="53">
        <v>-1.4760000000000001E-2</v>
      </c>
      <c r="F264" s="53">
        <v>3.1934493346980501E-2</v>
      </c>
      <c r="G264" s="53">
        <v>1.4945259575561001E-2</v>
      </c>
      <c r="H264" s="87">
        <v>-1.5680425669138999E-2</v>
      </c>
      <c r="I264" s="53">
        <v>-1.86767507649673E-2</v>
      </c>
      <c r="J264" s="53">
        <v>-9.1017150619799904E-3</v>
      </c>
      <c r="K264" s="53">
        <v>-3.2855363118938899E-2</v>
      </c>
      <c r="L264" s="95">
        <f>IFERROR(B264*'Stock Statistics'!$C$41+C264*'Stock Statistics'!$C$42+D264*'Stock Statistics'!$C$43+E264*'Stock Statistics'!$C$44+F264*'Stock Statistics'!$C$45+G264*'Stock Statistics'!$C$46+H264*'Stock Statistics'!$C$47+I264*'Stock Statistics'!$C$48+J264*'Stock Statistics'!$C$49+K264*'Stock Statistics'!$C$50,"")</f>
        <v>-1.8133042404638985E-3</v>
      </c>
      <c r="M264" s="96">
        <v>462.84089999999998</v>
      </c>
      <c r="N264" s="97">
        <v>547.19389999999999</v>
      </c>
      <c r="O264" s="93">
        <f t="shared" si="12"/>
        <v>-2.7098626413241456E-2</v>
      </c>
      <c r="P264" s="93">
        <f t="shared" si="13"/>
        <v>1.3085462820626503E-2</v>
      </c>
      <c r="Q264" s="93">
        <f>B264*'Portfolio 2 &amp; 3'!$F$7+C264*'Portfolio 2 &amp; 3'!$F$8+D264*'Portfolio 2 &amp; 3'!$F$9+E264*'Portfolio 2 &amp; 3'!$F$10+F264*'Portfolio 2 &amp; 3'!$F$11+G264*'Portfolio 2 &amp; 3'!$F$12+H264*'Portfolio 2 &amp; 3'!$F$13+I264*'Portfolio 2 &amp; 3'!$F$14+J264*'Portfolio 2 &amp; 3'!$F$15+K264*'Portfolio 2 &amp; 3'!$F$16</f>
        <v>-3.9009288139412908E-3</v>
      </c>
      <c r="R264" s="93">
        <f>B264*'Portfolio 2 &amp; 3'!$B$23+C264*'Portfolio 2 &amp; 3'!$B$24+D264*'Portfolio 2 &amp; 3'!$B$25+E264*'Portfolio 2 &amp; 3'!$B$26+F264*'Portfolio 2 &amp; 3'!$B$27+G264*'Portfolio 2 &amp; 3'!$B$28+H264*'Portfolio 2 &amp; 3'!$B$29+I264*'Portfolio 2 &amp; 3'!$B$30+J264*'Portfolio 2 &amp; 3'!$B$31+K264*'Portfolio 2 &amp; 3'!$B$32</f>
        <v>7.1948712200817309E-4</v>
      </c>
      <c r="S264" s="93">
        <f t="shared" si="14"/>
        <v>-7.0065817963074761E-3</v>
      </c>
    </row>
    <row r="265" spans="1:19" ht="12.75" customHeight="1">
      <c r="A265" s="82">
        <v>45693</v>
      </c>
      <c r="B265" s="53">
        <v>6.4299999999999996E-2</v>
      </c>
      <c r="C265" s="53">
        <v>2.6915073418067901E-2</v>
      </c>
      <c r="D265" s="53">
        <v>4.1955108034397198E-5</v>
      </c>
      <c r="E265" s="53">
        <v>4.1700000000000001E-3</v>
      </c>
      <c r="F265" s="53">
        <v>3.08008213552369E-3</v>
      </c>
      <c r="G265" s="53">
        <v>3.7543706997953401E-3</v>
      </c>
      <c r="H265" s="87">
        <v>3.0323858812113498E-3</v>
      </c>
      <c r="I265" s="53">
        <v>-1.0115441764773201E-2</v>
      </c>
      <c r="J265" s="53">
        <v>5.0968399592243895E-4</v>
      </c>
      <c r="K265" s="53">
        <v>3.4070297563606501E-3</v>
      </c>
      <c r="L265" s="95">
        <f>IFERROR(B265*'Stock Statistics'!$C$41+C265*'Stock Statistics'!$C$42+D265*'Stock Statistics'!$C$43+E265*'Stock Statistics'!$C$44+F265*'Stock Statistics'!$C$45+G265*'Stock Statistics'!$C$46+H265*'Stock Statistics'!$C$47+I265*'Stock Statistics'!$C$48+J265*'Stock Statistics'!$C$49+K265*'Stock Statistics'!$C$50,"")</f>
        <v>9.9095139230142553E-3</v>
      </c>
      <c r="M265" s="97">
        <v>475.73259999999999</v>
      </c>
      <c r="N265" s="96">
        <v>540.12609999999995</v>
      </c>
      <c r="O265" s="93">
        <f t="shared" si="12"/>
        <v>-2.0696128854959972E-2</v>
      </c>
      <c r="P265" s="93">
        <f t="shared" si="13"/>
        <v>9.7945902976532828E-3</v>
      </c>
      <c r="Q265" s="93">
        <f>B265*'Portfolio 2 &amp; 3'!$F$7+C265*'Portfolio 2 &amp; 3'!$F$8+D265*'Portfolio 2 &amp; 3'!$F$9+E265*'Portfolio 2 &amp; 3'!$F$10+F265*'Portfolio 2 &amp; 3'!$F$11+G265*'Portfolio 2 &amp; 3'!$F$12+H265*'Portfolio 2 &amp; 3'!$F$13+I265*'Portfolio 2 &amp; 3'!$F$14+J265*'Portfolio 2 &amp; 3'!$F$15+K265*'Portfolio 2 &amp; 3'!$F$16</f>
        <v>7.7081027665976505E-3</v>
      </c>
      <c r="R265" s="93">
        <f>B265*'Portfolio 2 &amp; 3'!$B$23+C265*'Portfolio 2 &amp; 3'!$B$24+D265*'Portfolio 2 &amp; 3'!$B$25+E265*'Portfolio 2 &amp; 3'!$B$26+F265*'Portfolio 2 &amp; 3'!$B$27+G265*'Portfolio 2 &amp; 3'!$B$28+H265*'Portfolio 2 &amp; 3'!$B$29+I265*'Portfolio 2 &amp; 3'!$B$30+J265*'Portfolio 2 &amp; 3'!$B$31+K265*'Portfolio 2 &amp; 3'!$B$32</f>
        <v>1.2506008996744832E-2</v>
      </c>
      <c r="S265" s="93">
        <f t="shared" si="14"/>
        <v>-5.4507692786533446E-3</v>
      </c>
    </row>
    <row r="266" spans="1:19" ht="12.75" customHeight="1">
      <c r="A266" s="81">
        <v>45692</v>
      </c>
      <c r="B266" s="53">
        <v>5.5999999999999999E-3</v>
      </c>
      <c r="C266" s="53">
        <v>2.3600148847411398E-3</v>
      </c>
      <c r="D266" s="53">
        <v>1.74592333304875E-2</v>
      </c>
      <c r="E266" s="53">
        <v>-6.3400000000000001E-3</v>
      </c>
      <c r="F266" s="53">
        <v>1.1737820712579099E-2</v>
      </c>
      <c r="G266" s="53">
        <v>-2.0764630701989601E-2</v>
      </c>
      <c r="H266" s="87">
        <v>7.4131399942976E-3</v>
      </c>
      <c r="I266" s="53">
        <v>4.4776119402984999E-3</v>
      </c>
      <c r="J266" s="53">
        <v>2.4150890868597001E-2</v>
      </c>
      <c r="K266" s="53">
        <v>-6.2056013717648505E-4</v>
      </c>
      <c r="L266" s="95">
        <f>IFERROR(B266*'Stock Statistics'!$C$41+C266*'Stock Statistics'!$C$42+D266*'Stock Statistics'!$C$43+E266*'Stock Statistics'!$C$44+F266*'Stock Statistics'!$C$45+G266*'Stock Statistics'!$C$46+H266*'Stock Statistics'!$C$47+I266*'Stock Statistics'!$C$48+J266*'Stock Statistics'!$C$49+K266*'Stock Statistics'!$C$50,"")</f>
        <v>4.5473520891834767E-3</v>
      </c>
      <c r="M266" s="96">
        <v>485.78649999999999</v>
      </c>
      <c r="N266" s="97">
        <v>534.88710000000003</v>
      </c>
      <c r="O266" s="93">
        <f t="shared" si="12"/>
        <v>-1.0318981558882223E-3</v>
      </c>
      <c r="P266" s="93">
        <f t="shared" si="13"/>
        <v>3.9145918160126136E-3</v>
      </c>
      <c r="Q266" s="93">
        <f>B266*'Portfolio 2 &amp; 3'!$F$7+C266*'Portfolio 2 &amp; 3'!$F$8+D266*'Portfolio 2 &amp; 3'!$F$9+E266*'Portfolio 2 &amp; 3'!$F$10+F266*'Portfolio 2 &amp; 3'!$F$11+G266*'Portfolio 2 &amp; 3'!$F$12+H266*'Portfolio 2 &amp; 3'!$F$13+I266*'Portfolio 2 &amp; 3'!$F$14+J266*'Portfolio 2 &amp; 3'!$F$15+K266*'Portfolio 2 &amp; 3'!$F$16</f>
        <v>7.6026672320955724E-3</v>
      </c>
      <c r="R266" s="93">
        <f>B266*'Portfolio 2 &amp; 3'!$B$23+C266*'Portfolio 2 &amp; 3'!$B$24+D266*'Portfolio 2 &amp; 3'!$B$25+E266*'Portfolio 2 &amp; 3'!$B$26+F266*'Portfolio 2 &amp; 3'!$B$27+G266*'Portfolio 2 &amp; 3'!$B$28+H266*'Portfolio 2 &amp; 3'!$B$29+I266*'Portfolio 2 &amp; 3'!$B$30+J266*'Portfolio 2 &amp; 3'!$B$31+K266*'Portfolio 2 &amp; 3'!$B$32</f>
        <v>3.1459152637799137E-3</v>
      </c>
      <c r="S266" s="93">
        <f t="shared" si="14"/>
        <v>1.4413468300621957E-3</v>
      </c>
    </row>
    <row r="267" spans="1:19" ht="12.75" customHeight="1">
      <c r="A267" s="82">
        <v>45691</v>
      </c>
      <c r="B267" s="53">
        <v>3.3E-3</v>
      </c>
      <c r="C267" s="53">
        <v>1.13797304123047E-2</v>
      </c>
      <c r="D267" s="53">
        <v>4.0785498489425802E-2</v>
      </c>
      <c r="E267" s="53">
        <v>3.2660000000000002E-2</v>
      </c>
      <c r="F267" s="53">
        <v>-1.34248821479811E-2</v>
      </c>
      <c r="G267" s="53">
        <v>-1.2111481747046101E-2</v>
      </c>
      <c r="H267" s="87">
        <v>6.2297635148982301E-3</v>
      </c>
      <c r="I267" s="53">
        <v>-6.1332192269291097E-3</v>
      </c>
      <c r="J267" s="53">
        <v>-8.4538145681653E-3</v>
      </c>
      <c r="K267" s="53">
        <v>4.4699610416238898E-3</v>
      </c>
      <c r="L267" s="95">
        <f>IFERROR(B267*'Stock Statistics'!$C$41+C267*'Stock Statistics'!$C$42+D267*'Stock Statistics'!$C$43+E267*'Stock Statistics'!$C$44+F267*'Stock Statistics'!$C$45+G267*'Stock Statistics'!$C$46+H267*'Stock Statistics'!$C$47+I267*'Stock Statistics'!$C$48+J267*'Stock Statistics'!$C$49+K267*'Stock Statistics'!$C$50,"")</f>
        <v>5.8701555768131009E-3</v>
      </c>
      <c r="M267" s="97">
        <v>486.28829999999999</v>
      </c>
      <c r="N267" s="96">
        <v>532.80139999999994</v>
      </c>
      <c r="O267" s="93">
        <f t="shared" si="12"/>
        <v>-4.0494543206137656E-4</v>
      </c>
      <c r="P267" s="93">
        <f t="shared" si="13"/>
        <v>2.4691004951935547E-3</v>
      </c>
      <c r="Q267" s="93">
        <f>B267*'Portfolio 2 &amp; 3'!$F$7+C267*'Portfolio 2 &amp; 3'!$F$8+D267*'Portfolio 2 &amp; 3'!$F$9+E267*'Portfolio 2 &amp; 3'!$F$10+F267*'Portfolio 2 &amp; 3'!$F$11+G267*'Portfolio 2 &amp; 3'!$F$12+H267*'Portfolio 2 &amp; 3'!$F$13+I267*'Portfolio 2 &amp; 3'!$F$14+J267*'Portfolio 2 &amp; 3'!$F$15+K267*'Portfolio 2 &amp; 3'!$F$16</f>
        <v>6.7145867318517405E-3</v>
      </c>
      <c r="R267" s="93">
        <f>B267*'Portfolio 2 &amp; 3'!$B$23+C267*'Portfolio 2 &amp; 3'!$B$24+D267*'Portfolio 2 &amp; 3'!$B$25+E267*'Portfolio 2 &amp; 3'!$B$26+F267*'Portfolio 2 &amp; 3'!$B$27+G267*'Portfolio 2 &amp; 3'!$B$28+H267*'Portfolio 2 &amp; 3'!$B$29+I267*'Portfolio 2 &amp; 3'!$B$30+J267*'Portfolio 2 &amp; 3'!$B$31+K267*'Portfolio 2 &amp; 3'!$B$32</f>
        <v>-1.5208313872738534E-3</v>
      </c>
      <c r="S267" s="93">
        <f t="shared" si="14"/>
        <v>1.0320775315660891E-3</v>
      </c>
    </row>
    <row r="268" spans="1:19" ht="12.75" customHeight="1">
      <c r="A268" s="81">
        <v>45689</v>
      </c>
      <c r="B268" s="53">
        <v>-1.0699999999999999E-2</v>
      </c>
      <c r="C268" s="53">
        <v>3.7478129473516E-3</v>
      </c>
      <c r="D268" s="53">
        <v>-1.5053387012077601E-2</v>
      </c>
      <c r="E268" s="53">
        <v>3.056E-2</v>
      </c>
      <c r="F268" s="53">
        <v>5.7201752125739498E-3</v>
      </c>
      <c r="G268" s="53">
        <v>-1.8781927747698199E-2</v>
      </c>
      <c r="H268" s="87">
        <v>1.33737591892678E-2</v>
      </c>
      <c r="I268" s="53">
        <v>-7.0811499787565299E-3</v>
      </c>
      <c r="J268" s="53">
        <v>2.0062651789799699E-2</v>
      </c>
      <c r="K268" s="53">
        <v>3.6054791726857001E-2</v>
      </c>
      <c r="L268" s="95">
        <f>IFERROR(B268*'Stock Statistics'!$C$41+C268*'Stock Statistics'!$C$42+D268*'Stock Statistics'!$C$43+E268*'Stock Statistics'!$C$44+F268*'Stock Statistics'!$C$45+G268*'Stock Statistics'!$C$46+H268*'Stock Statistics'!$C$47+I268*'Stock Statistics'!$C$48+J268*'Stock Statistics'!$C$49+K268*'Stock Statistics'!$C$50,"")</f>
        <v>5.7902726127317724E-3</v>
      </c>
      <c r="M268" s="96">
        <v>486.4853</v>
      </c>
      <c r="N268" s="97">
        <v>531.48910000000001</v>
      </c>
      <c r="O268" s="93">
        <f t="shared" si="12"/>
        <v>1.1191620886258802E-2</v>
      </c>
      <c r="P268" s="93">
        <f t="shared" si="13"/>
        <v>1.0268069628000642E-2</v>
      </c>
      <c r="Q268" s="93">
        <f>B268*'Portfolio 2 &amp; 3'!$F$7+C268*'Portfolio 2 &amp; 3'!$F$8+D268*'Portfolio 2 &amp; 3'!$F$9+E268*'Portfolio 2 &amp; 3'!$F$10+F268*'Portfolio 2 &amp; 3'!$F$11+G268*'Portfolio 2 &amp; 3'!$F$12+H268*'Portfolio 2 &amp; 3'!$F$13+I268*'Portfolio 2 &amp; 3'!$F$14+J268*'Portfolio 2 &amp; 3'!$F$15+K268*'Portfolio 2 &amp; 3'!$F$16</f>
        <v>6.7768936702325127E-3</v>
      </c>
      <c r="R268" s="93">
        <f>B268*'Portfolio 2 &amp; 3'!$B$23+C268*'Portfolio 2 &amp; 3'!$B$24+D268*'Portfolio 2 &amp; 3'!$B$25+E268*'Portfolio 2 &amp; 3'!$B$26+F268*'Portfolio 2 &amp; 3'!$B$27+G268*'Portfolio 2 &amp; 3'!$B$28+H268*'Portfolio 2 &amp; 3'!$B$29+I268*'Portfolio 2 &amp; 3'!$B$30+J268*'Portfolio 2 &amp; 3'!$B$31+K268*'Portfolio 2 &amp; 3'!$B$32</f>
        <v>3.9378387501155538E-4</v>
      </c>
      <c r="S268" s="93">
        <f t="shared" si="14"/>
        <v>1.0729845257129722E-2</v>
      </c>
    </row>
    <row r="269" spans="1:19" ht="12.75" customHeight="1">
      <c r="A269" s="82">
        <v>45688</v>
      </c>
      <c r="B269" s="53">
        <v>1.6999999999999999E-3</v>
      </c>
      <c r="C269" s="53">
        <v>-6.6066896435942298E-3</v>
      </c>
      <c r="D269" s="53">
        <v>-2.5002133287823299E-2</v>
      </c>
      <c r="E269" s="53">
        <v>-1.167E-2</v>
      </c>
      <c r="F269" s="53">
        <v>1.7620221301588999E-2</v>
      </c>
      <c r="G269" s="53">
        <v>-2.6546564430879199E-2</v>
      </c>
      <c r="H269" s="87">
        <v>-9.12900950246876E-4</v>
      </c>
      <c r="I269" s="53">
        <v>1.4161783293117401E-2</v>
      </c>
      <c r="J269" s="53">
        <v>-1.31642931573464E-2</v>
      </c>
      <c r="K269" s="53">
        <v>4.7263083891751399E-2</v>
      </c>
      <c r="L269" s="95">
        <f>IFERROR(B269*'Stock Statistics'!$C$41+C269*'Stock Statistics'!$C$42+D269*'Stock Statistics'!$C$43+E269*'Stock Statistics'!$C$44+F269*'Stock Statistics'!$C$45+G269*'Stock Statistics'!$C$46+H269*'Stock Statistics'!$C$47+I269*'Stock Statistics'!$C$48+J269*'Stock Statistics'!$C$49+K269*'Stock Statistics'!$C$50,"")</f>
        <v>-3.1574929834322137E-4</v>
      </c>
      <c r="M269" s="97">
        <v>481.101</v>
      </c>
      <c r="N269" s="96">
        <v>526.08720000000005</v>
      </c>
      <c r="O269" s="93">
        <f t="shared" si="12"/>
        <v>1.664045299257455E-2</v>
      </c>
      <c r="P269" s="93">
        <f t="shared" si="13"/>
        <v>1.8359369782620316E-2</v>
      </c>
      <c r="Q269" s="93">
        <f>B269*'Portfolio 2 &amp; 3'!$F$7+C269*'Portfolio 2 &amp; 3'!$F$8+D269*'Portfolio 2 &amp; 3'!$F$9+E269*'Portfolio 2 &amp; 3'!$F$10+F269*'Portfolio 2 &amp; 3'!$F$11+G269*'Portfolio 2 &amp; 3'!$F$12+H269*'Portfolio 2 &amp; 3'!$F$13+I269*'Portfolio 2 &amp; 3'!$F$14+J269*'Portfolio 2 &amp; 3'!$F$15+K269*'Portfolio 2 &amp; 3'!$F$16</f>
        <v>-1.481064176467197E-3</v>
      </c>
      <c r="R269" s="93">
        <f>B269*'Portfolio 2 &amp; 3'!$B$23+C269*'Portfolio 2 &amp; 3'!$B$24+D269*'Portfolio 2 &amp; 3'!$B$25+E269*'Portfolio 2 &amp; 3'!$B$26+F269*'Portfolio 2 &amp; 3'!$B$27+G269*'Portfolio 2 &amp; 3'!$B$28+H269*'Portfolio 2 &amp; 3'!$B$29+I269*'Portfolio 2 &amp; 3'!$B$30+J269*'Portfolio 2 &amp; 3'!$B$31+K269*'Portfolio 2 &amp; 3'!$B$32</f>
        <v>5.7535507002736816E-3</v>
      </c>
      <c r="S269" s="93">
        <f t="shared" si="14"/>
        <v>1.7499911387597433E-2</v>
      </c>
    </row>
    <row r="270" spans="1:19" ht="12.75" customHeight="1">
      <c r="A270" s="81">
        <v>45687</v>
      </c>
      <c r="B270" s="53">
        <v>2.46E-2</v>
      </c>
      <c r="C270" s="53">
        <v>2.50475209884371E-3</v>
      </c>
      <c r="D270" s="53">
        <v>-9.5085154037949406E-3</v>
      </c>
      <c r="E270" s="53">
        <v>-1.142E-2</v>
      </c>
      <c r="F270" s="53">
        <v>2.2850399613796101E-2</v>
      </c>
      <c r="G270" s="53">
        <v>-6.6954322273471401E-4</v>
      </c>
      <c r="H270" s="87">
        <v>-1.01860598841747E-2</v>
      </c>
      <c r="I270" s="53">
        <v>-9.18379060957486E-4</v>
      </c>
      <c r="J270" s="53">
        <v>-2.6970393402730899E-2</v>
      </c>
      <c r="K270" s="53">
        <v>7.3238073040859898E-3</v>
      </c>
      <c r="L270" s="95">
        <f>IFERROR(B270*'Stock Statistics'!$C$41+C270*'Stock Statistics'!$C$42+D270*'Stock Statistics'!$C$43+E270*'Stock Statistics'!$C$44+F270*'Stock Statistics'!$C$45+G270*'Stock Statistics'!$C$46+H270*'Stock Statistics'!$C$47+I270*'Stock Statistics'!$C$48+J270*'Stock Statistics'!$C$49+K270*'Stock Statistics'!$C$50,"")</f>
        <v>-2.3939319576669351E-4</v>
      </c>
      <c r="M270" s="96">
        <v>473.22629999999998</v>
      </c>
      <c r="N270" s="97">
        <v>516.60270000000003</v>
      </c>
      <c r="O270" s="93">
        <f t="shared" si="12"/>
        <v>7.3364159123061601E-3</v>
      </c>
      <c r="P270" s="93">
        <f t="shared" si="13"/>
        <v>-1.9646254692522458E-2</v>
      </c>
      <c r="Q270" s="93">
        <f>B270*'Portfolio 2 &amp; 3'!$F$7+C270*'Portfolio 2 &amp; 3'!$F$8+D270*'Portfolio 2 &amp; 3'!$F$9+E270*'Portfolio 2 &amp; 3'!$F$10+F270*'Portfolio 2 &amp; 3'!$F$11+G270*'Portfolio 2 &amp; 3'!$F$12+H270*'Portfolio 2 &amp; 3'!$F$13+I270*'Portfolio 2 &amp; 3'!$F$14+J270*'Portfolio 2 &amp; 3'!$F$15+K270*'Portfolio 2 &amp; 3'!$F$16</f>
        <v>-2.9883713412764443E-3</v>
      </c>
      <c r="R270" s="93">
        <f>B270*'Portfolio 2 &amp; 3'!$B$23+C270*'Portfolio 2 &amp; 3'!$B$24+D270*'Portfolio 2 &amp; 3'!$B$25+E270*'Portfolio 2 &amp; 3'!$B$26+F270*'Portfolio 2 &amp; 3'!$B$27+G270*'Portfolio 2 &amp; 3'!$B$28+H270*'Portfolio 2 &amp; 3'!$B$29+I270*'Portfolio 2 &amp; 3'!$B$30+J270*'Portfolio 2 &amp; 3'!$B$31+K270*'Portfolio 2 &amp; 3'!$B$32</f>
        <v>6.3914980818396078E-3</v>
      </c>
      <c r="S270" s="93">
        <f t="shared" si="14"/>
        <v>-6.1549193901081489E-3</v>
      </c>
    </row>
    <row r="271" spans="1:19" ht="12.75" customHeight="1">
      <c r="A271" s="82">
        <v>45686</v>
      </c>
      <c r="B271" s="53">
        <v>-7.6E-3</v>
      </c>
      <c r="C271" s="53">
        <v>9.2120776132524895E-3</v>
      </c>
      <c r="D271" s="53">
        <v>2.33533711023657E-2</v>
      </c>
      <c r="E271" s="53">
        <v>4.5599999999999998E-3</v>
      </c>
      <c r="F271" s="53">
        <v>2.4059324361439101E-2</v>
      </c>
      <c r="G271" s="53">
        <v>1.3786653795100801E-2</v>
      </c>
      <c r="H271" s="87">
        <v>1.91293428212642E-2</v>
      </c>
      <c r="I271" s="53">
        <v>-1.0034691361564499E-3</v>
      </c>
      <c r="J271" s="53">
        <v>1.5060550962297199E-2</v>
      </c>
      <c r="K271" s="53">
        <v>-2.7580676092679501E-2</v>
      </c>
      <c r="L271" s="95">
        <f>IFERROR(B271*'Stock Statistics'!$C$41+C271*'Stock Statistics'!$C$42+D271*'Stock Statistics'!$C$43+E271*'Stock Statistics'!$C$44+F271*'Stock Statistics'!$C$45+G271*'Stock Statistics'!$C$46+H271*'Stock Statistics'!$C$47+I271*'Stock Statistics'!$C$48+J271*'Stock Statistics'!$C$49+K271*'Stock Statistics'!$C$50,"")</f>
        <v>7.2977175426883548E-3</v>
      </c>
      <c r="M271" s="97">
        <v>469.77980000000002</v>
      </c>
      <c r="N271" s="96">
        <v>526.95540000000005</v>
      </c>
      <c r="O271" s="93">
        <f t="shared" si="12"/>
        <v>2.9089452735724386E-3</v>
      </c>
      <c r="P271" s="93">
        <f t="shared" si="13"/>
        <v>-2.3773769044969639E-2</v>
      </c>
      <c r="Q271" s="93">
        <f>B271*'Portfolio 2 &amp; 3'!$F$7+C271*'Portfolio 2 &amp; 3'!$F$8+D271*'Portfolio 2 &amp; 3'!$F$9+E271*'Portfolio 2 &amp; 3'!$F$10+F271*'Portfolio 2 &amp; 3'!$F$11+G271*'Portfolio 2 &amp; 3'!$F$12+H271*'Portfolio 2 &amp; 3'!$F$13+I271*'Portfolio 2 &amp; 3'!$F$14+J271*'Portfolio 2 &amp; 3'!$F$15+K271*'Portfolio 2 &amp; 3'!$F$16</f>
        <v>1.0125599554683028E-2</v>
      </c>
      <c r="R271" s="93">
        <f>B271*'Portfolio 2 &amp; 3'!$B$23+C271*'Portfolio 2 &amp; 3'!$B$24+D271*'Portfolio 2 &amp; 3'!$B$25+E271*'Portfolio 2 &amp; 3'!$B$26+F271*'Portfolio 2 &amp; 3'!$B$27+G271*'Portfolio 2 &amp; 3'!$B$28+H271*'Portfolio 2 &amp; 3'!$B$29+I271*'Portfolio 2 &amp; 3'!$B$30+J271*'Portfolio 2 &amp; 3'!$B$31+K271*'Portfolio 2 &amp; 3'!$B$32</f>
        <v>4.7416741770590848E-3</v>
      </c>
      <c r="S271" s="93">
        <f t="shared" si="14"/>
        <v>-1.04324118856986E-2</v>
      </c>
    </row>
    <row r="272" spans="1:19" ht="12.75" customHeight="1">
      <c r="A272" s="81">
        <v>45685</v>
      </c>
      <c r="B272" s="53">
        <v>-3.09E-2</v>
      </c>
      <c r="C272" s="53">
        <v>1.7951404074409299E-2</v>
      </c>
      <c r="D272" s="53">
        <v>1.5413665905498201E-2</v>
      </c>
      <c r="E272" s="53">
        <v>-2.9E-4</v>
      </c>
      <c r="F272" s="53">
        <v>-1.3386082809451499E-2</v>
      </c>
      <c r="G272" s="53">
        <v>-6.8758894464833204E-3</v>
      </c>
      <c r="H272" s="87">
        <v>1.12597358618354E-2</v>
      </c>
      <c r="I272" s="53">
        <v>2.7887988039791999E-3</v>
      </c>
      <c r="J272" s="53">
        <v>2.3526106956002699E-2</v>
      </c>
      <c r="K272" s="53">
        <v>2.0595535706342299E-2</v>
      </c>
      <c r="L272" s="95">
        <f>IFERROR(B272*'Stock Statistics'!$C$41+C272*'Stock Statistics'!$C$42+D272*'Stock Statistics'!$C$43+E272*'Stock Statistics'!$C$44+F272*'Stock Statistics'!$C$45+G272*'Stock Statistics'!$C$46+H272*'Stock Statistics'!$C$47+I272*'Stock Statistics'!$C$48+J272*'Stock Statistics'!$C$49+K272*'Stock Statistics'!$C$50,"")</f>
        <v>4.0083275052132279E-3</v>
      </c>
      <c r="M272" s="96">
        <v>468.41719999999998</v>
      </c>
      <c r="N272" s="97">
        <v>539.78819999999996</v>
      </c>
      <c r="O272" s="93">
        <f t="shared" si="12"/>
        <v>1.3172269948151349E-2</v>
      </c>
      <c r="P272" s="93">
        <f t="shared" si="13"/>
        <v>-2.2753079535661858E-2</v>
      </c>
      <c r="Q272" s="93">
        <f>B272*'Portfolio 2 &amp; 3'!$F$7+C272*'Portfolio 2 &amp; 3'!$F$8+D272*'Portfolio 2 &amp; 3'!$F$9+E272*'Portfolio 2 &amp; 3'!$F$10+F272*'Portfolio 2 &amp; 3'!$F$11+G272*'Portfolio 2 &amp; 3'!$F$12+H272*'Portfolio 2 &amp; 3'!$F$13+I272*'Portfolio 2 &amp; 3'!$F$14+J272*'Portfolio 2 &amp; 3'!$F$15+K272*'Portfolio 2 &amp; 3'!$F$16</f>
        <v>7.0843714241470481E-3</v>
      </c>
      <c r="R272" s="93">
        <f>B272*'Portfolio 2 &amp; 3'!$B$23+C272*'Portfolio 2 &amp; 3'!$B$24+D272*'Portfolio 2 &amp; 3'!$B$25+E272*'Portfolio 2 &amp; 3'!$B$26+F272*'Portfolio 2 &amp; 3'!$B$27+G272*'Portfolio 2 &amp; 3'!$B$28+H272*'Portfolio 2 &amp; 3'!$B$29+I272*'Portfolio 2 &amp; 3'!$B$30+J272*'Portfolio 2 &amp; 3'!$B$31+K272*'Portfolio 2 &amp; 3'!$B$32</f>
        <v>2.2597041086535913E-4</v>
      </c>
      <c r="S272" s="93">
        <f t="shared" si="14"/>
        <v>-4.7904047937552541E-3</v>
      </c>
    </row>
    <row r="273" spans="1:19" ht="12.75" customHeight="1">
      <c r="A273" s="82">
        <v>45684</v>
      </c>
      <c r="B273" s="53">
        <v>-2.8000000000000001E-2</v>
      </c>
      <c r="C273" s="53">
        <v>-9.4300653858166994E-3</v>
      </c>
      <c r="D273" s="53">
        <v>-3.2049647198843803E-2</v>
      </c>
      <c r="E273" s="53">
        <v>2.947E-2</v>
      </c>
      <c r="F273" s="53">
        <v>-3.65497076023392E-2</v>
      </c>
      <c r="G273" s="53">
        <v>2.7505849033370201E-2</v>
      </c>
      <c r="H273" s="87">
        <v>-4.2328042328065903E-5</v>
      </c>
      <c r="I273" s="53">
        <v>2.1609473593222602E-3</v>
      </c>
      <c r="J273" s="53">
        <v>2.3581585245671102E-3</v>
      </c>
      <c r="K273" s="53">
        <v>3.8806328786366501E-2</v>
      </c>
      <c r="L273" s="95">
        <f>IFERROR(B273*'Stock Statistics'!$C$41+C273*'Stock Statistics'!$C$42+D273*'Stock Statistics'!$C$43+E273*'Stock Statistics'!$C$44+F273*'Stock Statistics'!$C$45+G273*'Stock Statistics'!$C$46+H273*'Stock Statistics'!$C$47+I273*'Stock Statistics'!$C$48+J273*'Stock Statistics'!$C$49+K273*'Stock Statistics'!$C$50,"")</f>
        <v>-5.7704645257017134E-4</v>
      </c>
      <c r="M273" s="97">
        <v>462.32729999999998</v>
      </c>
      <c r="N273" s="96">
        <v>552.35599999999999</v>
      </c>
      <c r="O273" s="93">
        <f t="shared" si="12"/>
        <v>2.1377180515933958E-2</v>
      </c>
      <c r="P273" s="93">
        <f t="shared" si="13"/>
        <v>8.5816612685112315E-3</v>
      </c>
      <c r="Q273" s="93">
        <f>B273*'Portfolio 2 &amp; 3'!$F$7+C273*'Portfolio 2 &amp; 3'!$F$8+D273*'Portfolio 2 &amp; 3'!$F$9+E273*'Portfolio 2 &amp; 3'!$F$10+F273*'Portfolio 2 &amp; 3'!$F$11+G273*'Portfolio 2 &amp; 3'!$F$12+H273*'Portfolio 2 &amp; 3'!$F$13+I273*'Portfolio 2 &amp; 3'!$F$14+J273*'Portfolio 2 &amp; 3'!$F$15+K273*'Portfolio 2 &amp; 3'!$F$16</f>
        <v>-3.5996193199214336E-3</v>
      </c>
      <c r="R273" s="93">
        <f>B273*'Portfolio 2 &amp; 3'!$B$23+C273*'Portfolio 2 &amp; 3'!$B$24+D273*'Portfolio 2 &amp; 3'!$B$25+E273*'Portfolio 2 &amp; 3'!$B$26+F273*'Portfolio 2 &amp; 3'!$B$27+G273*'Portfolio 2 &amp; 3'!$B$28+H273*'Portfolio 2 &amp; 3'!$B$29+I273*'Portfolio 2 &amp; 3'!$B$30+J273*'Portfolio 2 &amp; 3'!$B$31+K273*'Portfolio 2 &amp; 3'!$B$32</f>
        <v>-4.8395977918109304E-3</v>
      </c>
      <c r="S273" s="93">
        <f t="shared" si="14"/>
        <v>1.4979420892222595E-2</v>
      </c>
    </row>
    <row r="274" spans="1:19" ht="12.75" customHeight="1">
      <c r="A274" s="81">
        <v>45681</v>
      </c>
      <c r="B274" s="53">
        <v>-2.0400000000000001E-2</v>
      </c>
      <c r="C274" s="53">
        <v>-1.19159018058016E-2</v>
      </c>
      <c r="D274" s="53">
        <v>-2.96155749876259E-2</v>
      </c>
      <c r="E274" s="53">
        <v>-2.3019999999999999E-2</v>
      </c>
      <c r="F274" s="53">
        <v>-3.1896072385381398E-2</v>
      </c>
      <c r="G274" s="53">
        <v>-1.13772639217735E-3</v>
      </c>
      <c r="H274" s="87">
        <v>-1.3693483071014E-2</v>
      </c>
      <c r="I274" s="53">
        <v>1.75021987686894E-2</v>
      </c>
      <c r="J274" s="53">
        <v>1.75488861829383E-2</v>
      </c>
      <c r="K274" s="53">
        <v>-2.9865064777872399E-2</v>
      </c>
      <c r="L274" s="95">
        <f>IFERROR(B274*'Stock Statistics'!$C$41+C274*'Stock Statistics'!$C$42+D274*'Stock Statistics'!$C$43+E274*'Stock Statistics'!$C$44+F274*'Stock Statistics'!$C$45+G274*'Stock Statistics'!$C$46+H274*'Stock Statistics'!$C$47+I274*'Stock Statistics'!$C$48+J274*'Stock Statistics'!$C$49+K274*'Stock Statistics'!$C$50,"")</f>
        <v>-1.2649273846824493E-2</v>
      </c>
      <c r="M274" s="96">
        <v>452.65089999999998</v>
      </c>
      <c r="N274" s="97">
        <v>547.65620000000001</v>
      </c>
      <c r="O274" s="93">
        <f t="shared" si="12"/>
        <v>-1.7324492419204973E-2</v>
      </c>
      <c r="P274" s="93">
        <f t="shared" si="13"/>
        <v>-6.3995544581640917E-4</v>
      </c>
      <c r="Q274" s="93">
        <f>B274*'Portfolio 2 &amp; 3'!$F$7+C274*'Portfolio 2 &amp; 3'!$F$8+D274*'Portfolio 2 &amp; 3'!$F$9+E274*'Portfolio 2 &amp; 3'!$F$10+F274*'Portfolio 2 &amp; 3'!$F$11+G274*'Portfolio 2 &amp; 3'!$F$12+H274*'Portfolio 2 &amp; 3'!$F$13+I274*'Portfolio 2 &amp; 3'!$F$14+J274*'Portfolio 2 &amp; 3'!$F$15+K274*'Portfolio 2 &amp; 3'!$F$16</f>
        <v>-1.2042882912601357E-2</v>
      </c>
      <c r="R274" s="93">
        <f>B274*'Portfolio 2 &amp; 3'!$B$23+C274*'Portfolio 2 &amp; 3'!$B$24+D274*'Portfolio 2 &amp; 3'!$B$25+E274*'Portfolio 2 &amp; 3'!$B$26+F274*'Portfolio 2 &amp; 3'!$B$27+G274*'Portfolio 2 &amp; 3'!$B$28+H274*'Portfolio 2 &amp; 3'!$B$29+I274*'Portfolio 2 &amp; 3'!$B$30+J274*'Portfolio 2 &amp; 3'!$B$31+K274*'Portfolio 2 &amp; 3'!$B$32</f>
        <v>-8.5492162220983485E-3</v>
      </c>
      <c r="S274" s="93">
        <f t="shared" si="14"/>
        <v>-8.9822239325106912E-3</v>
      </c>
    </row>
    <row r="275" spans="1:19" ht="12.75" customHeight="1">
      <c r="A275" s="82">
        <v>45680</v>
      </c>
      <c r="B275" s="53">
        <v>2.7000000000000001E-3</v>
      </c>
      <c r="C275" s="53">
        <v>-3.1021510562361399E-2</v>
      </c>
      <c r="D275" s="53">
        <v>-2.6188946015424101E-2</v>
      </c>
      <c r="E275" s="53">
        <v>-1.422E-2</v>
      </c>
      <c r="F275" s="53">
        <v>1.08840061318345E-2</v>
      </c>
      <c r="G275" s="53">
        <v>-3.5695135963232901E-3</v>
      </c>
      <c r="H275" s="87">
        <v>-2.1847435478601799E-2</v>
      </c>
      <c r="I275" s="53">
        <v>-4.55270447995074E-2</v>
      </c>
      <c r="J275" s="53">
        <v>-1.0840300410939601E-2</v>
      </c>
      <c r="K275" s="53">
        <v>-3.2251067226599199E-2</v>
      </c>
      <c r="L275" s="95">
        <f>IFERROR(B275*'Stock Statistics'!$C$41+C275*'Stock Statistics'!$C$42+D275*'Stock Statistics'!$C$43+E275*'Stock Statistics'!$C$44+F275*'Stock Statistics'!$C$45+G275*'Stock Statistics'!$C$46+H275*'Stock Statistics'!$C$47+I275*'Stock Statistics'!$C$48+J275*'Stock Statistics'!$C$49+K275*'Stock Statistics'!$C$50,"")</f>
        <v>-1.7188181195792226E-2</v>
      </c>
      <c r="M275" s="97">
        <v>460.6311</v>
      </c>
      <c r="N275" s="96">
        <v>548.00689999999997</v>
      </c>
      <c r="O275" s="93">
        <f t="shared" si="12"/>
        <v>-2.1701635746299353E-2</v>
      </c>
      <c r="P275" s="93">
        <f t="shared" si="13"/>
        <v>-1.0965689604514051E-2</v>
      </c>
      <c r="Q275" s="93">
        <f>B275*'Portfolio 2 &amp; 3'!$F$7+C275*'Portfolio 2 &amp; 3'!$F$8+D275*'Portfolio 2 &amp; 3'!$F$9+E275*'Portfolio 2 &amp; 3'!$F$10+F275*'Portfolio 2 &amp; 3'!$F$11+G275*'Portfolio 2 &amp; 3'!$F$12+H275*'Portfolio 2 &amp; 3'!$F$13+I275*'Portfolio 2 &amp; 3'!$F$14+J275*'Portfolio 2 &amp; 3'!$F$15+K275*'Portfolio 2 &amp; 3'!$F$16</f>
        <v>-1.7983205869009259E-2</v>
      </c>
      <c r="R275" s="93">
        <f>B275*'Portfolio 2 &amp; 3'!$B$23+C275*'Portfolio 2 &amp; 3'!$B$24+D275*'Portfolio 2 &amp; 3'!$B$25+E275*'Portfolio 2 &amp; 3'!$B$26+F275*'Portfolio 2 &amp; 3'!$B$27+G275*'Portfolio 2 &amp; 3'!$B$28+H275*'Portfolio 2 &amp; 3'!$B$29+I275*'Portfolio 2 &amp; 3'!$B$30+J275*'Portfolio 2 &amp; 3'!$B$31+K275*'Portfolio 2 &amp; 3'!$B$32</f>
        <v>-1.9721667149573678E-2</v>
      </c>
      <c r="S275" s="93">
        <f t="shared" si="14"/>
        <v>-1.6333662675406702E-2</v>
      </c>
    </row>
    <row r="276" spans="1:19" ht="12.75" customHeight="1">
      <c r="A276" s="81">
        <v>45679</v>
      </c>
      <c r="B276" s="53">
        <v>5.1999999999999998E-3</v>
      </c>
      <c r="C276" s="53">
        <v>6.2215492725350404E-3</v>
      </c>
      <c r="D276" s="53">
        <v>4.4470548749790298E-2</v>
      </c>
      <c r="E276" s="53">
        <v>-7.3299999999999997E-3</v>
      </c>
      <c r="F276" s="53">
        <v>-7.5058322345065197E-3</v>
      </c>
      <c r="G276" s="53">
        <v>3.0581957118949201E-2</v>
      </c>
      <c r="H276" s="87">
        <v>-5.0411043896386003E-2</v>
      </c>
      <c r="I276" s="53">
        <v>-1.9399626824717402E-2</v>
      </c>
      <c r="J276" s="53">
        <v>-2.7392068359576902E-2</v>
      </c>
      <c r="K276" s="53">
        <v>-1.5100111947632401E-2</v>
      </c>
      <c r="L276" s="95">
        <f>IFERROR(B276*'Stock Statistics'!$C$41+C276*'Stock Statistics'!$C$42+D276*'Stock Statistics'!$C$43+E276*'Stock Statistics'!$C$44+F276*'Stock Statistics'!$C$45+G276*'Stock Statistics'!$C$46+H276*'Stock Statistics'!$C$47+I276*'Stock Statistics'!$C$48+J276*'Stock Statistics'!$C$49+K276*'Stock Statistics'!$C$50,"")</f>
        <v>-4.0664628121544685E-3</v>
      </c>
      <c r="M276" s="96">
        <v>470.84930000000003</v>
      </c>
      <c r="N276" s="97">
        <v>554.08280000000002</v>
      </c>
      <c r="O276" s="93">
        <f t="shared" si="12"/>
        <v>-1.4634947707665047E-2</v>
      </c>
      <c r="P276" s="93">
        <f t="shared" si="13"/>
        <v>2.6515627898140437E-3</v>
      </c>
      <c r="Q276" s="93">
        <f>B276*'Portfolio 2 &amp; 3'!$F$7+C276*'Portfolio 2 &amp; 3'!$F$8+D276*'Portfolio 2 &amp; 3'!$F$9+E276*'Portfolio 2 &amp; 3'!$F$10+F276*'Portfolio 2 &amp; 3'!$F$11+G276*'Portfolio 2 &amp; 3'!$F$12+H276*'Portfolio 2 &amp; 3'!$F$13+I276*'Portfolio 2 &amp; 3'!$F$14+J276*'Portfolio 2 &amp; 3'!$F$15+K276*'Portfolio 2 &amp; 3'!$F$16</f>
        <v>-7.8280529076221426E-3</v>
      </c>
      <c r="R276" s="93">
        <f>B276*'Portfolio 2 &amp; 3'!$B$23+C276*'Portfolio 2 &amp; 3'!$B$24+D276*'Portfolio 2 &amp; 3'!$B$25+E276*'Portfolio 2 &amp; 3'!$B$26+F276*'Portfolio 2 &amp; 3'!$B$27+G276*'Portfolio 2 &amp; 3'!$B$28+H276*'Portfolio 2 &amp; 3'!$B$29+I276*'Portfolio 2 &amp; 3'!$B$30+J276*'Portfolio 2 &amp; 3'!$B$31+K276*'Portfolio 2 &amp; 3'!$B$32</f>
        <v>-4.0596475603458075E-3</v>
      </c>
      <c r="S276" s="93">
        <f t="shared" si="14"/>
        <v>-5.9916924589255016E-3</v>
      </c>
    </row>
    <row r="277" spans="1:19" ht="12.75" customHeight="1">
      <c r="A277" s="82">
        <v>45678</v>
      </c>
      <c r="B277" s="53">
        <v>-1.8E-3</v>
      </c>
      <c r="C277" s="53">
        <v>-4.9929499932397396E-3</v>
      </c>
      <c r="D277" s="53">
        <v>4.0438079191238404E-3</v>
      </c>
      <c r="E277" s="53">
        <v>3.3600000000000001E-3</v>
      </c>
      <c r="F277" s="53">
        <v>-9.6433952787544595E-3</v>
      </c>
      <c r="G277" s="53">
        <v>3.3583626397997199E-3</v>
      </c>
      <c r="H277" s="87">
        <v>-5.2844744455159401E-3</v>
      </c>
      <c r="I277" s="53">
        <v>-6.2172774869109198E-3</v>
      </c>
      <c r="J277" s="53">
        <v>8.1631235236905297E-3</v>
      </c>
      <c r="K277" s="53">
        <v>6.6150537634408497E-3</v>
      </c>
      <c r="L277" s="95">
        <f>IFERROR(B277*'Stock Statistics'!$C$41+C277*'Stock Statistics'!$C$42+D277*'Stock Statistics'!$C$43+E277*'Stock Statistics'!$C$44+F277*'Stock Statistics'!$C$45+G277*'Stock Statistics'!$C$46+H277*'Stock Statistics'!$C$47+I277*'Stock Statistics'!$C$48+J277*'Stock Statistics'!$C$49+K277*'Stock Statistics'!$C$50,"")</f>
        <v>-2.3977493583661187E-4</v>
      </c>
      <c r="M277" s="97">
        <v>477.84249999999997</v>
      </c>
      <c r="N277" s="96">
        <v>552.61749999999995</v>
      </c>
      <c r="O277" s="93">
        <f t="shared" si="12"/>
        <v>1.1354181856971568E-2</v>
      </c>
      <c r="P277" s="93">
        <f t="shared" si="13"/>
        <v>2.2709078226526014E-3</v>
      </c>
      <c r="Q277" s="93">
        <f>B277*'Portfolio 2 &amp; 3'!$F$7+C277*'Portfolio 2 &amp; 3'!$F$8+D277*'Portfolio 2 &amp; 3'!$F$9+E277*'Portfolio 2 &amp; 3'!$F$10+F277*'Portfolio 2 &amp; 3'!$F$11+G277*'Portfolio 2 &amp; 3'!$F$12+H277*'Portfolio 2 &amp; 3'!$F$13+I277*'Portfolio 2 &amp; 3'!$F$14+J277*'Portfolio 2 &amp; 3'!$F$15+K277*'Portfolio 2 &amp; 3'!$F$16</f>
        <v>-3.1471462426738899E-4</v>
      </c>
      <c r="R277" s="93">
        <f>B277*'Portfolio 2 &amp; 3'!$B$23+C277*'Portfolio 2 &amp; 3'!$B$24+D277*'Portfolio 2 &amp; 3'!$B$25+E277*'Portfolio 2 &amp; 3'!$B$26+F277*'Portfolio 2 &amp; 3'!$B$27+G277*'Portfolio 2 &amp; 3'!$B$28+H277*'Portfolio 2 &amp; 3'!$B$29+I277*'Portfolio 2 &amp; 3'!$B$30+J277*'Portfolio 2 &amp; 3'!$B$31+K277*'Portfolio 2 &amp; 3'!$B$32</f>
        <v>-3.1855078665073717E-3</v>
      </c>
      <c r="S277" s="93">
        <f t="shared" si="14"/>
        <v>6.8125448398120847E-3</v>
      </c>
    </row>
    <row r="278" spans="1:19" ht="12.75" customHeight="1">
      <c r="A278" s="81">
        <v>45677</v>
      </c>
      <c r="B278" s="53">
        <v>-8.8999999999999999E-3</v>
      </c>
      <c r="C278" s="53">
        <v>-1.15883925162276E-2</v>
      </c>
      <c r="D278" s="53">
        <v>-1.2520277858658099E-2</v>
      </c>
      <c r="E278" s="53">
        <v>1.6459999999999999E-2</v>
      </c>
      <c r="F278" s="53">
        <v>8.5457195998595004E-4</v>
      </c>
      <c r="G278" s="53">
        <v>-2.5124437070395099E-3</v>
      </c>
      <c r="H278" s="87">
        <v>6.2880875674415897E-3</v>
      </c>
      <c r="I278" s="53">
        <v>1.9261235720836999E-2</v>
      </c>
      <c r="J278" s="53">
        <v>7.9831932773108995E-3</v>
      </c>
      <c r="K278" s="53">
        <v>-1.0998642355083399E-3</v>
      </c>
      <c r="L278" s="95">
        <f>IFERROR(B278*'Stock Statistics'!$C$41+C278*'Stock Statistics'!$C$42+D278*'Stock Statistics'!$C$43+E278*'Stock Statistics'!$C$44+F278*'Stock Statistics'!$C$45+G278*'Stock Statistics'!$C$46+H278*'Stock Statistics'!$C$47+I278*'Stock Statistics'!$C$48+J278*'Stock Statistics'!$C$49+K278*'Stock Statistics'!$C$50,"")</f>
        <v>1.4226110208141888E-3</v>
      </c>
      <c r="M278" s="96">
        <v>472.47789999999998</v>
      </c>
      <c r="N278" s="97">
        <v>551.36540000000002</v>
      </c>
      <c r="O278" s="93">
        <f t="shared" si="12"/>
        <v>-3.8334702731058767E-3</v>
      </c>
      <c r="P278" s="93">
        <f t="shared" si="13"/>
        <v>-1.1248467579720867E-3</v>
      </c>
      <c r="Q278" s="93">
        <f>B278*'Portfolio 2 &amp; 3'!$F$7+C278*'Portfolio 2 &amp; 3'!$F$8+D278*'Portfolio 2 &amp; 3'!$F$9+E278*'Portfolio 2 &amp; 3'!$F$10+F278*'Portfolio 2 &amp; 3'!$F$11+G278*'Portfolio 2 &amp; 3'!$F$12+H278*'Portfolio 2 &amp; 3'!$F$13+I278*'Portfolio 2 &amp; 3'!$F$14+J278*'Portfolio 2 &amp; 3'!$F$15+K278*'Portfolio 2 &amp; 3'!$F$16</f>
        <v>1.4994509382592715E-3</v>
      </c>
      <c r="R278" s="93">
        <f>B278*'Portfolio 2 &amp; 3'!$B$23+C278*'Portfolio 2 &amp; 3'!$B$24+D278*'Portfolio 2 &amp; 3'!$B$25+E278*'Portfolio 2 &amp; 3'!$B$26+F278*'Portfolio 2 &amp; 3'!$B$27+G278*'Portfolio 2 &amp; 3'!$B$28+H278*'Portfolio 2 &amp; 3'!$B$29+I278*'Portfolio 2 &amp; 3'!$B$30+J278*'Portfolio 2 &amp; 3'!$B$31+K278*'Portfolio 2 &amp; 3'!$B$32</f>
        <v>1.4782926600779706E-3</v>
      </c>
      <c r="S278" s="93">
        <f t="shared" si="14"/>
        <v>-2.4791585155389817E-3</v>
      </c>
    </row>
    <row r="279" spans="1:19" ht="12.75" customHeight="1">
      <c r="A279" s="82">
        <v>45674</v>
      </c>
      <c r="B279" s="53">
        <v>2.3099999999999999E-2</v>
      </c>
      <c r="C279" s="53">
        <v>-3.3962156454236999E-3</v>
      </c>
      <c r="D279" s="53">
        <v>2.0112869690669201E-2</v>
      </c>
      <c r="E279" s="53">
        <v>-1.486E-2</v>
      </c>
      <c r="F279" s="53">
        <v>6.5779486920001197E-3</v>
      </c>
      <c r="G279" s="53">
        <v>-3.3387404129329198E-3</v>
      </c>
      <c r="H279" s="87">
        <v>-1.0903366990440399E-2</v>
      </c>
      <c r="I279" s="53">
        <v>2.0565042264707501E-2</v>
      </c>
      <c r="J279" s="53">
        <v>-1.2072365007437099E-2</v>
      </c>
      <c r="K279" s="53">
        <v>-3.0280305302803099E-2</v>
      </c>
      <c r="L279" s="95">
        <f>IFERROR(B279*'Stock Statistics'!$C$41+C279*'Stock Statistics'!$C$42+D279*'Stock Statistics'!$C$43+E279*'Stock Statistics'!$C$44+F279*'Stock Statistics'!$C$45+G279*'Stock Statistics'!$C$46+H279*'Stock Statistics'!$C$47+I279*'Stock Statistics'!$C$48+J279*'Stock Statistics'!$C$49+K279*'Stock Statistics'!$C$50,"")</f>
        <v>-4.4951327116604049E-4</v>
      </c>
      <c r="M279" s="97">
        <v>474.29610000000002</v>
      </c>
      <c r="N279" s="96">
        <v>551.98630000000003</v>
      </c>
      <c r="O279" s="93">
        <f t="shared" si="12"/>
        <v>-8.6310216807050644E-3</v>
      </c>
      <c r="P279" s="93">
        <f t="shared" si="13"/>
        <v>-7.3568908495276197E-3</v>
      </c>
      <c r="Q279" s="93">
        <f>B279*'Portfolio 2 &amp; 3'!$F$7+C279*'Portfolio 2 &amp; 3'!$F$8+D279*'Portfolio 2 &amp; 3'!$F$9+E279*'Portfolio 2 &amp; 3'!$F$10+F279*'Portfolio 2 &amp; 3'!$F$11+G279*'Portfolio 2 &amp; 3'!$F$12+H279*'Portfolio 2 &amp; 3'!$F$13+I279*'Portfolio 2 &amp; 3'!$F$14+J279*'Portfolio 2 &amp; 3'!$F$15+K279*'Portfolio 2 &amp; 3'!$F$16</f>
        <v>-8.7370241960828721E-4</v>
      </c>
      <c r="R279" s="93">
        <f>B279*'Portfolio 2 &amp; 3'!$B$23+C279*'Portfolio 2 &amp; 3'!$B$24+D279*'Portfolio 2 &amp; 3'!$B$25+E279*'Portfolio 2 &amp; 3'!$B$26+F279*'Portfolio 2 &amp; 3'!$B$27+G279*'Portfolio 2 &amp; 3'!$B$28+H279*'Portfolio 2 &amp; 3'!$B$29+I279*'Portfolio 2 &amp; 3'!$B$30+J279*'Portfolio 2 &amp; 3'!$B$31+K279*'Portfolio 2 &amp; 3'!$B$32</f>
        <v>5.189491951842427E-3</v>
      </c>
      <c r="S279" s="93">
        <f t="shared" si="14"/>
        <v>-7.9939562651163421E-3</v>
      </c>
    </row>
    <row r="280" spans="1:19" ht="12.75" customHeight="1">
      <c r="A280" s="81">
        <v>45673</v>
      </c>
      <c r="B280" s="53">
        <v>-1.61E-2</v>
      </c>
      <c r="C280" s="53">
        <v>1.4290401018951101E-2</v>
      </c>
      <c r="D280" s="53">
        <v>1.9069445645593801E-2</v>
      </c>
      <c r="E280" s="53">
        <v>5.4299999999999999E-3</v>
      </c>
      <c r="F280" s="53">
        <v>3.2998273936439798E-3</v>
      </c>
      <c r="G280" s="53">
        <v>-1.1797646762725701E-3</v>
      </c>
      <c r="H280" s="87">
        <v>-5.3841454101114499E-3</v>
      </c>
      <c r="I280" s="53">
        <v>-8.7445522283142695E-3</v>
      </c>
      <c r="J280" s="53">
        <v>2.1840116480622601E-3</v>
      </c>
      <c r="K280" s="53">
        <v>1.42916303952807E-2</v>
      </c>
      <c r="L280" s="95">
        <f>IFERROR(B280*'Stock Statistics'!$C$41+C280*'Stock Statistics'!$C$42+D280*'Stock Statistics'!$C$43+E280*'Stock Statistics'!$C$44+F280*'Stock Statistics'!$C$45+G280*'Stock Statistics'!$C$46+H280*'Stock Statistics'!$C$47+I280*'Stock Statistics'!$C$48+J280*'Stock Statistics'!$C$49+K280*'Stock Statistics'!$C$50,"")</f>
        <v>2.7156853786833549E-3</v>
      </c>
      <c r="M280" s="96">
        <v>478.42540000000002</v>
      </c>
      <c r="N280" s="97">
        <v>556.07730000000004</v>
      </c>
      <c r="O280" s="93">
        <f t="shared" si="12"/>
        <v>9.2773059464670293E-3</v>
      </c>
      <c r="P280" s="93">
        <f t="shared" si="13"/>
        <v>4.6347693699089199E-3</v>
      </c>
      <c r="Q280" s="93">
        <f>B280*'Portfolio 2 &amp; 3'!$F$7+C280*'Portfolio 2 &amp; 3'!$F$8+D280*'Portfolio 2 &amp; 3'!$F$9+E280*'Portfolio 2 &amp; 3'!$F$10+F280*'Portfolio 2 &amp; 3'!$F$11+G280*'Portfolio 2 &amp; 3'!$F$12+H280*'Portfolio 2 &amp; 3'!$F$13+I280*'Portfolio 2 &amp; 3'!$F$14+J280*'Portfolio 2 &amp; 3'!$F$15+K280*'Portfolio 2 &amp; 3'!$F$16</f>
        <v>3.3462134638455156E-3</v>
      </c>
      <c r="R280" s="93">
        <f>B280*'Portfolio 2 &amp; 3'!$B$23+C280*'Portfolio 2 &amp; 3'!$B$24+D280*'Portfolio 2 &amp; 3'!$B$25+E280*'Portfolio 2 &amp; 3'!$B$26+F280*'Portfolio 2 &amp; 3'!$B$27+G280*'Portfolio 2 &amp; 3'!$B$28+H280*'Portfolio 2 &amp; 3'!$B$29+I280*'Portfolio 2 &amp; 3'!$B$30+J280*'Portfolio 2 &amp; 3'!$B$31+K280*'Portfolio 2 &amp; 3'!$B$32</f>
        <v>1.6154018698027214E-4</v>
      </c>
      <c r="S280" s="93">
        <f t="shared" si="14"/>
        <v>6.9560376581879746E-3</v>
      </c>
    </row>
    <row r="281" spans="1:19" ht="12.75" customHeight="1">
      <c r="A281" s="82">
        <v>45672</v>
      </c>
      <c r="B281" s="53">
        <v>-1.7299999999999999E-2</v>
      </c>
      <c r="C281" s="53">
        <v>-3.7873690281649002E-3</v>
      </c>
      <c r="D281" s="53">
        <v>7.6249400897563397E-3</v>
      </c>
      <c r="E281" s="53">
        <v>6.79E-3</v>
      </c>
      <c r="F281" s="53">
        <v>-1.5247712843073601E-2</v>
      </c>
      <c r="G281" s="53">
        <v>-1.13373042409917E-2</v>
      </c>
      <c r="H281" s="87">
        <v>5.10458645173673E-3</v>
      </c>
      <c r="I281" s="53">
        <v>-4.6458257535473297E-3</v>
      </c>
      <c r="J281" s="53">
        <v>-8.3131278143400199E-4</v>
      </c>
      <c r="K281" s="53">
        <v>0</v>
      </c>
      <c r="L281" s="95">
        <f>IFERROR(B281*'Stock Statistics'!$C$41+C281*'Stock Statistics'!$C$42+D281*'Stock Statistics'!$C$43+E281*'Stock Statistics'!$C$44+F281*'Stock Statistics'!$C$45+G281*'Stock Statistics'!$C$46+H281*'Stock Statistics'!$C$47+I281*'Stock Statistics'!$C$48+J281*'Stock Statistics'!$C$49+K281*'Stock Statistics'!$C$50,"")</f>
        <v>-3.362999810571846E-3</v>
      </c>
      <c r="M281" s="97">
        <v>474.02769999999998</v>
      </c>
      <c r="N281" s="96">
        <v>553.51189999999997</v>
      </c>
      <c r="O281" s="93">
        <f t="shared" si="12"/>
        <v>-4.5967733603069494E-4</v>
      </c>
      <c r="P281" s="93">
        <f t="shared" si="13"/>
        <v>-2.4137402730981528E-2</v>
      </c>
      <c r="Q281" s="93">
        <f>B281*'Portfolio 2 &amp; 3'!$F$7+C281*'Portfolio 2 &amp; 3'!$F$8+D281*'Portfolio 2 &amp; 3'!$F$9+E281*'Portfolio 2 &amp; 3'!$F$10+F281*'Portfolio 2 &amp; 3'!$F$11+G281*'Portfolio 2 &amp; 3'!$F$12+H281*'Portfolio 2 &amp; 3'!$F$13+I281*'Portfolio 2 &amp; 3'!$F$14+J281*'Portfolio 2 &amp; 3'!$F$15+K281*'Portfolio 2 &amp; 3'!$F$16</f>
        <v>-1.8793049217234086E-3</v>
      </c>
      <c r="R281" s="93">
        <f>B281*'Portfolio 2 &amp; 3'!$B$23+C281*'Portfolio 2 &amp; 3'!$B$24+D281*'Portfolio 2 &amp; 3'!$B$25+E281*'Portfolio 2 &amp; 3'!$B$26+F281*'Portfolio 2 &amp; 3'!$B$27+G281*'Portfolio 2 &amp; 3'!$B$28+H281*'Portfolio 2 &amp; 3'!$B$29+I281*'Portfolio 2 &amp; 3'!$B$30+J281*'Portfolio 2 &amp; 3'!$B$31+K281*'Portfolio 2 &amp; 3'!$B$32</f>
        <v>-7.5885907621620844E-3</v>
      </c>
      <c r="S281" s="93">
        <f t="shared" si="14"/>
        <v>-1.2298540033506111E-2</v>
      </c>
    </row>
    <row r="282" spans="1:19" ht="12.75" customHeight="1">
      <c r="A282" s="81">
        <v>45671</v>
      </c>
      <c r="B282" s="53">
        <v>-1.12E-2</v>
      </c>
      <c r="C282" s="53">
        <v>-1.2023248746391201E-2</v>
      </c>
      <c r="D282" s="53">
        <v>-2.2945934440187301E-2</v>
      </c>
      <c r="E282" s="53">
        <v>-1.8610000000000002E-2</v>
      </c>
      <c r="F282" s="53">
        <v>2.5689672854066099E-2</v>
      </c>
      <c r="G282" s="53">
        <v>-1.1483827327512E-2</v>
      </c>
      <c r="H282" s="87">
        <v>-2.5762787915046399E-2</v>
      </c>
      <c r="I282" s="53">
        <v>1.31855044518801E-2</v>
      </c>
      <c r="J282" s="53">
        <v>-2.55666113875075E-3</v>
      </c>
      <c r="K282" s="53">
        <v>6.6702400095288699E-3</v>
      </c>
      <c r="L282" s="95">
        <f>IFERROR(B282*'Stock Statistics'!$C$41+C282*'Stock Statistics'!$C$42+D282*'Stock Statistics'!$C$43+E282*'Stock Statistics'!$C$44+F282*'Stock Statistics'!$C$45+G282*'Stock Statistics'!$C$46+H282*'Stock Statistics'!$C$47+I282*'Stock Statistics'!$C$48+J282*'Stock Statistics'!$C$49+K282*'Stock Statistics'!$C$50,"")</f>
        <v>-5.9037042252412589E-3</v>
      </c>
      <c r="M282" s="96">
        <v>474.2457</v>
      </c>
      <c r="N282" s="97">
        <v>567.20270000000005</v>
      </c>
      <c r="O282" s="93">
        <f t="shared" si="12"/>
        <v>2.6427301558977767E-3</v>
      </c>
      <c r="P282" s="93">
        <f t="shared" si="13"/>
        <v>-1.8416713002645801E-2</v>
      </c>
      <c r="Q282" s="93">
        <f>B282*'Portfolio 2 &amp; 3'!$F$7+C282*'Portfolio 2 &amp; 3'!$F$8+D282*'Portfolio 2 &amp; 3'!$F$9+E282*'Portfolio 2 &amp; 3'!$F$10+F282*'Portfolio 2 &amp; 3'!$F$11+G282*'Portfolio 2 &amp; 3'!$F$12+H282*'Portfolio 2 &amp; 3'!$F$13+I282*'Portfolio 2 &amp; 3'!$F$14+J282*'Portfolio 2 &amp; 3'!$F$15+K282*'Portfolio 2 &amp; 3'!$F$16</f>
        <v>-7.2483485069147766E-3</v>
      </c>
      <c r="R282" s="93">
        <f>B282*'Portfolio 2 &amp; 3'!$B$23+C282*'Portfolio 2 &amp; 3'!$B$24+D282*'Portfolio 2 &amp; 3'!$B$25+E282*'Portfolio 2 &amp; 3'!$B$26+F282*'Portfolio 2 &amp; 3'!$B$27+G282*'Portfolio 2 &amp; 3'!$B$28+H282*'Portfolio 2 &amp; 3'!$B$29+I282*'Portfolio 2 &amp; 3'!$B$30+J282*'Portfolio 2 &amp; 3'!$B$31+K282*'Portfolio 2 &amp; 3'!$B$32</f>
        <v>1.762096140408392E-3</v>
      </c>
      <c r="S282" s="93">
        <f t="shared" si="14"/>
        <v>-7.8869914233740124E-3</v>
      </c>
    </row>
    <row r="283" spans="1:19" ht="12.75" customHeight="1">
      <c r="A283" s="82">
        <v>45670</v>
      </c>
      <c r="B283" s="53">
        <v>-7.4999999999999997E-3</v>
      </c>
      <c r="C283" s="53">
        <v>7.1546084095344097E-3</v>
      </c>
      <c r="D283" s="53">
        <v>1.12794902703632E-2</v>
      </c>
      <c r="E283" s="53">
        <v>-1.7670000000000002E-2</v>
      </c>
      <c r="F283" s="53">
        <v>-2.9171644763042601E-2</v>
      </c>
      <c r="G283" s="53">
        <v>5.2699089742995796E-3</v>
      </c>
      <c r="H283" s="87">
        <v>-2.6167246084263202E-4</v>
      </c>
      <c r="I283" s="53">
        <v>3.67134359791677E-3</v>
      </c>
      <c r="J283" s="53">
        <v>-3.79899844586418E-4</v>
      </c>
      <c r="K283" s="53">
        <v>-1.8938951304609101E-2</v>
      </c>
      <c r="L283" s="95">
        <f>IFERROR(B283*'Stock Statistics'!$C$41+C283*'Stock Statistics'!$C$42+D283*'Stock Statistics'!$C$43+E283*'Stock Statistics'!$C$44+F283*'Stock Statistics'!$C$45+G283*'Stock Statistics'!$C$46+H283*'Stock Statistics'!$C$47+I283*'Stock Statistics'!$C$48+J283*'Stock Statistics'!$C$49+K283*'Stock Statistics'!$C$50,"")</f>
        <v>-4.6546817120966793E-3</v>
      </c>
      <c r="M283" s="97">
        <v>472.9957</v>
      </c>
      <c r="N283" s="96">
        <v>577.84469999999999</v>
      </c>
      <c r="O283" s="93">
        <f t="shared" si="12"/>
        <v>-1.1625934001087357E-2</v>
      </c>
      <c r="P283" s="93">
        <f t="shared" si="13"/>
        <v>-5.5471992950910654E-3</v>
      </c>
      <c r="Q283" s="93">
        <f>B283*'Portfolio 2 &amp; 3'!$F$7+C283*'Portfolio 2 &amp; 3'!$F$8+D283*'Portfolio 2 &amp; 3'!$F$9+E283*'Portfolio 2 &amp; 3'!$F$10+F283*'Portfolio 2 &amp; 3'!$F$11+G283*'Portfolio 2 &amp; 3'!$F$12+H283*'Portfolio 2 &amp; 3'!$F$13+I283*'Portfolio 2 &amp; 3'!$F$14+J283*'Portfolio 2 &amp; 3'!$F$15+K283*'Portfolio 2 &amp; 3'!$F$16</f>
        <v>-3.5842216303296707E-3</v>
      </c>
      <c r="R283" s="93">
        <f>B283*'Portfolio 2 &amp; 3'!$B$23+C283*'Portfolio 2 &amp; 3'!$B$24+D283*'Portfolio 2 &amp; 3'!$B$25+E283*'Portfolio 2 &amp; 3'!$B$26+F283*'Portfolio 2 &amp; 3'!$B$27+G283*'Portfolio 2 &amp; 3'!$B$28+H283*'Portfolio 2 &amp; 3'!$B$29+I283*'Portfolio 2 &amp; 3'!$B$30+J283*'Portfolio 2 &amp; 3'!$B$31+K283*'Portfolio 2 &amp; 3'!$B$32</f>
        <v>-4.265746135104621E-3</v>
      </c>
      <c r="S283" s="93">
        <f t="shared" si="14"/>
        <v>-8.5865666480892111E-3</v>
      </c>
    </row>
    <row r="284" spans="1:19" ht="12.75" customHeight="1">
      <c r="A284" s="81">
        <v>45667</v>
      </c>
      <c r="B284" s="53">
        <v>-3.3000000000000002E-2</v>
      </c>
      <c r="C284" s="53">
        <v>-2.76504124775626E-2</v>
      </c>
      <c r="D284" s="53">
        <v>-3.1803593014046803E-2</v>
      </c>
      <c r="E284" s="53">
        <v>7.3999999999999999E-4</v>
      </c>
      <c r="F284" s="53">
        <v>-6.0366155368629703E-3</v>
      </c>
      <c r="G284" s="53">
        <v>-1.19409366458489E-2</v>
      </c>
      <c r="H284" s="87">
        <v>1.83506853419213E-3</v>
      </c>
      <c r="I284" s="53">
        <v>-7.9058079453370195E-3</v>
      </c>
      <c r="J284" s="53">
        <v>5.9408004446914698E-3</v>
      </c>
      <c r="K284" s="53">
        <v>4.49716528565198E-2</v>
      </c>
      <c r="L284" s="95">
        <f>IFERROR(B284*'Stock Statistics'!$C$41+C284*'Stock Statistics'!$C$42+D284*'Stock Statistics'!$C$43+E284*'Stock Statistics'!$C$44+F284*'Stock Statistics'!$C$45+G284*'Stock Statistics'!$C$46+H284*'Stock Statistics'!$C$47+I284*'Stock Statistics'!$C$48+J284*'Stock Statistics'!$C$49+K284*'Stock Statistics'!$C$50,"")</f>
        <v>-6.4849843784254863E-3</v>
      </c>
      <c r="M284" s="96">
        <v>478.55939999999998</v>
      </c>
      <c r="N284" s="97">
        <v>581.06799999999998</v>
      </c>
      <c r="O284" s="93">
        <f t="shared" si="12"/>
        <v>6.4882567810169434E-3</v>
      </c>
      <c r="P284" s="93">
        <f t="shared" si="13"/>
        <v>-1.0556349628806139E-2</v>
      </c>
      <c r="Q284" s="93">
        <f>B284*'Portfolio 2 &amp; 3'!$F$7+C284*'Portfolio 2 &amp; 3'!$F$8+D284*'Portfolio 2 &amp; 3'!$F$9+E284*'Portfolio 2 &amp; 3'!$F$10+F284*'Portfolio 2 &amp; 3'!$F$11+G284*'Portfolio 2 &amp; 3'!$F$12+H284*'Portfolio 2 &amp; 3'!$F$13+I284*'Portfolio 2 &amp; 3'!$F$14+J284*'Portfolio 2 &amp; 3'!$F$15+K284*'Portfolio 2 &amp; 3'!$F$16</f>
        <v>-6.3043654720819405E-3</v>
      </c>
      <c r="R284" s="93">
        <f>B284*'Portfolio 2 &amp; 3'!$B$23+C284*'Portfolio 2 &amp; 3'!$B$24+D284*'Portfolio 2 &amp; 3'!$B$25+E284*'Portfolio 2 &amp; 3'!$B$26+F284*'Portfolio 2 &amp; 3'!$B$27+G284*'Portfolio 2 &amp; 3'!$B$28+H284*'Portfolio 2 &amp; 3'!$B$29+I284*'Portfolio 2 &amp; 3'!$B$30+J284*'Portfolio 2 &amp; 3'!$B$31+K284*'Portfolio 2 &amp; 3'!$B$32</f>
        <v>-1.0179507776339683E-2</v>
      </c>
      <c r="S284" s="93">
        <f t="shared" si="14"/>
        <v>-2.0340464238945977E-3</v>
      </c>
    </row>
    <row r="285" spans="1:19" ht="12.75" customHeight="1">
      <c r="A285" s="82">
        <v>45666</v>
      </c>
      <c r="B285" s="53">
        <v>4.8999999999999998E-3</v>
      </c>
      <c r="C285" s="53">
        <v>-1.42832259188294E-2</v>
      </c>
      <c r="D285" s="53">
        <v>-3.9130086510733797E-2</v>
      </c>
      <c r="E285" s="53">
        <v>-2.1099999999999999E-3</v>
      </c>
      <c r="F285" s="53">
        <v>2.9599062611442201E-2</v>
      </c>
      <c r="G285" s="53">
        <v>-1.41801267480545E-2</v>
      </c>
      <c r="H285" s="87">
        <v>-1.42498523331365E-2</v>
      </c>
      <c r="I285" s="53">
        <v>1.3710000572442401E-2</v>
      </c>
      <c r="J285" s="53">
        <v>-2.0152505446623101E-2</v>
      </c>
      <c r="K285" s="53">
        <v>-6.7315272856438603E-3</v>
      </c>
      <c r="L285" s="95">
        <f>IFERROR(B285*'Stock Statistics'!$C$41+C285*'Stock Statistics'!$C$42+D285*'Stock Statistics'!$C$43+E285*'Stock Statistics'!$C$44+F285*'Stock Statistics'!$C$45+G285*'Stock Statistics'!$C$46+H285*'Stock Statistics'!$C$47+I285*'Stock Statistics'!$C$48+J285*'Stock Statistics'!$C$49+K285*'Stock Statistics'!$C$50,"")</f>
        <v>-6.2628261059136554E-3</v>
      </c>
      <c r="M285" s="97">
        <v>475.4744</v>
      </c>
      <c r="N285" s="96">
        <v>587.26739999999995</v>
      </c>
      <c r="O285" s="93">
        <f t="shared" si="12"/>
        <v>-2.4842125642782653E-2</v>
      </c>
      <c r="P285" s="93">
        <f t="shared" si="13"/>
        <v>8.4864908028241537E-3</v>
      </c>
      <c r="Q285" s="93">
        <f>B285*'Portfolio 2 &amp; 3'!$F$7+C285*'Portfolio 2 &amp; 3'!$F$8+D285*'Portfolio 2 &amp; 3'!$F$9+E285*'Portfolio 2 &amp; 3'!$F$10+F285*'Portfolio 2 &amp; 3'!$F$11+G285*'Portfolio 2 &amp; 3'!$F$12+H285*'Portfolio 2 &amp; 3'!$F$13+I285*'Portfolio 2 &amp; 3'!$F$14+J285*'Portfolio 2 &amp; 3'!$F$15+K285*'Portfolio 2 &amp; 3'!$F$16</f>
        <v>-8.7831914223527475E-3</v>
      </c>
      <c r="R285" s="93">
        <f>B285*'Portfolio 2 &amp; 3'!$B$23+C285*'Portfolio 2 &amp; 3'!$B$24+D285*'Portfolio 2 &amp; 3'!$B$25+E285*'Portfolio 2 &amp; 3'!$B$26+F285*'Portfolio 2 &amp; 3'!$B$27+G285*'Portfolio 2 &amp; 3'!$B$28+H285*'Portfolio 2 &amp; 3'!$B$29+I285*'Portfolio 2 &amp; 3'!$B$30+J285*'Portfolio 2 &amp; 3'!$B$31+K285*'Portfolio 2 &amp; 3'!$B$32</f>
        <v>2.3600457948535648E-3</v>
      </c>
      <c r="S285" s="93">
        <f t="shared" si="14"/>
        <v>-8.1778174199792497E-3</v>
      </c>
    </row>
    <row r="286" spans="1:19" ht="12.75" customHeight="1">
      <c r="A286" s="81">
        <v>45665</v>
      </c>
      <c r="B286" s="53">
        <v>-1.17E-2</v>
      </c>
      <c r="C286" s="53">
        <v>-1.9373572828451799E-2</v>
      </c>
      <c r="D286" s="53">
        <v>-2.5943120196621601E-2</v>
      </c>
      <c r="E286" s="53">
        <v>-2.7910000000000001E-2</v>
      </c>
      <c r="F286" s="53">
        <v>-1.93835240045961E-2</v>
      </c>
      <c r="G286" s="53">
        <v>-9.6247838183316503E-4</v>
      </c>
      <c r="H286" s="87">
        <v>-1.2540099154272301E-2</v>
      </c>
      <c r="I286" s="53">
        <v>-2.1234872254594299E-2</v>
      </c>
      <c r="J286" s="53">
        <v>-1.3035882273887999E-2</v>
      </c>
      <c r="K286" s="53">
        <v>-9.1337528221063797E-3</v>
      </c>
      <c r="L286" s="95">
        <f>IFERROR(B286*'Stock Statistics'!$C$41+C286*'Stock Statistics'!$C$42+D286*'Stock Statistics'!$C$43+E286*'Stock Statistics'!$C$44+F286*'Stock Statistics'!$C$45+G286*'Stock Statistics'!$C$46+H286*'Stock Statistics'!$C$47+I286*'Stock Statistics'!$C$48+J286*'Stock Statistics'!$C$49+K286*'Stock Statistics'!$C$50,"")</f>
        <v>-1.6121730191636364E-2</v>
      </c>
      <c r="M286" s="96">
        <v>487.58710000000002</v>
      </c>
      <c r="N286" s="97">
        <v>582.32550000000003</v>
      </c>
      <c r="O286" s="93">
        <f t="shared" si="12"/>
        <v>-2.1274199816293415E-2</v>
      </c>
      <c r="P286" s="93">
        <f t="shared" si="13"/>
        <v>-3.6829438091863231E-3</v>
      </c>
      <c r="Q286" s="93">
        <f>B286*'Portfolio 2 &amp; 3'!$F$7+C286*'Portfolio 2 &amp; 3'!$F$8+D286*'Portfolio 2 &amp; 3'!$F$9+E286*'Portfolio 2 &amp; 3'!$F$10+F286*'Portfolio 2 &amp; 3'!$F$11+G286*'Portfolio 2 &amp; 3'!$F$12+H286*'Portfolio 2 &amp; 3'!$F$13+I286*'Portfolio 2 &amp; 3'!$F$14+J286*'Portfolio 2 &amp; 3'!$F$15+K286*'Portfolio 2 &amp; 3'!$F$16</f>
        <v>-1.666665983688426E-2</v>
      </c>
      <c r="R286" s="93">
        <f>B286*'Portfolio 2 &amp; 3'!$B$23+C286*'Portfolio 2 &amp; 3'!$B$24+D286*'Portfolio 2 &amp; 3'!$B$25+E286*'Portfolio 2 &amp; 3'!$B$26+F286*'Portfolio 2 &amp; 3'!$B$27+G286*'Portfolio 2 &amp; 3'!$B$28+H286*'Portfolio 2 &amp; 3'!$B$29+I286*'Portfolio 2 &amp; 3'!$B$30+J286*'Portfolio 2 &amp; 3'!$B$31+K286*'Portfolio 2 &amp; 3'!$B$32</f>
        <v>-1.5648769687420176E-2</v>
      </c>
      <c r="S286" s="93">
        <f t="shared" si="14"/>
        <v>-1.2478571812739869E-2</v>
      </c>
    </row>
    <row r="287" spans="1:19" ht="12.75" customHeight="1">
      <c r="A287" s="82">
        <v>45664</v>
      </c>
      <c r="B287" s="53">
        <v>2.9999999999999997E-4</v>
      </c>
      <c r="C287" s="53">
        <v>-1.97742144243951E-4</v>
      </c>
      <c r="D287" s="53">
        <v>-1.22157996146435E-2</v>
      </c>
      <c r="E287" s="53">
        <v>-1.1469999999999999E-2</v>
      </c>
      <c r="F287" s="53">
        <v>4.0979770138852803E-2</v>
      </c>
      <c r="G287" s="53">
        <v>-2.3310126024499899E-2</v>
      </c>
      <c r="H287" s="87">
        <v>6.2009848623012498E-4</v>
      </c>
      <c r="I287" s="53">
        <v>-2.27502943028445E-2</v>
      </c>
      <c r="J287" s="53">
        <v>-4.4819051441568102E-3</v>
      </c>
      <c r="K287" s="53">
        <v>-7.4722241156021099E-3</v>
      </c>
      <c r="L287" s="95">
        <f>IFERROR(B287*'Stock Statistics'!$C$41+C287*'Stock Statistics'!$C$42+D287*'Stock Statistics'!$C$43+E287*'Stock Statistics'!$C$44+F287*'Stock Statistics'!$C$45+G287*'Stock Statistics'!$C$46+H287*'Stock Statistics'!$C$47+I287*'Stock Statistics'!$C$48+J287*'Stock Statistics'!$C$49+K287*'Stock Statistics'!$C$50,"")</f>
        <v>-3.9998222720907849E-3</v>
      </c>
      <c r="M287" s="97">
        <v>498.18560000000002</v>
      </c>
      <c r="N287" s="96">
        <v>584.47810000000004</v>
      </c>
      <c r="O287" s="93">
        <f t="shared" si="12"/>
        <v>-8.6474232843651855E-3</v>
      </c>
      <c r="P287" s="93">
        <f t="shared" si="13"/>
        <v>-6.1133545959924929E-3</v>
      </c>
      <c r="Q287" s="93">
        <f>B287*'Portfolio 2 &amp; 3'!$F$7+C287*'Portfolio 2 &amp; 3'!$F$8+D287*'Portfolio 2 &amp; 3'!$F$9+E287*'Portfolio 2 &amp; 3'!$F$10+F287*'Portfolio 2 &amp; 3'!$F$11+G287*'Portfolio 2 &amp; 3'!$F$12+H287*'Portfolio 2 &amp; 3'!$F$13+I287*'Portfolio 2 &amp; 3'!$F$14+J287*'Portfolio 2 &amp; 3'!$F$15+K287*'Portfolio 2 &amp; 3'!$F$16</f>
        <v>-2.580924883419771E-3</v>
      </c>
      <c r="R287" s="93">
        <f>B287*'Portfolio 2 &amp; 3'!$B$23+C287*'Portfolio 2 &amp; 3'!$B$24+D287*'Portfolio 2 &amp; 3'!$B$25+E287*'Portfolio 2 &amp; 3'!$B$26+F287*'Portfolio 2 &amp; 3'!$B$27+G287*'Portfolio 2 &amp; 3'!$B$28+H287*'Portfolio 2 &amp; 3'!$B$29+I287*'Portfolio 2 &amp; 3'!$B$30+J287*'Portfolio 2 &amp; 3'!$B$31+K287*'Portfolio 2 &amp; 3'!$B$32</f>
        <v>-2.6204591980030266E-3</v>
      </c>
      <c r="S287" s="93">
        <f t="shared" si="14"/>
        <v>-7.3803889401788392E-3</v>
      </c>
    </row>
    <row r="288" spans="1:19" ht="12.75" customHeight="1">
      <c r="A288" s="81">
        <v>45663</v>
      </c>
      <c r="B288" s="53">
        <v>1.5599999999999999E-2</v>
      </c>
      <c r="C288" s="53">
        <v>6.47729328749769E-3</v>
      </c>
      <c r="D288" s="53">
        <v>-1.1654478976233999E-2</v>
      </c>
      <c r="E288" s="53">
        <v>-4.6789999999999998E-2</v>
      </c>
      <c r="F288" s="53">
        <v>-1.47058823529411E-2</v>
      </c>
      <c r="G288" s="53">
        <v>1.22362806464562E-2</v>
      </c>
      <c r="H288" s="87">
        <v>1.4205911730975599E-2</v>
      </c>
      <c r="I288" s="53">
        <v>-6.2032376547409597E-3</v>
      </c>
      <c r="J288" s="53">
        <v>-1.70289492136633E-3</v>
      </c>
      <c r="K288" s="53">
        <v>-6.6943694513325099E-3</v>
      </c>
      <c r="L288" s="95">
        <f>IFERROR(B288*'Stock Statistics'!$C$41+C288*'Stock Statistics'!$C$42+D288*'Stock Statistics'!$C$43+E288*'Stock Statistics'!$C$44+F288*'Stock Statistics'!$C$45+G288*'Stock Statistics'!$C$46+H288*'Stock Statistics'!$C$47+I288*'Stock Statistics'!$C$48+J288*'Stock Statistics'!$C$49+K288*'Stock Statistics'!$C$50,"")</f>
        <v>-3.9231377691685406E-3</v>
      </c>
      <c r="M288" s="96">
        <v>502.53120000000001</v>
      </c>
      <c r="N288" s="97">
        <v>588.07320000000004</v>
      </c>
      <c r="O288" s="93">
        <f t="shared" si="12"/>
        <v>-4.6139468994014221E-3</v>
      </c>
      <c r="P288" s="93">
        <f t="shared" si="13"/>
        <v>2.2812695414129447E-3</v>
      </c>
      <c r="Q288" s="93">
        <f>B288*'Portfolio 2 &amp; 3'!$F$7+C288*'Portfolio 2 &amp; 3'!$F$8+D288*'Portfolio 2 &amp; 3'!$F$9+E288*'Portfolio 2 &amp; 3'!$F$10+F288*'Portfolio 2 &amp; 3'!$F$11+G288*'Portfolio 2 &amp; 3'!$F$12+H288*'Portfolio 2 &amp; 3'!$F$13+I288*'Portfolio 2 &amp; 3'!$F$14+J288*'Portfolio 2 &amp; 3'!$F$15+K288*'Portfolio 2 &amp; 3'!$F$16</f>
        <v>-3.1133170331468156E-3</v>
      </c>
      <c r="R288" s="93">
        <f>B288*'Portfolio 2 &amp; 3'!$B$23+C288*'Portfolio 2 &amp; 3'!$B$24+D288*'Portfolio 2 &amp; 3'!$B$25+E288*'Portfolio 2 &amp; 3'!$B$26+F288*'Portfolio 2 &amp; 3'!$B$27+G288*'Portfolio 2 &amp; 3'!$B$28+H288*'Portfolio 2 &amp; 3'!$B$29+I288*'Portfolio 2 &amp; 3'!$B$30+J288*'Portfolio 2 &amp; 3'!$B$31+K288*'Portfolio 2 &amp; 3'!$B$32</f>
        <v>4.0589465432070684E-4</v>
      </c>
      <c r="S288" s="93">
        <f t="shared" si="14"/>
        <v>-1.1663386789942387E-3</v>
      </c>
    </row>
    <row r="289" spans="1:19" ht="12.75" customHeight="1">
      <c r="A289" s="82">
        <v>45660</v>
      </c>
      <c r="B289" s="53">
        <v>-1.5599999999999999E-2</v>
      </c>
      <c r="C289" s="53">
        <v>4.4251406140678497E-3</v>
      </c>
      <c r="D289" s="53">
        <v>-5.0399787790368399E-3</v>
      </c>
      <c r="E289" s="53">
        <v>-1.0200000000000001E-3</v>
      </c>
      <c r="F289" s="53">
        <v>-1.5089578602069199E-2</v>
      </c>
      <c r="G289" s="53">
        <v>-1.17254654186931E-2</v>
      </c>
      <c r="H289" s="87">
        <v>8.8865849594554902E-4</v>
      </c>
      <c r="I289" s="53">
        <v>-8.4439408654365406E-3</v>
      </c>
      <c r="J289" s="53">
        <v>4.0565911224352798E-3</v>
      </c>
      <c r="K289" s="53">
        <v>2.7666273454804999E-3</v>
      </c>
      <c r="L289" s="95">
        <f>IFERROR(B289*'Stock Statistics'!$C$41+C289*'Stock Statistics'!$C$42+D289*'Stock Statistics'!$C$43+E289*'Stock Statistics'!$C$44+F289*'Stock Statistics'!$C$45+G289*'Stock Statistics'!$C$46+H289*'Stock Statistics'!$C$47+I289*'Stock Statistics'!$C$48+J289*'Stock Statistics'!$C$49+K289*'Stock Statistics'!$C$50,"")</f>
        <v>-4.4781946087306505E-3</v>
      </c>
      <c r="M289" s="97">
        <v>504.86059999999998</v>
      </c>
      <c r="N289" s="96">
        <v>586.73469999999998</v>
      </c>
      <c r="O289" s="93">
        <f t="shared" si="12"/>
        <v>1.4150196739199483E-2</v>
      </c>
      <c r="P289" s="93">
        <f t="shared" si="13"/>
        <v>4.3538827698876847E-3</v>
      </c>
      <c r="Q289" s="93">
        <f>B289*'Portfolio 2 &amp; 3'!$F$7+C289*'Portfolio 2 &amp; 3'!$F$8+D289*'Portfolio 2 &amp; 3'!$F$9+E289*'Portfolio 2 &amp; 3'!$F$10+F289*'Portfolio 2 &amp; 3'!$F$11+G289*'Portfolio 2 &amp; 3'!$F$12+H289*'Portfolio 2 &amp; 3'!$F$13+I289*'Portfolio 2 &amp; 3'!$F$14+J289*'Portfolio 2 &amp; 3'!$F$15+K289*'Portfolio 2 &amp; 3'!$F$16</f>
        <v>-3.3143415673516832E-3</v>
      </c>
      <c r="R289" s="93">
        <f>B289*'Portfolio 2 &amp; 3'!$B$23+C289*'Portfolio 2 &amp; 3'!$B$24+D289*'Portfolio 2 &amp; 3'!$B$25+E289*'Portfolio 2 &amp; 3'!$B$26+F289*'Portfolio 2 &amp; 3'!$B$27+G289*'Portfolio 2 &amp; 3'!$B$28+H289*'Portfolio 2 &amp; 3'!$B$29+I289*'Portfolio 2 &amp; 3'!$B$30+J289*'Portfolio 2 &amp; 3'!$B$31+K289*'Portfolio 2 &amp; 3'!$B$32</f>
        <v>-6.6417701490376763E-3</v>
      </c>
      <c r="S289" s="93">
        <f t="shared" si="14"/>
        <v>9.252039754543584E-3</v>
      </c>
    </row>
    <row r="290" spans="1:19" ht="12.75" customHeight="1">
      <c r="A290" s="81">
        <v>45659</v>
      </c>
      <c r="B290" s="53">
        <v>-2.0999999999999999E-3</v>
      </c>
      <c r="C290" s="53">
        <v>-1.38178233791837E-2</v>
      </c>
      <c r="D290" s="53">
        <v>-2.17600830367734E-2</v>
      </c>
      <c r="E290" s="53">
        <v>-4.0899999999999999E-3</v>
      </c>
      <c r="F290" s="53">
        <v>1.74060382008627E-2</v>
      </c>
      <c r="G290" s="53">
        <v>-1.1244933242289199E-2</v>
      </c>
      <c r="H290" s="87">
        <v>-1.7003659483236799E-3</v>
      </c>
      <c r="I290" s="53">
        <v>3.24780772978239E-3</v>
      </c>
      <c r="J290" s="53">
        <v>-1.3134822167080199E-2</v>
      </c>
      <c r="K290" s="53">
        <v>-2.58998396243574E-2</v>
      </c>
      <c r="L290" s="95">
        <f>IFERROR(B290*'Stock Statistics'!$C$41+C290*'Stock Statistics'!$C$42+D290*'Stock Statistics'!$C$43+E290*'Stock Statistics'!$C$44+F290*'Stock Statistics'!$C$45+G290*'Stock Statistics'!$C$46+H290*'Stock Statistics'!$C$47+I290*'Stock Statistics'!$C$48+J290*'Stock Statistics'!$C$49+K290*'Stock Statistics'!$C$50,"")</f>
        <v>-7.3094021467362495E-3</v>
      </c>
      <c r="M290" s="96">
        <v>497.81639999999999</v>
      </c>
      <c r="N290" s="97">
        <v>584.19119999999998</v>
      </c>
      <c r="O290" s="93">
        <f t="shared" si="12"/>
        <v>-7.1384750883334291E-3</v>
      </c>
      <c r="P290" s="93">
        <f t="shared" si="13"/>
        <v>4.079974232465311E-3</v>
      </c>
      <c r="Q290" s="93">
        <f>B290*'Portfolio 2 &amp; 3'!$F$7+C290*'Portfolio 2 &amp; 3'!$F$8+D290*'Portfolio 2 &amp; 3'!$F$9+E290*'Portfolio 2 &amp; 3'!$F$10+F290*'Portfolio 2 &amp; 3'!$F$11+G290*'Portfolio 2 &amp; 3'!$F$12+H290*'Portfolio 2 &amp; 3'!$F$13+I290*'Portfolio 2 &amp; 3'!$F$14+J290*'Portfolio 2 &amp; 3'!$F$15+K290*'Portfolio 2 &amp; 3'!$F$16</f>
        <v>-7.4525028494318041E-3</v>
      </c>
      <c r="R290" s="93">
        <f>B290*'Portfolio 2 &amp; 3'!$B$23+C290*'Portfolio 2 &amp; 3'!$B$24+D290*'Portfolio 2 &amp; 3'!$B$25+E290*'Portfolio 2 &amp; 3'!$B$26+F290*'Portfolio 2 &amp; 3'!$B$27+G290*'Portfolio 2 &amp; 3'!$B$28+H290*'Portfolio 2 &amp; 3'!$B$29+I290*'Portfolio 2 &amp; 3'!$B$30+J290*'Portfolio 2 &amp; 3'!$B$31+K290*'Portfolio 2 &amp; 3'!$B$32</f>
        <v>-3.5380434648443308E-3</v>
      </c>
      <c r="S290" s="93">
        <f t="shared" si="14"/>
        <v>-1.5292504279340591E-3</v>
      </c>
    </row>
    <row r="291" spans="1:19" ht="12.75" customHeight="1">
      <c r="A291" s="82">
        <v>45658</v>
      </c>
      <c r="B291" s="53">
        <v>9.4000000000000004E-3</v>
      </c>
      <c r="C291" s="53">
        <v>1.57063363848509E-3</v>
      </c>
      <c r="D291" s="53">
        <v>-3.2883798263439999E-3</v>
      </c>
      <c r="E291" s="53">
        <v>-8.3700000000000007E-3</v>
      </c>
      <c r="F291" s="53">
        <v>2.1611608521148202E-3</v>
      </c>
      <c r="G291" s="53">
        <v>6.7279987129045303E-3</v>
      </c>
      <c r="H291" s="87">
        <v>-1.6290316715755801E-2</v>
      </c>
      <c r="I291" s="53">
        <v>-1.21644635471574E-3</v>
      </c>
      <c r="J291" s="53">
        <v>-1.7328825021132799E-2</v>
      </c>
      <c r="K291" s="53">
        <v>-1.5696326132063999E-2</v>
      </c>
      <c r="L291" s="95">
        <f>IFERROR(B291*'Stock Statistics'!$C$41+C291*'Stock Statistics'!$C$42+D291*'Stock Statistics'!$C$43+E291*'Stock Statistics'!$C$44+F291*'Stock Statistics'!$C$45+G291*'Stock Statistics'!$C$46+H291*'Stock Statistics'!$C$47+I291*'Stock Statistics'!$C$48+J291*'Stock Statistics'!$C$49+K291*'Stock Statistics'!$C$50,"")</f>
        <v>-4.2330500846507902E-3</v>
      </c>
      <c r="M291" s="97">
        <v>501.3956</v>
      </c>
      <c r="N291" s="96">
        <v>581.81740000000002</v>
      </c>
      <c r="O291" s="93">
        <f t="shared" si="12"/>
        <v>-5.6330930863646156E-4</v>
      </c>
      <c r="P291" s="93">
        <f t="shared" si="13"/>
        <v>9.3890498962969637E-3</v>
      </c>
      <c r="Q291" s="93">
        <f>B291*'Portfolio 2 &amp; 3'!$F$7+C291*'Portfolio 2 &amp; 3'!$F$8+D291*'Portfolio 2 &amp; 3'!$F$9+E291*'Portfolio 2 &amp; 3'!$F$10+F291*'Portfolio 2 &amp; 3'!$F$11+G291*'Portfolio 2 &amp; 3'!$F$12+H291*'Portfolio 2 &amp; 3'!$F$13+I291*'Portfolio 2 &amp; 3'!$F$14+J291*'Portfolio 2 &amp; 3'!$F$15+K291*'Portfolio 2 &amp; 3'!$F$16</f>
        <v>-6.2046990034979391E-3</v>
      </c>
      <c r="R291" s="93">
        <f>B291*'Portfolio 2 &amp; 3'!$B$23+C291*'Portfolio 2 &amp; 3'!$B$24+D291*'Portfolio 2 &amp; 3'!$B$25+E291*'Portfolio 2 &amp; 3'!$B$26+F291*'Portfolio 2 &amp; 3'!$B$27+G291*'Portfolio 2 &amp; 3'!$B$28+H291*'Portfolio 2 &amp; 3'!$B$29+I291*'Portfolio 2 &amp; 3'!$B$30+J291*'Portfolio 2 &amp; 3'!$B$31+K291*'Portfolio 2 &amp; 3'!$B$32</f>
        <v>-1.3867607657052348E-4</v>
      </c>
      <c r="S291" s="93">
        <f t="shared" si="14"/>
        <v>4.4128702938302511E-3</v>
      </c>
    </row>
    <row r="292" spans="1:19" ht="12.75" customHeight="1">
      <c r="A292" s="81">
        <v>45657</v>
      </c>
      <c r="B292" s="53">
        <v>-2.0999999999999999E-3</v>
      </c>
      <c r="C292" s="53">
        <v>-1.11645574113846E-2</v>
      </c>
      <c r="D292" s="53">
        <v>1.4050206069689E-2</v>
      </c>
      <c r="E292" s="53">
        <v>1.315E-2</v>
      </c>
      <c r="F292" s="53">
        <v>1.5413553477193099E-2</v>
      </c>
      <c r="G292" s="53">
        <v>1.74104552015595E-2</v>
      </c>
      <c r="H292" s="87">
        <v>4.4192841490138298E-3</v>
      </c>
      <c r="I292" s="53">
        <v>-1.5095846645367301E-2</v>
      </c>
      <c r="J292" s="53">
        <v>5.7550192923942999E-3</v>
      </c>
      <c r="K292" s="53">
        <v>1.18145891651573E-2</v>
      </c>
      <c r="L292" s="95">
        <f>IFERROR(B292*'Stock Statistics'!$C$41+C292*'Stock Statistics'!$C$42+D292*'Stock Statistics'!$C$43+E292*'Stock Statistics'!$C$44+F292*'Stock Statistics'!$C$45+G292*'Stock Statistics'!$C$46+H292*'Stock Statistics'!$C$47+I292*'Stock Statistics'!$C$48+J292*'Stock Statistics'!$C$49+K292*'Stock Statistics'!$C$50,"")</f>
        <v>5.3652703298255142E-3</v>
      </c>
      <c r="M292" s="96">
        <v>501.6782</v>
      </c>
      <c r="N292" s="97">
        <v>576.40549999999996</v>
      </c>
      <c r="O292" s="93">
        <f t="shared" si="12"/>
        <v>5.855548696290791E-3</v>
      </c>
      <c r="P292" s="93">
        <f t="shared" si="13"/>
        <v>8.8084377864809937E-3</v>
      </c>
      <c r="Q292" s="93">
        <f>B292*'Portfolio 2 &amp; 3'!$F$7+C292*'Portfolio 2 &amp; 3'!$F$8+D292*'Portfolio 2 &amp; 3'!$F$9+E292*'Portfolio 2 &amp; 3'!$F$10+F292*'Portfolio 2 &amp; 3'!$F$11+G292*'Portfolio 2 &amp; 3'!$F$12+H292*'Portfolio 2 &amp; 3'!$F$13+I292*'Portfolio 2 &amp; 3'!$F$14+J292*'Portfolio 2 &amp; 3'!$F$15+K292*'Portfolio 2 &amp; 3'!$F$16</f>
        <v>5.3550609820003751E-3</v>
      </c>
      <c r="R292" s="93">
        <f>B292*'Portfolio 2 &amp; 3'!$B$23+C292*'Portfolio 2 &amp; 3'!$B$24+D292*'Portfolio 2 &amp; 3'!$B$25+E292*'Portfolio 2 &amp; 3'!$B$26+F292*'Portfolio 2 &amp; 3'!$B$27+G292*'Portfolio 2 &amp; 3'!$B$28+H292*'Portfolio 2 &amp; 3'!$B$29+I292*'Portfolio 2 &amp; 3'!$B$30+J292*'Portfolio 2 &amp; 3'!$B$31+K292*'Portfolio 2 &amp; 3'!$B$32</f>
        <v>-3.9888288889824704E-4</v>
      </c>
      <c r="S292" s="93">
        <f t="shared" si="14"/>
        <v>7.3319932413858924E-3</v>
      </c>
    </row>
    <row r="293" spans="1:19" ht="12.75" customHeight="1">
      <c r="A293" s="82">
        <v>45656</v>
      </c>
      <c r="B293" s="53">
        <v>1.84E-2</v>
      </c>
      <c r="C293" s="53">
        <v>1.1608385330161199E-2</v>
      </c>
      <c r="D293" s="53">
        <v>2.7882615728260101E-2</v>
      </c>
      <c r="E293" s="53">
        <v>4.6299999999999996E-3</v>
      </c>
      <c r="F293" s="53">
        <v>-1.5888523241464399E-2</v>
      </c>
      <c r="G293" s="53">
        <v>-2.8045704110402098E-3</v>
      </c>
      <c r="H293" s="87">
        <v>-1.4043932301044299E-2</v>
      </c>
      <c r="I293" s="53">
        <v>-6.3229185957300897E-3</v>
      </c>
      <c r="J293" s="53">
        <v>6.5402223675459199E-5</v>
      </c>
      <c r="K293" s="53">
        <v>-4.2303403948318304E-3</v>
      </c>
      <c r="L293" s="95">
        <f>IFERROR(B293*'Stock Statistics'!$C$41+C293*'Stock Statistics'!$C$42+D293*'Stock Statistics'!$C$43+E293*'Stock Statistics'!$C$44+F293*'Stock Statistics'!$C$45+G293*'Stock Statistics'!$C$46+H293*'Stock Statistics'!$C$47+I293*'Stock Statistics'!$C$48+J293*'Stock Statistics'!$C$49+K293*'Stock Statistics'!$C$50,"")</f>
        <v>1.9296118337985937E-3</v>
      </c>
      <c r="M293" s="97">
        <v>498.7577</v>
      </c>
      <c r="N293" s="96">
        <v>571.37260000000003</v>
      </c>
      <c r="O293" s="93">
        <f t="shared" si="12"/>
        <v>2.9798347356064792E-3</v>
      </c>
      <c r="P293" s="93">
        <f t="shared" si="13"/>
        <v>5.3946213559297185E-3</v>
      </c>
      <c r="Q293" s="93">
        <f>B293*'Portfolio 2 &amp; 3'!$F$7+C293*'Portfolio 2 &amp; 3'!$F$8+D293*'Portfolio 2 &amp; 3'!$F$9+E293*'Portfolio 2 &amp; 3'!$F$10+F293*'Portfolio 2 &amp; 3'!$F$11+G293*'Portfolio 2 &amp; 3'!$F$12+H293*'Portfolio 2 &amp; 3'!$F$13+I293*'Portfolio 2 &amp; 3'!$F$14+J293*'Portfolio 2 &amp; 3'!$F$15+K293*'Portfolio 2 &amp; 3'!$F$16</f>
        <v>1.4583871410122702E-3</v>
      </c>
      <c r="R293" s="93">
        <f>B293*'Portfolio 2 &amp; 3'!$B$23+C293*'Portfolio 2 &amp; 3'!$B$24+D293*'Portfolio 2 &amp; 3'!$B$25+E293*'Portfolio 2 &amp; 3'!$B$26+F293*'Portfolio 2 &amp; 3'!$B$27+G293*'Portfolio 2 &amp; 3'!$B$28+H293*'Portfolio 2 &amp; 3'!$B$29+I293*'Portfolio 2 &amp; 3'!$B$30+J293*'Portfolio 2 &amp; 3'!$B$31+K293*'Portfolio 2 &amp; 3'!$B$32</f>
        <v>-1.3955990739514295E-4</v>
      </c>
      <c r="S293" s="93">
        <f t="shared" si="14"/>
        <v>4.1872280457680988E-3</v>
      </c>
    </row>
    <row r="294" spans="1:19" ht="12.75" customHeight="1">
      <c r="A294" s="81">
        <v>45653</v>
      </c>
      <c r="B294" s="53">
        <v>2.3300000000000001E-2</v>
      </c>
      <c r="C294" s="53">
        <v>1.5786017837926599E-2</v>
      </c>
      <c r="D294" s="53">
        <v>2.2323713532028701E-2</v>
      </c>
      <c r="E294" s="53">
        <v>1.967E-2</v>
      </c>
      <c r="F294" s="53">
        <v>1.54022868480133E-2</v>
      </c>
      <c r="G294" s="53">
        <v>-1.04549058764794E-2</v>
      </c>
      <c r="H294" s="87">
        <v>8.4247222020481499E-3</v>
      </c>
      <c r="I294" s="53">
        <v>1.9084475309461E-3</v>
      </c>
      <c r="J294" s="53">
        <v>4.9953989746285296E-3</v>
      </c>
      <c r="K294" s="53">
        <v>8.8999172870141106E-3</v>
      </c>
      <c r="L294" s="95">
        <f>IFERROR(B294*'Stock Statistics'!$C$41+C294*'Stock Statistics'!$C$42+D294*'Stock Statistics'!$C$43+E294*'Stock Statistics'!$C$44+F294*'Stock Statistics'!$C$45+G294*'Stock Statistics'!$C$46+H294*'Stock Statistics'!$C$47+I294*'Stock Statistics'!$C$48+J294*'Stock Statistics'!$C$49+K294*'Stock Statistics'!$C$50,"")</f>
        <v>1.1025559833612609E-2</v>
      </c>
      <c r="M294" s="96">
        <v>497.27589999999998</v>
      </c>
      <c r="N294" s="97">
        <v>568.30679999999995</v>
      </c>
      <c r="O294" s="93">
        <f t="shared" si="12"/>
        <v>1.3070176639682352E-3</v>
      </c>
      <c r="P294" s="93">
        <f t="shared" si="13"/>
        <v>-2.2064265002936789E-3</v>
      </c>
      <c r="Q294" s="93">
        <f>B294*'Portfolio 2 &amp; 3'!$F$7+C294*'Portfolio 2 &amp; 3'!$F$8+D294*'Portfolio 2 &amp; 3'!$F$9+E294*'Portfolio 2 &amp; 3'!$F$10+F294*'Portfolio 2 &amp; 3'!$F$11+G294*'Portfolio 2 &amp; 3'!$F$12+H294*'Portfolio 2 &amp; 3'!$F$13+I294*'Portfolio 2 &amp; 3'!$F$14+J294*'Portfolio 2 &amp; 3'!$F$15+K294*'Portfolio 2 &amp; 3'!$F$16</f>
        <v>1.1476102858485953E-2</v>
      </c>
      <c r="R294" s="93">
        <f>B294*'Portfolio 2 &amp; 3'!$B$23+C294*'Portfolio 2 &amp; 3'!$B$24+D294*'Portfolio 2 &amp; 3'!$B$25+E294*'Portfolio 2 &amp; 3'!$B$26+F294*'Portfolio 2 &amp; 3'!$B$27+G294*'Portfolio 2 &amp; 3'!$B$28+H294*'Portfolio 2 &amp; 3'!$B$29+I294*'Portfolio 2 &amp; 3'!$B$30+J294*'Portfolio 2 &amp; 3'!$B$31+K294*'Portfolio 2 &amp; 3'!$B$32</f>
        <v>9.3899753602760677E-3</v>
      </c>
      <c r="S294" s="93">
        <f t="shared" si="14"/>
        <v>-4.4970441816272189E-4</v>
      </c>
    </row>
    <row r="295" spans="1:19" ht="12.75" customHeight="1">
      <c r="A295" s="82">
        <v>45652</v>
      </c>
      <c r="B295" s="53">
        <v>2.8999999999999998E-3</v>
      </c>
      <c r="C295" s="53">
        <v>1.3700403061790401E-2</v>
      </c>
      <c r="D295" s="53">
        <v>1.09054726368159E-2</v>
      </c>
      <c r="E295" s="53">
        <v>3.7499999999999999E-2</v>
      </c>
      <c r="F295" s="53">
        <v>-7.4108623548921901E-3</v>
      </c>
      <c r="G295" s="53">
        <v>-4.7495871512707203E-3</v>
      </c>
      <c r="H295" s="87">
        <v>-9.0323509302241405E-3</v>
      </c>
      <c r="I295" s="53">
        <v>1.3004936567757601E-3</v>
      </c>
      <c r="J295" s="53">
        <v>9.8234435151998197E-3</v>
      </c>
      <c r="K295" s="53">
        <v>2.7877674904991399E-2</v>
      </c>
      <c r="L295" s="95">
        <f>IFERROR(B295*'Stock Statistics'!$C$41+C295*'Stock Statistics'!$C$42+D295*'Stock Statistics'!$C$43+E295*'Stock Statistics'!$C$44+F295*'Stock Statistics'!$C$45+G295*'Stock Statistics'!$C$46+H295*'Stock Statistics'!$C$47+I295*'Stock Statistics'!$C$48+J295*'Stock Statistics'!$C$49+K295*'Stock Statistics'!$C$50,"")</f>
        <v>8.2814687339186222E-3</v>
      </c>
      <c r="M295" s="97">
        <v>496.6268</v>
      </c>
      <c r="N295" s="96">
        <v>569.56349999999998</v>
      </c>
      <c r="O295" s="93">
        <f t="shared" si="12"/>
        <v>1.078794056252641E-2</v>
      </c>
      <c r="P295" s="93">
        <f t="shared" si="13"/>
        <v>2.0841730753902166E-3</v>
      </c>
      <c r="Q295" s="93">
        <f>B295*'Portfolio 2 &amp; 3'!$F$7+C295*'Portfolio 2 &amp; 3'!$F$8+D295*'Portfolio 2 &amp; 3'!$F$9+E295*'Portfolio 2 &amp; 3'!$F$10+F295*'Portfolio 2 &amp; 3'!$F$11+G295*'Portfolio 2 &amp; 3'!$F$12+H295*'Portfolio 2 &amp; 3'!$F$13+I295*'Portfolio 2 &amp; 3'!$F$14+J295*'Portfolio 2 &amp; 3'!$F$15+K295*'Portfolio 2 &amp; 3'!$F$16</f>
        <v>6.9381924655302126E-3</v>
      </c>
      <c r="R295" s="93">
        <f>B295*'Portfolio 2 &amp; 3'!$B$23+C295*'Portfolio 2 &amp; 3'!$B$24+D295*'Portfolio 2 &amp; 3'!$B$25+E295*'Portfolio 2 &amp; 3'!$B$26+F295*'Portfolio 2 &amp; 3'!$B$27+G295*'Portfolio 2 &amp; 3'!$B$28+H295*'Portfolio 2 &amp; 3'!$B$29+I295*'Portfolio 2 &amp; 3'!$B$30+J295*'Portfolio 2 &amp; 3'!$B$31+K295*'Portfolio 2 &amp; 3'!$B$32</f>
        <v>4.2417022295554432E-3</v>
      </c>
      <c r="S295" s="93">
        <f t="shared" si="14"/>
        <v>6.4360568189583134E-3</v>
      </c>
    </row>
    <row r="296" spans="1:19" ht="12.75" customHeight="1">
      <c r="A296" s="81">
        <v>45650</v>
      </c>
      <c r="B296" s="53">
        <v>-1.6000000000000001E-3</v>
      </c>
      <c r="C296" s="53">
        <v>4.2542959140257102E-4</v>
      </c>
      <c r="D296" s="53">
        <v>-4.9110855875480501E-3</v>
      </c>
      <c r="E296" s="53">
        <v>1.448E-2</v>
      </c>
      <c r="F296" s="53">
        <v>-8.7840961627370095E-3</v>
      </c>
      <c r="G296" s="53">
        <v>6.4422185941843697E-3</v>
      </c>
      <c r="H296" s="87">
        <v>2.5310851197284399E-2</v>
      </c>
      <c r="I296" s="53">
        <v>1.2169241101410501E-2</v>
      </c>
      <c r="J296" s="53">
        <v>1.0767837375465401E-2</v>
      </c>
      <c r="K296" s="53">
        <v>-9.6827621353034999E-4</v>
      </c>
      <c r="L296" s="95">
        <f>IFERROR(B296*'Stock Statistics'!$C$41+C296*'Stock Statistics'!$C$42+D296*'Stock Statistics'!$C$43+E296*'Stock Statistics'!$C$44+F296*'Stock Statistics'!$C$45+G296*'Stock Statistics'!$C$46+H296*'Stock Statistics'!$C$47+I296*'Stock Statistics'!$C$48+J296*'Stock Statistics'!$C$49+K296*'Stock Statistics'!$C$50,"")</f>
        <v>5.3332119895931835E-3</v>
      </c>
      <c r="M296" s="96">
        <v>491.32639999999998</v>
      </c>
      <c r="N296" s="97">
        <v>568.37890000000004</v>
      </c>
      <c r="O296" s="93">
        <f t="shared" si="12"/>
        <v>5.3252982563976037E-3</v>
      </c>
      <c r="P296" s="93">
        <f t="shared" si="13"/>
        <v>-8.9577227360407852E-3</v>
      </c>
      <c r="Q296" s="93">
        <f>B296*'Portfolio 2 &amp; 3'!$F$7+C296*'Portfolio 2 &amp; 3'!$F$8+D296*'Portfolio 2 &amp; 3'!$F$9+E296*'Portfolio 2 &amp; 3'!$F$10+F296*'Portfolio 2 &amp; 3'!$F$11+G296*'Portfolio 2 &amp; 3'!$F$12+H296*'Portfolio 2 &amp; 3'!$F$13+I296*'Portfolio 2 &amp; 3'!$F$14+J296*'Portfolio 2 &amp; 3'!$F$15+K296*'Portfolio 2 &amp; 3'!$F$16</f>
        <v>6.4434920430255461E-3</v>
      </c>
      <c r="R296" s="93">
        <f>B296*'Portfolio 2 &amp; 3'!$B$23+C296*'Portfolio 2 &amp; 3'!$B$24+D296*'Portfolio 2 &amp; 3'!$B$25+E296*'Portfolio 2 &amp; 3'!$B$26+F296*'Portfolio 2 &amp; 3'!$B$27+G296*'Portfolio 2 &amp; 3'!$B$28+H296*'Portfolio 2 &amp; 3'!$B$29+I296*'Portfolio 2 &amp; 3'!$B$30+J296*'Portfolio 2 &amp; 3'!$B$31+K296*'Portfolio 2 &amp; 3'!$B$32</f>
        <v>3.1779990606110409E-3</v>
      </c>
      <c r="S296" s="93">
        <f t="shared" si="14"/>
        <v>-1.8162122398215907E-3</v>
      </c>
    </row>
    <row r="297" spans="1:19" ht="12.75" customHeight="1">
      <c r="A297" s="82">
        <v>45649</v>
      </c>
      <c r="B297" s="53">
        <v>-3.3999999999999998E-3</v>
      </c>
      <c r="C297" s="53">
        <v>-1.37908389427023E-2</v>
      </c>
      <c r="D297" s="53">
        <v>7.5821062292988897E-3</v>
      </c>
      <c r="E297" s="53">
        <v>2.8E-3</v>
      </c>
      <c r="F297" s="53">
        <v>-1.540832049306E-4</v>
      </c>
      <c r="G297" s="53">
        <v>-6.1104857690003102E-3</v>
      </c>
      <c r="H297" s="87">
        <v>3.1460507809608598E-3</v>
      </c>
      <c r="I297" s="53">
        <v>1.08072881309909E-2</v>
      </c>
      <c r="J297" s="53">
        <v>1.00287989158054E-2</v>
      </c>
      <c r="K297" s="53">
        <v>1.80549430594827E-2</v>
      </c>
      <c r="L297" s="95">
        <f>IFERROR(B297*'Stock Statistics'!$C$41+C297*'Stock Statistics'!$C$42+D297*'Stock Statistics'!$C$43+E297*'Stock Statistics'!$C$44+F297*'Stock Statistics'!$C$45+G297*'Stock Statistics'!$C$46+H297*'Stock Statistics'!$C$47+I297*'Stock Statistics'!$C$48+J297*'Stock Statistics'!$C$49+K297*'Stock Statistics'!$C$50,"")</f>
        <v>2.8963779199905537E-3</v>
      </c>
      <c r="M297" s="97">
        <v>488.72379999999998</v>
      </c>
      <c r="N297" s="96">
        <v>573.5163</v>
      </c>
      <c r="O297" s="93">
        <f t="shared" si="12"/>
        <v>4.5955903135144194E-3</v>
      </c>
      <c r="P297" s="93">
        <f t="shared" si="13"/>
        <v>1.0139326574134522E-2</v>
      </c>
      <c r="Q297" s="93">
        <f>B297*'Portfolio 2 &amp; 3'!$F$7+C297*'Portfolio 2 &amp; 3'!$F$8+D297*'Portfolio 2 &amp; 3'!$F$9+E297*'Portfolio 2 &amp; 3'!$F$10+F297*'Portfolio 2 &amp; 3'!$F$11+G297*'Portfolio 2 &amp; 3'!$F$12+H297*'Portfolio 2 &amp; 3'!$F$13+I297*'Portfolio 2 &amp; 3'!$F$14+J297*'Portfolio 2 &amp; 3'!$F$15+K297*'Portfolio 2 &amp; 3'!$F$16</f>
        <v>3.6144846438117355E-3</v>
      </c>
      <c r="R297" s="93">
        <f>B297*'Portfolio 2 &amp; 3'!$B$23+C297*'Portfolio 2 &amp; 3'!$B$24+D297*'Portfolio 2 &amp; 3'!$B$25+E297*'Portfolio 2 &amp; 3'!$B$26+F297*'Portfolio 2 &amp; 3'!$B$27+G297*'Portfolio 2 &amp; 3'!$B$28+H297*'Portfolio 2 &amp; 3'!$B$29+I297*'Portfolio 2 &amp; 3'!$B$30+J297*'Portfolio 2 &amp; 3'!$B$31+K297*'Portfolio 2 &amp; 3'!$B$32</f>
        <v>1.0061278506293498E-3</v>
      </c>
      <c r="S297" s="93">
        <f t="shared" si="14"/>
        <v>7.3674584438244706E-3</v>
      </c>
    </row>
    <row r="298" spans="1:19" ht="12.75" customHeight="1">
      <c r="A298" s="81">
        <v>45646</v>
      </c>
      <c r="B298" s="53">
        <v>-1.37E-2</v>
      </c>
      <c r="C298" s="53">
        <v>1.0023030861354301E-2</v>
      </c>
      <c r="D298" s="53">
        <v>9.0601594588064494E-3</v>
      </c>
      <c r="E298" s="53">
        <v>-2.5000000000000001E-4</v>
      </c>
      <c r="F298" s="53">
        <v>-1.22767857142857E-2</v>
      </c>
      <c r="G298" s="53">
        <v>-4.8443409950538197E-3</v>
      </c>
      <c r="H298" s="87">
        <v>7.1196928467589498E-3</v>
      </c>
      <c r="I298" s="53">
        <v>1.22869708631115E-2</v>
      </c>
      <c r="J298" s="53">
        <v>-2.03245147522124E-4</v>
      </c>
      <c r="K298" s="53">
        <v>-1.1471163955585501E-2</v>
      </c>
      <c r="L298" s="95">
        <f>IFERROR(B298*'Stock Statistics'!$C$41+C298*'Stock Statistics'!$C$42+D298*'Stock Statistics'!$C$43+E298*'Stock Statistics'!$C$44+F298*'Stock Statistics'!$C$45+G298*'Stock Statistics'!$C$46+H298*'Stock Statistics'!$C$47+I298*'Stock Statistics'!$C$48+J298*'Stock Statistics'!$C$49+K298*'Stock Statistics'!$C$50,"")</f>
        <v>-4.2556817824159453E-4</v>
      </c>
      <c r="M298" s="96">
        <v>486.48809999999997</v>
      </c>
      <c r="N298" s="97">
        <v>567.75959999999998</v>
      </c>
      <c r="O298" s="93">
        <f t="shared" si="12"/>
        <v>2.3048424560756509E-3</v>
      </c>
      <c r="P298" s="93">
        <f t="shared" si="13"/>
        <v>1.0739020649169095E-2</v>
      </c>
      <c r="Q298" s="93">
        <f>B298*'Portfolio 2 &amp; 3'!$F$7+C298*'Portfolio 2 &amp; 3'!$F$8+D298*'Portfolio 2 &amp; 3'!$F$9+E298*'Portfolio 2 &amp; 3'!$F$10+F298*'Portfolio 2 &amp; 3'!$F$11+G298*'Portfolio 2 &amp; 3'!$F$12+H298*'Portfolio 2 &amp; 3'!$F$13+I298*'Portfolio 2 &amp; 3'!$F$14+J298*'Portfolio 2 &amp; 3'!$F$15+K298*'Portfolio 2 &amp; 3'!$F$16</f>
        <v>9.9353854399987637E-4</v>
      </c>
      <c r="R298" s="93">
        <f>B298*'Portfolio 2 &amp; 3'!$B$23+C298*'Portfolio 2 &amp; 3'!$B$24+D298*'Portfolio 2 &amp; 3'!$B$25+E298*'Portfolio 2 &amp; 3'!$B$26+F298*'Portfolio 2 &amp; 3'!$B$27+G298*'Portfolio 2 &amp; 3'!$B$28+H298*'Portfolio 2 &amp; 3'!$B$29+I298*'Portfolio 2 &amp; 3'!$B$30+J298*'Portfolio 2 &amp; 3'!$B$31+K298*'Portfolio 2 &amp; 3'!$B$32</f>
        <v>3.8445109204942414E-5</v>
      </c>
      <c r="S298" s="93">
        <f t="shared" si="14"/>
        <v>6.5219315526223731E-3</v>
      </c>
    </row>
    <row r="299" spans="1:19" ht="12.75" customHeight="1">
      <c r="A299" s="82">
        <v>45645</v>
      </c>
      <c r="B299" s="53">
        <v>3.3599999999999998E-2</v>
      </c>
      <c r="C299" s="53">
        <v>-1.2149064931519399E-2</v>
      </c>
      <c r="D299" s="53">
        <v>-1.0361042480274101E-2</v>
      </c>
      <c r="E299" s="53">
        <v>2.5100000000000001E-3</v>
      </c>
      <c r="F299" s="53">
        <v>6.1763054463785903E-3</v>
      </c>
      <c r="G299" s="53">
        <v>-9.2673997953389708E-3</v>
      </c>
      <c r="H299" s="87">
        <v>-1.7117552934171601E-3</v>
      </c>
      <c r="I299" s="53">
        <v>2.4247768103162798E-3</v>
      </c>
      <c r="J299" s="53">
        <v>2.7172990047892301E-3</v>
      </c>
      <c r="K299" s="53">
        <v>4.61795014324196E-4</v>
      </c>
      <c r="L299" s="95">
        <f>IFERROR(B299*'Stock Statistics'!$C$41+C299*'Stock Statistics'!$C$42+D299*'Stock Statistics'!$C$43+E299*'Stock Statistics'!$C$44+F299*'Stock Statistics'!$C$45+G299*'Stock Statistics'!$C$46+H299*'Stock Statistics'!$C$47+I299*'Stock Statistics'!$C$48+J299*'Stock Statistics'!$C$49+K299*'Stock Statistics'!$C$50,"")</f>
        <v>1.4400913775258664E-3</v>
      </c>
      <c r="M299" s="97">
        <v>485.36939999999998</v>
      </c>
      <c r="N299" s="96">
        <v>561.72720000000004</v>
      </c>
      <c r="O299" s="93">
        <f t="shared" si="12"/>
        <v>2.4935863422601567E-3</v>
      </c>
      <c r="P299" s="93">
        <f t="shared" si="13"/>
        <v>-5.1627375419800448E-3</v>
      </c>
      <c r="Q299" s="93">
        <f>B299*'Portfolio 2 &amp; 3'!$F$7+C299*'Portfolio 2 &amp; 3'!$F$8+D299*'Portfolio 2 &amp; 3'!$F$9+E299*'Portfolio 2 &amp; 3'!$F$10+F299*'Portfolio 2 &amp; 3'!$F$11+G299*'Portfolio 2 &amp; 3'!$F$12+H299*'Portfolio 2 &amp; 3'!$F$13+I299*'Portfolio 2 &amp; 3'!$F$14+J299*'Portfolio 2 &amp; 3'!$F$15+K299*'Portfolio 2 &amp; 3'!$F$16</f>
        <v>3.5109463444463841E-4</v>
      </c>
      <c r="R299" s="93">
        <f>B299*'Portfolio 2 &amp; 3'!$B$23+C299*'Portfolio 2 &amp; 3'!$B$24+D299*'Portfolio 2 &amp; 3'!$B$25+E299*'Portfolio 2 &amp; 3'!$B$26+F299*'Portfolio 2 &amp; 3'!$B$27+G299*'Portfolio 2 &amp; 3'!$B$28+H299*'Portfolio 2 &amp; 3'!$B$29+I299*'Portfolio 2 &amp; 3'!$B$30+J299*'Portfolio 2 &amp; 3'!$B$31+K299*'Portfolio 2 &amp; 3'!$B$32</f>
        <v>2.7180162417315659E-3</v>
      </c>
      <c r="S299" s="93">
        <f t="shared" si="14"/>
        <v>-1.334575599859944E-3</v>
      </c>
    </row>
    <row r="300" spans="1:19" ht="12.75" customHeight="1">
      <c r="A300" s="81">
        <v>45644</v>
      </c>
      <c r="B300" s="53">
        <v>4.1000000000000003E-3</v>
      </c>
      <c r="C300" s="53">
        <v>1.8204159650481199E-4</v>
      </c>
      <c r="D300" s="53">
        <v>5.7312332171055597E-3</v>
      </c>
      <c r="E300" s="53">
        <v>-6.6100000000000004E-3</v>
      </c>
      <c r="F300" s="53">
        <v>9.9494793277656902E-3</v>
      </c>
      <c r="G300" s="53">
        <v>2.5799107010851901E-2</v>
      </c>
      <c r="H300" s="87">
        <v>1.3616475558237799E-2</v>
      </c>
      <c r="I300" s="53">
        <v>3.1788152693701401E-3</v>
      </c>
      <c r="J300" s="53">
        <v>-2.2900003318841001E-2</v>
      </c>
      <c r="K300" s="53">
        <v>4.4667783361249701E-3</v>
      </c>
      <c r="L300" s="95">
        <f>IFERROR(B300*'Stock Statistics'!$C$41+C300*'Stock Statistics'!$C$42+D300*'Stock Statistics'!$C$43+E300*'Stock Statistics'!$C$44+F300*'Stock Statistics'!$C$45+G300*'Stock Statistics'!$C$46+H300*'Stock Statistics'!$C$47+I300*'Stock Statistics'!$C$48+J300*'Stock Statistics'!$C$49+K300*'Stock Statistics'!$C$50,"")</f>
        <v>3.7513926997119868E-3</v>
      </c>
      <c r="M300" s="96">
        <v>484.16210000000001</v>
      </c>
      <c r="N300" s="97">
        <v>564.64229999999998</v>
      </c>
      <c r="O300" s="93">
        <f t="shared" si="12"/>
        <v>-8.979447302112975E-3</v>
      </c>
      <c r="P300" s="93">
        <f t="shared" si="13"/>
        <v>1.2774818640663987E-3</v>
      </c>
      <c r="Q300" s="93">
        <f>B300*'Portfolio 2 &amp; 3'!$F$7+C300*'Portfolio 2 &amp; 3'!$F$8+D300*'Portfolio 2 &amp; 3'!$F$9+E300*'Portfolio 2 &amp; 3'!$F$10+F300*'Portfolio 2 &amp; 3'!$F$11+G300*'Portfolio 2 &amp; 3'!$F$12+H300*'Portfolio 2 &amp; 3'!$F$13+I300*'Portfolio 2 &amp; 3'!$F$14+J300*'Portfolio 2 &amp; 3'!$F$15+K300*'Portfolio 2 &amp; 3'!$F$16</f>
        <v>2.525631518491674E-3</v>
      </c>
      <c r="R300" s="93">
        <f>B300*'Portfolio 2 &amp; 3'!$B$23+C300*'Portfolio 2 &amp; 3'!$B$24+D300*'Portfolio 2 &amp; 3'!$B$25+E300*'Portfolio 2 &amp; 3'!$B$26+F300*'Portfolio 2 &amp; 3'!$B$27+G300*'Portfolio 2 &amp; 3'!$B$28+H300*'Portfolio 2 &amp; 3'!$B$29+I300*'Portfolio 2 &amp; 3'!$B$30+J300*'Portfolio 2 &amp; 3'!$B$31+K300*'Portfolio 2 &amp; 3'!$B$32</f>
        <v>5.7968359336578847E-3</v>
      </c>
      <c r="S300" s="93">
        <f t="shared" si="14"/>
        <v>-3.8509827190232881E-3</v>
      </c>
    </row>
    <row r="301" spans="1:19" ht="12.75" customHeight="1">
      <c r="A301" s="82">
        <v>45643</v>
      </c>
      <c r="B301" s="53">
        <v>-9.1000000000000004E-3</v>
      </c>
      <c r="C301" s="53">
        <v>1.8843953149777899E-2</v>
      </c>
      <c r="D301" s="53">
        <v>2.7847579814624102E-2</v>
      </c>
      <c r="E301" s="53">
        <v>3.4860000000000002E-2</v>
      </c>
      <c r="F301" s="53">
        <v>-1.80713743356112E-2</v>
      </c>
      <c r="G301" s="53">
        <v>1.53996505463927E-3</v>
      </c>
      <c r="H301" s="87">
        <v>3.9360200721342303E-2</v>
      </c>
      <c r="I301" s="53">
        <v>-7.9251905884933898E-3</v>
      </c>
      <c r="J301" s="53">
        <v>2.3193425699538101E-2</v>
      </c>
      <c r="K301" s="53">
        <v>-4.9574768152485004E-3</v>
      </c>
      <c r="L301" s="95">
        <f>IFERROR(B301*'Stock Statistics'!$C$41+C301*'Stock Statistics'!$C$42+D301*'Stock Statistics'!$C$43+E301*'Stock Statistics'!$C$44+F301*'Stock Statistics'!$C$45+G301*'Stock Statistics'!$C$46+H301*'Stock Statistics'!$C$47+I301*'Stock Statistics'!$C$48+J301*'Stock Statistics'!$C$49+K301*'Stock Statistics'!$C$50,"")</f>
        <v>1.0559108270056858E-2</v>
      </c>
      <c r="M301" s="97">
        <v>488.54899999999998</v>
      </c>
      <c r="N301" s="96">
        <v>563.92190000000005</v>
      </c>
      <c r="O301" s="93">
        <f t="shared" si="12"/>
        <v>3.7175943189322602E-3</v>
      </c>
      <c r="P301" s="93">
        <f t="shared" si="13"/>
        <v>-4.2002435102918012E-3</v>
      </c>
      <c r="Q301" s="93">
        <f>B301*'Portfolio 2 &amp; 3'!$F$7+C301*'Portfolio 2 &amp; 3'!$F$8+D301*'Portfolio 2 &amp; 3'!$F$9+E301*'Portfolio 2 &amp; 3'!$F$10+F301*'Portfolio 2 &amp; 3'!$F$11+G301*'Portfolio 2 &amp; 3'!$F$12+H301*'Portfolio 2 &amp; 3'!$F$13+I301*'Portfolio 2 &amp; 3'!$F$14+J301*'Portfolio 2 &amp; 3'!$F$15+K301*'Portfolio 2 &amp; 3'!$F$16</f>
        <v>1.4442327863833686E-2</v>
      </c>
      <c r="R301" s="93">
        <f>B301*'Portfolio 2 &amp; 3'!$B$23+C301*'Portfolio 2 &amp; 3'!$B$24+D301*'Portfolio 2 &amp; 3'!$B$25+E301*'Portfolio 2 &amp; 3'!$B$26+F301*'Portfolio 2 &amp; 3'!$B$27+G301*'Portfolio 2 &amp; 3'!$B$28+H301*'Portfolio 2 &amp; 3'!$B$29+I301*'Portfolio 2 &amp; 3'!$B$30+J301*'Portfolio 2 &amp; 3'!$B$31+K301*'Portfolio 2 &amp; 3'!$B$32</f>
        <v>-4.1889279038244349E-4</v>
      </c>
      <c r="S301" s="93">
        <f t="shared" si="14"/>
        <v>-2.4132459567977049E-4</v>
      </c>
    </row>
    <row r="302" spans="1:19" ht="12.75" customHeight="1">
      <c r="A302" s="81">
        <v>45642</v>
      </c>
      <c r="B302" s="53">
        <v>-1.3899999999999999E-2</v>
      </c>
      <c r="C302" s="53">
        <v>-9.3977364591755208E-3</v>
      </c>
      <c r="D302" s="53">
        <v>-2.4865429420744E-2</v>
      </c>
      <c r="E302" s="53">
        <v>2.998E-2</v>
      </c>
      <c r="F302" s="53">
        <v>9.4532447623913995E-3</v>
      </c>
      <c r="G302" s="53">
        <v>4.3574604779821301E-3</v>
      </c>
      <c r="H302" s="87">
        <v>2.2241814611469599E-2</v>
      </c>
      <c r="I302" s="53">
        <v>1.23539046667223E-2</v>
      </c>
      <c r="J302" s="53">
        <v>1.48533618223801E-2</v>
      </c>
      <c r="K302" s="53">
        <v>4.0188801860652202E-4</v>
      </c>
      <c r="L302" s="95">
        <f>IFERROR(B302*'Stock Statistics'!$C$41+C302*'Stock Statistics'!$C$42+D302*'Stock Statistics'!$C$43+E302*'Stock Statistics'!$C$44+F302*'Stock Statistics'!$C$45+G302*'Stock Statistics'!$C$46+H302*'Stock Statistics'!$C$47+I302*'Stock Statistics'!$C$48+J302*'Stock Statistics'!$C$49+K302*'Stock Statistics'!$C$50,"")</f>
        <v>4.5478508479632525E-3</v>
      </c>
      <c r="M302" s="96">
        <v>486.73950000000002</v>
      </c>
      <c r="N302" s="97">
        <v>566.30050000000006</v>
      </c>
      <c r="O302" s="93">
        <f t="shared" si="12"/>
        <v>4.5010045226738793E-3</v>
      </c>
      <c r="P302" s="93">
        <f t="shared" si="13"/>
        <v>-4.8957399453789519E-3</v>
      </c>
      <c r="Q302" s="93">
        <f>B302*'Portfolio 2 &amp; 3'!$F$7+C302*'Portfolio 2 &amp; 3'!$F$8+D302*'Portfolio 2 &amp; 3'!$F$9+E302*'Portfolio 2 &amp; 3'!$F$10+F302*'Portfolio 2 &amp; 3'!$F$11+G302*'Portfolio 2 &amp; 3'!$F$12+H302*'Portfolio 2 &amp; 3'!$F$13+I302*'Portfolio 2 &amp; 3'!$F$14+J302*'Portfolio 2 &amp; 3'!$F$15+K302*'Portfolio 2 &amp; 3'!$F$16</f>
        <v>5.1185937120128188E-3</v>
      </c>
      <c r="R302" s="93">
        <f>B302*'Portfolio 2 &amp; 3'!$B$23+C302*'Portfolio 2 &amp; 3'!$B$24+D302*'Portfolio 2 &amp; 3'!$B$25+E302*'Portfolio 2 &amp; 3'!$B$26+F302*'Portfolio 2 &amp; 3'!$B$27+G302*'Portfolio 2 &amp; 3'!$B$28+H302*'Portfolio 2 &amp; 3'!$B$29+I302*'Portfolio 2 &amp; 3'!$B$30+J302*'Portfolio 2 &amp; 3'!$B$31+K302*'Portfolio 2 &amp; 3'!$B$32</f>
        <v>2.2674688557585091E-3</v>
      </c>
      <c r="S302" s="93">
        <f t="shared" si="14"/>
        <v>-1.9736771135253628E-4</v>
      </c>
    </row>
    <row r="303" spans="1:19" ht="12.75" customHeight="1">
      <c r="A303" s="82">
        <v>45639</v>
      </c>
      <c r="B303" s="53">
        <v>-3.5000000000000001E-3</v>
      </c>
      <c r="C303" s="53">
        <v>1.3075727540925701E-2</v>
      </c>
      <c r="D303" s="53">
        <v>3.0039721946375299E-2</v>
      </c>
      <c r="E303" s="53">
        <v>-9.3900000000000008E-3</v>
      </c>
      <c r="F303" s="53">
        <v>2.04813108038904E-3</v>
      </c>
      <c r="G303" s="53">
        <v>4.8418189697685401E-3</v>
      </c>
      <c r="H303" s="87">
        <v>-1.75597464467105E-2</v>
      </c>
      <c r="I303" s="53">
        <v>6.7074704452083599E-3</v>
      </c>
      <c r="J303" s="53">
        <v>1.6569436293969501E-3</v>
      </c>
      <c r="K303" s="53">
        <v>-1.5453047494643499E-3</v>
      </c>
      <c r="L303" s="95">
        <f>IFERROR(B303*'Stock Statistics'!$C$41+C303*'Stock Statistics'!$C$42+D303*'Stock Statistics'!$C$43+E303*'Stock Statistics'!$C$44+F303*'Stock Statistics'!$C$45+G303*'Stock Statistics'!$C$46+H303*'Stock Statistics'!$C$47+I303*'Stock Statistics'!$C$48+J303*'Stock Statistics'!$C$49+K303*'Stock Statistics'!$C$50,"")</f>
        <v>2.6374762415889044E-3</v>
      </c>
      <c r="M303" s="97">
        <v>484.55849999999998</v>
      </c>
      <c r="N303" s="96">
        <v>569.08659999999998</v>
      </c>
      <c r="O303" s="93">
        <f t="shared" si="12"/>
        <v>-2.7198073598420081E-3</v>
      </c>
      <c r="P303" s="93">
        <f t="shared" si="13"/>
        <v>1.6301734510184573E-3</v>
      </c>
      <c r="Q303" s="93">
        <f>B303*'Portfolio 2 &amp; 3'!$F$7+C303*'Portfolio 2 &amp; 3'!$F$8+D303*'Portfolio 2 &amp; 3'!$F$9+E303*'Portfolio 2 &amp; 3'!$F$10+F303*'Portfolio 2 &amp; 3'!$F$11+G303*'Portfolio 2 &amp; 3'!$F$12+H303*'Portfolio 2 &amp; 3'!$F$13+I303*'Portfolio 2 &amp; 3'!$F$14+J303*'Portfolio 2 &amp; 3'!$F$15+K303*'Portfolio 2 &amp; 3'!$F$16</f>
        <v>2.6470863036595288E-3</v>
      </c>
      <c r="R303" s="93">
        <f>B303*'Portfolio 2 &amp; 3'!$B$23+C303*'Portfolio 2 &amp; 3'!$B$24+D303*'Portfolio 2 &amp; 3'!$B$25+E303*'Portfolio 2 &amp; 3'!$B$26+F303*'Portfolio 2 &amp; 3'!$B$27+G303*'Portfolio 2 &amp; 3'!$B$28+H303*'Portfolio 2 &amp; 3'!$B$29+I303*'Portfolio 2 &amp; 3'!$B$30+J303*'Portfolio 2 &amp; 3'!$B$31+K303*'Portfolio 2 &amp; 3'!$B$32</f>
        <v>4.3133100892557659E-3</v>
      </c>
      <c r="S303" s="93">
        <f t="shared" si="14"/>
        <v>-5.4481695441177536E-4</v>
      </c>
    </row>
    <row r="304" spans="1:19" ht="12.75" customHeight="1">
      <c r="A304" s="81">
        <v>45638</v>
      </c>
      <c r="B304" s="53">
        <v>-4.3E-3</v>
      </c>
      <c r="C304" s="53">
        <v>-1.15358079205188E-2</v>
      </c>
      <c r="D304" s="53">
        <v>-5.1045611724023204E-3</v>
      </c>
      <c r="E304" s="53">
        <v>-1.268E-2</v>
      </c>
      <c r="F304" s="53">
        <v>-1.0086674438643599E-2</v>
      </c>
      <c r="G304" s="53">
        <v>5.4088976366122301E-3</v>
      </c>
      <c r="H304" s="87">
        <v>1.8935291049865698E-2</v>
      </c>
      <c r="I304" s="53">
        <v>-1.1465355287877101E-2</v>
      </c>
      <c r="J304" s="53">
        <v>7.9458301665180598E-4</v>
      </c>
      <c r="K304" s="53">
        <v>-3.4458114247791802E-3</v>
      </c>
      <c r="L304" s="95">
        <f>IFERROR(B304*'Stock Statistics'!$C$41+C304*'Stock Statistics'!$C$42+D304*'Stock Statistics'!$C$43+E304*'Stock Statistics'!$C$44+F304*'Stock Statistics'!$C$45+G304*'Stock Statistics'!$C$46+H304*'Stock Statistics'!$C$47+I304*'Stock Statistics'!$C$48+J304*'Stock Statistics'!$C$49+K304*'Stock Statistics'!$C$50,"")</f>
        <v>-3.3479438541091267E-3</v>
      </c>
      <c r="M304" s="96">
        <v>485.88</v>
      </c>
      <c r="N304" s="97">
        <v>568.16039999999998</v>
      </c>
      <c r="O304" s="93">
        <f t="shared" si="12"/>
        <v>-7.0132717426851787E-4</v>
      </c>
      <c r="P304" s="93">
        <f t="shared" si="13"/>
        <v>-1.0003001427919544E-3</v>
      </c>
      <c r="Q304" s="93">
        <f>B304*'Portfolio 2 &amp; 3'!$F$7+C304*'Portfolio 2 &amp; 3'!$F$8+D304*'Portfolio 2 &amp; 3'!$F$9+E304*'Portfolio 2 &amp; 3'!$F$10+F304*'Portfolio 2 &amp; 3'!$F$11+G304*'Portfolio 2 &amp; 3'!$F$12+H304*'Portfolio 2 &amp; 3'!$F$13+I304*'Portfolio 2 &amp; 3'!$F$14+J304*'Portfolio 2 &amp; 3'!$F$15+K304*'Portfolio 2 &amp; 3'!$F$16</f>
        <v>-1.7825110973028757E-3</v>
      </c>
      <c r="R304" s="93">
        <f>B304*'Portfolio 2 &amp; 3'!$B$23+C304*'Portfolio 2 &amp; 3'!$B$24+D304*'Portfolio 2 &amp; 3'!$B$25+E304*'Portfolio 2 &amp; 3'!$B$26+F304*'Portfolio 2 &amp; 3'!$B$27+G304*'Portfolio 2 &amp; 3'!$B$28+H304*'Portfolio 2 &amp; 3'!$B$29+I304*'Portfolio 2 &amp; 3'!$B$30+J304*'Portfolio 2 &amp; 3'!$B$31+K304*'Portfolio 2 &amp; 3'!$B$32</f>
        <v>-6.4286601735208514E-3</v>
      </c>
      <c r="S304" s="93">
        <f t="shared" si="14"/>
        <v>-8.5081365853023616E-4</v>
      </c>
    </row>
    <row r="305" spans="1:19" ht="12.75" customHeight="1">
      <c r="A305" s="82">
        <v>45637</v>
      </c>
      <c r="B305" s="53">
        <v>-4.1999999999999997E-3</v>
      </c>
      <c r="C305" s="53">
        <v>-9.9636608712283508E-3</v>
      </c>
      <c r="D305" s="53">
        <v>-9.1773055430926006E-3</v>
      </c>
      <c r="E305" s="53">
        <v>-1.201E-2</v>
      </c>
      <c r="F305" s="53">
        <v>1.2574420036953299E-2</v>
      </c>
      <c r="G305" s="53">
        <v>-1.39265448834763E-2</v>
      </c>
      <c r="H305" s="87">
        <v>7.6280713023923997E-4</v>
      </c>
      <c r="I305" s="53">
        <v>-2.01273815103809E-3</v>
      </c>
      <c r="J305" s="53">
        <v>1.31451501314506E-3</v>
      </c>
      <c r="K305" s="53">
        <v>-1.26014416049196E-2</v>
      </c>
      <c r="L305" s="95">
        <f>IFERROR(B305*'Stock Statistics'!$C$41+C305*'Stock Statistics'!$C$42+D305*'Stock Statistics'!$C$43+E305*'Stock Statistics'!$C$44+F305*'Stock Statistics'!$C$45+G305*'Stock Statistics'!$C$46+H305*'Stock Statistics'!$C$47+I305*'Stock Statistics'!$C$48+J305*'Stock Statistics'!$C$49+K305*'Stock Statistics'!$C$50,"")</f>
        <v>-4.9239948873417349E-3</v>
      </c>
      <c r="M305" s="97">
        <v>486.221</v>
      </c>
      <c r="N305" s="96">
        <v>568.72929999999997</v>
      </c>
      <c r="O305" s="93">
        <f t="shared" si="12"/>
        <v>-5.6494748800317574E-3</v>
      </c>
      <c r="P305" s="93">
        <f t="shared" si="13"/>
        <v>-6.6077182970567527E-3</v>
      </c>
      <c r="Q305" s="93">
        <f>B305*'Portfolio 2 &amp; 3'!$F$7+C305*'Portfolio 2 &amp; 3'!$F$8+D305*'Portfolio 2 &amp; 3'!$F$9+E305*'Portfolio 2 &amp; 3'!$F$10+F305*'Portfolio 2 &amp; 3'!$F$11+G305*'Portfolio 2 &amp; 3'!$F$12+H305*'Portfolio 2 &amp; 3'!$F$13+I305*'Portfolio 2 &amp; 3'!$F$14+J305*'Portfolio 2 &amp; 3'!$F$15+K305*'Portfolio 2 &amp; 3'!$F$16</f>
        <v>-3.6549453415595065E-3</v>
      </c>
      <c r="R305" s="93">
        <f>B305*'Portfolio 2 &amp; 3'!$B$23+C305*'Portfolio 2 &amp; 3'!$B$24+D305*'Portfolio 2 &amp; 3'!$B$25+E305*'Portfolio 2 &amp; 3'!$B$26+F305*'Portfolio 2 &amp; 3'!$B$27+G305*'Portfolio 2 &amp; 3'!$B$28+H305*'Portfolio 2 &amp; 3'!$B$29+I305*'Portfolio 2 &amp; 3'!$B$30+J305*'Portfolio 2 &amp; 3'!$B$31+K305*'Portfolio 2 &amp; 3'!$B$32</f>
        <v>-3.5963401878933232E-3</v>
      </c>
      <c r="S305" s="93">
        <f t="shared" si="14"/>
        <v>-6.128596588544255E-3</v>
      </c>
    </row>
    <row r="306" spans="1:19" ht="12.75" customHeight="1">
      <c r="A306" s="81">
        <v>45636</v>
      </c>
      <c r="B306" s="53">
        <v>-4.0000000000000001E-3</v>
      </c>
      <c r="C306" s="53">
        <v>5.58664334319392E-3</v>
      </c>
      <c r="D306" s="53">
        <v>-9.09384851669226E-3</v>
      </c>
      <c r="E306" s="53">
        <v>-1.8249999999999999E-2</v>
      </c>
      <c r="F306" s="53">
        <v>-8.3973739121583398E-3</v>
      </c>
      <c r="G306" s="53">
        <v>7.4179104477611899E-3</v>
      </c>
      <c r="H306" s="87">
        <v>5.53066085341736E-3</v>
      </c>
      <c r="I306" s="53">
        <v>4.4310282754991296E-3</v>
      </c>
      <c r="J306" s="53">
        <v>-5.98308231896005E-3</v>
      </c>
      <c r="K306" s="53">
        <v>4.0064440489544504E-3</v>
      </c>
      <c r="L306" s="95">
        <f>IFERROR(B306*'Stock Statistics'!$C$41+C306*'Stock Statistics'!$C$42+D306*'Stock Statistics'!$C$43+E306*'Stock Statistics'!$C$44+F306*'Stock Statistics'!$C$45+G306*'Stock Statistics'!$C$46+H306*'Stock Statistics'!$C$47+I306*'Stock Statistics'!$C$48+J306*'Stock Statistics'!$C$49+K306*'Stock Statistics'!$C$50,"")</f>
        <v>-1.8751617778984605E-3</v>
      </c>
      <c r="M306" s="96">
        <v>488.98349999999999</v>
      </c>
      <c r="N306" s="97">
        <v>572.51229999999998</v>
      </c>
      <c r="O306" s="93">
        <f t="shared" si="12"/>
        <v>-5.1099197346869962E-3</v>
      </c>
      <c r="P306" s="93">
        <f t="shared" si="13"/>
        <v>-2.078595124182292E-3</v>
      </c>
      <c r="Q306" s="93">
        <f>B306*'Portfolio 2 &amp; 3'!$F$7+C306*'Portfolio 2 &amp; 3'!$F$8+D306*'Portfolio 2 &amp; 3'!$F$9+E306*'Portfolio 2 &amp; 3'!$F$10+F306*'Portfolio 2 &amp; 3'!$F$11+G306*'Portfolio 2 &amp; 3'!$F$12+H306*'Portfolio 2 &amp; 3'!$F$13+I306*'Portfolio 2 &amp; 3'!$F$14+J306*'Portfolio 2 &amp; 3'!$F$15+K306*'Portfolio 2 &amp; 3'!$F$16</f>
        <v>-1.9989121240748175E-3</v>
      </c>
      <c r="R306" s="93">
        <f>B306*'Portfolio 2 &amp; 3'!$B$23+C306*'Portfolio 2 &amp; 3'!$B$24+D306*'Portfolio 2 &amp; 3'!$B$25+E306*'Portfolio 2 &amp; 3'!$B$26+F306*'Portfolio 2 &amp; 3'!$B$27+G306*'Portfolio 2 &amp; 3'!$B$28+H306*'Portfolio 2 &amp; 3'!$B$29+I306*'Portfolio 2 &amp; 3'!$B$30+J306*'Portfolio 2 &amp; 3'!$B$31+K306*'Portfolio 2 &amp; 3'!$B$32</f>
        <v>1.3047057392052664E-3</v>
      </c>
      <c r="S306" s="93">
        <f t="shared" si="14"/>
        <v>-3.5942574294346441E-3</v>
      </c>
    </row>
    <row r="307" spans="1:19" ht="12.75" customHeight="1">
      <c r="A307" s="82">
        <v>45635</v>
      </c>
      <c r="B307" s="53">
        <v>2.5999999999999999E-3</v>
      </c>
      <c r="C307" s="53">
        <v>-4.5855668599351597E-3</v>
      </c>
      <c r="D307" s="53">
        <v>-1.93626462283181E-3</v>
      </c>
      <c r="E307" s="53">
        <v>7.26E-3</v>
      </c>
      <c r="F307" s="53">
        <v>-1.27122902220882E-2</v>
      </c>
      <c r="G307" s="53">
        <v>4.2869562610547999E-3</v>
      </c>
      <c r="H307" s="87">
        <v>-1.45120328939408E-3</v>
      </c>
      <c r="I307" s="53">
        <v>-4.71334068357221E-3</v>
      </c>
      <c r="J307" s="53">
        <v>-7.5590984057183298E-4</v>
      </c>
      <c r="K307" s="53">
        <v>-7.8380473991179799E-4</v>
      </c>
      <c r="L307" s="95">
        <f>IFERROR(B307*'Stock Statistics'!$C$41+C307*'Stock Statistics'!$C$42+D307*'Stock Statistics'!$C$43+E307*'Stock Statistics'!$C$44+F307*'Stock Statistics'!$C$45+G307*'Stock Statistics'!$C$46+H307*'Stock Statistics'!$C$47+I307*'Stock Statistics'!$C$48+J307*'Stock Statistics'!$C$49+K307*'Stock Statistics'!$C$50,"")</f>
        <v>-1.2791423997250294E-3</v>
      </c>
      <c r="M307" s="97">
        <v>491.495</v>
      </c>
      <c r="N307" s="96">
        <v>573.70479999999998</v>
      </c>
      <c r="O307" s="93">
        <f t="shared" si="12"/>
        <v>2.0951443459851227E-3</v>
      </c>
      <c r="P307" s="93">
        <f t="shared" si="13"/>
        <v>-4.3766421119395549E-4</v>
      </c>
      <c r="Q307" s="93">
        <f>B307*'Portfolio 2 &amp; 3'!$F$7+C307*'Portfolio 2 &amp; 3'!$F$8+D307*'Portfolio 2 &amp; 3'!$F$9+E307*'Portfolio 2 &amp; 3'!$F$10+F307*'Portfolio 2 &amp; 3'!$F$11+G307*'Portfolio 2 &amp; 3'!$F$12+H307*'Portfolio 2 &amp; 3'!$F$13+I307*'Portfolio 2 &amp; 3'!$F$14+J307*'Portfolio 2 &amp; 3'!$F$15+K307*'Portfolio 2 &amp; 3'!$F$16</f>
        <v>-1.8865077276575581E-3</v>
      </c>
      <c r="R307" s="93">
        <f>B307*'Portfolio 2 &amp; 3'!$B$23+C307*'Portfolio 2 &amp; 3'!$B$24+D307*'Portfolio 2 &amp; 3'!$B$25+E307*'Portfolio 2 &amp; 3'!$B$26+F307*'Portfolio 2 &amp; 3'!$B$27+G307*'Portfolio 2 &amp; 3'!$B$28+H307*'Portfolio 2 &amp; 3'!$B$29+I307*'Portfolio 2 &amp; 3'!$B$30+J307*'Portfolio 2 &amp; 3'!$B$31+K307*'Portfolio 2 &amp; 3'!$B$32</f>
        <v>-3.4164130085301181E-3</v>
      </c>
      <c r="S307" s="93">
        <f t="shared" si="14"/>
        <v>8.2874006739558359E-4</v>
      </c>
    </row>
    <row r="308" spans="1:19" ht="12.75" customHeight="1">
      <c r="A308" s="81">
        <v>45632</v>
      </c>
      <c r="B308" s="53">
        <v>-2.0000000000000001E-4</v>
      </c>
      <c r="C308" s="53">
        <v>-3.77810876593876E-3</v>
      </c>
      <c r="D308" s="53">
        <v>-5.3763440860214997E-3</v>
      </c>
      <c r="E308" s="53">
        <v>1.0869999999999999E-2</v>
      </c>
      <c r="F308" s="53">
        <v>1.7484662576687099E-2</v>
      </c>
      <c r="G308" s="53">
        <v>9.6024006001505001E-4</v>
      </c>
      <c r="H308" s="87">
        <v>-1.1791419352268699E-2</v>
      </c>
      <c r="I308" s="53">
        <v>2.2376308737810401E-3</v>
      </c>
      <c r="J308" s="53">
        <v>-9.3941456773314301E-3</v>
      </c>
      <c r="K308" s="53">
        <v>-4.5388571476511199E-3</v>
      </c>
      <c r="L308" s="95">
        <f>IFERROR(B308*'Stock Statistics'!$C$41+C308*'Stock Statistics'!$C$42+D308*'Stock Statistics'!$C$43+E308*'Stock Statistics'!$C$44+F308*'Stock Statistics'!$C$45+G308*'Stock Statistics'!$C$46+H308*'Stock Statistics'!$C$47+I308*'Stock Statistics'!$C$48+J308*'Stock Statistics'!$C$49+K308*'Stock Statistics'!$C$50,"")</f>
        <v>-3.5263415187283202E-4</v>
      </c>
      <c r="M308" s="96">
        <v>490.4674</v>
      </c>
      <c r="N308" s="97">
        <v>573.95600000000002</v>
      </c>
      <c r="O308" s="93">
        <f t="shared" si="12"/>
        <v>-2.2109464225917863E-3</v>
      </c>
      <c r="P308" s="93">
        <f t="shared" si="13"/>
        <v>3.6239898510797008E-3</v>
      </c>
      <c r="Q308" s="93">
        <f>B308*'Portfolio 2 &amp; 3'!$F$7+C308*'Portfolio 2 &amp; 3'!$F$8+D308*'Portfolio 2 &amp; 3'!$F$9+E308*'Portfolio 2 &amp; 3'!$F$10+F308*'Portfolio 2 &amp; 3'!$F$11+G308*'Portfolio 2 &amp; 3'!$F$12+H308*'Portfolio 2 &amp; 3'!$F$13+I308*'Portfolio 2 &amp; 3'!$F$14+J308*'Portfolio 2 &amp; 3'!$F$15+K308*'Portfolio 2 &amp; 3'!$F$16</f>
        <v>-1.9158425167116134E-3</v>
      </c>
      <c r="R308" s="93">
        <f>B308*'Portfolio 2 &amp; 3'!$B$23+C308*'Portfolio 2 &amp; 3'!$B$24+D308*'Portfolio 2 &amp; 3'!$B$25+E308*'Portfolio 2 &amp; 3'!$B$26+F308*'Portfolio 2 &amp; 3'!$B$27+G308*'Portfolio 2 &amp; 3'!$B$28+H308*'Portfolio 2 &amp; 3'!$B$29+I308*'Portfolio 2 &amp; 3'!$B$30+J308*'Portfolio 2 &amp; 3'!$B$31+K308*'Portfolio 2 &amp; 3'!$B$32</f>
        <v>1.5502176361127601E-3</v>
      </c>
      <c r="S308" s="93">
        <f t="shared" si="14"/>
        <v>7.0652171424395727E-4</v>
      </c>
    </row>
    <row r="309" spans="1:19" ht="12.75" customHeight="1">
      <c r="A309" s="82">
        <v>45631</v>
      </c>
      <c r="B309" s="53">
        <v>6.6E-3</v>
      </c>
      <c r="C309" s="53">
        <v>-2.4548410244598199E-2</v>
      </c>
      <c r="D309" s="53">
        <v>2.05041611385837E-3</v>
      </c>
      <c r="E309" s="53">
        <v>-1.465E-2</v>
      </c>
      <c r="F309" s="53">
        <v>7.8837532848972103E-3</v>
      </c>
      <c r="G309" s="53">
        <v>-8.6271009965789291E-3</v>
      </c>
      <c r="H309" s="87">
        <v>1.1565765334609101E-3</v>
      </c>
      <c r="I309" s="53">
        <v>1.82658511609879E-3</v>
      </c>
      <c r="J309" s="53">
        <v>-5.6856640043320096E-3</v>
      </c>
      <c r="K309" s="53">
        <v>-2.7908494066794499E-2</v>
      </c>
      <c r="L309" s="95">
        <f>IFERROR(B309*'Stock Statistics'!$C$41+C309*'Stock Statistics'!$C$42+D309*'Stock Statistics'!$C$43+E309*'Stock Statistics'!$C$44+F309*'Stock Statistics'!$C$45+G309*'Stock Statistics'!$C$46+H309*'Stock Statistics'!$C$47+I309*'Stock Statistics'!$C$48+J309*'Stock Statistics'!$C$49+K309*'Stock Statistics'!$C$50,"")</f>
        <v>-6.1902338263988364E-3</v>
      </c>
      <c r="M309" s="97">
        <v>491.55419999999998</v>
      </c>
      <c r="N309" s="96">
        <v>571.88350000000003</v>
      </c>
      <c r="O309" s="93">
        <f t="shared" si="12"/>
        <v>1.977642972457172E-3</v>
      </c>
      <c r="P309" s="93">
        <f t="shared" si="13"/>
        <v>8.2444833188777267E-4</v>
      </c>
      <c r="Q309" s="93">
        <f>B309*'Portfolio 2 &amp; 3'!$F$7+C309*'Portfolio 2 &amp; 3'!$F$8+D309*'Portfolio 2 &amp; 3'!$F$9+E309*'Portfolio 2 &amp; 3'!$F$10+F309*'Portfolio 2 &amp; 3'!$F$11+G309*'Portfolio 2 &amp; 3'!$F$12+H309*'Portfolio 2 &amp; 3'!$F$13+I309*'Portfolio 2 &amp; 3'!$F$14+J309*'Portfolio 2 &amp; 3'!$F$15+K309*'Portfolio 2 &amp; 3'!$F$16</f>
        <v>-5.0724370513825084E-3</v>
      </c>
      <c r="R309" s="93">
        <f>B309*'Portfolio 2 &amp; 3'!$B$23+C309*'Portfolio 2 &amp; 3'!$B$24+D309*'Portfolio 2 &amp; 3'!$B$25+E309*'Portfolio 2 &amp; 3'!$B$26+F309*'Portfolio 2 &amp; 3'!$B$27+G309*'Portfolio 2 &amp; 3'!$B$28+H309*'Portfolio 2 &amp; 3'!$B$29+I309*'Portfolio 2 &amp; 3'!$B$30+J309*'Portfolio 2 &amp; 3'!$B$31+K309*'Portfolio 2 &amp; 3'!$B$32</f>
        <v>-5.5511355228153696E-3</v>
      </c>
      <c r="S309" s="93">
        <f t="shared" si="14"/>
        <v>1.4010456521724723E-3</v>
      </c>
    </row>
    <row r="310" spans="1:19" ht="12.75" customHeight="1">
      <c r="A310" s="81">
        <v>45630</v>
      </c>
      <c r="B310" s="53">
        <v>1.44E-2</v>
      </c>
      <c r="C310" s="53">
        <v>-5.0681333403847003E-3</v>
      </c>
      <c r="D310" s="53">
        <v>-1.25059552167699E-2</v>
      </c>
      <c r="E310" s="53">
        <v>-4.4999999999999999E-4</v>
      </c>
      <c r="F310" s="53">
        <v>-1.1964158436004501E-2</v>
      </c>
      <c r="G310" s="53">
        <v>2.6397029215694499E-3</v>
      </c>
      <c r="H310" s="87">
        <v>1.1170706133806401E-2</v>
      </c>
      <c r="I310" s="53">
        <v>9.9731279607739908E-4</v>
      </c>
      <c r="J310" s="53">
        <v>-1.3916235608209499E-2</v>
      </c>
      <c r="K310" s="53">
        <v>5.66746497818316E-3</v>
      </c>
      <c r="L310" s="95">
        <f>IFERROR(B310*'Stock Statistics'!$C$41+C310*'Stock Statistics'!$C$42+D310*'Stock Statistics'!$C$43+E310*'Stock Statistics'!$C$44+F310*'Stock Statistics'!$C$45+G310*'Stock Statistics'!$C$46+H310*'Stock Statistics'!$C$47+I310*'Stock Statistics'!$C$48+J310*'Stock Statistics'!$C$49+K310*'Stock Statistics'!$C$50,"")</f>
        <v>-9.0292957717321896E-4</v>
      </c>
      <c r="M310" s="96">
        <v>490.584</v>
      </c>
      <c r="N310" s="97">
        <v>571.41240000000005</v>
      </c>
      <c r="O310" s="93">
        <f t="shared" si="12"/>
        <v>-1.8598240766343199E-3</v>
      </c>
      <c r="P310" s="93">
        <f t="shared" si="13"/>
        <v>1.008489726047368E-2</v>
      </c>
      <c r="Q310" s="93">
        <f>B310*'Portfolio 2 &amp; 3'!$F$7+C310*'Portfolio 2 &amp; 3'!$F$8+D310*'Portfolio 2 &amp; 3'!$F$9+E310*'Portfolio 2 &amp; 3'!$F$10+F310*'Portfolio 2 &amp; 3'!$F$11+G310*'Portfolio 2 &amp; 3'!$F$12+H310*'Portfolio 2 &amp; 3'!$F$13+I310*'Portfolio 2 &amp; 3'!$F$14+J310*'Portfolio 2 &amp; 3'!$F$15+K310*'Portfolio 2 &amp; 3'!$F$16</f>
        <v>-1.9854283663989997E-3</v>
      </c>
      <c r="R310" s="93">
        <f>B310*'Portfolio 2 &amp; 3'!$B$23+C310*'Portfolio 2 &amp; 3'!$B$24+D310*'Portfolio 2 &amp; 3'!$B$25+E310*'Portfolio 2 &amp; 3'!$B$26+F310*'Portfolio 2 &amp; 3'!$B$27+G310*'Portfolio 2 &amp; 3'!$B$28+H310*'Portfolio 2 &amp; 3'!$B$29+I310*'Portfolio 2 &amp; 3'!$B$30+J310*'Portfolio 2 &amp; 3'!$B$31+K310*'Portfolio 2 &amp; 3'!$B$32</f>
        <v>-1.90351801307353E-4</v>
      </c>
      <c r="S310" s="93">
        <f t="shared" si="14"/>
        <v>4.1125365919196799E-3</v>
      </c>
    </row>
    <row r="311" spans="1:19" ht="12.75" customHeight="1">
      <c r="A311" s="82">
        <v>45629</v>
      </c>
      <c r="B311" s="53">
        <v>1.38E-2</v>
      </c>
      <c r="C311" s="53">
        <v>6.2706768251039602E-3</v>
      </c>
      <c r="D311" s="53">
        <v>-3.8756624218934102E-3</v>
      </c>
      <c r="E311" s="53">
        <v>4.8500000000000001E-3</v>
      </c>
      <c r="F311" s="53">
        <v>7.7471653583705002E-3</v>
      </c>
      <c r="G311" s="53">
        <v>-3.1072522375189498E-3</v>
      </c>
      <c r="H311" s="87">
        <v>1.9990950598494501E-2</v>
      </c>
      <c r="I311" s="53">
        <v>-4.7423419449117397E-3</v>
      </c>
      <c r="J311" s="53">
        <v>-1.73235166738839E-3</v>
      </c>
      <c r="K311" s="53">
        <v>-2.5621353792056299E-2</v>
      </c>
      <c r="L311" s="95">
        <f>IFERROR(B311*'Stock Statistics'!$C$41+C311*'Stock Statistics'!$C$42+D311*'Stock Statistics'!$C$43+E311*'Stock Statistics'!$C$44+F311*'Stock Statistics'!$C$45+G311*'Stock Statistics'!$C$46+H311*'Stock Statistics'!$C$47+I311*'Stock Statistics'!$C$48+J311*'Stock Statistics'!$C$49+K311*'Stock Statistics'!$C$50,"")</f>
        <v>1.3579830718200175E-3</v>
      </c>
      <c r="M311" s="97">
        <v>491.49810000000002</v>
      </c>
      <c r="N311" s="96">
        <v>565.70730000000003</v>
      </c>
      <c r="O311" s="93">
        <f t="shared" si="12"/>
        <v>1.6850384361182247E-3</v>
      </c>
      <c r="P311" s="93">
        <f t="shared" si="13"/>
        <v>1.9413660002811195E-2</v>
      </c>
      <c r="Q311" s="93">
        <f>B311*'Portfolio 2 &amp; 3'!$F$7+C311*'Portfolio 2 &amp; 3'!$F$8+D311*'Portfolio 2 &amp; 3'!$F$9+E311*'Portfolio 2 &amp; 3'!$F$10+F311*'Portfolio 2 &amp; 3'!$F$11+G311*'Portfolio 2 &amp; 3'!$F$12+H311*'Portfolio 2 &amp; 3'!$F$13+I311*'Portfolio 2 &amp; 3'!$F$14+J311*'Portfolio 2 &amp; 3'!$F$15+K311*'Portfolio 2 &amp; 3'!$F$16</f>
        <v>2.5909796150980005E-3</v>
      </c>
      <c r="R311" s="93">
        <f>B311*'Portfolio 2 &amp; 3'!$B$23+C311*'Portfolio 2 &amp; 3'!$B$24+D311*'Portfolio 2 &amp; 3'!$B$25+E311*'Portfolio 2 &amp; 3'!$B$26+F311*'Portfolio 2 &amp; 3'!$B$27+G311*'Portfolio 2 &amp; 3'!$B$28+H311*'Portfolio 2 &amp; 3'!$B$29+I311*'Portfolio 2 &amp; 3'!$B$30+J311*'Portfolio 2 &amp; 3'!$B$31+K311*'Portfolio 2 &amp; 3'!$B$32</f>
        <v>1.0453473554511003E-3</v>
      </c>
      <c r="S311" s="93">
        <f t="shared" si="14"/>
        <v>1.054934921946471E-2</v>
      </c>
    </row>
    <row r="312" spans="1:19" ht="12.75" customHeight="1">
      <c r="A312" s="81">
        <v>45628</v>
      </c>
      <c r="B312" s="53">
        <v>1.1900000000000001E-2</v>
      </c>
      <c r="C312" s="53">
        <v>-9.7316762548855795E-3</v>
      </c>
      <c r="D312" s="53">
        <v>7.6110779039648699E-3</v>
      </c>
      <c r="E312" s="53">
        <v>8.0099999999999998E-3</v>
      </c>
      <c r="F312" s="53">
        <v>8.9031523370775006E-3</v>
      </c>
      <c r="G312" s="53">
        <v>7.1724840153930599E-3</v>
      </c>
      <c r="H312" s="87">
        <v>-7.3091057574520297E-3</v>
      </c>
      <c r="I312" s="53">
        <v>7.3602933007443899E-3</v>
      </c>
      <c r="J312" s="53">
        <v>-2.15463850316189E-2</v>
      </c>
      <c r="K312" s="53">
        <v>7.3987005981757097E-3</v>
      </c>
      <c r="L312" s="95">
        <f>IFERROR(B312*'Stock Statistics'!$C$41+C312*'Stock Statistics'!$C$42+D312*'Stock Statistics'!$C$43+E312*'Stock Statistics'!$C$44+F312*'Stock Statistics'!$C$45+G312*'Stock Statistics'!$C$46+H312*'Stock Statistics'!$C$47+I312*'Stock Statistics'!$C$48+J312*'Stock Statistics'!$C$49+K312*'Stock Statistics'!$C$50,"")</f>
        <v>1.9768541111399021E-3</v>
      </c>
      <c r="M312" s="96">
        <v>490.67129999999997</v>
      </c>
      <c r="N312" s="97">
        <v>554.93399999999997</v>
      </c>
      <c r="O312" s="93">
        <f t="shared" si="12"/>
        <v>5.2996959953253153E-3</v>
      </c>
      <c r="P312" s="93">
        <f t="shared" si="13"/>
        <v>-4.4596542032316888E-3</v>
      </c>
      <c r="Q312" s="93">
        <f>B312*'Portfolio 2 &amp; 3'!$F$7+C312*'Portfolio 2 &amp; 3'!$F$8+D312*'Portfolio 2 &amp; 3'!$F$9+E312*'Portfolio 2 &amp; 3'!$F$10+F312*'Portfolio 2 &amp; 3'!$F$11+G312*'Portfolio 2 &amp; 3'!$F$12+H312*'Portfolio 2 &amp; 3'!$F$13+I312*'Portfolio 2 &amp; 3'!$F$14+J312*'Portfolio 2 &amp; 3'!$F$15+K312*'Portfolio 2 &amp; 3'!$F$16</f>
        <v>-3.6708510633599856E-4</v>
      </c>
      <c r="R312" s="93">
        <f>B312*'Portfolio 2 &amp; 3'!$B$23+C312*'Portfolio 2 &amp; 3'!$B$24+D312*'Portfolio 2 &amp; 3'!$B$25+E312*'Portfolio 2 &amp; 3'!$B$26+F312*'Portfolio 2 &amp; 3'!$B$27+G312*'Portfolio 2 &amp; 3'!$B$28+H312*'Portfolio 2 &amp; 3'!$B$29+I312*'Portfolio 2 &amp; 3'!$B$30+J312*'Portfolio 2 &amp; 3'!$B$31+K312*'Portfolio 2 &amp; 3'!$B$32</f>
        <v>3.5391182583724748E-3</v>
      </c>
      <c r="S312" s="93">
        <f t="shared" si="14"/>
        <v>4.2002089604681325E-4</v>
      </c>
    </row>
    <row r="313" spans="1:19" ht="12.75" customHeight="1">
      <c r="A313" s="82">
        <v>45625</v>
      </c>
      <c r="B313" s="53">
        <v>1.26E-2</v>
      </c>
      <c r="C313" s="53">
        <v>8.9145672535866395E-3</v>
      </c>
      <c r="D313" s="53">
        <v>-6.2173293204498296E-3</v>
      </c>
      <c r="E313" s="53">
        <v>-2.3700000000000001E-3</v>
      </c>
      <c r="F313" s="53">
        <v>1.81827764309055E-2</v>
      </c>
      <c r="G313" s="53">
        <v>4.4973226640996301E-3</v>
      </c>
      <c r="H313" s="87">
        <v>2.2508696541845299E-3</v>
      </c>
      <c r="I313" s="53">
        <v>8.3331018582821797E-5</v>
      </c>
      <c r="J313" s="53">
        <v>1.7377462359885899E-2</v>
      </c>
      <c r="K313" s="53">
        <v>-7.1618694397596102E-3</v>
      </c>
      <c r="L313" s="95">
        <f>IFERROR(B313*'Stock Statistics'!$C$41+C313*'Stock Statistics'!$C$42+D313*'Stock Statistics'!$C$43+E313*'Stock Statistics'!$C$44+F313*'Stock Statistics'!$C$45+G313*'Stock Statistics'!$C$46+H313*'Stock Statistics'!$C$47+I313*'Stock Statistics'!$C$48+J313*'Stock Statistics'!$C$49+K313*'Stock Statistics'!$C$50,"")</f>
        <v>4.8157130621035577E-3</v>
      </c>
      <c r="M313" s="97">
        <v>488.08460000000002</v>
      </c>
      <c r="N313" s="96">
        <v>557.41989999999998</v>
      </c>
      <c r="O313" s="93">
        <f t="shared" si="12"/>
        <v>4.4391395835798875E-3</v>
      </c>
      <c r="P313" s="93">
        <f t="shared" si="13"/>
        <v>-5.9625849399970177E-3</v>
      </c>
      <c r="Q313" s="93">
        <f>B313*'Portfolio 2 &amp; 3'!$F$7+C313*'Portfolio 2 &amp; 3'!$F$8+D313*'Portfolio 2 &amp; 3'!$F$9+E313*'Portfolio 2 &amp; 3'!$F$10+F313*'Portfolio 2 &amp; 3'!$F$11+G313*'Portfolio 2 &amp; 3'!$F$12+H313*'Portfolio 2 &amp; 3'!$F$13+I313*'Portfolio 2 &amp; 3'!$F$14+J313*'Portfolio 2 &amp; 3'!$F$15+K313*'Portfolio 2 &amp; 3'!$F$16</f>
        <v>5.1605445039594458E-3</v>
      </c>
      <c r="R313" s="93">
        <f>B313*'Portfolio 2 &amp; 3'!$B$23+C313*'Portfolio 2 &amp; 3'!$B$24+D313*'Portfolio 2 &amp; 3'!$B$25+E313*'Portfolio 2 &amp; 3'!$B$26+F313*'Portfolio 2 &amp; 3'!$B$27+G313*'Portfolio 2 &amp; 3'!$B$28+H313*'Portfolio 2 &amp; 3'!$B$29+I313*'Portfolio 2 &amp; 3'!$B$30+J313*'Portfolio 2 &amp; 3'!$B$31+K313*'Portfolio 2 &amp; 3'!$B$32</f>
        <v>6.7031626564295031E-3</v>
      </c>
      <c r="S313" s="93">
        <f t="shared" si="14"/>
        <v>-7.617226782085651E-4</v>
      </c>
    </row>
    <row r="314" spans="1:19" ht="12.75" customHeight="1">
      <c r="A314" s="81">
        <v>45624</v>
      </c>
      <c r="B314" s="53">
        <v>-4.3E-3</v>
      </c>
      <c r="C314" s="53">
        <v>3.3955452937888903E-2</v>
      </c>
      <c r="D314" s="53">
        <v>1.9541343669250401E-2</v>
      </c>
      <c r="E314" s="53">
        <v>9.7800000000000005E-3</v>
      </c>
      <c r="F314" s="53">
        <v>-2.36605499763398E-3</v>
      </c>
      <c r="G314" s="53">
        <v>3.7855726751900597E-2</v>
      </c>
      <c r="H314" s="87">
        <v>1.61773267903185E-2</v>
      </c>
      <c r="I314" s="53">
        <v>-4.6998977081087502E-3</v>
      </c>
      <c r="J314" s="53">
        <v>-7.2757201646089804E-3</v>
      </c>
      <c r="K314" s="53">
        <v>1.33896026050189E-2</v>
      </c>
      <c r="L314" s="95">
        <f>IFERROR(B314*'Stock Statistics'!$C$41+C314*'Stock Statistics'!$C$42+D314*'Stock Statistics'!$C$43+E314*'Stock Statistics'!$C$44+F314*'Stock Statistics'!$C$45+G314*'Stock Statistics'!$C$46+H314*'Stock Statistics'!$C$47+I314*'Stock Statistics'!$C$48+J314*'Stock Statistics'!$C$49+K314*'Stock Statistics'!$C$50,"")</f>
        <v>1.1205777988402558E-2</v>
      </c>
      <c r="M314" s="96">
        <v>485.92750000000001</v>
      </c>
      <c r="N314" s="97">
        <v>560.76350000000002</v>
      </c>
      <c r="O314" s="93">
        <f t="shared" si="12"/>
        <v>1.0403300477850763E-2</v>
      </c>
      <c r="P314" s="93">
        <f t="shared" si="13"/>
        <v>-8.0161685491645374E-3</v>
      </c>
      <c r="Q314" s="93">
        <f>B314*'Portfolio 2 &amp; 3'!$F$7+C314*'Portfolio 2 &amp; 3'!$F$8+D314*'Portfolio 2 &amp; 3'!$F$9+E314*'Portfolio 2 &amp; 3'!$F$10+F314*'Portfolio 2 &amp; 3'!$F$11+G314*'Portfolio 2 &amp; 3'!$F$12+H314*'Portfolio 2 &amp; 3'!$F$13+I314*'Portfolio 2 &amp; 3'!$F$14+J314*'Portfolio 2 &amp; 3'!$F$15+K314*'Portfolio 2 &amp; 3'!$F$16</f>
        <v>1.0388922538647066E-2</v>
      </c>
      <c r="R314" s="93">
        <f>B314*'Portfolio 2 &amp; 3'!$B$23+C314*'Portfolio 2 &amp; 3'!$B$24+D314*'Portfolio 2 &amp; 3'!$B$25+E314*'Portfolio 2 &amp; 3'!$B$26+F314*'Portfolio 2 &amp; 3'!$B$27+G314*'Portfolio 2 &amp; 3'!$B$28+H314*'Portfolio 2 &amp; 3'!$B$29+I314*'Portfolio 2 &amp; 3'!$B$30+J314*'Portfolio 2 &amp; 3'!$B$31+K314*'Portfolio 2 &amp; 3'!$B$32</f>
        <v>1.0027547618185884E-2</v>
      </c>
      <c r="S314" s="93">
        <f t="shared" si="14"/>
        <v>1.1935659643431129E-3</v>
      </c>
    </row>
    <row r="315" spans="1:19" ht="12.75" customHeight="1">
      <c r="A315" s="82">
        <v>45623</v>
      </c>
      <c r="B315" s="53">
        <v>-2.9999999999999997E-4</v>
      </c>
      <c r="C315" s="53">
        <v>1.33948640788262E-3</v>
      </c>
      <c r="D315" s="53">
        <v>1.22609122118687E-2</v>
      </c>
      <c r="E315" s="53">
        <v>2.4559999999999998E-2</v>
      </c>
      <c r="F315" s="53">
        <v>-2.1511017838404798E-3</v>
      </c>
      <c r="G315" s="53">
        <v>-6.6678038115027798E-3</v>
      </c>
      <c r="H315" s="87">
        <v>8.6832501363311998E-3</v>
      </c>
      <c r="I315" s="53">
        <v>1.55258577123925E-2</v>
      </c>
      <c r="J315" s="53">
        <v>-9.8767846665362997E-3</v>
      </c>
      <c r="K315" s="53">
        <v>3.71148224066669E-2</v>
      </c>
      <c r="L315" s="95">
        <f>IFERROR(B315*'Stock Statistics'!$C$41+C315*'Stock Statistics'!$C$42+D315*'Stock Statistics'!$C$43+E315*'Stock Statistics'!$C$44+F315*'Stock Statistics'!$C$45+G315*'Stock Statistics'!$C$46+H315*'Stock Statistics'!$C$47+I315*'Stock Statistics'!$C$48+J315*'Stock Statistics'!$C$49+K315*'Stock Statistics'!$C$50,"")</f>
        <v>8.0488638613262359E-3</v>
      </c>
      <c r="M315" s="97">
        <v>480.92430000000002</v>
      </c>
      <c r="N315" s="96">
        <v>565.29499999999996</v>
      </c>
      <c r="O315" s="93">
        <f t="shared" si="12"/>
        <v>-1.7673986885458071E-5</v>
      </c>
      <c r="P315" s="93">
        <f t="shared" si="13"/>
        <v>7.7772280978547492E-3</v>
      </c>
      <c r="Q315" s="93">
        <f>B315*'Portfolio 2 &amp; 3'!$F$7+C315*'Portfolio 2 &amp; 3'!$F$8+D315*'Portfolio 2 &amp; 3'!$F$9+E315*'Portfolio 2 &amp; 3'!$F$10+F315*'Portfolio 2 &amp; 3'!$F$11+G315*'Portfolio 2 &amp; 3'!$F$12+H315*'Portfolio 2 &amp; 3'!$F$13+I315*'Portfolio 2 &amp; 3'!$F$14+J315*'Portfolio 2 &amp; 3'!$F$15+K315*'Portfolio 2 &amp; 3'!$F$16</f>
        <v>7.1713485303191264E-3</v>
      </c>
      <c r="R315" s="93">
        <f>B315*'Portfolio 2 &amp; 3'!$B$23+C315*'Portfolio 2 &amp; 3'!$B$24+D315*'Portfolio 2 &amp; 3'!$B$25+E315*'Portfolio 2 &amp; 3'!$B$26+F315*'Portfolio 2 &amp; 3'!$B$27+G315*'Portfolio 2 &amp; 3'!$B$28+H315*'Portfolio 2 &amp; 3'!$B$29+I315*'Portfolio 2 &amp; 3'!$B$30+J315*'Portfolio 2 &amp; 3'!$B$31+K315*'Portfolio 2 &amp; 3'!$B$32</f>
        <v>6.325834557912793E-3</v>
      </c>
      <c r="S315" s="93">
        <f t="shared" si="14"/>
        <v>3.8797770554846456E-3</v>
      </c>
    </row>
    <row r="316" spans="1:19" ht="12.75" customHeight="1">
      <c r="A316" s="81">
        <v>45622</v>
      </c>
      <c r="B316" s="53">
        <v>-9.1999999999999998E-3</v>
      </c>
      <c r="C316" s="53">
        <v>-6.2996863831958896E-3</v>
      </c>
      <c r="D316" s="53">
        <v>-3.2995234021752102E-3</v>
      </c>
      <c r="E316" s="53">
        <v>-3.7399999999999998E-3</v>
      </c>
      <c r="F316" s="53">
        <v>-1.17695857313216E-2</v>
      </c>
      <c r="G316" s="53">
        <v>-3.4102711165551202E-4</v>
      </c>
      <c r="H316" s="87">
        <v>-6.6255521293441299E-3</v>
      </c>
      <c r="I316" s="53">
        <v>2.68992359809717E-2</v>
      </c>
      <c r="J316" s="53">
        <v>2.7566571763523801E-2</v>
      </c>
      <c r="K316" s="53">
        <v>-7.9010534737964395E-3</v>
      </c>
      <c r="L316" s="95">
        <f>IFERROR(B316*'Stock Statistics'!$C$41+C316*'Stock Statistics'!$C$42+D316*'Stock Statistics'!$C$43+E316*'Stock Statistics'!$C$44+F316*'Stock Statistics'!$C$45+G316*'Stock Statistics'!$C$46+H316*'Stock Statistics'!$C$47+I316*'Stock Statistics'!$C$48+J316*'Stock Statistics'!$C$49+K316*'Stock Statistics'!$C$50,"")</f>
        <v>5.2893795130067197E-4</v>
      </c>
      <c r="M316" s="96">
        <v>480.93279999999999</v>
      </c>
      <c r="N316" s="97">
        <v>560.9325</v>
      </c>
      <c r="O316" s="93">
        <f t="shared" si="12"/>
        <v>1.9054316827785245E-2</v>
      </c>
      <c r="P316" s="93">
        <f t="shared" si="13"/>
        <v>1.1425251638083944E-2</v>
      </c>
      <c r="Q316" s="93">
        <f>B316*'Portfolio 2 &amp; 3'!$F$7+C316*'Portfolio 2 &amp; 3'!$F$8+D316*'Portfolio 2 &amp; 3'!$F$9+E316*'Portfolio 2 &amp; 3'!$F$10+F316*'Portfolio 2 &amp; 3'!$F$11+G316*'Portfolio 2 &amp; 3'!$F$12+H316*'Portfolio 2 &amp; 3'!$F$13+I316*'Portfolio 2 &amp; 3'!$F$14+J316*'Portfolio 2 &amp; 3'!$F$15+K316*'Portfolio 2 &amp; 3'!$F$16</f>
        <v>1.4179801514556003E-3</v>
      </c>
      <c r="R316" s="93">
        <f>B316*'Portfolio 2 &amp; 3'!$B$23+C316*'Portfolio 2 &amp; 3'!$B$24+D316*'Portfolio 2 &amp; 3'!$B$25+E316*'Portfolio 2 &amp; 3'!$B$26+F316*'Portfolio 2 &amp; 3'!$B$27+G316*'Portfolio 2 &amp; 3'!$B$28+H316*'Portfolio 2 &amp; 3'!$B$29+I316*'Portfolio 2 &amp; 3'!$B$30+J316*'Portfolio 2 &amp; 3'!$B$31+K316*'Portfolio 2 &amp; 3'!$B$32</f>
        <v>2.3856272732421624E-3</v>
      </c>
      <c r="S316" s="93">
        <f t="shared" si="14"/>
        <v>1.5239784232934594E-2</v>
      </c>
    </row>
    <row r="317" spans="1:19" ht="12.75" customHeight="1">
      <c r="A317" s="82">
        <v>45621</v>
      </c>
      <c r="B317" s="53">
        <v>1.4E-3</v>
      </c>
      <c r="C317" s="53">
        <v>1.1134841100339801E-3</v>
      </c>
      <c r="D317" s="53">
        <v>-1.15160056372056E-2</v>
      </c>
      <c r="E317" s="53">
        <v>-1.485E-2</v>
      </c>
      <c r="F317" s="53">
        <v>1.6121384542437299E-2</v>
      </c>
      <c r="G317" s="53">
        <v>-1.25665829914895E-2</v>
      </c>
      <c r="H317" s="87">
        <v>-7.2394820667687201E-3</v>
      </c>
      <c r="I317" s="53">
        <v>-8.6884449398382298E-3</v>
      </c>
      <c r="J317" s="53">
        <v>1.07299735103772E-3</v>
      </c>
      <c r="K317" s="53">
        <v>-1.20708110333471E-2</v>
      </c>
      <c r="L317" s="95">
        <f>IFERROR(B317*'Stock Statistics'!$C$41+C317*'Stock Statistics'!$C$42+D317*'Stock Statistics'!$C$43+E317*'Stock Statistics'!$C$44+F317*'Stock Statistics'!$C$45+G317*'Stock Statistics'!$C$46+H317*'Stock Statistics'!$C$47+I317*'Stock Statistics'!$C$48+J317*'Stock Statistics'!$C$49+K317*'Stock Statistics'!$C$50,"")</f>
        <v>-4.7223460665140153E-3</v>
      </c>
      <c r="M317" s="97">
        <v>471.94029999999998</v>
      </c>
      <c r="N317" s="96">
        <v>554.59609999999998</v>
      </c>
      <c r="O317" s="93">
        <f t="shared" si="12"/>
        <v>-5.086925715495183E-3</v>
      </c>
      <c r="P317" s="93">
        <f t="shared" si="13"/>
        <v>3.4282531993321541E-3</v>
      </c>
      <c r="Q317" s="93">
        <f>B317*'Portfolio 2 &amp; 3'!$F$7+C317*'Portfolio 2 &amp; 3'!$F$8+D317*'Portfolio 2 &amp; 3'!$F$9+E317*'Portfolio 2 &amp; 3'!$F$10+F317*'Portfolio 2 &amp; 3'!$F$11+G317*'Portfolio 2 &amp; 3'!$F$12+H317*'Portfolio 2 &amp; 3'!$F$13+I317*'Portfolio 2 &amp; 3'!$F$14+J317*'Portfolio 2 &amp; 3'!$F$15+K317*'Portfolio 2 &amp; 3'!$F$16</f>
        <v>-4.15542387835787E-3</v>
      </c>
      <c r="R317" s="93">
        <f>B317*'Portfolio 2 &amp; 3'!$B$23+C317*'Portfolio 2 &amp; 3'!$B$24+D317*'Portfolio 2 &amp; 3'!$B$25+E317*'Portfolio 2 &amp; 3'!$B$26+F317*'Portfolio 2 &amp; 3'!$B$27+G317*'Portfolio 2 &amp; 3'!$B$28+H317*'Portfolio 2 &amp; 3'!$B$29+I317*'Portfolio 2 &amp; 3'!$B$30+J317*'Portfolio 2 &amp; 3'!$B$31+K317*'Portfolio 2 &amp; 3'!$B$32</f>
        <v>-1.9256858312946695E-3</v>
      </c>
      <c r="S317" s="93">
        <f t="shared" si="14"/>
        <v>-8.2933625808151445E-4</v>
      </c>
    </row>
    <row r="318" spans="1:19" ht="12.75" customHeight="1">
      <c r="A318" s="81">
        <v>45618</v>
      </c>
      <c r="B318" s="53">
        <v>2.23E-2</v>
      </c>
      <c r="C318" s="53">
        <v>-1.8814869209345698E-2</v>
      </c>
      <c r="D318" s="53">
        <v>1.4750347307346499E-2</v>
      </c>
      <c r="E318" s="53">
        <v>-3.372E-2</v>
      </c>
      <c r="F318" s="53">
        <v>5.2963296435570902E-3</v>
      </c>
      <c r="G318" s="53">
        <v>3.1416753496889903E-2</v>
      </c>
      <c r="H318" s="87">
        <v>-5.3750103365579605E-4</v>
      </c>
      <c r="I318" s="53">
        <v>-6.8971389645775504E-3</v>
      </c>
      <c r="J318" s="53">
        <v>-1.03838681583701E-3</v>
      </c>
      <c r="K318" s="53">
        <v>-1.07437545308668E-2</v>
      </c>
      <c r="L318" s="95">
        <f>IFERROR(B318*'Stock Statistics'!$C$41+C318*'Stock Statistics'!$C$42+D318*'Stock Statistics'!$C$43+E318*'Stock Statistics'!$C$44+F318*'Stock Statistics'!$C$45+G318*'Stock Statistics'!$C$46+H318*'Stock Statistics'!$C$47+I318*'Stock Statistics'!$C$48+J318*'Stock Statistics'!$C$49+K318*'Stock Statistics'!$C$50,"")</f>
        <v>2.0117798935106426E-4</v>
      </c>
      <c r="M318" s="96">
        <v>474.35329999999999</v>
      </c>
      <c r="N318" s="97">
        <v>552.70129999999995</v>
      </c>
      <c r="O318" s="93">
        <f t="shared" si="12"/>
        <v>-4.6524071464767447E-3</v>
      </c>
      <c r="P318" s="93">
        <f t="shared" si="13"/>
        <v>9.2556578991096483E-3</v>
      </c>
      <c r="Q318" s="93">
        <f>B318*'Portfolio 2 &amp; 3'!$F$7+C318*'Portfolio 2 &amp; 3'!$F$8+D318*'Portfolio 2 &amp; 3'!$F$9+E318*'Portfolio 2 &amp; 3'!$F$10+F318*'Portfolio 2 &amp; 3'!$F$11+G318*'Portfolio 2 &amp; 3'!$F$12+H318*'Portfolio 2 &amp; 3'!$F$13+I318*'Portfolio 2 &amp; 3'!$F$14+J318*'Portfolio 2 &amp; 3'!$F$15+K318*'Portfolio 2 &amp; 3'!$F$16</f>
        <v>-2.3481483072471077E-4</v>
      </c>
      <c r="R318" s="93">
        <f>B318*'Portfolio 2 &amp; 3'!$B$23+C318*'Portfolio 2 &amp; 3'!$B$24+D318*'Portfolio 2 &amp; 3'!$B$25+E318*'Portfolio 2 &amp; 3'!$B$26+F318*'Portfolio 2 &amp; 3'!$B$27+G318*'Portfolio 2 &amp; 3'!$B$28+H318*'Portfolio 2 &amp; 3'!$B$29+I318*'Portfolio 2 &amp; 3'!$B$30+J318*'Portfolio 2 &amp; 3'!$B$31+K318*'Portfolio 2 &amp; 3'!$B$32</f>
        <v>1.0434705073463025E-3</v>
      </c>
      <c r="S318" s="93">
        <f t="shared" si="14"/>
        <v>2.3016253763164518E-3</v>
      </c>
    </row>
    <row r="319" spans="1:19" ht="12.75" customHeight="1">
      <c r="A319" s="82">
        <v>45617</v>
      </c>
      <c r="B319" s="53">
        <v>-4.0000000000000001E-3</v>
      </c>
      <c r="C319" s="53">
        <v>-3.8181899281858299E-3</v>
      </c>
      <c r="D319" s="53">
        <v>3.0327868852460002E-3</v>
      </c>
      <c r="E319" s="53">
        <v>9.8499999999999994E-3</v>
      </c>
      <c r="F319" s="53">
        <v>-3.74630645842133E-3</v>
      </c>
      <c r="G319" s="53">
        <v>2.10029175196247E-2</v>
      </c>
      <c r="H319" s="87">
        <v>-4.2406027419820101E-3</v>
      </c>
      <c r="I319" s="53">
        <v>-2.07348935460561E-2</v>
      </c>
      <c r="J319" s="53">
        <v>-7.0511541275859501E-3</v>
      </c>
      <c r="K319" s="53">
        <v>2.3356423016329501E-2</v>
      </c>
      <c r="L319" s="95">
        <f>IFERROR(B319*'Stock Statistics'!$C$41+C319*'Stock Statistics'!$C$42+D319*'Stock Statistics'!$C$43+E319*'Stock Statistics'!$C$44+F319*'Stock Statistics'!$C$45+G319*'Stock Statistics'!$C$46+H319*'Stock Statistics'!$C$47+I319*'Stock Statistics'!$C$48+J319*'Stock Statistics'!$C$49+K319*'Stock Statistics'!$C$50,"")</f>
        <v>1.3650980618968977E-3</v>
      </c>
      <c r="M319" s="97">
        <v>476.57049999999998</v>
      </c>
      <c r="N319" s="96">
        <v>547.63260000000002</v>
      </c>
      <c r="O319" s="93">
        <f t="shared" si="12"/>
        <v>-1.0832326323493291E-2</v>
      </c>
      <c r="P319" s="93">
        <f t="shared" si="13"/>
        <v>-6.3983339837806463E-3</v>
      </c>
      <c r="Q319" s="93">
        <f>B319*'Portfolio 2 &amp; 3'!$F$7+C319*'Portfolio 2 &amp; 3'!$F$8+D319*'Portfolio 2 &amp; 3'!$F$9+E319*'Portfolio 2 &amp; 3'!$F$10+F319*'Portfolio 2 &amp; 3'!$F$11+G319*'Portfolio 2 &amp; 3'!$F$12+H319*'Portfolio 2 &amp; 3'!$F$13+I319*'Portfolio 2 &amp; 3'!$F$14+J319*'Portfolio 2 &amp; 3'!$F$15+K319*'Portfolio 2 &amp; 3'!$F$16</f>
        <v>-3.9521007891018547E-4</v>
      </c>
      <c r="R319" s="93">
        <f>B319*'Portfolio 2 &amp; 3'!$B$23+C319*'Portfolio 2 &amp; 3'!$B$24+D319*'Portfolio 2 &amp; 3'!$B$25+E319*'Portfolio 2 &amp; 3'!$B$26+F319*'Portfolio 2 &amp; 3'!$B$27+G319*'Portfolio 2 &amp; 3'!$B$28+H319*'Portfolio 2 &amp; 3'!$B$29+I319*'Portfolio 2 &amp; 3'!$B$30+J319*'Portfolio 2 &amp; 3'!$B$31+K319*'Portfolio 2 &amp; 3'!$B$32</f>
        <v>-3.1245217472693396E-3</v>
      </c>
      <c r="S319" s="93">
        <f t="shared" si="14"/>
        <v>-8.6153301536369686E-3</v>
      </c>
    </row>
    <row r="320" spans="1:19" ht="12.75" customHeight="1">
      <c r="A320" s="81">
        <v>45615</v>
      </c>
      <c r="B320" s="53">
        <v>1.4E-3</v>
      </c>
      <c r="C320" s="53">
        <v>1.3553835581757099E-2</v>
      </c>
      <c r="D320" s="53">
        <v>-2.4078073754099701E-2</v>
      </c>
      <c r="E320" s="53">
        <v>1.49E-2</v>
      </c>
      <c r="F320" s="53">
        <v>3.06975759500361E-3</v>
      </c>
      <c r="G320" s="53">
        <v>2.2941338029307499E-3</v>
      </c>
      <c r="H320" s="87">
        <v>1.5978583678420501E-2</v>
      </c>
      <c r="I320" s="53">
        <v>2.00523589372259E-3</v>
      </c>
      <c r="J320" s="53">
        <v>1.13017154389505E-2</v>
      </c>
      <c r="K320" s="53">
        <v>3.55523581670036E-3</v>
      </c>
      <c r="L320" s="95">
        <f>IFERROR(B320*'Stock Statistics'!$C$41+C320*'Stock Statistics'!$C$42+D320*'Stock Statistics'!$C$43+E320*'Stock Statistics'!$C$44+F320*'Stock Statistics'!$C$45+G320*'Stock Statistics'!$C$46+H320*'Stock Statistics'!$C$47+I320*'Stock Statistics'!$C$48+J320*'Stock Statistics'!$C$49+K320*'Stock Statistics'!$C$50,"")</f>
        <v>4.3980424053385713E-3</v>
      </c>
      <c r="M320" s="96">
        <v>481.7894</v>
      </c>
      <c r="N320" s="97">
        <v>551.15909999999997</v>
      </c>
      <c r="O320" s="93">
        <f t="shared" si="12"/>
        <v>1.4805790375857164E-2</v>
      </c>
      <c r="P320" s="93">
        <f t="shared" si="13"/>
        <v>7.989554021277101E-4</v>
      </c>
      <c r="Q320" s="93">
        <f>B320*'Portfolio 2 &amp; 3'!$F$7+C320*'Portfolio 2 &amp; 3'!$F$8+D320*'Portfolio 2 &amp; 3'!$F$9+E320*'Portfolio 2 &amp; 3'!$F$10+F320*'Portfolio 2 &amp; 3'!$F$11+G320*'Portfolio 2 &amp; 3'!$F$12+H320*'Portfolio 2 &amp; 3'!$F$13+I320*'Portfolio 2 &amp; 3'!$F$14+J320*'Portfolio 2 &amp; 3'!$F$15+K320*'Portfolio 2 &amp; 3'!$F$16</f>
        <v>4.4310977457014825E-3</v>
      </c>
      <c r="R320" s="93">
        <f>B320*'Portfolio 2 &amp; 3'!$B$23+C320*'Portfolio 2 &amp; 3'!$B$24+D320*'Portfolio 2 &amp; 3'!$B$25+E320*'Portfolio 2 &amp; 3'!$B$26+F320*'Portfolio 2 &amp; 3'!$B$27+G320*'Portfolio 2 &amp; 3'!$B$28+H320*'Portfolio 2 &amp; 3'!$B$29+I320*'Portfolio 2 &amp; 3'!$B$30+J320*'Portfolio 2 &amp; 3'!$B$31+K320*'Portfolio 2 &amp; 3'!$B$32</f>
        <v>4.865870709663731E-3</v>
      </c>
      <c r="S320" s="93">
        <f t="shared" si="14"/>
        <v>7.8023728889924371E-3</v>
      </c>
    </row>
    <row r="321" spans="1:19" ht="12.75" customHeight="1">
      <c r="A321" s="82">
        <v>45614</v>
      </c>
      <c r="B321" s="53">
        <v>-6.0000000000000001E-3</v>
      </c>
      <c r="C321" s="53">
        <v>2.6563194110769098E-3</v>
      </c>
      <c r="D321" s="53">
        <v>1.1898980087420999E-2</v>
      </c>
      <c r="E321" s="53">
        <v>9.1400000000000006E-3</v>
      </c>
      <c r="F321" s="53">
        <v>-1.3265092960100301E-2</v>
      </c>
      <c r="G321" s="53">
        <v>-3.4614889232355002E-3</v>
      </c>
      <c r="H321" s="87">
        <v>-1.4916148172565801E-2</v>
      </c>
      <c r="I321" s="53">
        <v>8.5955056179774E-3</v>
      </c>
      <c r="J321" s="53">
        <v>1.4329580348004099E-2</v>
      </c>
      <c r="K321" s="53">
        <v>1.2921867188625299E-2</v>
      </c>
      <c r="L321" s="95">
        <f>IFERROR(B321*'Stock Statistics'!$C$41+C321*'Stock Statistics'!$C$42+D321*'Stock Statistics'!$C$43+E321*'Stock Statistics'!$C$44+F321*'Stock Statistics'!$C$45+G321*'Stock Statistics'!$C$46+H321*'Stock Statistics'!$C$47+I321*'Stock Statistics'!$C$48+J321*'Stock Statistics'!$C$49+K321*'Stock Statistics'!$C$50,"")</f>
        <v>2.1899522597203106E-3</v>
      </c>
      <c r="M321" s="97">
        <v>474.7602</v>
      </c>
      <c r="N321" s="96">
        <v>550.71910000000003</v>
      </c>
      <c r="O321" s="93">
        <f t="shared" si="12"/>
        <v>7.4427143987261246E-3</v>
      </c>
      <c r="P321" s="93">
        <f t="shared" si="13"/>
        <v>-1.7125200735443991E-2</v>
      </c>
      <c r="Q321" s="93">
        <f>B321*'Portfolio 2 &amp; 3'!$F$7+C321*'Portfolio 2 &amp; 3'!$F$8+D321*'Portfolio 2 &amp; 3'!$F$9+E321*'Portfolio 2 &amp; 3'!$F$10+F321*'Portfolio 2 &amp; 3'!$F$11+G321*'Portfolio 2 &amp; 3'!$F$12+H321*'Portfolio 2 &amp; 3'!$F$13+I321*'Portfolio 2 &amp; 3'!$F$14+J321*'Portfolio 2 &amp; 3'!$F$15+K321*'Portfolio 2 &amp; 3'!$F$16</f>
        <v>1.94420588888668E-3</v>
      </c>
      <c r="R321" s="93">
        <f>B321*'Portfolio 2 &amp; 3'!$B$23+C321*'Portfolio 2 &amp; 3'!$B$24+D321*'Portfolio 2 &amp; 3'!$B$25+E321*'Portfolio 2 &amp; 3'!$B$26+F321*'Portfolio 2 &amp; 3'!$B$27+G321*'Portfolio 2 &amp; 3'!$B$28+H321*'Portfolio 2 &amp; 3'!$B$29+I321*'Portfolio 2 &amp; 3'!$B$30+J321*'Portfolio 2 &amp; 3'!$B$31+K321*'Portfolio 2 &amp; 3'!$B$32</f>
        <v>6.7594388529612225E-4</v>
      </c>
      <c r="S321" s="93">
        <f t="shared" si="14"/>
        <v>-4.841243168358933E-3</v>
      </c>
    </row>
    <row r="322" spans="1:19" ht="12.75" customHeight="1">
      <c r="A322" s="81">
        <v>45610</v>
      </c>
      <c r="B322" s="53">
        <v>-1.01E-2</v>
      </c>
      <c r="C322" s="53">
        <v>-1.77377170834125E-3</v>
      </c>
      <c r="D322" s="53">
        <v>-1.0888710968775001E-2</v>
      </c>
      <c r="E322" s="53">
        <v>-2.2000000000000001E-3</v>
      </c>
      <c r="F322" s="53">
        <v>-6.5888456549935102E-3</v>
      </c>
      <c r="G322" s="53">
        <v>1.03145951521388E-3</v>
      </c>
      <c r="H322" s="87">
        <v>1.6672950441958899E-2</v>
      </c>
      <c r="I322" s="53">
        <v>1.5473343648895199E-3</v>
      </c>
      <c r="J322" s="53">
        <v>-4.11131120247354E-3</v>
      </c>
      <c r="K322" s="53">
        <v>2.3271743559952499E-2</v>
      </c>
      <c r="L322" s="95">
        <f>IFERROR(B322*'Stock Statistics'!$C$41+C322*'Stock Statistics'!$C$42+D322*'Stock Statistics'!$C$43+E322*'Stock Statistics'!$C$44+F322*'Stock Statistics'!$C$45+G322*'Stock Statistics'!$C$46+H322*'Stock Statistics'!$C$47+I322*'Stock Statistics'!$C$48+J322*'Stock Statistics'!$C$49+K322*'Stock Statistics'!$C$50,"")</f>
        <v>6.8608483474314917E-4</v>
      </c>
      <c r="M322" s="96">
        <v>471.25279999999998</v>
      </c>
      <c r="N322" s="97">
        <v>560.31460000000004</v>
      </c>
      <c r="O322" s="93">
        <f t="shared" ref="O322:O385" si="15">M322/M323-1</f>
        <v>5.5246449692274435E-3</v>
      </c>
      <c r="P322" s="93">
        <f t="shared" ref="P322:P385" si="16">N322/N323-1</f>
        <v>-6.0039134360712065E-3</v>
      </c>
      <c r="Q322" s="93">
        <f>B322*'Portfolio 2 &amp; 3'!$F$7+C322*'Portfolio 2 &amp; 3'!$F$8+D322*'Portfolio 2 &amp; 3'!$F$9+E322*'Portfolio 2 &amp; 3'!$F$10+F322*'Portfolio 2 &amp; 3'!$F$11+G322*'Portfolio 2 &amp; 3'!$F$12+H322*'Portfolio 2 &amp; 3'!$F$13+I322*'Portfolio 2 &amp; 3'!$F$14+J322*'Portfolio 2 &amp; 3'!$F$15+K322*'Portfolio 2 &amp; 3'!$F$16</f>
        <v>1.0153594625265834E-3</v>
      </c>
      <c r="R322" s="93">
        <f>B322*'Portfolio 2 &amp; 3'!$B$23+C322*'Portfolio 2 &amp; 3'!$B$24+D322*'Portfolio 2 &amp; 3'!$B$25+E322*'Portfolio 2 &amp; 3'!$B$26+F322*'Portfolio 2 &amp; 3'!$B$27+G322*'Portfolio 2 &amp; 3'!$B$28+H322*'Portfolio 2 &amp; 3'!$B$29+I322*'Portfolio 2 &amp; 3'!$B$30+J322*'Portfolio 2 &amp; 3'!$B$31+K322*'Portfolio 2 &amp; 3'!$B$32</f>
        <v>-4.2623882047319178E-6</v>
      </c>
      <c r="S322" s="93">
        <f t="shared" ref="S322:S385" si="17">IFERROR(AVERAGE(O322,P322),"")</f>
        <v>-2.396342334218815E-4</v>
      </c>
    </row>
    <row r="323" spans="1:19" ht="12.75" customHeight="1">
      <c r="A323" s="82">
        <v>45609</v>
      </c>
      <c r="B323" s="53">
        <v>-3.39E-2</v>
      </c>
      <c r="C323" s="53">
        <v>-8.3016226306720196E-3</v>
      </c>
      <c r="D323" s="53">
        <v>-3.6015846972670102E-4</v>
      </c>
      <c r="E323" s="53">
        <v>1.4069999999999999E-2</v>
      </c>
      <c r="F323" s="53">
        <v>1.4740721242432199E-2</v>
      </c>
      <c r="G323" s="53">
        <v>-4.5562471924532897E-3</v>
      </c>
      <c r="H323" s="87">
        <v>-2.7023722181462401E-2</v>
      </c>
      <c r="I323" s="53">
        <v>1.6878844228293399E-2</v>
      </c>
      <c r="J323" s="53">
        <v>4.2996075754990802E-3</v>
      </c>
      <c r="K323" s="53">
        <v>2.87821081372486E-3</v>
      </c>
      <c r="L323" s="95">
        <f>IFERROR(B323*'Stock Statistics'!$C$41+C323*'Stock Statistics'!$C$42+D323*'Stock Statistics'!$C$43+E323*'Stock Statistics'!$C$44+F323*'Stock Statistics'!$C$45+G323*'Stock Statistics'!$C$46+H323*'Stock Statistics'!$C$47+I323*'Stock Statistics'!$C$48+J323*'Stock Statistics'!$C$49+K323*'Stock Statistics'!$C$50,"")</f>
        <v>-2.1274366614364875E-3</v>
      </c>
      <c r="M323" s="97">
        <v>468.66359999999997</v>
      </c>
      <c r="N323" s="96">
        <v>563.69899999999996</v>
      </c>
      <c r="O323" s="93">
        <f t="shared" si="15"/>
        <v>8.3303983268203652E-3</v>
      </c>
      <c r="P323" s="93">
        <f t="shared" si="16"/>
        <v>-1.0423661256376282E-2</v>
      </c>
      <c r="Q323" s="93">
        <f>B323*'Portfolio 2 &amp; 3'!$F$7+C323*'Portfolio 2 &amp; 3'!$F$8+D323*'Portfolio 2 &amp; 3'!$F$9+E323*'Portfolio 2 &amp; 3'!$F$10+F323*'Portfolio 2 &amp; 3'!$F$11+G323*'Portfolio 2 &amp; 3'!$F$12+H323*'Portfolio 2 &amp; 3'!$F$13+I323*'Portfolio 2 &amp; 3'!$F$14+J323*'Portfolio 2 &amp; 3'!$F$15+K323*'Portfolio 2 &amp; 3'!$F$16</f>
        <v>-2.9572895112027152E-3</v>
      </c>
      <c r="R323" s="93">
        <f>B323*'Portfolio 2 &amp; 3'!$B$23+C323*'Portfolio 2 &amp; 3'!$B$24+D323*'Portfolio 2 &amp; 3'!$B$25+E323*'Portfolio 2 &amp; 3'!$B$26+F323*'Portfolio 2 &amp; 3'!$B$27+G323*'Portfolio 2 &amp; 3'!$B$28+H323*'Portfolio 2 &amp; 3'!$B$29+I323*'Portfolio 2 &amp; 3'!$B$30+J323*'Portfolio 2 &amp; 3'!$B$31+K323*'Portfolio 2 &amp; 3'!$B$32</f>
        <v>-4.8912313415371998E-4</v>
      </c>
      <c r="S323" s="93">
        <f t="shared" si="17"/>
        <v>-1.0466314647779584E-3</v>
      </c>
    </row>
    <row r="324" spans="1:19" ht="12.75" customHeight="1">
      <c r="A324" s="81">
        <v>45608</v>
      </c>
      <c r="B324" s="53">
        <v>-4.4000000000000003E-3</v>
      </c>
      <c r="C324" s="53">
        <v>1.2319656939346699E-2</v>
      </c>
      <c r="D324" s="53">
        <v>-1.4162853085056101E-2</v>
      </c>
      <c r="E324" s="53">
        <v>-1.1350000000000001E-2</v>
      </c>
      <c r="F324" s="53">
        <v>-1.8599845001291599E-2</v>
      </c>
      <c r="G324" s="53">
        <v>-1.0932863648625101E-2</v>
      </c>
      <c r="H324" s="87">
        <v>-1.4698795180722901E-2</v>
      </c>
      <c r="I324" s="53">
        <v>-1.156543377446E-2</v>
      </c>
      <c r="J324" s="53">
        <v>-2.3003833972328799E-2</v>
      </c>
      <c r="K324" s="53">
        <v>-3.4661444342385401E-3</v>
      </c>
      <c r="L324" s="95">
        <f>IFERROR(B324*'Stock Statistics'!$C$41+C324*'Stock Statistics'!$C$42+D324*'Stock Statistics'!$C$43+E324*'Stock Statistics'!$C$44+F324*'Stock Statistics'!$C$45+G324*'Stock Statistics'!$C$46+H324*'Stock Statistics'!$C$47+I324*'Stock Statistics'!$C$48+J324*'Stock Statistics'!$C$49+K324*'Stock Statistics'!$C$50,"")</f>
        <v>-9.9860112157376339E-3</v>
      </c>
      <c r="M324" s="96">
        <v>464.79169999999999</v>
      </c>
      <c r="N324" s="97">
        <v>569.63670000000002</v>
      </c>
      <c r="O324" s="93">
        <f t="shared" si="15"/>
        <v>-1.0973538175549802E-2</v>
      </c>
      <c r="P324" s="93">
        <f t="shared" si="16"/>
        <v>5.3641877760801648E-4</v>
      </c>
      <c r="Q324" s="93">
        <f>B324*'Portfolio 2 &amp; 3'!$F$7+C324*'Portfolio 2 &amp; 3'!$F$8+D324*'Portfolio 2 &amp; 3'!$F$9+E324*'Portfolio 2 &amp; 3'!$F$10+F324*'Portfolio 2 &amp; 3'!$F$11+G324*'Portfolio 2 &amp; 3'!$F$12+H324*'Portfolio 2 &amp; 3'!$F$13+I324*'Portfolio 2 &amp; 3'!$F$14+J324*'Portfolio 2 &amp; 3'!$F$15+K324*'Portfolio 2 &amp; 3'!$F$16</f>
        <v>-1.1330889881237701E-2</v>
      </c>
      <c r="R324" s="93">
        <f>B324*'Portfolio 2 &amp; 3'!$B$23+C324*'Portfolio 2 &amp; 3'!$B$24+D324*'Portfolio 2 &amp; 3'!$B$25+E324*'Portfolio 2 &amp; 3'!$B$26+F324*'Portfolio 2 &amp; 3'!$B$27+G324*'Portfolio 2 &amp; 3'!$B$28+H324*'Portfolio 2 &amp; 3'!$B$29+I324*'Portfolio 2 &amp; 3'!$B$30+J324*'Portfolio 2 &amp; 3'!$B$31+K324*'Portfolio 2 &amp; 3'!$B$32</f>
        <v>-6.8899768912666732E-3</v>
      </c>
      <c r="S324" s="93">
        <f t="shared" si="17"/>
        <v>-5.2185596989708927E-3</v>
      </c>
    </row>
    <row r="325" spans="1:19" ht="12.75" customHeight="1">
      <c r="A325" s="82">
        <v>45607</v>
      </c>
      <c r="B325" s="53">
        <v>6.0000000000000001E-3</v>
      </c>
      <c r="C325" s="53">
        <v>-2.1417712065578E-2</v>
      </c>
      <c r="D325" s="53">
        <v>-1.6795314378805999E-2</v>
      </c>
      <c r="E325" s="53">
        <v>-2.368E-2</v>
      </c>
      <c r="F325" s="53">
        <v>-2.6794455608800702E-3</v>
      </c>
      <c r="G325" s="53">
        <v>-1.9037646946829E-4</v>
      </c>
      <c r="H325" s="87">
        <v>-1.49537146926181E-2</v>
      </c>
      <c r="I325" s="53">
        <v>-6.0708263069140199E-3</v>
      </c>
      <c r="J325" s="53">
        <v>-3.88549415515405E-3</v>
      </c>
      <c r="K325" s="53">
        <v>-6.9871099867484503E-3</v>
      </c>
      <c r="L325" s="95">
        <f>IFERROR(B325*'Stock Statistics'!$C$41+C325*'Stock Statistics'!$C$42+D325*'Stock Statistics'!$C$43+E325*'Stock Statistics'!$C$44+F325*'Stock Statistics'!$C$45+G325*'Stock Statistics'!$C$46+H325*'Stock Statistics'!$C$47+I325*'Stock Statistics'!$C$48+J325*'Stock Statistics'!$C$49+K325*'Stock Statistics'!$C$50,"")</f>
        <v>-9.0659993616167001E-3</v>
      </c>
      <c r="M325" s="97">
        <v>469.94869999999997</v>
      </c>
      <c r="N325" s="96">
        <v>569.33130000000006</v>
      </c>
      <c r="O325" s="93">
        <f t="shared" si="15"/>
        <v>3.2091253324293412E-3</v>
      </c>
      <c r="P325" s="93">
        <f t="shared" si="16"/>
        <v>-5.4717879928456448E-3</v>
      </c>
      <c r="Q325" s="93">
        <f>B325*'Portfolio 2 &amp; 3'!$F$7+C325*'Portfolio 2 &amp; 3'!$F$8+D325*'Portfolio 2 &amp; 3'!$F$9+E325*'Portfolio 2 &amp; 3'!$F$10+F325*'Portfolio 2 &amp; 3'!$F$11+G325*'Portfolio 2 &amp; 3'!$F$12+H325*'Portfolio 2 &amp; 3'!$F$13+I325*'Portfolio 2 &amp; 3'!$F$14+J325*'Portfolio 2 &amp; 3'!$F$15+K325*'Portfolio 2 &amp; 3'!$F$16</f>
        <v>-1.0002608646618593E-2</v>
      </c>
      <c r="R325" s="93">
        <f>B325*'Portfolio 2 &amp; 3'!$B$23+C325*'Portfolio 2 &amp; 3'!$B$24+D325*'Portfolio 2 &amp; 3'!$B$25+E325*'Portfolio 2 &amp; 3'!$B$26+F325*'Portfolio 2 &amp; 3'!$B$27+G325*'Portfolio 2 &amp; 3'!$B$28+H325*'Portfolio 2 &amp; 3'!$B$29+I325*'Portfolio 2 &amp; 3'!$B$30+J325*'Portfolio 2 &amp; 3'!$B$31+K325*'Portfolio 2 &amp; 3'!$B$32</f>
        <v>-6.6376385143173356E-3</v>
      </c>
      <c r="S325" s="93">
        <f t="shared" si="17"/>
        <v>-1.1313313302081518E-3</v>
      </c>
    </row>
    <row r="326" spans="1:19" ht="12.75" customHeight="1">
      <c r="A326" s="81">
        <v>45604</v>
      </c>
      <c r="B326" s="53">
        <v>8.3999999999999995E-3</v>
      </c>
      <c r="C326" s="53">
        <v>-1.44834837466047E-2</v>
      </c>
      <c r="D326" s="53">
        <v>-2.90007909306618E-2</v>
      </c>
      <c r="E326" s="53">
        <v>2.3700000000000001E-3</v>
      </c>
      <c r="F326" s="53">
        <v>-2.9797071667094798E-3</v>
      </c>
      <c r="G326" s="53">
        <v>-1.5063206087785301E-2</v>
      </c>
      <c r="H326" s="87">
        <v>-1.86349871884464E-2</v>
      </c>
      <c r="I326" s="53">
        <v>-1.2133159341421999E-2</v>
      </c>
      <c r="J326" s="53">
        <v>-1.28184113038063E-2</v>
      </c>
      <c r="K326" s="53">
        <v>-1.5127246841074899E-2</v>
      </c>
      <c r="L326" s="95">
        <f>IFERROR(B326*'Stock Statistics'!$C$41+C326*'Stock Statistics'!$C$42+D326*'Stock Statistics'!$C$43+E326*'Stock Statistics'!$C$44+F326*'Stock Statistics'!$C$45+G326*'Stock Statistics'!$C$46+H326*'Stock Statistics'!$C$47+I326*'Stock Statistics'!$C$48+J326*'Stock Statistics'!$C$49+K326*'Stock Statistics'!$C$50,"")</f>
        <v>-1.0947099260651089E-2</v>
      </c>
      <c r="M326" s="96">
        <v>468.44540000000001</v>
      </c>
      <c r="N326" s="97">
        <v>572.46370000000002</v>
      </c>
      <c r="O326" s="93">
        <f t="shared" si="15"/>
        <v>-1.7888257669069318E-2</v>
      </c>
      <c r="P326" s="93">
        <f t="shared" si="16"/>
        <v>9.6240468368280485E-3</v>
      </c>
      <c r="Q326" s="93">
        <f>B326*'Portfolio 2 &amp; 3'!$F$7+C326*'Portfolio 2 &amp; 3'!$F$8+D326*'Portfolio 2 &amp; 3'!$F$9+E326*'Portfolio 2 &amp; 3'!$F$10+F326*'Portfolio 2 &amp; 3'!$F$11+G326*'Portfolio 2 &amp; 3'!$F$12+H326*'Portfolio 2 &amp; 3'!$F$13+I326*'Portfolio 2 &amp; 3'!$F$14+J326*'Portfolio 2 &amp; 3'!$F$15+K326*'Portfolio 2 &amp; 3'!$F$16</f>
        <v>-1.2802678679622115E-2</v>
      </c>
      <c r="R326" s="93">
        <f>B326*'Portfolio 2 &amp; 3'!$B$23+C326*'Portfolio 2 &amp; 3'!$B$24+D326*'Portfolio 2 &amp; 3'!$B$25+E326*'Portfolio 2 &amp; 3'!$B$26+F326*'Portfolio 2 &amp; 3'!$B$27+G326*'Portfolio 2 &amp; 3'!$B$28+H326*'Portfolio 2 &amp; 3'!$B$29+I326*'Portfolio 2 &amp; 3'!$B$30+J326*'Portfolio 2 &amp; 3'!$B$31+K326*'Portfolio 2 &amp; 3'!$B$32</f>
        <v>-9.3880398931563622E-3</v>
      </c>
      <c r="S326" s="93">
        <f t="shared" si="17"/>
        <v>-4.132105416120635E-3</v>
      </c>
    </row>
    <row r="327" spans="1:19" ht="12.75" customHeight="1">
      <c r="A327" s="82">
        <v>45603</v>
      </c>
      <c r="B327" s="53">
        <v>-2.8500000000000001E-2</v>
      </c>
      <c r="C327" s="53">
        <v>-3.0224675914603E-3</v>
      </c>
      <c r="D327" s="53">
        <v>-1.7066488967866101E-2</v>
      </c>
      <c r="E327" s="53">
        <v>-2.5749999999999999E-2</v>
      </c>
      <c r="F327" s="53">
        <v>-2.1957592201788799E-2</v>
      </c>
      <c r="G327" s="53">
        <v>1.1666324159408201E-2</v>
      </c>
      <c r="H327" s="87">
        <v>3.31087134343466E-3</v>
      </c>
      <c r="I327" s="53">
        <v>3.4826702329209301E-3</v>
      </c>
      <c r="J327" s="53">
        <v>-1.7806543019062301E-2</v>
      </c>
      <c r="K327" s="53">
        <v>-8.38676605292577E-3</v>
      </c>
      <c r="L327" s="95">
        <f>IFERROR(B327*'Stock Statistics'!$C$41+C327*'Stock Statistics'!$C$42+D327*'Stock Statistics'!$C$43+E327*'Stock Statistics'!$C$44+F327*'Stock Statistics'!$C$45+G327*'Stock Statistics'!$C$46+H327*'Stock Statistics'!$C$47+I327*'Stock Statistics'!$C$48+J327*'Stock Statistics'!$C$49+K327*'Stock Statistics'!$C$50,"")</f>
        <v>-1.0402999209733947E-2</v>
      </c>
      <c r="M327" s="97">
        <v>476.97770000000003</v>
      </c>
      <c r="N327" s="96">
        <v>567.0068</v>
      </c>
      <c r="O327" s="93">
        <f t="shared" si="15"/>
        <v>-1.5392086880616773E-3</v>
      </c>
      <c r="P327" s="93">
        <f t="shared" si="16"/>
        <v>2.4075170822690506E-3</v>
      </c>
      <c r="Q327" s="93">
        <f>B327*'Portfolio 2 &amp; 3'!$F$7+C327*'Portfolio 2 &amp; 3'!$F$8+D327*'Portfolio 2 &amp; 3'!$F$9+E327*'Portfolio 2 &amp; 3'!$F$10+F327*'Portfolio 2 &amp; 3'!$F$11+G327*'Portfolio 2 &amp; 3'!$F$12+H327*'Portfolio 2 &amp; 3'!$F$13+I327*'Portfolio 2 &amp; 3'!$F$14+J327*'Portfolio 2 &amp; 3'!$F$15+K327*'Portfolio 2 &amp; 3'!$F$16</f>
        <v>-1.0380839214327614E-2</v>
      </c>
      <c r="R327" s="93">
        <f>B327*'Portfolio 2 &amp; 3'!$B$23+C327*'Portfolio 2 &amp; 3'!$B$24+D327*'Portfolio 2 &amp; 3'!$B$25+E327*'Portfolio 2 &amp; 3'!$B$26+F327*'Portfolio 2 &amp; 3'!$B$27+G327*'Portfolio 2 &amp; 3'!$B$28+H327*'Portfolio 2 &amp; 3'!$B$29+I327*'Portfolio 2 &amp; 3'!$B$30+J327*'Portfolio 2 &amp; 3'!$B$31+K327*'Portfolio 2 &amp; 3'!$B$32</f>
        <v>-7.1628337019218934E-3</v>
      </c>
      <c r="S327" s="93">
        <f t="shared" si="17"/>
        <v>4.3415419710368663E-4</v>
      </c>
    </row>
    <row r="328" spans="1:19" ht="12.75" customHeight="1">
      <c r="A328" s="81">
        <v>45602</v>
      </c>
      <c r="B328" s="53">
        <v>-6.3E-3</v>
      </c>
      <c r="C328" s="53">
        <v>-2.2207796644914499E-2</v>
      </c>
      <c r="D328" s="53">
        <v>-3.1723841273255199E-2</v>
      </c>
      <c r="E328" s="53">
        <v>-1.8790000000000001E-2</v>
      </c>
      <c r="F328" s="53">
        <v>6.72770499266528E-3</v>
      </c>
      <c r="G328" s="53">
        <v>-1.4626623882364E-2</v>
      </c>
      <c r="H328" s="87">
        <v>-2.8741212568455E-3</v>
      </c>
      <c r="I328" s="53">
        <v>-8.2891246684350106E-3</v>
      </c>
      <c r="J328" s="53">
        <v>-2.4990581439156102E-2</v>
      </c>
      <c r="K328" s="53">
        <v>-1.6946450893043901E-3</v>
      </c>
      <c r="L328" s="95">
        <f>IFERROR(B328*'Stock Statistics'!$C$41+C328*'Stock Statistics'!$C$42+D328*'Stock Statistics'!$C$43+E328*'Stock Statistics'!$C$44+F328*'Stock Statistics'!$C$45+G328*'Stock Statistics'!$C$46+H328*'Stock Statistics'!$C$47+I328*'Stock Statistics'!$C$48+J328*'Stock Statistics'!$C$49+K328*'Stock Statistics'!$C$50,"")</f>
        <v>-1.2476902926160943E-2</v>
      </c>
      <c r="M328" s="96">
        <v>477.71300000000002</v>
      </c>
      <c r="N328" s="97">
        <v>565.64499999999998</v>
      </c>
      <c r="O328" s="93">
        <f t="shared" si="15"/>
        <v>-1.3436476703112876E-2</v>
      </c>
      <c r="P328" s="93">
        <f t="shared" si="16"/>
        <v>-7.0158160878376341E-3</v>
      </c>
      <c r="Q328" s="93">
        <f>B328*'Portfolio 2 &amp; 3'!$F$7+C328*'Portfolio 2 &amp; 3'!$F$8+D328*'Portfolio 2 &amp; 3'!$F$9+E328*'Portfolio 2 &amp; 3'!$F$10+F328*'Portfolio 2 &amp; 3'!$F$11+G328*'Portfolio 2 &amp; 3'!$F$12+H328*'Portfolio 2 &amp; 3'!$F$13+I328*'Portfolio 2 &amp; 3'!$F$14+J328*'Portfolio 2 &amp; 3'!$F$15+K328*'Portfolio 2 &amp; 3'!$F$16</f>
        <v>-1.3216674208423242E-2</v>
      </c>
      <c r="R328" s="93">
        <f>B328*'Portfolio 2 &amp; 3'!$B$23+C328*'Portfolio 2 &amp; 3'!$B$24+D328*'Portfolio 2 &amp; 3'!$B$25+E328*'Portfolio 2 &amp; 3'!$B$26+F328*'Portfolio 2 &amp; 3'!$B$27+G328*'Portfolio 2 &amp; 3'!$B$28+H328*'Portfolio 2 &amp; 3'!$B$29+I328*'Portfolio 2 &amp; 3'!$B$30+J328*'Portfolio 2 &amp; 3'!$B$31+K328*'Portfolio 2 &amp; 3'!$B$32</f>
        <v>-9.1010996765933574E-3</v>
      </c>
      <c r="S328" s="93">
        <f t="shared" si="17"/>
        <v>-1.0226146395475255E-2</v>
      </c>
    </row>
    <row r="329" spans="1:19" ht="12.75" customHeight="1">
      <c r="A329" s="82">
        <v>45601</v>
      </c>
      <c r="B329" s="53">
        <v>-4.4999999999999997E-3</v>
      </c>
      <c r="C329" s="53">
        <v>3.2352500286578302E-2</v>
      </c>
      <c r="D329" s="53">
        <v>-1.5032749919468001E-3</v>
      </c>
      <c r="E329" s="53">
        <v>-3.2219999999999999E-2</v>
      </c>
      <c r="F329" s="53">
        <v>-1.59291154363084E-2</v>
      </c>
      <c r="G329" s="53">
        <v>8.0869305780193503E-3</v>
      </c>
      <c r="H329" s="87">
        <v>-1.1327855003456001E-2</v>
      </c>
      <c r="I329" s="53">
        <v>1.0413467712666401E-2</v>
      </c>
      <c r="J329" s="53">
        <v>1.04368239063539E-2</v>
      </c>
      <c r="K329" s="53">
        <v>-3.29450720359881E-3</v>
      </c>
      <c r="L329" s="95">
        <f>IFERROR(B329*'Stock Statistics'!$C$41+C329*'Stock Statistics'!$C$42+D329*'Stock Statistics'!$C$43+E329*'Stock Statistics'!$C$44+F329*'Stock Statistics'!$C$45+G329*'Stock Statistics'!$C$46+H329*'Stock Statistics'!$C$47+I329*'Stock Statistics'!$C$48+J329*'Stock Statistics'!$C$49+K329*'Stock Statistics'!$C$50,"")</f>
        <v>-7.485030151692056E-4</v>
      </c>
      <c r="M329" s="97">
        <v>484.2192</v>
      </c>
      <c r="N329" s="96">
        <v>569.64149999999995</v>
      </c>
      <c r="O329" s="93">
        <f t="shared" si="15"/>
        <v>1.2468564948817651E-3</v>
      </c>
      <c r="P329" s="93">
        <f t="shared" si="16"/>
        <v>1.5946849305002564E-2</v>
      </c>
      <c r="Q329" s="93">
        <f>B329*'Portfolio 2 &amp; 3'!$F$7+C329*'Portfolio 2 &amp; 3'!$F$8+D329*'Portfolio 2 &amp; 3'!$F$9+E329*'Portfolio 2 &amp; 3'!$F$10+F329*'Portfolio 2 &amp; 3'!$F$11+G329*'Portfolio 2 &amp; 3'!$F$12+H329*'Portfolio 2 &amp; 3'!$F$13+I329*'Portfolio 2 &amp; 3'!$F$14+J329*'Portfolio 2 &amp; 3'!$F$15+K329*'Portfolio 2 &amp; 3'!$F$16</f>
        <v>-6.181393300782954E-4</v>
      </c>
      <c r="R329" s="93">
        <f>B329*'Portfolio 2 &amp; 3'!$B$23+C329*'Portfolio 2 &amp; 3'!$B$24+D329*'Portfolio 2 &amp; 3'!$B$25+E329*'Portfolio 2 &amp; 3'!$B$26+F329*'Portfolio 2 &amp; 3'!$B$27+G329*'Portfolio 2 &amp; 3'!$B$28+H329*'Portfolio 2 &amp; 3'!$B$29+I329*'Portfolio 2 &amp; 3'!$B$30+J329*'Portfolio 2 &amp; 3'!$B$31+K329*'Portfolio 2 &amp; 3'!$B$32</f>
        <v>6.2357725837662772E-3</v>
      </c>
      <c r="S329" s="93">
        <f t="shared" si="17"/>
        <v>8.5968528999421645E-3</v>
      </c>
    </row>
    <row r="330" spans="1:19" ht="12.75" customHeight="1">
      <c r="A330" s="81">
        <v>45600</v>
      </c>
      <c r="B330" s="53">
        <v>5.5999999999999999E-3</v>
      </c>
      <c r="C330" s="53">
        <v>-2.2066812686476998E-2</v>
      </c>
      <c r="D330" s="53">
        <v>-7.28396816372934E-3</v>
      </c>
      <c r="E330" s="53">
        <v>-1.274E-2</v>
      </c>
      <c r="F330" s="53">
        <v>4.48207171314774E-4</v>
      </c>
      <c r="G330" s="53">
        <v>-5.1241192919967401E-3</v>
      </c>
      <c r="H330" s="87">
        <v>2.35025939317717E-2</v>
      </c>
      <c r="I330" s="53">
        <v>-1.9973186680894098E-2</v>
      </c>
      <c r="J330" s="53">
        <v>-1.12292588061854E-2</v>
      </c>
      <c r="K330" s="53">
        <v>4.2827271734839903E-3</v>
      </c>
      <c r="L330" s="95">
        <f>IFERROR(B330*'Stock Statistics'!$C$41+C330*'Stock Statistics'!$C$42+D330*'Stock Statistics'!$C$43+E330*'Stock Statistics'!$C$44+F330*'Stock Statistics'!$C$45+G330*'Stock Statistics'!$C$46+H330*'Stock Statistics'!$C$47+I330*'Stock Statistics'!$C$48+J330*'Stock Statistics'!$C$49+K330*'Stock Statistics'!$C$50,"")</f>
        <v>-4.4583817352712111E-3</v>
      </c>
      <c r="M330" s="96">
        <v>483.61619999999999</v>
      </c>
      <c r="N330" s="97">
        <v>560.70010000000002</v>
      </c>
      <c r="O330" s="93">
        <f t="shared" si="15"/>
        <v>-7.2411898172962674E-3</v>
      </c>
      <c r="P330" s="93">
        <f t="shared" si="16"/>
        <v>-1.1723352397808862E-3</v>
      </c>
      <c r="Q330" s="93">
        <f>B330*'Portfolio 2 &amp; 3'!$F$7+C330*'Portfolio 2 &amp; 3'!$F$8+D330*'Portfolio 2 &amp; 3'!$F$9+E330*'Portfolio 2 &amp; 3'!$F$10+F330*'Portfolio 2 &amp; 3'!$F$11+G330*'Portfolio 2 &amp; 3'!$F$12+H330*'Portfolio 2 &amp; 3'!$F$13+I330*'Portfolio 2 &amp; 3'!$F$14+J330*'Portfolio 2 &amp; 3'!$F$15+K330*'Portfolio 2 &amp; 3'!$F$16</f>
        <v>-3.0422738773887041E-3</v>
      </c>
      <c r="R330" s="93">
        <f>B330*'Portfolio 2 &amp; 3'!$B$23+C330*'Portfolio 2 &amp; 3'!$B$24+D330*'Portfolio 2 &amp; 3'!$B$25+E330*'Portfolio 2 &amp; 3'!$B$26+F330*'Portfolio 2 &amp; 3'!$B$27+G330*'Portfolio 2 &amp; 3'!$B$28+H330*'Portfolio 2 &amp; 3'!$B$29+I330*'Portfolio 2 &amp; 3'!$B$30+J330*'Portfolio 2 &amp; 3'!$B$31+K330*'Portfolio 2 &amp; 3'!$B$32</f>
        <v>-8.3234901915699589E-3</v>
      </c>
      <c r="S330" s="93">
        <f t="shared" si="17"/>
        <v>-4.2067625285385768E-3</v>
      </c>
    </row>
    <row r="331" spans="1:19" ht="12.75" customHeight="1">
      <c r="A331" s="82">
        <v>45597</v>
      </c>
      <c r="B331" s="53">
        <v>1.09E-2</v>
      </c>
      <c r="C331" s="53">
        <v>-1.1971921967184301E-3</v>
      </c>
      <c r="D331" s="53">
        <v>4.6405368744200102E-3</v>
      </c>
      <c r="E331" s="53">
        <v>-7.8399999999999997E-3</v>
      </c>
      <c r="F331" s="53">
        <v>2.7465667915105301E-3</v>
      </c>
      <c r="G331" s="53">
        <v>-1.48192056905749E-3</v>
      </c>
      <c r="H331" s="87">
        <v>3.0749822597178102E-3</v>
      </c>
      <c r="I331" s="53">
        <v>1.3223552894211701E-2</v>
      </c>
      <c r="J331" s="53">
        <v>-4.4654009492880497E-3</v>
      </c>
      <c r="K331" s="53">
        <v>2.4590234459023402E-2</v>
      </c>
      <c r="L331" s="95">
        <f>IFERROR(B331*'Stock Statistics'!$C$41+C331*'Stock Statistics'!$C$42+D331*'Stock Statistics'!$C$43+E331*'Stock Statistics'!$C$44+F331*'Stock Statistics'!$C$45+G331*'Stock Statistics'!$C$46+H331*'Stock Statistics'!$C$47+I331*'Stock Statistics'!$C$48+J331*'Stock Statistics'!$C$49+K331*'Stock Statistics'!$C$50,"")</f>
        <v>4.4191359563819487E-3</v>
      </c>
      <c r="M331" s="97">
        <v>487.14370000000002</v>
      </c>
      <c r="N331" s="96">
        <v>561.35820000000001</v>
      </c>
      <c r="O331" s="93">
        <f t="shared" si="15"/>
        <v>7.7980976646876421E-3</v>
      </c>
      <c r="P331" s="93">
        <f t="shared" si="16"/>
        <v>-6.1999400559750173E-3</v>
      </c>
      <c r="Q331" s="93">
        <f>B331*'Portfolio 2 &amp; 3'!$F$7+C331*'Portfolio 2 &amp; 3'!$F$8+D331*'Portfolio 2 &amp; 3'!$F$9+E331*'Portfolio 2 &amp; 3'!$F$10+F331*'Portfolio 2 &amp; 3'!$F$11+G331*'Portfolio 2 &amp; 3'!$F$12+H331*'Portfolio 2 &amp; 3'!$F$13+I331*'Portfolio 2 &amp; 3'!$F$14+J331*'Portfolio 2 &amp; 3'!$F$15+K331*'Portfolio 2 &amp; 3'!$F$16</f>
        <v>3.7743562008463192E-3</v>
      </c>
      <c r="R331" s="93">
        <f>B331*'Portfolio 2 &amp; 3'!$B$23+C331*'Portfolio 2 &amp; 3'!$B$24+D331*'Portfolio 2 &amp; 3'!$B$25+E331*'Portfolio 2 &amp; 3'!$B$26+F331*'Portfolio 2 &amp; 3'!$B$27+G331*'Portfolio 2 &amp; 3'!$B$28+H331*'Portfolio 2 &amp; 3'!$B$29+I331*'Portfolio 2 &amp; 3'!$B$30+J331*'Portfolio 2 &amp; 3'!$B$31+K331*'Portfolio 2 &amp; 3'!$B$32</f>
        <v>6.9263402679605422E-3</v>
      </c>
      <c r="S331" s="93">
        <f t="shared" si="17"/>
        <v>7.990788043563124E-4</v>
      </c>
    </row>
    <row r="332" spans="1:19" ht="12.75" customHeight="1">
      <c r="A332" s="81">
        <v>45596</v>
      </c>
      <c r="B332" s="53">
        <v>2.01E-2</v>
      </c>
      <c r="C332" s="53">
        <v>4.4988536574814804E-3</v>
      </c>
      <c r="D332" s="53">
        <v>3.0075187969924601E-3</v>
      </c>
      <c r="E332" s="53">
        <v>-1.1050000000000001E-2</v>
      </c>
      <c r="F332" s="53">
        <v>1.613639823413E-2</v>
      </c>
      <c r="G332" s="53">
        <v>8.2743977643517897E-4</v>
      </c>
      <c r="H332" s="87">
        <v>6.9069545887583397E-3</v>
      </c>
      <c r="I332" s="53">
        <v>-2.92995743269398E-3</v>
      </c>
      <c r="J332" s="53">
        <v>1.0475829862425901E-2</v>
      </c>
      <c r="K332" s="53">
        <v>-1.53344347015716E-2</v>
      </c>
      <c r="L332" s="95">
        <f>IFERROR(B332*'Stock Statistics'!$C$41+C332*'Stock Statistics'!$C$42+D332*'Stock Statistics'!$C$43+E332*'Stock Statistics'!$C$44+F332*'Stock Statistics'!$C$45+G332*'Stock Statistics'!$C$46+H332*'Stock Statistics'!$C$47+I332*'Stock Statistics'!$C$48+J332*'Stock Statistics'!$C$49+K332*'Stock Statistics'!$C$50,"")</f>
        <v>3.2638602781957776E-3</v>
      </c>
      <c r="M332" s="96">
        <v>483.37430000000001</v>
      </c>
      <c r="N332" s="97">
        <v>564.86030000000005</v>
      </c>
      <c r="O332" s="93">
        <f t="shared" si="15"/>
        <v>6.2847943375587967E-4</v>
      </c>
      <c r="P332" s="93">
        <f t="shared" si="16"/>
        <v>9.1218593586508412E-3</v>
      </c>
      <c r="Q332" s="93">
        <f>B332*'Portfolio 2 &amp; 3'!$F$7+C332*'Portfolio 2 &amp; 3'!$F$8+D332*'Portfolio 2 &amp; 3'!$F$9+E332*'Portfolio 2 &amp; 3'!$F$10+F332*'Portfolio 2 &amp; 3'!$F$11+G332*'Portfolio 2 &amp; 3'!$F$12+H332*'Portfolio 2 &amp; 3'!$F$13+I332*'Portfolio 2 &amp; 3'!$F$14+J332*'Portfolio 2 &amp; 3'!$F$15+K332*'Portfolio 2 &amp; 3'!$F$16</f>
        <v>4.2785056693225142E-3</v>
      </c>
      <c r="R332" s="93">
        <f>B332*'Portfolio 2 &amp; 3'!$B$23+C332*'Portfolio 2 &amp; 3'!$B$24+D332*'Portfolio 2 &amp; 3'!$B$25+E332*'Portfolio 2 &amp; 3'!$B$26+F332*'Portfolio 2 &amp; 3'!$B$27+G332*'Portfolio 2 &amp; 3'!$B$28+H332*'Portfolio 2 &amp; 3'!$B$29+I332*'Portfolio 2 &amp; 3'!$B$30+J332*'Portfolio 2 &amp; 3'!$B$31+K332*'Portfolio 2 &amp; 3'!$B$32</f>
        <v>4.7215842992709492E-3</v>
      </c>
      <c r="S332" s="93">
        <f t="shared" si="17"/>
        <v>4.8751693962033604E-3</v>
      </c>
    </row>
    <row r="333" spans="1:19" ht="12.75" customHeight="1">
      <c r="A333" s="82">
        <v>45595</v>
      </c>
      <c r="B333" s="53">
        <v>-2.3E-3</v>
      </c>
      <c r="C333" s="53">
        <v>-2.8211056663676199E-3</v>
      </c>
      <c r="D333" s="53">
        <v>-6.1559264135502296E-3</v>
      </c>
      <c r="E333" s="53">
        <v>-3.0400000000000002E-3</v>
      </c>
      <c r="F333" s="53">
        <v>-1.6813011374975002E-2</v>
      </c>
      <c r="G333" s="53">
        <v>2.0667346548537201E-2</v>
      </c>
      <c r="H333" s="87">
        <v>-1.14581698320515E-2</v>
      </c>
      <c r="I333" s="53">
        <v>-2.6635815755488599E-2</v>
      </c>
      <c r="J333" s="53">
        <v>1.60623256708665E-2</v>
      </c>
      <c r="K333" s="53">
        <v>-3.04901288207926E-4</v>
      </c>
      <c r="L333" s="95">
        <f>IFERROR(B333*'Stock Statistics'!$C$41+C333*'Stock Statistics'!$C$42+D333*'Stock Statistics'!$C$43+E333*'Stock Statistics'!$C$44+F333*'Stock Statistics'!$C$45+G333*'Stock Statistics'!$C$46+H333*'Stock Statistics'!$C$47+I333*'Stock Statistics'!$C$48+J333*'Stock Statistics'!$C$49+K333*'Stock Statistics'!$C$50,"")</f>
        <v>-3.279925811123718E-3</v>
      </c>
      <c r="M333" s="97">
        <v>483.07069999999999</v>
      </c>
      <c r="N333" s="96">
        <v>559.75429999999994</v>
      </c>
      <c r="O333" s="93">
        <f t="shared" si="15"/>
        <v>2.7323050915570857E-3</v>
      </c>
      <c r="P333" s="93">
        <f t="shared" si="16"/>
        <v>-3.2973288573611148E-3</v>
      </c>
      <c r="Q333" s="93">
        <f>B333*'Portfolio 2 &amp; 3'!$F$7+C333*'Portfolio 2 &amp; 3'!$F$8+D333*'Portfolio 2 &amp; 3'!$F$9+E333*'Portfolio 2 &amp; 3'!$F$10+F333*'Portfolio 2 &amp; 3'!$F$11+G333*'Portfolio 2 &amp; 3'!$F$12+H333*'Portfolio 2 &amp; 3'!$F$13+I333*'Portfolio 2 &amp; 3'!$F$14+J333*'Portfolio 2 &amp; 3'!$F$15+K333*'Portfolio 2 &amp; 3'!$F$16</f>
        <v>-3.8963821387022128E-3</v>
      </c>
      <c r="R333" s="93">
        <f>B333*'Portfolio 2 &amp; 3'!$B$23+C333*'Portfolio 2 &amp; 3'!$B$24+D333*'Portfolio 2 &amp; 3'!$B$25+E333*'Portfolio 2 &amp; 3'!$B$26+F333*'Portfolio 2 &amp; 3'!$B$27+G333*'Portfolio 2 &amp; 3'!$B$28+H333*'Portfolio 2 &amp; 3'!$B$29+I333*'Portfolio 2 &amp; 3'!$B$30+J333*'Portfolio 2 &amp; 3'!$B$31+K333*'Portfolio 2 &amp; 3'!$B$32</f>
        <v>-7.8804481212356673E-3</v>
      </c>
      <c r="S333" s="93">
        <f t="shared" si="17"/>
        <v>-2.8251188290201457E-4</v>
      </c>
    </row>
    <row r="334" spans="1:19" ht="12.75" customHeight="1">
      <c r="A334" s="81">
        <v>45594</v>
      </c>
      <c r="B334" s="53">
        <v>1.4E-3</v>
      </c>
      <c r="C334" s="53">
        <v>-2.2384157346962901E-2</v>
      </c>
      <c r="D334" s="53">
        <v>-5.0978865012212297E-3</v>
      </c>
      <c r="E334" s="53">
        <v>8.0700000000000008E-3</v>
      </c>
      <c r="F334" s="53">
        <v>-4.0743317102255299E-3</v>
      </c>
      <c r="G334" s="53">
        <v>-2.4209724317012099E-2</v>
      </c>
      <c r="H334" s="87">
        <v>1.9482337880545798E-2</v>
      </c>
      <c r="I334" s="53">
        <v>5.1381902752987204E-3</v>
      </c>
      <c r="J334" s="53">
        <v>5.0265828902851303E-3</v>
      </c>
      <c r="K334" s="53">
        <v>2.3600723302743499E-3</v>
      </c>
      <c r="L334" s="95">
        <f>IFERROR(B334*'Stock Statistics'!$C$41+C334*'Stock Statistics'!$C$42+D334*'Stock Statistics'!$C$43+E334*'Stock Statistics'!$C$44+F334*'Stock Statistics'!$C$45+G334*'Stock Statistics'!$C$46+H334*'Stock Statistics'!$C$47+I334*'Stock Statistics'!$C$48+J334*'Stock Statistics'!$C$49+K334*'Stock Statistics'!$C$50,"")</f>
        <v>-1.4288916499017768E-3</v>
      </c>
      <c r="M334" s="96">
        <v>481.75439999999998</v>
      </c>
      <c r="N334" s="97">
        <v>561.60609999999997</v>
      </c>
      <c r="O334" s="93">
        <f t="shared" si="15"/>
        <v>1.4864388602192191E-2</v>
      </c>
      <c r="P334" s="93">
        <f t="shared" si="16"/>
        <v>2.9128086075269621E-3</v>
      </c>
      <c r="Q334" s="93">
        <f>B334*'Portfolio 2 &amp; 3'!$F$7+C334*'Portfolio 2 &amp; 3'!$F$8+D334*'Portfolio 2 &amp; 3'!$F$9+E334*'Portfolio 2 &amp; 3'!$F$10+F334*'Portfolio 2 &amp; 3'!$F$11+G334*'Portfolio 2 &amp; 3'!$F$12+H334*'Portfolio 2 &amp; 3'!$F$13+I334*'Portfolio 2 &amp; 3'!$F$14+J334*'Portfolio 2 &amp; 3'!$F$15+K334*'Portfolio 2 &amp; 3'!$F$16</f>
        <v>6.3070022899461785E-4</v>
      </c>
      <c r="R334" s="93">
        <f>B334*'Portfolio 2 &amp; 3'!$B$23+C334*'Portfolio 2 &amp; 3'!$B$24+D334*'Portfolio 2 &amp; 3'!$B$25+E334*'Portfolio 2 &amp; 3'!$B$26+F334*'Portfolio 2 &amp; 3'!$B$27+G334*'Portfolio 2 &amp; 3'!$B$28+H334*'Portfolio 2 &amp; 3'!$B$29+I334*'Portfolio 2 &amp; 3'!$B$30+J334*'Portfolio 2 &amp; 3'!$B$31+K334*'Portfolio 2 &amp; 3'!$B$32</f>
        <v>-5.1322170150216988E-3</v>
      </c>
      <c r="S334" s="93">
        <f t="shared" si="17"/>
        <v>8.8885986048595766E-3</v>
      </c>
    </row>
    <row r="335" spans="1:19" ht="12.75" customHeight="1">
      <c r="A335" s="82">
        <v>45593</v>
      </c>
      <c r="B335" s="53">
        <v>-2.7000000000000001E-3</v>
      </c>
      <c r="C335" s="53">
        <v>-1.8420246541546999E-2</v>
      </c>
      <c r="D335" s="53">
        <v>-1.5475236136767699E-2</v>
      </c>
      <c r="E335" s="53">
        <v>-1.6969999999999999E-2</v>
      </c>
      <c r="F335" s="53">
        <v>1.5848980415909399E-2</v>
      </c>
      <c r="G335" s="53">
        <v>-3.0467030482105601E-2</v>
      </c>
      <c r="H335" s="87">
        <v>-1.94947830862163E-2</v>
      </c>
      <c r="I335" s="53">
        <v>-1.7277684790236701E-3</v>
      </c>
      <c r="J335" s="53">
        <v>9.4130089899524094E-2</v>
      </c>
      <c r="K335" s="53">
        <v>5.1812591309063905E-4</v>
      </c>
      <c r="L335" s="95">
        <f>IFERROR(B335*'Stock Statistics'!$C$41+C335*'Stock Statistics'!$C$42+D335*'Stock Statistics'!$C$43+E335*'Stock Statistics'!$C$44+F335*'Stock Statistics'!$C$45+G335*'Stock Statistics'!$C$46+H335*'Stock Statistics'!$C$47+I335*'Stock Statistics'!$C$48+J335*'Stock Statistics'!$C$49+K335*'Stock Statistics'!$C$50,"")</f>
        <v>5.2421315028638798E-4</v>
      </c>
      <c r="M335" s="97">
        <v>474.69830000000002</v>
      </c>
      <c r="N335" s="96">
        <v>559.97500000000002</v>
      </c>
      <c r="O335" s="93">
        <f t="shared" si="15"/>
        <v>5.8563211632123302E-3</v>
      </c>
      <c r="P335" s="93">
        <f t="shared" si="16"/>
        <v>-1.0397475694011837E-2</v>
      </c>
      <c r="Q335" s="93">
        <f>B335*'Portfolio 2 &amp; 3'!$F$7+C335*'Portfolio 2 &amp; 3'!$F$8+D335*'Portfolio 2 &amp; 3'!$F$9+E335*'Portfolio 2 &amp; 3'!$F$10+F335*'Portfolio 2 &amp; 3'!$F$11+G335*'Portfolio 2 &amp; 3'!$F$12+H335*'Portfolio 2 &amp; 3'!$F$13+I335*'Portfolio 2 &amp; 3'!$F$14+J335*'Portfolio 2 &amp; 3'!$F$15+K335*'Portfolio 2 &amp; 3'!$F$16</f>
        <v>5.1031523968633509E-3</v>
      </c>
      <c r="R335" s="93">
        <f>B335*'Portfolio 2 &amp; 3'!$B$23+C335*'Portfolio 2 &amp; 3'!$B$24+D335*'Portfolio 2 &amp; 3'!$B$25+E335*'Portfolio 2 &amp; 3'!$B$26+F335*'Portfolio 2 &amp; 3'!$B$27+G335*'Portfolio 2 &amp; 3'!$B$28+H335*'Portfolio 2 &amp; 3'!$B$29+I335*'Portfolio 2 &amp; 3'!$B$30+J335*'Portfolio 2 &amp; 3'!$B$31+K335*'Portfolio 2 &amp; 3'!$B$32</f>
        <v>-2.6867171311639863E-3</v>
      </c>
      <c r="S335" s="93">
        <f t="shared" si="17"/>
        <v>-2.2705772653997536E-3</v>
      </c>
    </row>
    <row r="336" spans="1:19" ht="12.75" customHeight="1">
      <c r="A336" s="81">
        <v>45590</v>
      </c>
      <c r="B336" s="53">
        <v>-4.1000000000000003E-3</v>
      </c>
      <c r="C336" s="53">
        <v>1.6322958999082999E-2</v>
      </c>
      <c r="D336" s="53">
        <v>4.4813219899868502E-3</v>
      </c>
      <c r="E336" s="53">
        <v>-3.8400000000000001E-3</v>
      </c>
      <c r="F336" s="53">
        <v>-1.50144178184349E-2</v>
      </c>
      <c r="G336" s="53">
        <v>-3.3834860247316398E-2</v>
      </c>
      <c r="H336" s="87">
        <v>-2.80594738848646E-2</v>
      </c>
      <c r="I336" s="53">
        <v>-1.0418892925838899E-2</v>
      </c>
      <c r="J336" s="53">
        <v>-4.0134005617407202E-2</v>
      </c>
      <c r="K336" s="53">
        <v>1.43451627077464E-2</v>
      </c>
      <c r="L336" s="95">
        <f>IFERROR(B336*'Stock Statistics'!$C$41+C336*'Stock Statistics'!$C$42+D336*'Stock Statistics'!$C$43+E336*'Stock Statistics'!$C$44+F336*'Stock Statistics'!$C$45+G336*'Stock Statistics'!$C$46+H336*'Stock Statistics'!$C$47+I336*'Stock Statistics'!$C$48+J336*'Stock Statistics'!$C$49+K336*'Stock Statistics'!$C$50,"")</f>
        <v>-1.0025220679704575E-2</v>
      </c>
      <c r="M336" s="96">
        <v>471.93450000000001</v>
      </c>
      <c r="N336" s="97">
        <v>565.85850000000005</v>
      </c>
      <c r="O336" s="93">
        <f t="shared" si="15"/>
        <v>-3.0884576204515124E-4</v>
      </c>
      <c r="P336" s="93">
        <f t="shared" si="16"/>
        <v>-1.4135019920846092E-2</v>
      </c>
      <c r="Q336" s="93">
        <f>B336*'Portfolio 2 &amp; 3'!$F$7+C336*'Portfolio 2 &amp; 3'!$F$8+D336*'Portfolio 2 &amp; 3'!$F$9+E336*'Portfolio 2 &amp; 3'!$F$10+F336*'Portfolio 2 &amp; 3'!$F$11+G336*'Portfolio 2 &amp; 3'!$F$12+H336*'Portfolio 2 &amp; 3'!$F$13+I336*'Portfolio 2 &amp; 3'!$F$14+J336*'Portfolio 2 &amp; 3'!$F$15+K336*'Portfolio 2 &amp; 3'!$F$16</f>
        <v>-1.194776807784461E-2</v>
      </c>
      <c r="R336" s="93">
        <f>B336*'Portfolio 2 &amp; 3'!$B$23+C336*'Portfolio 2 &amp; 3'!$B$24+D336*'Portfolio 2 &amp; 3'!$B$25+E336*'Portfolio 2 &amp; 3'!$B$26+F336*'Portfolio 2 &amp; 3'!$B$27+G336*'Portfolio 2 &amp; 3'!$B$28+H336*'Portfolio 2 &amp; 3'!$B$29+I336*'Portfolio 2 &amp; 3'!$B$30+J336*'Portfolio 2 &amp; 3'!$B$31+K336*'Portfolio 2 &amp; 3'!$B$32</f>
        <v>-6.8677644511546242E-3</v>
      </c>
      <c r="S336" s="93">
        <f t="shared" si="17"/>
        <v>-7.2219328414456219E-3</v>
      </c>
    </row>
    <row r="337" spans="1:19" ht="12.75" customHeight="1">
      <c r="A337" s="82">
        <v>45589</v>
      </c>
      <c r="B337" s="53">
        <v>6.0000000000000001E-3</v>
      </c>
      <c r="C337" s="53">
        <v>-3.0867563056223902E-3</v>
      </c>
      <c r="D337" s="53">
        <v>-9.7420607405353001E-3</v>
      </c>
      <c r="E337" s="53">
        <v>2.2089999999999999E-2</v>
      </c>
      <c r="F337" s="53">
        <v>4.6953046953046602E-3</v>
      </c>
      <c r="G337" s="53">
        <v>3.35862463493211E-2</v>
      </c>
      <c r="H337" s="87">
        <v>6.5697576250634002E-3</v>
      </c>
      <c r="I337" s="53">
        <v>-1.6448578485469701E-2</v>
      </c>
      <c r="J337" s="53">
        <v>-1.7030901772943498E-2</v>
      </c>
      <c r="K337" s="53">
        <v>-1.9004540451291699E-3</v>
      </c>
      <c r="L337" s="95">
        <f>IFERROR(B337*'Stock Statistics'!$C$41+C337*'Stock Statistics'!$C$42+D337*'Stock Statistics'!$C$43+E337*'Stock Statistics'!$C$44+F337*'Stock Statistics'!$C$45+G337*'Stock Statistics'!$C$46+H337*'Stock Statistics'!$C$47+I337*'Stock Statistics'!$C$48+J337*'Stock Statistics'!$C$49+K337*'Stock Statistics'!$C$50,"")</f>
        <v>2.4732557319989091E-3</v>
      </c>
      <c r="M337" s="97">
        <v>472.08030000000002</v>
      </c>
      <c r="N337" s="96">
        <v>573.97159999999997</v>
      </c>
      <c r="O337" s="93">
        <f t="shared" si="15"/>
        <v>1.4444347744803299E-2</v>
      </c>
      <c r="P337" s="93">
        <f t="shared" si="16"/>
        <v>-8.116394141514327E-3</v>
      </c>
      <c r="Q337" s="93">
        <f>B337*'Portfolio 2 &amp; 3'!$F$7+C337*'Portfolio 2 &amp; 3'!$F$8+D337*'Portfolio 2 &amp; 3'!$F$9+E337*'Portfolio 2 &amp; 3'!$F$10+F337*'Portfolio 2 &amp; 3'!$F$11+G337*'Portfolio 2 &amp; 3'!$F$12+H337*'Portfolio 2 &amp; 3'!$F$13+I337*'Portfolio 2 &amp; 3'!$F$14+J337*'Portfolio 2 &amp; 3'!$F$15+K337*'Portfolio 2 &amp; 3'!$F$16</f>
        <v>-2.235225956051693E-4</v>
      </c>
      <c r="R337" s="93">
        <f>B337*'Portfolio 2 &amp; 3'!$B$23+C337*'Portfolio 2 &amp; 3'!$B$24+D337*'Portfolio 2 &amp; 3'!$B$25+E337*'Portfolio 2 &amp; 3'!$B$26+F337*'Portfolio 2 &amp; 3'!$B$27+G337*'Portfolio 2 &amp; 3'!$B$28+H337*'Portfolio 2 &amp; 3'!$B$29+I337*'Portfolio 2 &amp; 3'!$B$30+J337*'Portfolio 2 &amp; 3'!$B$31+K337*'Portfolio 2 &amp; 3'!$B$32</f>
        <v>-2.3949800949215355E-4</v>
      </c>
      <c r="S337" s="93">
        <f t="shared" si="17"/>
        <v>3.1639768016444858E-3</v>
      </c>
    </row>
    <row r="338" spans="1:19" ht="12.75" customHeight="1">
      <c r="A338" s="81">
        <v>45588</v>
      </c>
      <c r="B338" s="53">
        <v>-1.9699999999999999E-2</v>
      </c>
      <c r="C338" s="53">
        <v>1.8173898933308199E-2</v>
      </c>
      <c r="D338" s="53">
        <v>5.7182705718270598E-3</v>
      </c>
      <c r="E338" s="53">
        <v>8.8400000000000006E-3</v>
      </c>
      <c r="F338" s="53">
        <v>1.29528435539363E-2</v>
      </c>
      <c r="G338" s="53">
        <v>7.0805525844019901E-4</v>
      </c>
      <c r="H338" s="87">
        <v>-1.0330107706564199E-2</v>
      </c>
      <c r="I338" s="53">
        <v>2.2844549559234699E-2</v>
      </c>
      <c r="J338" s="53">
        <v>9.5708240983276606E-3</v>
      </c>
      <c r="K338" s="53">
        <v>5.8210439821821999E-3</v>
      </c>
      <c r="L338" s="95">
        <f>IFERROR(B338*'Stock Statistics'!$C$41+C338*'Stock Statistics'!$C$42+D338*'Stock Statistics'!$C$43+E338*'Stock Statistics'!$C$44+F338*'Stock Statistics'!$C$45+G338*'Stock Statistics'!$C$46+H338*'Stock Statistics'!$C$47+I338*'Stock Statistics'!$C$48+J338*'Stock Statistics'!$C$49+K338*'Stock Statistics'!$C$50,"")</f>
        <v>5.4599378250692124E-3</v>
      </c>
      <c r="M338" s="96">
        <v>465.35849999999999</v>
      </c>
      <c r="N338" s="97">
        <v>578.66830000000004</v>
      </c>
      <c r="O338" s="93">
        <f t="shared" si="15"/>
        <v>1.2976718506121365E-3</v>
      </c>
      <c r="P338" s="93">
        <f t="shared" si="16"/>
        <v>1.6589641271511635E-3</v>
      </c>
      <c r="Q338" s="93">
        <f>B338*'Portfolio 2 &amp; 3'!$F$7+C338*'Portfolio 2 &amp; 3'!$F$8+D338*'Portfolio 2 &amp; 3'!$F$9+E338*'Portfolio 2 &amp; 3'!$F$10+F338*'Portfolio 2 &amp; 3'!$F$11+G338*'Portfolio 2 &amp; 3'!$F$12+H338*'Portfolio 2 &amp; 3'!$F$13+I338*'Portfolio 2 &amp; 3'!$F$14+J338*'Portfolio 2 &amp; 3'!$F$15+K338*'Portfolio 2 &amp; 3'!$F$16</f>
        <v>5.3261776311290324E-3</v>
      </c>
      <c r="R338" s="93">
        <f>B338*'Portfolio 2 &amp; 3'!$B$23+C338*'Portfolio 2 &amp; 3'!$B$24+D338*'Portfolio 2 &amp; 3'!$B$25+E338*'Portfolio 2 &amp; 3'!$B$26+F338*'Portfolio 2 &amp; 3'!$B$27+G338*'Portfolio 2 &amp; 3'!$B$28+H338*'Portfolio 2 &amp; 3'!$B$29+I338*'Portfolio 2 &amp; 3'!$B$30+J338*'Portfolio 2 &amp; 3'!$B$31+K338*'Portfolio 2 &amp; 3'!$B$32</f>
        <v>9.2438968775574674E-3</v>
      </c>
      <c r="S338" s="93">
        <f t="shared" si="17"/>
        <v>1.47831798888165E-3</v>
      </c>
    </row>
    <row r="339" spans="1:19" ht="12.75" customHeight="1">
      <c r="A339" s="82">
        <v>45587</v>
      </c>
      <c r="B339" s="53">
        <v>-5.0000000000000001E-3</v>
      </c>
      <c r="C339" s="53">
        <v>-4.18477149052821E-2</v>
      </c>
      <c r="D339" s="53">
        <v>-9.3948604586902001E-3</v>
      </c>
      <c r="E339" s="53">
        <v>2.9729999999999999E-2</v>
      </c>
      <c r="F339" s="53">
        <v>-1.74008153524908E-2</v>
      </c>
      <c r="G339" s="53">
        <v>-6.1982543080862902E-3</v>
      </c>
      <c r="H339" s="87">
        <v>-3.81361703415606E-3</v>
      </c>
      <c r="I339" s="53">
        <v>6.2199145437826803E-3</v>
      </c>
      <c r="J339" s="53">
        <v>-2.2783622595992101E-3</v>
      </c>
      <c r="K339" s="53">
        <v>7.6874133858610997E-3</v>
      </c>
      <c r="L339" s="95">
        <f>IFERROR(B339*'Stock Statistics'!$C$41+C339*'Stock Statistics'!$C$42+D339*'Stock Statistics'!$C$43+E339*'Stock Statistics'!$C$44+F339*'Stock Statistics'!$C$45+G339*'Stock Statistics'!$C$46+H339*'Stock Statistics'!$C$47+I339*'Stock Statistics'!$C$48+J339*'Stock Statistics'!$C$49+K339*'Stock Statistics'!$C$50,"")</f>
        <v>-4.2296296388660906E-3</v>
      </c>
      <c r="M339" s="97">
        <v>464.75540000000001</v>
      </c>
      <c r="N339" s="96">
        <v>577.70989999999995</v>
      </c>
      <c r="O339" s="93">
        <f t="shared" si="15"/>
        <v>4.1522482378115733E-3</v>
      </c>
      <c r="P339" s="93">
        <f t="shared" si="16"/>
        <v>-9.6022533434139135E-3</v>
      </c>
      <c r="Q339" s="93">
        <f>B339*'Portfolio 2 &amp; 3'!$F$7+C339*'Portfolio 2 &amp; 3'!$F$8+D339*'Portfolio 2 &amp; 3'!$F$9+E339*'Portfolio 2 &amp; 3'!$F$10+F339*'Portfolio 2 &amp; 3'!$F$11+G339*'Portfolio 2 &amp; 3'!$F$12+H339*'Portfolio 2 &amp; 3'!$F$13+I339*'Portfolio 2 &amp; 3'!$F$14+J339*'Portfolio 2 &amp; 3'!$F$15+K339*'Portfolio 2 &amp; 3'!$F$16</f>
        <v>-5.43467693857128E-3</v>
      </c>
      <c r="R339" s="93">
        <f>B339*'Portfolio 2 &amp; 3'!$B$23+C339*'Portfolio 2 &amp; 3'!$B$24+D339*'Portfolio 2 &amp; 3'!$B$25+E339*'Portfolio 2 &amp; 3'!$B$26+F339*'Portfolio 2 &amp; 3'!$B$27+G339*'Portfolio 2 &amp; 3'!$B$28+H339*'Portfolio 2 &amp; 3'!$B$29+I339*'Portfolio 2 &amp; 3'!$B$30+J339*'Portfolio 2 &amp; 3'!$B$31+K339*'Portfolio 2 &amp; 3'!$B$32</f>
        <v>-1.0163181731758618E-2</v>
      </c>
      <c r="S339" s="93">
        <f t="shared" si="17"/>
        <v>-2.7250025528011701E-3</v>
      </c>
    </row>
    <row r="340" spans="1:19" ht="12.75" customHeight="1">
      <c r="A340" s="81">
        <v>45586</v>
      </c>
      <c r="B340" s="53">
        <v>-1.1999999999999999E-3</v>
      </c>
      <c r="C340" s="53">
        <v>-7.8105336656735299E-3</v>
      </c>
      <c r="D340" s="53">
        <v>-8.6629001883239392E-3</v>
      </c>
      <c r="E340" s="53">
        <v>-2.162E-2</v>
      </c>
      <c r="F340" s="53">
        <v>-1.6382219179422002E-2</v>
      </c>
      <c r="G340" s="53">
        <v>-1.5578481945468001E-2</v>
      </c>
      <c r="H340" s="87">
        <v>-8.1802353506244003E-3</v>
      </c>
      <c r="I340" s="53">
        <v>5.1920515399461699E-3</v>
      </c>
      <c r="J340" s="53">
        <v>4.5099623047926097E-3</v>
      </c>
      <c r="K340" s="53">
        <v>1.58006844053338E-3</v>
      </c>
      <c r="L340" s="95">
        <f>IFERROR(B340*'Stock Statistics'!$C$41+C340*'Stock Statistics'!$C$42+D340*'Stock Statistics'!$C$43+E340*'Stock Statistics'!$C$44+F340*'Stock Statistics'!$C$45+G340*'Stock Statistics'!$C$46+H340*'Stock Statistics'!$C$47+I340*'Stock Statistics'!$C$48+J340*'Stock Statistics'!$C$49+K340*'Stock Statistics'!$C$50,"")</f>
        <v>-6.8152288044239714E-3</v>
      </c>
      <c r="M340" s="96">
        <v>462.83359999999999</v>
      </c>
      <c r="N340" s="97">
        <v>583.31100000000004</v>
      </c>
      <c r="O340" s="93">
        <f t="shared" si="15"/>
        <v>-7.9988751849686679E-3</v>
      </c>
      <c r="P340" s="93">
        <f t="shared" si="16"/>
        <v>-2.4615630874300631E-3</v>
      </c>
      <c r="Q340" s="93">
        <f>B340*'Portfolio 2 &amp; 3'!$F$7+C340*'Portfolio 2 &amp; 3'!$F$8+D340*'Portfolio 2 &amp; 3'!$F$9+E340*'Portfolio 2 &amp; 3'!$F$10+F340*'Portfolio 2 &amp; 3'!$F$11+G340*'Portfolio 2 &amp; 3'!$F$12+H340*'Portfolio 2 &amp; 3'!$F$13+I340*'Portfolio 2 &amp; 3'!$F$14+J340*'Portfolio 2 &amp; 3'!$F$15+K340*'Portfolio 2 &amp; 3'!$F$16</f>
        <v>-6.2199639649633031E-3</v>
      </c>
      <c r="R340" s="93">
        <f>B340*'Portfolio 2 &amp; 3'!$B$23+C340*'Portfolio 2 &amp; 3'!$B$24+D340*'Portfolio 2 &amp; 3'!$B$25+E340*'Portfolio 2 &amp; 3'!$B$26+F340*'Portfolio 2 &amp; 3'!$B$27+G340*'Portfolio 2 &amp; 3'!$B$28+H340*'Portfolio 2 &amp; 3'!$B$29+I340*'Portfolio 2 &amp; 3'!$B$30+J340*'Portfolio 2 &amp; 3'!$B$31+K340*'Portfolio 2 &amp; 3'!$B$32</f>
        <v>-4.6625532830782421E-3</v>
      </c>
      <c r="S340" s="93">
        <f t="shared" si="17"/>
        <v>-5.2302191361993655E-3</v>
      </c>
    </row>
    <row r="341" spans="1:19" ht="12.75" customHeight="1">
      <c r="A341" s="82">
        <v>45583</v>
      </c>
      <c r="B341" s="53">
        <v>2.9499999999999998E-2</v>
      </c>
      <c r="C341" s="53">
        <v>4.1743100566631296E-3</v>
      </c>
      <c r="D341" s="53">
        <v>-8.4538602566715006E-3</v>
      </c>
      <c r="E341" s="53">
        <v>-1.021E-2</v>
      </c>
      <c r="F341" s="53">
        <v>1.5673213498554901E-3</v>
      </c>
      <c r="G341" s="53">
        <v>-1.6524133932453999E-2</v>
      </c>
      <c r="H341" s="87">
        <v>-5.22590856153138E-3</v>
      </c>
      <c r="I341" s="53">
        <v>-2.55357473974199E-2</v>
      </c>
      <c r="J341" s="53">
        <v>-1.6386930181746001E-2</v>
      </c>
      <c r="K341" s="53">
        <v>-1.55295250045118E-2</v>
      </c>
      <c r="L341" s="95">
        <f>IFERROR(B341*'Stock Statistics'!$C$41+C341*'Stock Statistics'!$C$42+D341*'Stock Statistics'!$C$43+E341*'Stock Statistics'!$C$44+F341*'Stock Statistics'!$C$45+G341*'Stock Statistics'!$C$46+H341*'Stock Statistics'!$C$47+I341*'Stock Statistics'!$C$48+J341*'Stock Statistics'!$C$49+K341*'Stock Statistics'!$C$50,"")</f>
        <v>-6.2624473927815963E-3</v>
      </c>
      <c r="M341" s="97">
        <v>466.56560000000002</v>
      </c>
      <c r="N341" s="96">
        <v>584.75040000000001</v>
      </c>
      <c r="O341" s="93">
        <f t="shared" si="15"/>
        <v>-1.7373096783460218E-2</v>
      </c>
      <c r="P341" s="93">
        <f t="shared" si="16"/>
        <v>9.5859158247058041E-4</v>
      </c>
      <c r="Q341" s="93">
        <f>B341*'Portfolio 2 &amp; 3'!$F$7+C341*'Portfolio 2 &amp; 3'!$F$8+D341*'Portfolio 2 &amp; 3'!$F$9+E341*'Portfolio 2 &amp; 3'!$F$10+F341*'Portfolio 2 &amp; 3'!$F$11+G341*'Portfolio 2 &amp; 3'!$F$12+H341*'Portfolio 2 &amp; 3'!$F$13+I341*'Portfolio 2 &amp; 3'!$F$14+J341*'Portfolio 2 &amp; 3'!$F$15+K341*'Portfolio 2 &amp; 3'!$F$16</f>
        <v>-6.8670233413969028E-3</v>
      </c>
      <c r="R341" s="93">
        <f>B341*'Portfolio 2 &amp; 3'!$B$23+C341*'Portfolio 2 &amp; 3'!$B$24+D341*'Portfolio 2 &amp; 3'!$B$25+E341*'Portfolio 2 &amp; 3'!$B$26+F341*'Portfolio 2 &amp; 3'!$B$27+G341*'Portfolio 2 &amp; 3'!$B$28+H341*'Portfolio 2 &amp; 3'!$B$29+I341*'Portfolio 2 &amp; 3'!$B$30+J341*'Portfolio 2 &amp; 3'!$B$31+K341*'Portfolio 2 &amp; 3'!$B$32</f>
        <v>-5.2811265381710638E-3</v>
      </c>
      <c r="S341" s="93">
        <f t="shared" si="17"/>
        <v>-8.2072526004948188E-3</v>
      </c>
    </row>
    <row r="342" spans="1:19" ht="12.75" customHeight="1">
      <c r="A342" s="81">
        <v>45582</v>
      </c>
      <c r="B342" s="53">
        <v>-1.9900000000000001E-2</v>
      </c>
      <c r="C342" s="53">
        <v>1.8221816370579399E-2</v>
      </c>
      <c r="D342" s="53">
        <v>2.7576345623532301E-3</v>
      </c>
      <c r="E342" s="53">
        <v>-1.273E-2</v>
      </c>
      <c r="F342" s="53">
        <v>7.3522203705511701E-4</v>
      </c>
      <c r="G342" s="53">
        <v>1.55594482799228E-2</v>
      </c>
      <c r="H342" s="87">
        <v>-6.48262153061086E-3</v>
      </c>
      <c r="I342" s="53">
        <v>-4.9815498154981404E-3</v>
      </c>
      <c r="J342" s="53">
        <v>-8.7940935192781806E-3</v>
      </c>
      <c r="K342" s="53">
        <v>-1.8067510548523302E-2</v>
      </c>
      <c r="L342" s="95">
        <f>IFERROR(B342*'Stock Statistics'!$C$41+C342*'Stock Statistics'!$C$42+D342*'Stock Statistics'!$C$43+E342*'Stock Statistics'!$C$44+F342*'Stock Statistics'!$C$45+G342*'Stock Statistics'!$C$46+H342*'Stock Statistics'!$C$47+I342*'Stock Statistics'!$C$48+J342*'Stock Statistics'!$C$49+K342*'Stock Statistics'!$C$50,"")</f>
        <v>-3.3681654163999937E-3</v>
      </c>
      <c r="M342" s="96">
        <v>474.81459999999998</v>
      </c>
      <c r="N342" s="97">
        <v>584.19039999999995</v>
      </c>
      <c r="O342" s="93">
        <f t="shared" si="15"/>
        <v>-7.6194425367042129E-3</v>
      </c>
      <c r="P342" s="93">
        <f t="shared" si="16"/>
        <v>2.0461494260266555E-3</v>
      </c>
      <c r="Q342" s="93">
        <f>B342*'Portfolio 2 &amp; 3'!$F$7+C342*'Portfolio 2 &amp; 3'!$F$8+D342*'Portfolio 2 &amp; 3'!$F$9+E342*'Portfolio 2 &amp; 3'!$F$10+F342*'Portfolio 2 &amp; 3'!$F$11+G342*'Portfolio 2 &amp; 3'!$F$12+H342*'Portfolio 2 &amp; 3'!$F$13+I342*'Portfolio 2 &amp; 3'!$F$14+J342*'Portfolio 2 &amp; 3'!$F$15+K342*'Portfolio 2 &amp; 3'!$F$16</f>
        <v>-3.3795001750706833E-3</v>
      </c>
      <c r="R342" s="93">
        <f>B342*'Portfolio 2 &amp; 3'!$B$23+C342*'Portfolio 2 &amp; 3'!$B$24+D342*'Portfolio 2 &amp; 3'!$B$25+E342*'Portfolio 2 &amp; 3'!$B$26+F342*'Portfolio 2 &amp; 3'!$B$27+G342*'Portfolio 2 &amp; 3'!$B$28+H342*'Portfolio 2 &amp; 3'!$B$29+I342*'Portfolio 2 &amp; 3'!$B$30+J342*'Portfolio 2 &amp; 3'!$B$31+K342*'Portfolio 2 &amp; 3'!$B$32</f>
        <v>-6.5724705149590988E-4</v>
      </c>
      <c r="S342" s="93">
        <f t="shared" si="17"/>
        <v>-2.7866465553387787E-3</v>
      </c>
    </row>
    <row r="343" spans="1:19" ht="12.75" customHeight="1">
      <c r="A343" s="82">
        <v>45581</v>
      </c>
      <c r="B343" s="53">
        <v>-2.5000000000000001E-3</v>
      </c>
      <c r="C343" s="53">
        <v>-1.16994568695339E-2</v>
      </c>
      <c r="D343" s="53">
        <v>-9.0415303127423501E-3</v>
      </c>
      <c r="E343" s="53">
        <v>-4.4000000000000002E-4</v>
      </c>
      <c r="F343" s="53">
        <v>-3.5958985021027401E-2</v>
      </c>
      <c r="G343" s="53">
        <v>-3.3766196822506901E-2</v>
      </c>
      <c r="H343" s="87">
        <v>5.5265100946442196E-3</v>
      </c>
      <c r="I343" s="53">
        <v>-6.9882482267646902E-3</v>
      </c>
      <c r="J343" s="53">
        <v>-1.8012502416704299E-2</v>
      </c>
      <c r="K343" s="53">
        <v>-1.6148449499771698E-2</v>
      </c>
      <c r="L343" s="95">
        <f>IFERROR(B343*'Stock Statistics'!$C$41+C343*'Stock Statistics'!$C$42+D343*'Stock Statistics'!$C$43+E343*'Stock Statistics'!$C$44+F343*'Stock Statistics'!$C$45+G343*'Stock Statistics'!$C$46+H343*'Stock Statistics'!$C$47+I343*'Stock Statistics'!$C$48+J343*'Stock Statistics'!$C$49+K343*'Stock Statistics'!$C$50,"")</f>
        <v>-1.2902885907440705E-2</v>
      </c>
      <c r="M343" s="97">
        <v>478.46019999999999</v>
      </c>
      <c r="N343" s="96">
        <v>582.99749999999995</v>
      </c>
      <c r="O343" s="93">
        <f t="shared" si="15"/>
        <v>4.3044901497555355E-3</v>
      </c>
      <c r="P343" s="93">
        <f t="shared" si="16"/>
        <v>8.6777803941611165E-3</v>
      </c>
      <c r="Q343" s="93">
        <f>B343*'Portfolio 2 &amp; 3'!$F$7+C343*'Portfolio 2 &amp; 3'!$F$8+D343*'Portfolio 2 &amp; 3'!$F$9+E343*'Portfolio 2 &amp; 3'!$F$10+F343*'Portfolio 2 &amp; 3'!$F$11+G343*'Portfolio 2 &amp; 3'!$F$12+H343*'Portfolio 2 &amp; 3'!$F$13+I343*'Portfolio 2 &amp; 3'!$F$14+J343*'Portfolio 2 &amp; 3'!$F$15+K343*'Portfolio 2 &amp; 3'!$F$16</f>
        <v>-1.1666261198000905E-2</v>
      </c>
      <c r="R343" s="93">
        <f>B343*'Portfolio 2 &amp; 3'!$B$23+C343*'Portfolio 2 &amp; 3'!$B$24+D343*'Portfolio 2 &amp; 3'!$B$25+E343*'Portfolio 2 &amp; 3'!$B$26+F343*'Portfolio 2 &amp; 3'!$B$27+G343*'Portfolio 2 &amp; 3'!$B$28+H343*'Portfolio 2 &amp; 3'!$B$29+I343*'Portfolio 2 &amp; 3'!$B$30+J343*'Portfolio 2 &amp; 3'!$B$31+K343*'Portfolio 2 &amp; 3'!$B$32</f>
        <v>-1.5501283065090949E-2</v>
      </c>
      <c r="S343" s="93">
        <f t="shared" si="17"/>
        <v>6.491135271958326E-3</v>
      </c>
    </row>
    <row r="344" spans="1:19" ht="12.75" customHeight="1">
      <c r="A344" s="81">
        <v>45580</v>
      </c>
      <c r="B344" s="53">
        <v>6.4999999999999997E-3</v>
      </c>
      <c r="C344" s="53">
        <v>-2.7324235894980502E-2</v>
      </c>
      <c r="D344" s="53">
        <v>1.3513056991318901E-3</v>
      </c>
      <c r="E344" s="53">
        <v>-1.391E-2</v>
      </c>
      <c r="F344" s="53">
        <v>-3.9534993175505103E-3</v>
      </c>
      <c r="G344" s="53">
        <v>5.07490850869163E-3</v>
      </c>
      <c r="H344" s="87">
        <v>-1.02072747321513E-3</v>
      </c>
      <c r="I344" s="53">
        <v>1.10079119367046E-2</v>
      </c>
      <c r="J344" s="53">
        <v>-4.4909219221145298E-3</v>
      </c>
      <c r="K344" s="53">
        <v>-9.07460427156348E-3</v>
      </c>
      <c r="L344" s="95">
        <f>IFERROR(B344*'Stock Statistics'!$C$41+C344*'Stock Statistics'!$C$42+D344*'Stock Statistics'!$C$43+E344*'Stock Statistics'!$C$44+F344*'Stock Statistics'!$C$45+G344*'Stock Statistics'!$C$46+H344*'Stock Statistics'!$C$47+I344*'Stock Statistics'!$C$48+J344*'Stock Statistics'!$C$49+K344*'Stock Statistics'!$C$50,"")</f>
        <v>-3.5839862734896042E-3</v>
      </c>
      <c r="M344" s="96">
        <v>476.40949999999998</v>
      </c>
      <c r="N344" s="97">
        <v>577.9819</v>
      </c>
      <c r="O344" s="93">
        <f t="shared" si="15"/>
        <v>-8.8605764679815513E-3</v>
      </c>
      <c r="P344" s="93">
        <f t="shared" si="16"/>
        <v>-1.4077301830581535E-2</v>
      </c>
      <c r="Q344" s="93">
        <f>B344*'Portfolio 2 &amp; 3'!$F$7+C344*'Portfolio 2 &amp; 3'!$F$8+D344*'Portfolio 2 &amp; 3'!$F$9+E344*'Portfolio 2 &amp; 3'!$F$10+F344*'Portfolio 2 &amp; 3'!$F$11+G344*'Portfolio 2 &amp; 3'!$F$12+H344*'Portfolio 2 &amp; 3'!$F$13+I344*'Portfolio 2 &amp; 3'!$F$14+J344*'Portfolio 2 &amp; 3'!$F$15+K344*'Portfolio 2 &amp; 3'!$F$16</f>
        <v>-3.7794861641390208E-3</v>
      </c>
      <c r="R344" s="93">
        <f>B344*'Portfolio 2 &amp; 3'!$B$23+C344*'Portfolio 2 &amp; 3'!$B$24+D344*'Portfolio 2 &amp; 3'!$B$25+E344*'Portfolio 2 &amp; 3'!$B$26+F344*'Portfolio 2 &amp; 3'!$B$27+G344*'Portfolio 2 &amp; 3'!$B$28+H344*'Portfolio 2 &amp; 3'!$B$29+I344*'Portfolio 2 &amp; 3'!$B$30+J344*'Portfolio 2 &amp; 3'!$B$31+K344*'Portfolio 2 &amp; 3'!$B$32</f>
        <v>-2.6283529493908763E-3</v>
      </c>
      <c r="S344" s="93">
        <f t="shared" si="17"/>
        <v>-1.1468939149281543E-2</v>
      </c>
    </row>
    <row r="345" spans="1:19" ht="12.75" customHeight="1">
      <c r="A345" s="82">
        <v>45579</v>
      </c>
      <c r="B345" s="53">
        <v>8.0000000000000004E-4</v>
      </c>
      <c r="C345" s="53">
        <v>2.24747858496821E-3</v>
      </c>
      <c r="D345" s="53">
        <v>-6.1776061776062097E-3</v>
      </c>
      <c r="E345" s="53">
        <v>-2.3439999999999999E-2</v>
      </c>
      <c r="F345" s="53">
        <v>-1.9259676813230299E-3</v>
      </c>
      <c r="G345" s="53">
        <v>2.1920084814968099E-3</v>
      </c>
      <c r="H345" s="87">
        <v>1.50113814252115E-2</v>
      </c>
      <c r="I345" s="53">
        <v>-4.7142480905978399E-3</v>
      </c>
      <c r="J345" s="53">
        <v>-2.2404301625912298E-3</v>
      </c>
      <c r="K345" s="53">
        <v>-7.5526850816097797E-3</v>
      </c>
      <c r="L345" s="95">
        <f>IFERROR(B345*'Stock Statistics'!$C$41+C345*'Stock Statistics'!$C$42+D345*'Stock Statistics'!$C$43+E345*'Stock Statistics'!$C$44+F345*'Stock Statistics'!$C$45+G345*'Stock Statistics'!$C$46+H345*'Stock Statistics'!$C$47+I345*'Stock Statistics'!$C$48+J345*'Stock Statistics'!$C$49+K345*'Stock Statistics'!$C$50,"")</f>
        <v>-2.5800068702051572E-3</v>
      </c>
      <c r="M345" s="97">
        <v>480.66849999999999</v>
      </c>
      <c r="N345" s="96">
        <v>586.23450000000003</v>
      </c>
      <c r="O345" s="93">
        <f t="shared" si="15"/>
        <v>-4.0456175756959922E-3</v>
      </c>
      <c r="P345" s="93">
        <f t="shared" si="16"/>
        <v>1.8223070826603571E-2</v>
      </c>
      <c r="Q345" s="93">
        <f>B345*'Portfolio 2 &amp; 3'!$F$7+C345*'Portfolio 2 &amp; 3'!$F$8+D345*'Portfolio 2 &amp; 3'!$F$9+E345*'Portfolio 2 &amp; 3'!$F$10+F345*'Portfolio 2 &amp; 3'!$F$11+G345*'Portfolio 2 &amp; 3'!$F$12+H345*'Portfolio 2 &amp; 3'!$F$13+I345*'Portfolio 2 &amp; 3'!$F$14+J345*'Portfolio 2 &amp; 3'!$F$15+K345*'Portfolio 2 &amp; 3'!$F$16</f>
        <v>-1.2005361063493407E-3</v>
      </c>
      <c r="R345" s="93">
        <f>B345*'Portfolio 2 &amp; 3'!$B$23+C345*'Portfolio 2 &amp; 3'!$B$24+D345*'Portfolio 2 &amp; 3'!$B$25+E345*'Portfolio 2 &amp; 3'!$B$26+F345*'Portfolio 2 &amp; 3'!$B$27+G345*'Portfolio 2 &amp; 3'!$B$28+H345*'Portfolio 2 &amp; 3'!$B$29+I345*'Portfolio 2 &amp; 3'!$B$30+J345*'Portfolio 2 &amp; 3'!$B$31+K345*'Portfolio 2 &amp; 3'!$B$32</f>
        <v>-1.0614845945187221E-3</v>
      </c>
      <c r="S345" s="93">
        <f t="shared" si="17"/>
        <v>7.0887266254537895E-3</v>
      </c>
    </row>
    <row r="346" spans="1:19" ht="12.75" customHeight="1">
      <c r="A346" s="81">
        <v>45576</v>
      </c>
      <c r="B346" s="53">
        <v>1.46E-2</v>
      </c>
      <c r="C346" s="53">
        <v>9.7152455865487895E-3</v>
      </c>
      <c r="D346" s="53">
        <v>-4.4122071063273901E-3</v>
      </c>
      <c r="E346" s="53">
        <v>4.9100000000000003E-3</v>
      </c>
      <c r="F346" s="53">
        <v>7.0009460737938704E-3</v>
      </c>
      <c r="G346" s="53">
        <v>-2.03028266681926E-3</v>
      </c>
      <c r="H346" s="87">
        <v>-7.2448535263291997E-3</v>
      </c>
      <c r="I346" s="53">
        <v>2.6337275145449399E-5</v>
      </c>
      <c r="J346" s="53">
        <v>-6.0760299029744003E-3</v>
      </c>
      <c r="K346" s="53">
        <v>2.7756398709612999E-3</v>
      </c>
      <c r="L346" s="95">
        <f>IFERROR(B346*'Stock Statistics'!$C$41+C346*'Stock Statistics'!$C$42+D346*'Stock Statistics'!$C$43+E346*'Stock Statistics'!$C$44+F346*'Stock Statistics'!$C$45+G346*'Stock Statistics'!$C$46+H346*'Stock Statistics'!$C$47+I346*'Stock Statistics'!$C$48+J346*'Stock Statistics'!$C$49+K346*'Stock Statistics'!$C$50,"")</f>
        <v>1.926479560399916E-3</v>
      </c>
      <c r="M346" s="96">
        <v>482.62099999999998</v>
      </c>
      <c r="N346" s="97">
        <v>575.74270000000001</v>
      </c>
      <c r="O346" s="93">
        <f t="shared" si="15"/>
        <v>4.5264163757738896E-3</v>
      </c>
      <c r="P346" s="93">
        <f t="shared" si="16"/>
        <v>1.4279009804498477E-2</v>
      </c>
      <c r="Q346" s="93">
        <f>B346*'Portfolio 2 &amp; 3'!$F$7+C346*'Portfolio 2 &amp; 3'!$F$8+D346*'Portfolio 2 &amp; 3'!$F$9+E346*'Portfolio 2 &amp; 3'!$F$10+F346*'Portfolio 2 &amp; 3'!$F$11+G346*'Portfolio 2 &amp; 3'!$F$12+H346*'Portfolio 2 &amp; 3'!$F$13+I346*'Portfolio 2 &amp; 3'!$F$14+J346*'Portfolio 2 &amp; 3'!$F$15+K346*'Portfolio 2 &amp; 3'!$F$16</f>
        <v>4.4639508843005883E-4</v>
      </c>
      <c r="R346" s="93">
        <f>B346*'Portfolio 2 &amp; 3'!$B$23+C346*'Portfolio 2 &amp; 3'!$B$24+D346*'Portfolio 2 &amp; 3'!$B$25+E346*'Portfolio 2 &amp; 3'!$B$26+F346*'Portfolio 2 &amp; 3'!$B$27+G346*'Portfolio 2 &amp; 3'!$B$28+H346*'Portfolio 2 &amp; 3'!$B$29+I346*'Portfolio 2 &amp; 3'!$B$30+J346*'Portfolio 2 &amp; 3'!$B$31+K346*'Portfolio 2 &amp; 3'!$B$32</f>
        <v>4.4725215587549626E-3</v>
      </c>
      <c r="S346" s="93">
        <f t="shared" si="17"/>
        <v>9.4027130901361833E-3</v>
      </c>
    </row>
    <row r="347" spans="1:19" ht="12.75" customHeight="1">
      <c r="A347" s="82">
        <v>45575</v>
      </c>
      <c r="B347" s="53">
        <v>-8.6999999999999994E-3</v>
      </c>
      <c r="C347" s="53">
        <v>8.8315328086554495E-3</v>
      </c>
      <c r="D347" s="53">
        <v>2.03963300248984E-2</v>
      </c>
      <c r="E347" s="53">
        <v>1.1650000000000001E-2</v>
      </c>
      <c r="F347" s="53">
        <v>-7.8377997841084807E-3</v>
      </c>
      <c r="G347" s="53">
        <v>1.56247731068033E-2</v>
      </c>
      <c r="H347" s="87">
        <v>9.1980846163171003E-3</v>
      </c>
      <c r="I347" s="53">
        <v>-5.9170048435659402E-3</v>
      </c>
      <c r="J347" s="53">
        <v>-1.67036816916388E-2</v>
      </c>
      <c r="K347" s="53">
        <v>-1.7401868106229599E-2</v>
      </c>
      <c r="L347" s="95">
        <f>IFERROR(B347*'Stock Statistics'!$C$41+C347*'Stock Statistics'!$C$42+D347*'Stock Statistics'!$C$43+E347*'Stock Statistics'!$C$44+F347*'Stock Statistics'!$C$45+G347*'Stock Statistics'!$C$46+H347*'Stock Statistics'!$C$47+I347*'Stock Statistics'!$C$48+J347*'Stock Statistics'!$C$49+K347*'Stock Statistics'!$C$50,"")</f>
        <v>9.1403661311314339E-4</v>
      </c>
      <c r="M347" s="97">
        <v>480.44630000000001</v>
      </c>
      <c r="N347" s="96">
        <v>567.63739999999996</v>
      </c>
      <c r="O347" s="93">
        <f t="shared" si="15"/>
        <v>1.8796988561446959E-3</v>
      </c>
      <c r="P347" s="93">
        <f t="shared" si="16"/>
        <v>-7.185016267730493E-3</v>
      </c>
      <c r="Q347" s="93">
        <f>B347*'Portfolio 2 &amp; 3'!$F$7+C347*'Portfolio 2 &amp; 3'!$F$8+D347*'Portfolio 2 &amp; 3'!$F$9+E347*'Portfolio 2 &amp; 3'!$F$10+F347*'Portfolio 2 &amp; 3'!$F$11+G347*'Portfolio 2 &amp; 3'!$F$12+H347*'Portfolio 2 &amp; 3'!$F$13+I347*'Portfolio 2 &amp; 3'!$F$14+J347*'Portfolio 2 &amp; 3'!$F$15+K347*'Portfolio 2 &amp; 3'!$F$16</f>
        <v>1.0903134422300615E-3</v>
      </c>
      <c r="R347" s="93">
        <f>B347*'Portfolio 2 &amp; 3'!$B$23+C347*'Portfolio 2 &amp; 3'!$B$24+D347*'Portfolio 2 &amp; 3'!$B$25+E347*'Portfolio 2 &amp; 3'!$B$26+F347*'Portfolio 2 &amp; 3'!$B$27+G347*'Portfolio 2 &amp; 3'!$B$28+H347*'Portfolio 2 &amp; 3'!$B$29+I347*'Portfolio 2 &amp; 3'!$B$30+J347*'Portfolio 2 &amp; 3'!$B$31+K347*'Portfolio 2 &amp; 3'!$B$32</f>
        <v>-2.0469068270697458E-3</v>
      </c>
      <c r="S347" s="93">
        <f t="shared" si="17"/>
        <v>-2.6526587057928985E-3</v>
      </c>
    </row>
    <row r="348" spans="1:19" ht="12.75" customHeight="1">
      <c r="A348" s="81">
        <v>45574</v>
      </c>
      <c r="B348" s="53">
        <v>3.0999999999999999E-3</v>
      </c>
      <c r="C348" s="53">
        <v>-2.4943995170079999E-2</v>
      </c>
      <c r="D348" s="53">
        <v>-2.8721924070761198E-2</v>
      </c>
      <c r="E348" s="53">
        <v>2.512E-2</v>
      </c>
      <c r="F348" s="53">
        <v>1.0145545915706501E-2</v>
      </c>
      <c r="G348" s="53">
        <v>-3.2047227493147798E-2</v>
      </c>
      <c r="H348" s="87">
        <v>2.44565630174232E-3</v>
      </c>
      <c r="I348" s="53">
        <v>4.10105418123496E-3</v>
      </c>
      <c r="J348" s="53">
        <v>1.69199436001888E-3</v>
      </c>
      <c r="K348" s="53">
        <v>1.18197728845293E-2</v>
      </c>
      <c r="L348" s="95">
        <f>IFERROR(B348*'Stock Statistics'!$C$41+C348*'Stock Statistics'!$C$42+D348*'Stock Statistics'!$C$43+E348*'Stock Statistics'!$C$44+F348*'Stock Statistics'!$C$45+G348*'Stock Statistics'!$C$46+H348*'Stock Statistics'!$C$47+I348*'Stock Statistics'!$C$48+J348*'Stock Statistics'!$C$49+K348*'Stock Statistics'!$C$50,"")</f>
        <v>-2.7289123090757043E-3</v>
      </c>
      <c r="M348" s="96">
        <v>479.54489999999998</v>
      </c>
      <c r="N348" s="97">
        <v>571.74540000000002</v>
      </c>
      <c r="O348" s="93">
        <f t="shared" si="15"/>
        <v>6.0375482254908519E-3</v>
      </c>
      <c r="P348" s="93">
        <f t="shared" si="16"/>
        <v>-2.803335538491436E-3</v>
      </c>
      <c r="Q348" s="93">
        <f>B348*'Portfolio 2 &amp; 3'!$F$7+C348*'Portfolio 2 &amp; 3'!$F$8+D348*'Portfolio 2 &amp; 3'!$F$9+E348*'Portfolio 2 &amp; 3'!$F$10+F348*'Portfolio 2 &amp; 3'!$F$11+G348*'Portfolio 2 &amp; 3'!$F$12+H348*'Portfolio 2 &amp; 3'!$F$13+I348*'Portfolio 2 &amp; 3'!$F$14+J348*'Portfolio 2 &amp; 3'!$F$15+K348*'Portfolio 2 &amp; 3'!$F$16</f>
        <v>-2.9920280504586662E-3</v>
      </c>
      <c r="R348" s="93">
        <f>B348*'Portfolio 2 &amp; 3'!$B$23+C348*'Portfolio 2 &amp; 3'!$B$24+D348*'Portfolio 2 &amp; 3'!$B$25+E348*'Portfolio 2 &amp; 3'!$B$26+F348*'Portfolio 2 &amp; 3'!$B$27+G348*'Portfolio 2 &amp; 3'!$B$28+H348*'Portfolio 2 &amp; 3'!$B$29+I348*'Portfolio 2 &amp; 3'!$B$30+J348*'Portfolio 2 &amp; 3'!$B$31+K348*'Portfolio 2 &amp; 3'!$B$32</f>
        <v>-4.3445083642754175E-3</v>
      </c>
      <c r="S348" s="93">
        <f t="shared" si="17"/>
        <v>1.6171063434997079E-3</v>
      </c>
    </row>
    <row r="349" spans="1:19" ht="12.75" customHeight="1">
      <c r="A349" s="82">
        <v>45573</v>
      </c>
      <c r="B349" s="53">
        <v>1.84E-2</v>
      </c>
      <c r="C349" s="53">
        <v>6.9190590079748499E-3</v>
      </c>
      <c r="D349" s="53">
        <v>1.21039396479463E-2</v>
      </c>
      <c r="E349" s="53">
        <v>-6.3200000000000006E-2</v>
      </c>
      <c r="F349" s="53">
        <v>3.8071669918622298E-3</v>
      </c>
      <c r="G349" s="53">
        <v>1.1315015138807999E-2</v>
      </c>
      <c r="H349" s="87">
        <v>-1.2265842442065401E-2</v>
      </c>
      <c r="I349" s="53">
        <v>7.5221824923852303E-3</v>
      </c>
      <c r="J349" s="53">
        <v>-1.42998332200878E-2</v>
      </c>
      <c r="K349" s="53">
        <v>3.3674680040052897E-2</v>
      </c>
      <c r="L349" s="95">
        <f>IFERROR(B349*'Stock Statistics'!$C$41+C349*'Stock Statistics'!$C$42+D349*'Stock Statistics'!$C$43+E349*'Stock Statistics'!$C$44+F349*'Stock Statistics'!$C$45+G349*'Stock Statistics'!$C$46+H349*'Stock Statistics'!$C$47+I349*'Stock Statistics'!$C$48+J349*'Stock Statistics'!$C$49+K349*'Stock Statistics'!$C$50,"")</f>
        <v>3.9763676568762988E-4</v>
      </c>
      <c r="M349" s="97">
        <v>476.66699999999997</v>
      </c>
      <c r="N349" s="96">
        <v>573.35270000000003</v>
      </c>
      <c r="O349" s="93">
        <f t="shared" si="15"/>
        <v>-1.0865462371999701E-2</v>
      </c>
      <c r="P349" s="93">
        <f t="shared" si="16"/>
        <v>-7.3490622795284732E-3</v>
      </c>
      <c r="Q349" s="93">
        <f>B349*'Portfolio 2 &amp; 3'!$F$7+C349*'Portfolio 2 &amp; 3'!$F$8+D349*'Portfolio 2 &amp; 3'!$F$9+E349*'Portfolio 2 &amp; 3'!$F$10+F349*'Portfolio 2 &amp; 3'!$F$11+G349*'Portfolio 2 &amp; 3'!$F$12+H349*'Portfolio 2 &amp; 3'!$F$13+I349*'Portfolio 2 &amp; 3'!$F$14+J349*'Portfolio 2 &amp; 3'!$F$15+K349*'Portfolio 2 &amp; 3'!$F$16</f>
        <v>-8.7117428066936986E-4</v>
      </c>
      <c r="R349" s="93">
        <f>B349*'Portfolio 2 &amp; 3'!$B$23+C349*'Portfolio 2 &amp; 3'!$B$24+D349*'Portfolio 2 &amp; 3'!$B$25+E349*'Portfolio 2 &amp; 3'!$B$26+F349*'Portfolio 2 &amp; 3'!$B$27+G349*'Portfolio 2 &amp; 3'!$B$28+H349*'Portfolio 2 &amp; 3'!$B$29+I349*'Portfolio 2 &amp; 3'!$B$30+J349*'Portfolio 2 &amp; 3'!$B$31+K349*'Portfolio 2 &amp; 3'!$B$32</f>
        <v>9.6717386286514079E-3</v>
      </c>
      <c r="S349" s="93">
        <f t="shared" si="17"/>
        <v>-9.1072623257640872E-3</v>
      </c>
    </row>
    <row r="350" spans="1:19" ht="12.75" customHeight="1">
      <c r="A350" s="81">
        <v>45572</v>
      </c>
      <c r="B350" s="53">
        <v>-2.5000000000000001E-3</v>
      </c>
      <c r="C350" s="53">
        <v>1.47071953248652E-2</v>
      </c>
      <c r="D350" s="53">
        <v>1.6807582162825699E-2</v>
      </c>
      <c r="E350" s="53">
        <v>2.5690000000000001E-2</v>
      </c>
      <c r="F350" s="53">
        <v>-6.33659620749971E-3</v>
      </c>
      <c r="G350" s="53">
        <v>3.2994625708496102E-2</v>
      </c>
      <c r="H350" s="87">
        <v>1.32210545293376E-3</v>
      </c>
      <c r="I350" s="53">
        <v>-2.23217753838982E-2</v>
      </c>
      <c r="J350" s="53">
        <v>-3.66557572151145E-2</v>
      </c>
      <c r="K350" s="53">
        <v>-7.9469093033933697E-3</v>
      </c>
      <c r="L350" s="95">
        <f>IFERROR(B350*'Stock Statistics'!$C$41+C350*'Stock Statistics'!$C$42+D350*'Stock Statistics'!$C$43+E350*'Stock Statistics'!$C$44+F350*'Stock Statistics'!$C$45+G350*'Stock Statistics'!$C$46+H350*'Stock Statistics'!$C$47+I350*'Stock Statistics'!$C$48+J350*'Stock Statistics'!$C$49+K350*'Stock Statistics'!$C$50,"")</f>
        <v>1.5760470539214967E-3</v>
      </c>
      <c r="M350" s="96">
        <v>481.90309999999999</v>
      </c>
      <c r="N350" s="97">
        <v>577.59749999999997</v>
      </c>
      <c r="O350" s="93">
        <f t="shared" si="15"/>
        <v>1.3680070408136569E-2</v>
      </c>
      <c r="P350" s="93">
        <f t="shared" si="16"/>
        <v>-1.0693239444511393E-3</v>
      </c>
      <c r="Q350" s="93">
        <f>B350*'Portfolio 2 &amp; 3'!$F$7+C350*'Portfolio 2 &amp; 3'!$F$8+D350*'Portfolio 2 &amp; 3'!$F$9+E350*'Portfolio 2 &amp; 3'!$F$10+F350*'Portfolio 2 &amp; 3'!$F$11+G350*'Portfolio 2 &amp; 3'!$F$12+H350*'Portfolio 2 &amp; 3'!$F$13+I350*'Portfolio 2 &amp; 3'!$F$14+J350*'Portfolio 2 &amp; 3'!$F$15+K350*'Portfolio 2 &amp; 3'!$F$16</f>
        <v>-1.1197852946863446E-3</v>
      </c>
      <c r="R350" s="93">
        <f>B350*'Portfolio 2 &amp; 3'!$B$23+C350*'Portfolio 2 &amp; 3'!$B$24+D350*'Portfolio 2 &amp; 3'!$B$25+E350*'Portfolio 2 &amp; 3'!$B$26+F350*'Portfolio 2 &amp; 3'!$B$27+G350*'Portfolio 2 &amp; 3'!$B$28+H350*'Portfolio 2 &amp; 3'!$B$29+I350*'Portfolio 2 &amp; 3'!$B$30+J350*'Portfolio 2 &amp; 3'!$B$31+K350*'Portfolio 2 &amp; 3'!$B$32</f>
        <v>-2.2387168106724475E-3</v>
      </c>
      <c r="S350" s="93">
        <f t="shared" si="17"/>
        <v>6.3053732318427147E-3</v>
      </c>
    </row>
    <row r="351" spans="1:19" ht="12.75" customHeight="1">
      <c r="A351" s="82">
        <v>45569</v>
      </c>
      <c r="B351" s="53">
        <v>-5.7000000000000002E-3</v>
      </c>
      <c r="C351" s="53">
        <v>-5.4729058870062203E-3</v>
      </c>
      <c r="D351" s="53">
        <v>3.7515773677565501E-4</v>
      </c>
      <c r="E351" s="53">
        <v>2.4E-2</v>
      </c>
      <c r="F351" s="53">
        <v>-1.0944296337870099E-2</v>
      </c>
      <c r="G351" s="53">
        <v>-1.9706064400973101E-2</v>
      </c>
      <c r="H351" s="87">
        <v>6.9819513154512104E-3</v>
      </c>
      <c r="I351" s="53">
        <v>7.1460240461100897E-3</v>
      </c>
      <c r="J351" s="53">
        <v>2.42579386847077E-2</v>
      </c>
      <c r="K351" s="53">
        <v>7.9808186333276201E-2</v>
      </c>
      <c r="L351" s="95">
        <f>IFERROR(B351*'Stock Statistics'!$C$41+C351*'Stock Statistics'!$C$42+D351*'Stock Statistics'!$C$43+E351*'Stock Statistics'!$C$44+F351*'Stock Statistics'!$C$45+G351*'Stock Statistics'!$C$46+H351*'Stock Statistics'!$C$47+I351*'Stock Statistics'!$C$48+J351*'Stock Statistics'!$C$49+K351*'Stock Statistics'!$C$50,"")</f>
        <v>1.0074599149047143E-2</v>
      </c>
      <c r="M351" s="97">
        <v>475.39960000000002</v>
      </c>
      <c r="N351" s="96">
        <v>578.21579999999994</v>
      </c>
      <c r="O351" s="93">
        <f t="shared" si="15"/>
        <v>1.6459212455121053E-2</v>
      </c>
      <c r="P351" s="93">
        <f t="shared" si="16"/>
        <v>-2.193320020404399E-3</v>
      </c>
      <c r="Q351" s="93">
        <f>B351*'Portfolio 2 &amp; 3'!$F$7+C351*'Portfolio 2 &amp; 3'!$F$8+D351*'Portfolio 2 &amp; 3'!$F$9+E351*'Portfolio 2 &amp; 3'!$F$10+F351*'Portfolio 2 &amp; 3'!$F$11+G351*'Portfolio 2 &amp; 3'!$F$12+H351*'Portfolio 2 &amp; 3'!$F$13+I351*'Portfolio 2 &amp; 3'!$F$14+J351*'Portfolio 2 &amp; 3'!$F$15+K351*'Portfolio 2 &amp; 3'!$F$16</f>
        <v>1.0247474736925543E-2</v>
      </c>
      <c r="R351" s="93">
        <f>B351*'Portfolio 2 &amp; 3'!$B$23+C351*'Portfolio 2 &amp; 3'!$B$24+D351*'Portfolio 2 &amp; 3'!$B$25+E351*'Portfolio 2 &amp; 3'!$B$26+F351*'Portfolio 2 &amp; 3'!$B$27+G351*'Portfolio 2 &amp; 3'!$B$28+H351*'Portfolio 2 &amp; 3'!$B$29+I351*'Portfolio 2 &amp; 3'!$B$30+J351*'Portfolio 2 &amp; 3'!$B$31+K351*'Portfolio 2 &amp; 3'!$B$32</f>
        <v>4.0264467182213378E-3</v>
      </c>
      <c r="S351" s="93">
        <f t="shared" si="17"/>
        <v>7.1329462173583269E-3</v>
      </c>
    </row>
    <row r="352" spans="1:19" ht="12.75" customHeight="1">
      <c r="A352" s="81">
        <v>45568</v>
      </c>
      <c r="B352" s="53">
        <v>-2.58E-2</v>
      </c>
      <c r="C352" s="53">
        <v>5.65811049956966E-3</v>
      </c>
      <c r="D352" s="53">
        <v>5.10763746057874E-3</v>
      </c>
      <c r="E352" s="53">
        <v>-1.0619999999999999E-2</v>
      </c>
      <c r="F352" s="53">
        <v>-1.04595732864349E-2</v>
      </c>
      <c r="G352" s="53">
        <v>2.3996580339902499E-2</v>
      </c>
      <c r="H352" s="87">
        <v>-3.5201447254362699E-3</v>
      </c>
      <c r="I352" s="53">
        <v>6.2458994882561604E-3</v>
      </c>
      <c r="J352" s="53">
        <v>9.8790508724955206E-3</v>
      </c>
      <c r="K352" s="53">
        <v>2.6404655508988101E-2</v>
      </c>
      <c r="L352" s="95">
        <f>IFERROR(B352*'Stock Statistics'!$C$41+C352*'Stock Statistics'!$C$42+D352*'Stock Statistics'!$C$43+E352*'Stock Statistics'!$C$44+F352*'Stock Statistics'!$C$45+G352*'Stock Statistics'!$C$46+H352*'Stock Statistics'!$C$47+I352*'Stock Statistics'!$C$48+J352*'Stock Statistics'!$C$49+K352*'Stock Statistics'!$C$50,"")</f>
        <v>2.6892216157919516E-3</v>
      </c>
      <c r="M352" s="96">
        <v>467.70159999999998</v>
      </c>
      <c r="N352" s="97">
        <v>579.48680000000002</v>
      </c>
      <c r="O352" s="93">
        <f t="shared" si="15"/>
        <v>-1.1430546205476788E-2</v>
      </c>
      <c r="P352" s="93">
        <f t="shared" si="16"/>
        <v>5.9043329339711903E-3</v>
      </c>
      <c r="Q352" s="93">
        <f>B352*'Portfolio 2 &amp; 3'!$F$7+C352*'Portfolio 2 &amp; 3'!$F$8+D352*'Portfolio 2 &amp; 3'!$F$9+E352*'Portfolio 2 &amp; 3'!$F$10+F352*'Portfolio 2 &amp; 3'!$F$11+G352*'Portfolio 2 &amp; 3'!$F$12+H352*'Portfolio 2 &amp; 3'!$F$13+I352*'Portfolio 2 &amp; 3'!$F$14+J352*'Portfolio 2 &amp; 3'!$F$15+K352*'Portfolio 2 &amp; 3'!$F$16</f>
        <v>2.4398224067946712E-3</v>
      </c>
      <c r="R352" s="93">
        <f>B352*'Portfolio 2 &amp; 3'!$B$23+C352*'Portfolio 2 &amp; 3'!$B$24+D352*'Portfolio 2 &amp; 3'!$B$25+E352*'Portfolio 2 &amp; 3'!$B$26+F352*'Portfolio 2 &amp; 3'!$B$27+G352*'Portfolio 2 &amp; 3'!$B$28+H352*'Portfolio 2 &amp; 3'!$B$29+I352*'Portfolio 2 &amp; 3'!$B$30+J352*'Portfolio 2 &amp; 3'!$B$31+K352*'Portfolio 2 &amp; 3'!$B$32</f>
        <v>2.6411387690838898E-3</v>
      </c>
      <c r="S352" s="93">
        <f t="shared" si="17"/>
        <v>-2.7631066357527989E-3</v>
      </c>
    </row>
    <row r="353" spans="1:19" ht="12.75" customHeight="1">
      <c r="A353" s="82">
        <v>45566</v>
      </c>
      <c r="B353" s="53">
        <v>-5.1000000000000004E-3</v>
      </c>
      <c r="C353" s="53">
        <v>1.30867709815075E-3</v>
      </c>
      <c r="D353" s="53">
        <v>1.41138844469164E-2</v>
      </c>
      <c r="E353" s="53">
        <v>1.295E-2</v>
      </c>
      <c r="F353" s="53">
        <v>1.10430021992418E-2</v>
      </c>
      <c r="G353" s="53">
        <v>6.6025698091931604E-3</v>
      </c>
      <c r="H353" s="87">
        <v>-1.52026901635328E-2</v>
      </c>
      <c r="I353" s="53">
        <v>-2.5130232192874802E-3</v>
      </c>
      <c r="J353" s="53">
        <v>8.3163925337292899E-4</v>
      </c>
      <c r="K353" s="53">
        <v>-3.9074379555988897E-3</v>
      </c>
      <c r="L353" s="95">
        <f>IFERROR(B353*'Stock Statistics'!$C$41+C353*'Stock Statistics'!$C$42+D353*'Stock Statistics'!$C$43+E353*'Stock Statistics'!$C$44+F353*'Stock Statistics'!$C$45+G353*'Stock Statistics'!$C$46+H353*'Stock Statistics'!$C$47+I353*'Stock Statistics'!$C$48+J353*'Stock Statistics'!$C$49+K353*'Stock Statistics'!$C$50,"")</f>
        <v>2.012662146845587E-3</v>
      </c>
      <c r="M353" s="97">
        <v>473.10950000000003</v>
      </c>
      <c r="N353" s="96">
        <v>576.08540000000005</v>
      </c>
      <c r="O353" s="93">
        <f t="shared" si="15"/>
        <v>-6.7085302045444273E-4</v>
      </c>
      <c r="P353" s="93">
        <f t="shared" si="16"/>
        <v>-2.0015910171283791E-3</v>
      </c>
      <c r="Q353" s="93">
        <f>B353*'Portfolio 2 &amp; 3'!$F$7+C353*'Portfolio 2 &amp; 3'!$F$8+D353*'Portfolio 2 &amp; 3'!$F$9+E353*'Portfolio 2 &amp; 3'!$F$10+F353*'Portfolio 2 &amp; 3'!$F$11+G353*'Portfolio 2 &amp; 3'!$F$12+H353*'Portfolio 2 &amp; 3'!$F$13+I353*'Portfolio 2 &amp; 3'!$F$14+J353*'Portfolio 2 &amp; 3'!$F$15+K353*'Portfolio 2 &amp; 3'!$F$16</f>
        <v>1.220643310576826E-3</v>
      </c>
      <c r="R353" s="93">
        <f>B353*'Portfolio 2 &amp; 3'!$B$23+C353*'Portfolio 2 &amp; 3'!$B$24+D353*'Portfolio 2 &amp; 3'!$B$25+E353*'Portfolio 2 &amp; 3'!$B$26+F353*'Portfolio 2 &amp; 3'!$B$27+G353*'Portfolio 2 &amp; 3'!$B$28+H353*'Portfolio 2 &amp; 3'!$B$29+I353*'Portfolio 2 &amp; 3'!$B$30+J353*'Portfolio 2 &amp; 3'!$B$31+K353*'Portfolio 2 &amp; 3'!$B$32</f>
        <v>7.9290109018710295E-4</v>
      </c>
      <c r="S353" s="93">
        <f t="shared" si="17"/>
        <v>-1.3362220187914109E-3</v>
      </c>
    </row>
    <row r="354" spans="1:19" ht="12.75" customHeight="1">
      <c r="A354" s="81">
        <v>45565</v>
      </c>
      <c r="B354" s="53">
        <v>-3.5999999999999999E-3</v>
      </c>
      <c r="C354" s="53">
        <v>1.62651995770553E-2</v>
      </c>
      <c r="D354" s="53">
        <v>-1.53351133018417E-2</v>
      </c>
      <c r="E354" s="53">
        <v>1.47E-3</v>
      </c>
      <c r="F354" s="53">
        <v>-6.8776430131512996E-3</v>
      </c>
      <c r="G354" s="53">
        <v>-7.8461968762421098E-3</v>
      </c>
      <c r="H354" s="87">
        <v>-1.9928583070336599E-3</v>
      </c>
      <c r="I354" s="53">
        <v>-4.1866185205530199E-4</v>
      </c>
      <c r="J354" s="53">
        <v>-2.0071836044791899E-2</v>
      </c>
      <c r="K354" s="53">
        <v>-8.7472147026867997E-4</v>
      </c>
      <c r="L354" s="95">
        <f>IFERROR(B354*'Stock Statistics'!$C$41+C354*'Stock Statistics'!$C$42+D354*'Stock Statistics'!$C$43+E354*'Stock Statistics'!$C$44+F354*'Stock Statistics'!$C$45+G354*'Stock Statistics'!$C$46+H354*'Stock Statistics'!$C$47+I354*'Stock Statistics'!$C$48+J354*'Stock Statistics'!$C$49+K354*'Stock Statistics'!$C$50,"")</f>
        <v>-3.9281831288329348E-3</v>
      </c>
      <c r="M354" s="96">
        <v>473.4271</v>
      </c>
      <c r="N354" s="97">
        <v>577.24080000000004</v>
      </c>
      <c r="O354" s="93">
        <f t="shared" si="15"/>
        <v>-9.605067586296423E-3</v>
      </c>
      <c r="P354" s="93">
        <f t="shared" si="16"/>
        <v>1.1521454655194496E-3</v>
      </c>
      <c r="Q354" s="93">
        <f>B354*'Portfolio 2 &amp; 3'!$F$7+C354*'Portfolio 2 &amp; 3'!$F$8+D354*'Portfolio 2 &amp; 3'!$F$9+E354*'Portfolio 2 &amp; 3'!$F$10+F354*'Portfolio 2 &amp; 3'!$F$11+G354*'Portfolio 2 &amp; 3'!$F$12+H354*'Portfolio 2 &amp; 3'!$F$13+I354*'Portfolio 2 &amp; 3'!$F$14+J354*'Portfolio 2 &amp; 3'!$F$15+K354*'Portfolio 2 &amp; 3'!$F$16</f>
        <v>-5.087205375300395E-3</v>
      </c>
      <c r="R354" s="93">
        <f>B354*'Portfolio 2 &amp; 3'!$B$23+C354*'Portfolio 2 &amp; 3'!$B$24+D354*'Portfolio 2 &amp; 3'!$B$25+E354*'Portfolio 2 &amp; 3'!$B$26+F354*'Portfolio 2 &amp; 3'!$B$27+G354*'Portfolio 2 &amp; 3'!$B$28+H354*'Portfolio 2 &amp; 3'!$B$29+I354*'Portfolio 2 &amp; 3'!$B$30+J354*'Portfolio 2 &amp; 3'!$B$31+K354*'Portfolio 2 &amp; 3'!$B$32</f>
        <v>-3.7975284963530375E-4</v>
      </c>
      <c r="S354" s="93">
        <f t="shared" si="17"/>
        <v>-4.2264610603884867E-3</v>
      </c>
    </row>
    <row r="355" spans="1:19" ht="12.75" customHeight="1">
      <c r="A355" s="82">
        <v>45562</v>
      </c>
      <c r="B355" s="53">
        <v>3.0000000000000001E-3</v>
      </c>
      <c r="C355" s="53">
        <v>-2.1310998286065402E-2</v>
      </c>
      <c r="D355" s="53">
        <v>-3.3513084328580398E-2</v>
      </c>
      <c r="E355" s="53">
        <v>1.09E-3</v>
      </c>
      <c r="F355" s="53">
        <v>7.4438202247191203E-3</v>
      </c>
      <c r="G355" s="53">
        <v>-2.47085510825245E-2</v>
      </c>
      <c r="H355" s="87">
        <v>-3.7028259968008298E-4</v>
      </c>
      <c r="I355" s="53">
        <v>-4.7397067631970201E-3</v>
      </c>
      <c r="J355" s="53">
        <v>-4.9854341231942998E-3</v>
      </c>
      <c r="K355" s="53">
        <v>1.1984217707141601E-3</v>
      </c>
      <c r="L355" s="95">
        <f>IFERROR(B355*'Stock Statistics'!$C$41+C355*'Stock Statistics'!$C$42+D355*'Stock Statistics'!$C$43+E355*'Stock Statistics'!$C$44+F355*'Stock Statistics'!$C$45+G355*'Stock Statistics'!$C$46+H355*'Stock Statistics'!$C$47+I355*'Stock Statistics'!$C$48+J355*'Stock Statistics'!$C$49+K355*'Stock Statistics'!$C$50,"")</f>
        <v>-7.6895815187808438E-3</v>
      </c>
      <c r="M355" s="97">
        <v>478.01850000000002</v>
      </c>
      <c r="N355" s="96">
        <v>576.57650000000001</v>
      </c>
      <c r="O355" s="93">
        <f t="shared" si="15"/>
        <v>3.2137274621439893E-3</v>
      </c>
      <c r="P355" s="93">
        <f t="shared" si="16"/>
        <v>5.0573913601283937E-3</v>
      </c>
      <c r="Q355" s="93">
        <f>B355*'Portfolio 2 &amp; 3'!$F$7+C355*'Portfolio 2 &amp; 3'!$F$8+D355*'Portfolio 2 &amp; 3'!$F$9+E355*'Portfolio 2 &amp; 3'!$F$10+F355*'Portfolio 2 &amp; 3'!$F$11+G355*'Portfolio 2 &amp; 3'!$F$12+H355*'Portfolio 2 &amp; 3'!$F$13+I355*'Portfolio 2 &amp; 3'!$F$14+J355*'Portfolio 2 &amp; 3'!$F$15+K355*'Portfolio 2 &amp; 3'!$F$16</f>
        <v>-7.9299412396473343E-3</v>
      </c>
      <c r="R355" s="93">
        <f>B355*'Portfolio 2 &amp; 3'!$B$23+C355*'Portfolio 2 &amp; 3'!$B$24+D355*'Portfolio 2 &amp; 3'!$B$25+E355*'Portfolio 2 &amp; 3'!$B$26+F355*'Portfolio 2 &amp; 3'!$B$27+G355*'Portfolio 2 &amp; 3'!$B$28+H355*'Portfolio 2 &amp; 3'!$B$29+I355*'Portfolio 2 &amp; 3'!$B$30+J355*'Portfolio 2 &amp; 3'!$B$31+K355*'Portfolio 2 &amp; 3'!$B$32</f>
        <v>-6.7960943148344015E-3</v>
      </c>
      <c r="S355" s="93">
        <f t="shared" si="17"/>
        <v>4.1355594111361915E-3</v>
      </c>
    </row>
    <row r="356" spans="1:19" ht="12.75" customHeight="1">
      <c r="A356" s="81">
        <v>45561</v>
      </c>
      <c r="B356" s="53">
        <v>1.9900000000000001E-2</v>
      </c>
      <c r="C356" s="53">
        <v>-2.0251244523691301E-3</v>
      </c>
      <c r="D356" s="53">
        <v>-2.6067445390352E-3</v>
      </c>
      <c r="E356" s="53">
        <v>3.7100000000000002E-3</v>
      </c>
      <c r="F356" s="53">
        <v>4.2785274342940199E-3</v>
      </c>
      <c r="G356" s="53">
        <v>2.0601940040441798E-2</v>
      </c>
      <c r="H356" s="87">
        <v>2.5185558304574601E-4</v>
      </c>
      <c r="I356" s="53">
        <v>-3.50339959516266E-3</v>
      </c>
      <c r="J356" s="53">
        <v>6.4990024786892898E-3</v>
      </c>
      <c r="K356" s="53">
        <v>-3.5915382990254802E-3</v>
      </c>
      <c r="L356" s="95">
        <f>IFERROR(B356*'Stock Statistics'!$C$41+C356*'Stock Statistics'!$C$42+D356*'Stock Statistics'!$C$43+E356*'Stock Statistics'!$C$44+F356*'Stock Statistics'!$C$45+G356*'Stock Statistics'!$C$46+H356*'Stock Statistics'!$C$47+I356*'Stock Statistics'!$C$48+J356*'Stock Statistics'!$C$49+K356*'Stock Statistics'!$C$50,"")</f>
        <v>4.35145186508784E-3</v>
      </c>
      <c r="M356" s="96">
        <v>476.48719999999997</v>
      </c>
      <c r="N356" s="97">
        <v>573.67520000000002</v>
      </c>
      <c r="O356" s="93">
        <f t="shared" si="15"/>
        <v>-1.1822630359173969E-3</v>
      </c>
      <c r="P356" s="93">
        <f t="shared" si="16"/>
        <v>3.8205272586588901E-3</v>
      </c>
      <c r="Q356" s="93">
        <f>B356*'Portfolio 2 &amp; 3'!$F$7+C356*'Portfolio 2 &amp; 3'!$F$8+D356*'Portfolio 2 &amp; 3'!$F$9+E356*'Portfolio 2 &amp; 3'!$F$10+F356*'Portfolio 2 &amp; 3'!$F$11+G356*'Portfolio 2 &amp; 3'!$F$12+H356*'Portfolio 2 &amp; 3'!$F$13+I356*'Portfolio 2 &amp; 3'!$F$14+J356*'Portfolio 2 &amp; 3'!$F$15+K356*'Portfolio 2 &amp; 3'!$F$16</f>
        <v>3.0233977191603859E-3</v>
      </c>
      <c r="R356" s="93">
        <f>B356*'Portfolio 2 &amp; 3'!$B$23+C356*'Portfolio 2 &amp; 3'!$B$24+D356*'Portfolio 2 &amp; 3'!$B$25+E356*'Portfolio 2 &amp; 3'!$B$26+F356*'Portfolio 2 &amp; 3'!$B$27+G356*'Portfolio 2 &amp; 3'!$B$28+H356*'Portfolio 2 &amp; 3'!$B$29+I356*'Portfolio 2 &amp; 3'!$B$30+J356*'Portfolio 2 &amp; 3'!$B$31+K356*'Portfolio 2 &amp; 3'!$B$32</f>
        <v>4.1427521914693677E-3</v>
      </c>
      <c r="S356" s="93">
        <f t="shared" si="17"/>
        <v>1.3191321113707466E-3</v>
      </c>
    </row>
    <row r="357" spans="1:19" ht="12.75" customHeight="1">
      <c r="A357" s="82">
        <v>45560</v>
      </c>
      <c r="B357" s="53">
        <v>1.2800000000000001E-2</v>
      </c>
      <c r="C357" s="53">
        <v>-4.7377000473769497E-3</v>
      </c>
      <c r="D357" s="53">
        <v>-7.4995906336990902E-3</v>
      </c>
      <c r="E357" s="53">
        <v>2.2349999999999998E-2</v>
      </c>
      <c r="F357" s="53">
        <v>1.13166278351007E-2</v>
      </c>
      <c r="G357" s="53">
        <v>-4.5944487390791001E-3</v>
      </c>
      <c r="H357" s="87">
        <v>8.1549137061864797E-4</v>
      </c>
      <c r="I357" s="53">
        <v>-1.1289577667162799E-2</v>
      </c>
      <c r="J357" s="53">
        <v>-1.10014947683109E-2</v>
      </c>
      <c r="K357" s="53">
        <v>-2.6658604957949801E-3</v>
      </c>
      <c r="L357" s="95">
        <f>IFERROR(B357*'Stock Statistics'!$C$41+C357*'Stock Statistics'!$C$42+D357*'Stock Statistics'!$C$43+E357*'Stock Statistics'!$C$44+F357*'Stock Statistics'!$C$45+G357*'Stock Statistics'!$C$46+H357*'Stock Statistics'!$C$47+I357*'Stock Statistics'!$C$48+J357*'Stock Statistics'!$C$49+K357*'Stock Statistics'!$C$50,"")</f>
        <v>5.4934468542955329E-4</v>
      </c>
      <c r="M357" s="97">
        <v>477.05119999999999</v>
      </c>
      <c r="N357" s="96">
        <v>571.49180000000001</v>
      </c>
      <c r="O357" s="93">
        <f t="shared" si="15"/>
        <v>1.7592953075238338E-3</v>
      </c>
      <c r="P357" s="93">
        <f t="shared" si="16"/>
        <v>2.3869956881832355E-3</v>
      </c>
      <c r="Q357" s="93">
        <f>B357*'Portfolio 2 &amp; 3'!$F$7+C357*'Portfolio 2 &amp; 3'!$F$8+D357*'Portfolio 2 &amp; 3'!$F$9+E357*'Portfolio 2 &amp; 3'!$F$10+F357*'Portfolio 2 &amp; 3'!$F$11+G357*'Portfolio 2 &amp; 3'!$F$12+H357*'Portfolio 2 &amp; 3'!$F$13+I357*'Portfolio 2 &amp; 3'!$F$14+J357*'Portfolio 2 &amp; 3'!$F$15+K357*'Portfolio 2 &amp; 3'!$F$16</f>
        <v>-6.9993600831989823E-4</v>
      </c>
      <c r="R357" s="93">
        <f>B357*'Portfolio 2 &amp; 3'!$B$23+C357*'Portfolio 2 &amp; 3'!$B$24+D357*'Portfolio 2 &amp; 3'!$B$25+E357*'Portfolio 2 &amp; 3'!$B$26+F357*'Portfolio 2 &amp; 3'!$B$27+G357*'Portfolio 2 &amp; 3'!$B$28+H357*'Portfolio 2 &amp; 3'!$B$29+I357*'Portfolio 2 &amp; 3'!$B$30+J357*'Portfolio 2 &amp; 3'!$B$31+K357*'Portfolio 2 &amp; 3'!$B$32</f>
        <v>-1.3783776895495191E-3</v>
      </c>
      <c r="S357" s="93">
        <f t="shared" si="17"/>
        <v>2.0731454978535346E-3</v>
      </c>
    </row>
    <row r="358" spans="1:19" ht="12.75" customHeight="1">
      <c r="A358" s="81">
        <v>45559</v>
      </c>
      <c r="B358" s="53">
        <v>-2.7000000000000001E-3</v>
      </c>
      <c r="C358" s="53">
        <v>2.9743004564397602E-2</v>
      </c>
      <c r="D358" s="53">
        <v>1.7053592245944701E-2</v>
      </c>
      <c r="E358" s="53">
        <v>-2.009E-2</v>
      </c>
      <c r="F358" s="53">
        <v>-3.5062781331438599E-3</v>
      </c>
      <c r="G358" s="53">
        <v>-1.2345501166844301E-2</v>
      </c>
      <c r="H358" s="87">
        <v>7.9130831135254508E-3</v>
      </c>
      <c r="I358" s="53">
        <v>2.6495996628739901E-2</v>
      </c>
      <c r="J358" s="53">
        <v>3.1261561228264997E-2</v>
      </c>
      <c r="K358" s="53">
        <v>1.4611566560704701E-2</v>
      </c>
      <c r="L358" s="95">
        <f>IFERROR(B358*'Stock Statistics'!$C$41+C358*'Stock Statistics'!$C$42+D358*'Stock Statistics'!$C$43+E358*'Stock Statistics'!$C$44+F358*'Stock Statistics'!$C$45+G358*'Stock Statistics'!$C$46+H358*'Stock Statistics'!$C$47+I358*'Stock Statistics'!$C$48+J358*'Stock Statistics'!$C$49+K358*'Stock Statistics'!$C$50,"")</f>
        <v>8.8437025041589214E-3</v>
      </c>
      <c r="M358" s="96">
        <v>476.21339999999998</v>
      </c>
      <c r="N358" s="97">
        <v>570.1309</v>
      </c>
      <c r="O358" s="93">
        <f t="shared" si="15"/>
        <v>1.270160192409886E-3</v>
      </c>
      <c r="P358" s="93">
        <f t="shared" si="16"/>
        <v>-4.3301693437632904E-3</v>
      </c>
      <c r="Q358" s="93">
        <f>B358*'Portfolio 2 &amp; 3'!$F$7+C358*'Portfolio 2 &amp; 3'!$F$8+D358*'Portfolio 2 &amp; 3'!$F$9+E358*'Portfolio 2 &amp; 3'!$F$10+F358*'Portfolio 2 &amp; 3'!$F$11+G358*'Portfolio 2 &amp; 3'!$F$12+H358*'Portfolio 2 &amp; 3'!$F$13+I358*'Portfolio 2 &amp; 3'!$F$14+J358*'Portfolio 2 &amp; 3'!$F$15+K358*'Portfolio 2 &amp; 3'!$F$16</f>
        <v>1.1723611486734349E-2</v>
      </c>
      <c r="R358" s="93">
        <f>B358*'Portfolio 2 &amp; 3'!$B$23+C358*'Portfolio 2 &amp; 3'!$B$24+D358*'Portfolio 2 &amp; 3'!$B$25+E358*'Portfolio 2 &amp; 3'!$B$26+F358*'Portfolio 2 &amp; 3'!$B$27+G358*'Portfolio 2 &amp; 3'!$B$28+H358*'Portfolio 2 &amp; 3'!$B$29+I358*'Portfolio 2 &amp; 3'!$B$30+J358*'Portfolio 2 &amp; 3'!$B$31+K358*'Portfolio 2 &amp; 3'!$B$32</f>
        <v>1.2818065313612076E-2</v>
      </c>
      <c r="S358" s="93">
        <f t="shared" si="17"/>
        <v>-1.5300045756767022E-3</v>
      </c>
    </row>
    <row r="359" spans="1:19" ht="12.75" customHeight="1">
      <c r="A359" s="82">
        <v>45558</v>
      </c>
      <c r="B359" s="53">
        <v>4.4000000000000003E-3</v>
      </c>
      <c r="C359" s="53">
        <v>1.0756462653260799E-2</v>
      </c>
      <c r="D359" s="53">
        <v>1.3639893311725699E-2</v>
      </c>
      <c r="E359" s="53">
        <v>5.0000000000000001E-4</v>
      </c>
      <c r="F359" s="53">
        <v>6.1634743030536399E-4</v>
      </c>
      <c r="G359" s="53">
        <v>3.8320824837678701E-3</v>
      </c>
      <c r="H359" s="87">
        <v>6.1801258580373997E-3</v>
      </c>
      <c r="I359" s="53">
        <v>1.4888669108016299E-2</v>
      </c>
      <c r="J359" s="53">
        <v>-1.3023369036027301E-2</v>
      </c>
      <c r="K359" s="53">
        <v>-2.7807129748067499E-3</v>
      </c>
      <c r="L359" s="95">
        <f>IFERROR(B359*'Stock Statistics'!$C$41+C359*'Stock Statistics'!$C$42+D359*'Stock Statistics'!$C$43+E359*'Stock Statistics'!$C$44+F359*'Stock Statistics'!$C$45+G359*'Stock Statistics'!$C$46+H359*'Stock Statistics'!$C$47+I359*'Stock Statistics'!$C$48+J359*'Stock Statistics'!$C$49+K359*'Stock Statistics'!$C$50,"")</f>
        <v>3.9009498834279392E-3</v>
      </c>
      <c r="M359" s="97">
        <v>475.60930000000002</v>
      </c>
      <c r="N359" s="96">
        <v>572.61040000000003</v>
      </c>
      <c r="O359" s="93">
        <f t="shared" si="15"/>
        <v>-6.1346372859396592E-3</v>
      </c>
      <c r="P359" s="93">
        <f t="shared" si="16"/>
        <v>-1.1233673391859211E-2</v>
      </c>
      <c r="Q359" s="93">
        <f>B359*'Portfolio 2 &amp; 3'!$F$7+C359*'Portfolio 2 &amp; 3'!$F$8+D359*'Portfolio 2 &amp; 3'!$F$9+E359*'Portfolio 2 &amp; 3'!$F$10+F359*'Portfolio 2 &amp; 3'!$F$11+G359*'Portfolio 2 &amp; 3'!$F$12+H359*'Portfolio 2 &amp; 3'!$F$13+I359*'Portfolio 2 &amp; 3'!$F$14+J359*'Portfolio 2 &amp; 3'!$F$15+K359*'Portfolio 2 &amp; 3'!$F$16</f>
        <v>3.6251051158868804E-3</v>
      </c>
      <c r="R359" s="93">
        <f>B359*'Portfolio 2 &amp; 3'!$B$23+C359*'Portfolio 2 &amp; 3'!$B$24+D359*'Portfolio 2 &amp; 3'!$B$25+E359*'Portfolio 2 &amp; 3'!$B$26+F359*'Portfolio 2 &amp; 3'!$B$27+G359*'Portfolio 2 &amp; 3'!$B$28+H359*'Portfolio 2 &amp; 3'!$B$29+I359*'Portfolio 2 &amp; 3'!$B$30+J359*'Portfolio 2 &amp; 3'!$B$31+K359*'Portfolio 2 &amp; 3'!$B$32</f>
        <v>6.5588944528281665E-3</v>
      </c>
      <c r="S359" s="93">
        <f t="shared" si="17"/>
        <v>-8.6841553388994353E-3</v>
      </c>
    </row>
    <row r="360" spans="1:19" ht="12.75" customHeight="1">
      <c r="A360" s="81">
        <v>45555</v>
      </c>
      <c r="B360" s="53">
        <v>8.3999999999999995E-3</v>
      </c>
      <c r="C360" s="53">
        <v>-1.71355813857971E-2</v>
      </c>
      <c r="D360" s="53">
        <v>-1.0291709827246301E-2</v>
      </c>
      <c r="E360" s="53">
        <v>1.176E-2</v>
      </c>
      <c r="F360" s="53">
        <v>1.4225425577296701E-4</v>
      </c>
      <c r="G360" s="53">
        <v>-4.3380183932018001E-5</v>
      </c>
      <c r="H360" s="87">
        <v>-6.1612905649599504E-4</v>
      </c>
      <c r="I360" s="53">
        <v>1.3114929607622699E-3</v>
      </c>
      <c r="J360" s="53">
        <v>3.4502763274404402E-3</v>
      </c>
      <c r="K360" s="53">
        <v>3.4413482644444198E-3</v>
      </c>
      <c r="L360" s="95">
        <f>IFERROR(B360*'Stock Statistics'!$C$41+C360*'Stock Statistics'!$C$42+D360*'Stock Statistics'!$C$43+E360*'Stock Statistics'!$C$44+F360*'Stock Statistics'!$C$45+G360*'Stock Statistics'!$C$46+H360*'Stock Statistics'!$C$47+I360*'Stock Statistics'!$C$48+J360*'Stock Statistics'!$C$49+K360*'Stock Statistics'!$C$50,"")</f>
        <v>4.1857135494868434E-5</v>
      </c>
      <c r="M360" s="96">
        <v>478.54500000000002</v>
      </c>
      <c r="N360" s="97">
        <v>579.11599999999999</v>
      </c>
      <c r="O360" s="93">
        <f t="shared" si="15"/>
        <v>1.2015380859120572E-3</v>
      </c>
      <c r="P360" s="93">
        <f t="shared" si="16"/>
        <v>-3.2176367943154149E-3</v>
      </c>
      <c r="Q360" s="93">
        <f>B360*'Portfolio 2 &amp; 3'!$F$7+C360*'Portfolio 2 &amp; 3'!$F$8+D360*'Portfolio 2 &amp; 3'!$F$9+E360*'Portfolio 2 &amp; 3'!$F$10+F360*'Portfolio 2 &amp; 3'!$F$11+G360*'Portfolio 2 &amp; 3'!$F$12+H360*'Portfolio 2 &amp; 3'!$F$13+I360*'Portfolio 2 &amp; 3'!$F$14+J360*'Portfolio 2 &amp; 3'!$F$15+K360*'Portfolio 2 &amp; 3'!$F$16</f>
        <v>-8.2284509974419413E-4</v>
      </c>
      <c r="R360" s="93">
        <f>B360*'Portfolio 2 &amp; 3'!$B$23+C360*'Portfolio 2 &amp; 3'!$B$24+D360*'Portfolio 2 &amp; 3'!$B$25+E360*'Portfolio 2 &amp; 3'!$B$26+F360*'Portfolio 2 &amp; 3'!$B$27+G360*'Portfolio 2 &amp; 3'!$B$28+H360*'Portfolio 2 &amp; 3'!$B$29+I360*'Portfolio 2 &amp; 3'!$B$30+J360*'Portfolio 2 &amp; 3'!$B$31+K360*'Portfolio 2 &amp; 3'!$B$32</f>
        <v>-1.5436785666361899E-3</v>
      </c>
      <c r="S360" s="93">
        <f t="shared" si="17"/>
        <v>-1.0080493542016788E-3</v>
      </c>
    </row>
    <row r="361" spans="1:19" ht="12.75" customHeight="1">
      <c r="A361" s="82">
        <v>45554</v>
      </c>
      <c r="B361" s="53">
        <v>6.7999999999999996E-3</v>
      </c>
      <c r="C361" s="53">
        <v>-8.1637973879108393E-3</v>
      </c>
      <c r="D361" s="53">
        <v>-2.07774360316734E-2</v>
      </c>
      <c r="E361" s="53">
        <v>1.124E-2</v>
      </c>
      <c r="F361" s="53">
        <v>-2.3612204268716099E-2</v>
      </c>
      <c r="G361" s="53">
        <v>3.1594021301351499E-2</v>
      </c>
      <c r="H361" s="87">
        <v>1.5768223899620602E-2</v>
      </c>
      <c r="I361" s="53">
        <v>2.8990175551617502E-3</v>
      </c>
      <c r="J361" s="53">
        <v>-1.24234840032568E-2</v>
      </c>
      <c r="K361" s="53">
        <v>5.4905683203521104E-4</v>
      </c>
      <c r="L361" s="95">
        <f>IFERROR(B361*'Stock Statistics'!$C$41+C361*'Stock Statistics'!$C$42+D361*'Stock Statistics'!$C$43+E361*'Stock Statistics'!$C$44+F361*'Stock Statistics'!$C$45+G361*'Stock Statistics'!$C$46+H361*'Stock Statistics'!$C$47+I361*'Stock Statistics'!$C$48+J361*'Stock Statistics'!$C$49+K361*'Stock Statistics'!$C$50,"")</f>
        <v>3.8733978966119207E-4</v>
      </c>
      <c r="M361" s="97">
        <v>477.97070000000002</v>
      </c>
      <c r="N361" s="96">
        <v>580.98540000000003</v>
      </c>
      <c r="O361" s="93">
        <f t="shared" si="15"/>
        <v>4.9168254203197925E-3</v>
      </c>
      <c r="P361" s="93">
        <f t="shared" si="16"/>
        <v>-4.64675464714015E-3</v>
      </c>
      <c r="Q361" s="93">
        <f>B361*'Portfolio 2 &amp; 3'!$F$7+C361*'Portfolio 2 &amp; 3'!$F$8+D361*'Portfolio 2 &amp; 3'!$F$9+E361*'Portfolio 2 &amp; 3'!$F$10+F361*'Portfolio 2 &amp; 3'!$F$11+G361*'Portfolio 2 &amp; 3'!$F$12+H361*'Portfolio 2 &amp; 3'!$F$13+I361*'Portfolio 2 &amp; 3'!$F$14+J361*'Portfolio 2 &amp; 3'!$F$15+K361*'Portfolio 2 &amp; 3'!$F$16</f>
        <v>-1.9382013209641399E-3</v>
      </c>
      <c r="R361" s="93">
        <f>B361*'Portfolio 2 &amp; 3'!$B$23+C361*'Portfolio 2 &amp; 3'!$B$24+D361*'Portfolio 2 &amp; 3'!$B$25+E361*'Portfolio 2 &amp; 3'!$B$26+F361*'Portfolio 2 &amp; 3'!$B$27+G361*'Portfolio 2 &amp; 3'!$B$28+H361*'Portfolio 2 &amp; 3'!$B$29+I361*'Portfolio 2 &amp; 3'!$B$30+J361*'Portfolio 2 &amp; 3'!$B$31+K361*'Portfolio 2 &amp; 3'!$B$32</f>
        <v>-4.4084535439057048E-4</v>
      </c>
      <c r="S361" s="93">
        <f t="shared" si="17"/>
        <v>1.3503538658982128E-4</v>
      </c>
    </row>
    <row r="362" spans="1:19" ht="12.75" customHeight="1">
      <c r="A362" s="81">
        <v>45553</v>
      </c>
      <c r="B362" s="53">
        <v>-3.73E-2</v>
      </c>
      <c r="C362" s="53">
        <v>7.6433016435972804E-3</v>
      </c>
      <c r="D362" s="53">
        <v>-7.1792872689472303E-3</v>
      </c>
      <c r="E362" s="53">
        <v>-3.8400000000000001E-3</v>
      </c>
      <c r="F362" s="53">
        <v>-2.79040460866826E-2</v>
      </c>
      <c r="G362" s="53">
        <v>-2.2919395166091099E-3</v>
      </c>
      <c r="H362" s="87">
        <v>7.47399097277213E-3</v>
      </c>
      <c r="I362" s="53">
        <v>-1.6347313412836701E-3</v>
      </c>
      <c r="J362" s="53">
        <v>1.1900039666799001E-2</v>
      </c>
      <c r="K362" s="53">
        <v>-1.42916112461587E-2</v>
      </c>
      <c r="L362" s="95">
        <f>IFERROR(B362*'Stock Statistics'!$C$41+C362*'Stock Statistics'!$C$42+D362*'Stock Statistics'!$C$43+E362*'Stock Statistics'!$C$44+F362*'Stock Statistics'!$C$45+G362*'Stock Statistics'!$C$46+H362*'Stock Statistics'!$C$47+I362*'Stock Statistics'!$C$48+J362*'Stock Statistics'!$C$49+K362*'Stock Statistics'!$C$50,"")</f>
        <v>-6.7424283176512889E-3</v>
      </c>
      <c r="M362" s="96">
        <v>475.63209999999998</v>
      </c>
      <c r="N362" s="97">
        <v>583.69770000000005</v>
      </c>
      <c r="O362" s="93">
        <f t="shared" si="15"/>
        <v>6.2273569168702636E-3</v>
      </c>
      <c r="P362" s="93">
        <f t="shared" si="16"/>
        <v>1.1311437226584342E-3</v>
      </c>
      <c r="Q362" s="93">
        <f>B362*'Portfolio 2 &amp; 3'!$F$7+C362*'Portfolio 2 &amp; 3'!$F$8+D362*'Portfolio 2 &amp; 3'!$F$9+E362*'Portfolio 2 &amp; 3'!$F$10+F362*'Portfolio 2 &amp; 3'!$F$11+G362*'Portfolio 2 &amp; 3'!$F$12+H362*'Portfolio 2 &amp; 3'!$F$13+I362*'Portfolio 2 &amp; 3'!$F$14+J362*'Portfolio 2 &amp; 3'!$F$15+K362*'Portfolio 2 &amp; 3'!$F$16</f>
        <v>-4.2927649057719983E-3</v>
      </c>
      <c r="R362" s="93">
        <f>B362*'Portfolio 2 &amp; 3'!$B$23+C362*'Portfolio 2 &amp; 3'!$B$24+D362*'Portfolio 2 &amp; 3'!$B$25+E362*'Portfolio 2 &amp; 3'!$B$26+F362*'Portfolio 2 &amp; 3'!$B$27+G362*'Portfolio 2 &amp; 3'!$B$28+H362*'Portfolio 2 &amp; 3'!$B$29+I362*'Portfolio 2 &amp; 3'!$B$30+J362*'Portfolio 2 &amp; 3'!$B$31+K362*'Portfolio 2 &amp; 3'!$B$32</f>
        <v>-9.2828371395579784E-3</v>
      </c>
      <c r="S362" s="93">
        <f t="shared" si="17"/>
        <v>3.6792503197643489E-3</v>
      </c>
    </row>
    <row r="363" spans="1:19" ht="12.75" customHeight="1">
      <c r="A363" s="82">
        <v>45552</v>
      </c>
      <c r="B363" s="53">
        <v>-9.5999999999999992E-3</v>
      </c>
      <c r="C363" s="53">
        <v>-2.0355968054561399E-2</v>
      </c>
      <c r="D363" s="53">
        <v>-8.5671036104222296E-3</v>
      </c>
      <c r="E363" s="53">
        <v>-2.3429999999999999E-2</v>
      </c>
      <c r="F363" s="53">
        <v>-4.3912712282115898E-3</v>
      </c>
      <c r="G363" s="53">
        <v>-2.7119380293926E-2</v>
      </c>
      <c r="H363" s="87">
        <v>-9.9348335820214108E-3</v>
      </c>
      <c r="I363" s="53">
        <v>1.06714336014735E-2</v>
      </c>
      <c r="J363" s="53">
        <v>5.8008182206759095E-4</v>
      </c>
      <c r="K363" s="53">
        <v>3.9692772415826898E-3</v>
      </c>
      <c r="L363" s="95">
        <f>IFERROR(B363*'Stock Statistics'!$C$41+C363*'Stock Statistics'!$C$42+D363*'Stock Statistics'!$C$43+E363*'Stock Statistics'!$C$44+F363*'Stock Statistics'!$C$45+G363*'Stock Statistics'!$C$46+H363*'Stock Statistics'!$C$47+I363*'Stock Statistics'!$C$48+J363*'Stock Statistics'!$C$49+K363*'Stock Statistics'!$C$50,"")</f>
        <v>-8.8177764104018855E-3</v>
      </c>
      <c r="M363" s="97">
        <v>472.68849999999998</v>
      </c>
      <c r="N363" s="96">
        <v>583.03819999999996</v>
      </c>
      <c r="O363" s="93">
        <f t="shared" si="15"/>
        <v>1.1716980280864764E-3</v>
      </c>
      <c r="P363" s="93">
        <f t="shared" si="16"/>
        <v>1.0270993069440681E-2</v>
      </c>
      <c r="Q363" s="93">
        <f>B363*'Portfolio 2 &amp; 3'!$F$7+C363*'Portfolio 2 &amp; 3'!$F$8+D363*'Portfolio 2 &amp; 3'!$F$9+E363*'Portfolio 2 &amp; 3'!$F$10+F363*'Portfolio 2 &amp; 3'!$F$11+G363*'Portfolio 2 &amp; 3'!$F$12+H363*'Portfolio 2 &amp; 3'!$F$13+I363*'Portfolio 2 &amp; 3'!$F$14+J363*'Portfolio 2 &amp; 3'!$F$15+K363*'Portfolio 2 &amp; 3'!$F$16</f>
        <v>-7.7150040621269955E-3</v>
      </c>
      <c r="R363" s="93">
        <f>B363*'Portfolio 2 &amp; 3'!$B$23+C363*'Portfolio 2 &amp; 3'!$B$24+D363*'Portfolio 2 &amp; 3'!$B$25+E363*'Portfolio 2 &amp; 3'!$B$26+F363*'Portfolio 2 &amp; 3'!$B$27+G363*'Portfolio 2 &amp; 3'!$B$28+H363*'Portfolio 2 &amp; 3'!$B$29+I363*'Portfolio 2 &amp; 3'!$B$30+J363*'Portfolio 2 &amp; 3'!$B$31+K363*'Portfolio 2 &amp; 3'!$B$32</f>
        <v>-6.125495836799574E-3</v>
      </c>
      <c r="S363" s="93">
        <f t="shared" si="17"/>
        <v>5.7213455487635789E-3</v>
      </c>
    </row>
    <row r="364" spans="1:19" ht="12.75" customHeight="1">
      <c r="A364" s="81">
        <v>45551</v>
      </c>
      <c r="B364" s="53">
        <v>-1.41E-2</v>
      </c>
      <c r="C364" s="53">
        <v>-2.2115785417108999E-2</v>
      </c>
      <c r="D364" s="53">
        <v>-7.3849104859334798E-3</v>
      </c>
      <c r="E364" s="53">
        <v>-2.1569999999999999E-2</v>
      </c>
      <c r="F364" s="53">
        <v>-2.41383934558137E-3</v>
      </c>
      <c r="G364" s="53">
        <v>-1.8819305712380901E-4</v>
      </c>
      <c r="H364" s="87">
        <v>-9.6280714452662303E-3</v>
      </c>
      <c r="I364" s="53">
        <v>5.47385620915031E-3</v>
      </c>
      <c r="J364" s="53">
        <v>-8.4160813756356499E-3</v>
      </c>
      <c r="K364" s="53">
        <v>-7.3046085772011703E-3</v>
      </c>
      <c r="L364" s="95">
        <f>IFERROR(B364*'Stock Statistics'!$C$41+C364*'Stock Statistics'!$C$42+D364*'Stock Statistics'!$C$43+E364*'Stock Statistics'!$C$44+F364*'Stock Statistics'!$C$45+G364*'Stock Statistics'!$C$46+H364*'Stock Statistics'!$C$47+I364*'Stock Statistics'!$C$48+J364*'Stock Statistics'!$C$49+K364*'Stock Statistics'!$C$50,"")</f>
        <v>-8.7647633494700398E-3</v>
      </c>
      <c r="M364" s="96">
        <v>472.13529999999997</v>
      </c>
      <c r="N364" s="97">
        <v>577.11069999999995</v>
      </c>
      <c r="O364" s="93">
        <f t="shared" si="15"/>
        <v>-9.3287355858772125E-3</v>
      </c>
      <c r="P364" s="93">
        <f t="shared" si="16"/>
        <v>-3.2761228004607457E-3</v>
      </c>
      <c r="Q364" s="93">
        <f>B364*'Portfolio 2 &amp; 3'!$F$7+C364*'Portfolio 2 &amp; 3'!$F$8+D364*'Portfolio 2 &amp; 3'!$F$9+E364*'Portfolio 2 &amp; 3'!$F$10+F364*'Portfolio 2 &amp; 3'!$F$11+G364*'Portfolio 2 &amp; 3'!$F$12+H364*'Portfolio 2 &amp; 3'!$F$13+I364*'Portfolio 2 &amp; 3'!$F$14+J364*'Portfolio 2 &amp; 3'!$F$15+K364*'Portfolio 2 &amp; 3'!$F$16</f>
        <v>-8.8076327900983801E-3</v>
      </c>
      <c r="R364" s="93">
        <f>B364*'Portfolio 2 &amp; 3'!$B$23+C364*'Portfolio 2 &amp; 3'!$B$24+D364*'Portfolio 2 &amp; 3'!$B$25+E364*'Portfolio 2 &amp; 3'!$B$26+F364*'Portfolio 2 &amp; 3'!$B$27+G364*'Portfolio 2 &amp; 3'!$B$28+H364*'Portfolio 2 &amp; 3'!$B$29+I364*'Portfolio 2 &amp; 3'!$B$30+J364*'Portfolio 2 &amp; 3'!$B$31+K364*'Portfolio 2 &amp; 3'!$B$32</f>
        <v>-6.432072674351948E-3</v>
      </c>
      <c r="S364" s="93">
        <f t="shared" si="17"/>
        <v>-6.3024291931689791E-3</v>
      </c>
    </row>
    <row r="365" spans="1:19" ht="12.75" customHeight="1">
      <c r="A365" s="82">
        <v>45548</v>
      </c>
      <c r="B365" s="53">
        <v>-4.4000000000000003E-3</v>
      </c>
      <c r="C365" s="53">
        <v>-1.38228941684671E-3</v>
      </c>
      <c r="D365" s="53">
        <v>-2.0736959642686501E-3</v>
      </c>
      <c r="E365" s="53">
        <v>4.6699999999999997E-3</v>
      </c>
      <c r="F365" s="53">
        <v>-1.3838050174090899E-3</v>
      </c>
      <c r="G365" s="53">
        <v>6.3736709447526096E-4</v>
      </c>
      <c r="H365" s="87">
        <v>-2.32432188473175E-3</v>
      </c>
      <c r="I365" s="53">
        <v>-1.6129896575746198E-2</v>
      </c>
      <c r="J365" s="53">
        <v>-1.2082785022131899E-2</v>
      </c>
      <c r="K365" s="53">
        <v>3.1088367998239898E-3</v>
      </c>
      <c r="L365" s="95">
        <f>IFERROR(B365*'Stock Statistics'!$C$41+C365*'Stock Statistics'!$C$42+D365*'Stock Statistics'!$C$43+E365*'Stock Statistics'!$C$44+F365*'Stock Statistics'!$C$45+G365*'Stock Statistics'!$C$46+H365*'Stock Statistics'!$C$47+I365*'Stock Statistics'!$C$48+J365*'Stock Statistics'!$C$49+K365*'Stock Statistics'!$C$50,"")</f>
        <v>-3.136058998683505E-3</v>
      </c>
      <c r="M365" s="97">
        <v>476.58120000000002</v>
      </c>
      <c r="N365" s="96">
        <v>579.00760000000002</v>
      </c>
      <c r="O365" s="93">
        <f t="shared" si="15"/>
        <v>-3.7776835725948921E-3</v>
      </c>
      <c r="P365" s="93">
        <f t="shared" si="16"/>
        <v>8.8563883032042323E-3</v>
      </c>
      <c r="Q365" s="93">
        <f>B365*'Portfolio 2 &amp; 3'!$F$7+C365*'Portfolio 2 &amp; 3'!$F$8+D365*'Portfolio 2 &amp; 3'!$F$9+E365*'Portfolio 2 &amp; 3'!$F$10+F365*'Portfolio 2 &amp; 3'!$F$11+G365*'Portfolio 2 &amp; 3'!$F$12+H365*'Portfolio 2 &amp; 3'!$F$13+I365*'Portfolio 2 &amp; 3'!$F$14+J365*'Portfolio 2 &amp; 3'!$F$15+K365*'Portfolio 2 &amp; 3'!$F$16</f>
        <v>-3.7335365358229858E-3</v>
      </c>
      <c r="R365" s="93">
        <f>B365*'Portfolio 2 &amp; 3'!$B$23+C365*'Portfolio 2 &amp; 3'!$B$24+D365*'Portfolio 2 &amp; 3'!$B$25+E365*'Portfolio 2 &amp; 3'!$B$26+F365*'Portfolio 2 &amp; 3'!$B$27+G365*'Portfolio 2 &amp; 3'!$B$28+H365*'Portfolio 2 &amp; 3'!$B$29+I365*'Portfolio 2 &amp; 3'!$B$30+J365*'Portfolio 2 &amp; 3'!$B$31+K365*'Portfolio 2 &amp; 3'!$B$32</f>
        <v>-5.2619435788719233E-3</v>
      </c>
      <c r="S365" s="93">
        <f t="shared" si="17"/>
        <v>2.5393523653046701E-3</v>
      </c>
    </row>
    <row r="366" spans="1:19" ht="12.75" customHeight="1">
      <c r="A366" s="81">
        <v>45547</v>
      </c>
      <c r="B366" s="53">
        <v>5.3E-3</v>
      </c>
      <c r="C366" s="53">
        <v>2.8986192175302098E-3</v>
      </c>
      <c r="D366" s="53">
        <v>3.71449614140706E-3</v>
      </c>
      <c r="E366" s="53">
        <v>-7.5599999999999999E-3</v>
      </c>
      <c r="F366" s="53">
        <v>6.7409671040805598E-3</v>
      </c>
      <c r="G366" s="53">
        <v>-2.8167386499877698E-3</v>
      </c>
      <c r="H366" s="87">
        <v>-2.0418274355546999E-3</v>
      </c>
      <c r="I366" s="53">
        <v>1.6908666362489601E-3</v>
      </c>
      <c r="J366" s="53">
        <v>7.4725804507651504E-3</v>
      </c>
      <c r="K366" s="53">
        <v>-4.95496728626577E-3</v>
      </c>
      <c r="L366" s="95">
        <f>IFERROR(B366*'Stock Statistics'!$C$41+C366*'Stock Statistics'!$C$42+D366*'Stock Statistics'!$C$43+E366*'Stock Statistics'!$C$44+F366*'Stock Statistics'!$C$45+G366*'Stock Statistics'!$C$46+H366*'Stock Statistics'!$C$47+I366*'Stock Statistics'!$C$48+J366*'Stock Statistics'!$C$49+K366*'Stock Statistics'!$C$50,"")</f>
        <v>1.04439961782237E-3</v>
      </c>
      <c r="M366" s="96">
        <v>478.38839999999999</v>
      </c>
      <c r="N366" s="97">
        <v>573.92470000000003</v>
      </c>
      <c r="O366" s="93">
        <f t="shared" si="15"/>
        <v>-5.2857943337114577E-4</v>
      </c>
      <c r="P366" s="93">
        <f t="shared" si="16"/>
        <v>-1.9221605829260469E-3</v>
      </c>
      <c r="Q366" s="93">
        <f>B366*'Portfolio 2 &amp; 3'!$F$7+C366*'Portfolio 2 &amp; 3'!$F$8+D366*'Portfolio 2 &amp; 3'!$F$9+E366*'Portfolio 2 &amp; 3'!$F$10+F366*'Portfolio 2 &amp; 3'!$F$11+G366*'Portfolio 2 &amp; 3'!$F$12+H366*'Portfolio 2 &amp; 3'!$F$13+I366*'Portfolio 2 &amp; 3'!$F$14+J366*'Portfolio 2 &amp; 3'!$F$15+K366*'Portfolio 2 &amp; 3'!$F$16</f>
        <v>1.6266228106383961E-3</v>
      </c>
      <c r="R366" s="93">
        <f>B366*'Portfolio 2 &amp; 3'!$B$23+C366*'Portfolio 2 &amp; 3'!$B$24+D366*'Portfolio 2 &amp; 3'!$B$25+E366*'Portfolio 2 &amp; 3'!$B$26+F366*'Portfolio 2 &amp; 3'!$B$27+G366*'Portfolio 2 &amp; 3'!$B$28+H366*'Portfolio 2 &amp; 3'!$B$29+I366*'Portfolio 2 &amp; 3'!$B$30+J366*'Portfolio 2 &amp; 3'!$B$31+K366*'Portfolio 2 &amp; 3'!$B$32</f>
        <v>2.2550066571655697E-3</v>
      </c>
      <c r="S366" s="93">
        <f t="shared" si="17"/>
        <v>-1.2253700081485963E-3</v>
      </c>
    </row>
    <row r="367" spans="1:19" ht="12.75" customHeight="1">
      <c r="A367" s="82">
        <v>45546</v>
      </c>
      <c r="B367" s="53">
        <v>-8.8999999999999999E-3</v>
      </c>
      <c r="C367" s="53">
        <v>1.1134207822617301E-2</v>
      </c>
      <c r="D367" s="53">
        <v>3.5856441554995303E-2</v>
      </c>
      <c r="E367" s="53">
        <v>-3.7499999999999999E-3</v>
      </c>
      <c r="F367" s="53">
        <v>-5.38986704994748E-4</v>
      </c>
      <c r="G367" s="53">
        <v>7.5388220226746397E-3</v>
      </c>
      <c r="H367" s="87">
        <v>-3.4635726415165298E-3</v>
      </c>
      <c r="I367" s="53">
        <v>4.96291301416041E-3</v>
      </c>
      <c r="J367" s="53">
        <v>-1.8075555823338099E-4</v>
      </c>
      <c r="K367" s="53">
        <v>-3.50995244287222E-3</v>
      </c>
      <c r="L367" s="95">
        <f>IFERROR(B367*'Stock Statistics'!$C$41+C367*'Stock Statistics'!$C$42+D367*'Stock Statistics'!$C$43+E367*'Stock Statistics'!$C$44+F367*'Stock Statistics'!$C$45+G367*'Stock Statistics'!$C$46+H367*'Stock Statistics'!$C$47+I367*'Stock Statistics'!$C$48+J367*'Stock Statistics'!$C$49+K367*'Stock Statistics'!$C$50,"")</f>
        <v>3.9149117066830776E-3</v>
      </c>
      <c r="M367" s="97">
        <v>478.64139999999998</v>
      </c>
      <c r="N367" s="96">
        <v>575.03</v>
      </c>
      <c r="O367" s="93">
        <f t="shared" si="15"/>
        <v>2.5226364944483937E-3</v>
      </c>
      <c r="P367" s="93">
        <f t="shared" si="16"/>
        <v>-3.0973449793227914E-3</v>
      </c>
      <c r="Q367" s="93">
        <f>B367*'Portfolio 2 &amp; 3'!$F$7+C367*'Portfolio 2 &amp; 3'!$F$8+D367*'Portfolio 2 &amp; 3'!$F$9+E367*'Portfolio 2 &amp; 3'!$F$10+F367*'Portfolio 2 &amp; 3'!$F$11+G367*'Portfolio 2 &amp; 3'!$F$12+H367*'Portfolio 2 &amp; 3'!$F$13+I367*'Portfolio 2 &amp; 3'!$F$14+J367*'Portfolio 2 &amp; 3'!$F$15+K367*'Portfolio 2 &amp; 3'!$F$16</f>
        <v>4.9016513291714782E-3</v>
      </c>
      <c r="R367" s="93">
        <f>B367*'Portfolio 2 &amp; 3'!$B$23+C367*'Portfolio 2 &amp; 3'!$B$24+D367*'Portfolio 2 &amp; 3'!$B$25+E367*'Portfolio 2 &amp; 3'!$B$26+F367*'Portfolio 2 &amp; 3'!$B$27+G367*'Portfolio 2 &amp; 3'!$B$28+H367*'Portfolio 2 &amp; 3'!$B$29+I367*'Portfolio 2 &amp; 3'!$B$30+J367*'Portfolio 2 &amp; 3'!$B$31+K367*'Portfolio 2 &amp; 3'!$B$32</f>
        <v>2.9276544079827492E-3</v>
      </c>
      <c r="S367" s="93">
        <f t="shared" si="17"/>
        <v>-2.8735424243719887E-4</v>
      </c>
    </row>
    <row r="368" spans="1:19" ht="12.75" customHeight="1">
      <c r="A368" s="81">
        <v>45545</v>
      </c>
      <c r="B368" s="53">
        <v>-3.3999999999999998E-3</v>
      </c>
      <c r="C368" s="53">
        <v>-6.1581326135653498E-3</v>
      </c>
      <c r="D368" s="53">
        <v>-7.24446786090627E-3</v>
      </c>
      <c r="E368" s="53">
        <v>1.0070000000000001E-2</v>
      </c>
      <c r="F368" s="53">
        <v>8.1963501335868792E-3</v>
      </c>
      <c r="G368" s="53">
        <v>2.7436043372297599E-3</v>
      </c>
      <c r="H368" s="87">
        <v>1.0790170132325199E-2</v>
      </c>
      <c r="I368" s="53">
        <v>-6.2453093170366002E-3</v>
      </c>
      <c r="J368" s="53">
        <v>1.47835269271379E-3</v>
      </c>
      <c r="K368" s="53">
        <v>2.89085868534311E-3</v>
      </c>
      <c r="L368" s="95">
        <f>IFERROR(B368*'Stock Statistics'!$C$41+C368*'Stock Statistics'!$C$42+D368*'Stock Statistics'!$C$43+E368*'Stock Statistics'!$C$44+F368*'Stock Statistics'!$C$45+G368*'Stock Statistics'!$C$46+H368*'Stock Statistics'!$C$47+I368*'Stock Statistics'!$C$48+J368*'Stock Statistics'!$C$49+K368*'Stock Statistics'!$C$50,"")</f>
        <v>1.3121426189690519E-3</v>
      </c>
      <c r="M368" s="96">
        <v>477.43700000000001</v>
      </c>
      <c r="N368" s="97">
        <v>576.81659999999999</v>
      </c>
      <c r="O368" s="93">
        <f t="shared" si="15"/>
        <v>9.2486859010809663E-3</v>
      </c>
      <c r="P368" s="93">
        <f t="shared" si="16"/>
        <v>4.0138510934351057E-3</v>
      </c>
      <c r="Q368" s="93">
        <f>B368*'Portfolio 2 &amp; 3'!$F$7+C368*'Portfolio 2 &amp; 3'!$F$8+D368*'Portfolio 2 &amp; 3'!$F$9+E368*'Portfolio 2 &amp; 3'!$F$10+F368*'Portfolio 2 &amp; 3'!$F$11+G368*'Portfolio 2 &amp; 3'!$F$12+H368*'Portfolio 2 &amp; 3'!$F$13+I368*'Portfolio 2 &amp; 3'!$F$14+J368*'Portfolio 2 &amp; 3'!$F$15+K368*'Portfolio 2 &amp; 3'!$F$16</f>
        <v>1.6152961649570949E-3</v>
      </c>
      <c r="R368" s="93">
        <f>B368*'Portfolio 2 &amp; 3'!$B$23+C368*'Portfolio 2 &amp; 3'!$B$24+D368*'Portfolio 2 &amp; 3'!$B$25+E368*'Portfolio 2 &amp; 3'!$B$26+F368*'Portfolio 2 &amp; 3'!$B$27+G368*'Portfolio 2 &amp; 3'!$B$28+H368*'Portfolio 2 &amp; 3'!$B$29+I368*'Portfolio 2 &amp; 3'!$B$30+J368*'Portfolio 2 &amp; 3'!$B$31+K368*'Portfolio 2 &amp; 3'!$B$32</f>
        <v>-1.0789108211366183E-3</v>
      </c>
      <c r="S368" s="93">
        <f t="shared" si="17"/>
        <v>6.631268497258036E-3</v>
      </c>
    </row>
    <row r="369" spans="1:19" ht="12.75" customHeight="1">
      <c r="A369" s="82">
        <v>45544</v>
      </c>
      <c r="B369" s="53">
        <v>1E-4</v>
      </c>
      <c r="C369" s="53">
        <v>7.7855154314341304E-3</v>
      </c>
      <c r="D369" s="53">
        <v>-6.5854461639758304E-5</v>
      </c>
      <c r="E369" s="53">
        <v>-8.7899999999999992E-3</v>
      </c>
      <c r="F369" s="53">
        <v>3.7727272727272601E-3</v>
      </c>
      <c r="G369" s="53">
        <v>-1.44268601906084E-3</v>
      </c>
      <c r="H369" s="87">
        <v>-5.6989053290027502E-3</v>
      </c>
      <c r="I369" s="53">
        <v>1.0673457224901199E-2</v>
      </c>
      <c r="J369" s="53">
        <v>1.7748027144041601E-2</v>
      </c>
      <c r="K369" s="53">
        <v>7.9973526005183704E-3</v>
      </c>
      <c r="L369" s="95">
        <f>IFERROR(B369*'Stock Statistics'!$C$41+C369*'Stock Statistics'!$C$42+D369*'Stock Statistics'!$C$43+E369*'Stock Statistics'!$C$44+F369*'Stock Statistics'!$C$45+G369*'Stock Statistics'!$C$46+H369*'Stock Statistics'!$C$47+I369*'Stock Statistics'!$C$48+J369*'Stock Statistics'!$C$49+K369*'Stock Statistics'!$C$50,"")</f>
        <v>3.2079633863919214E-3</v>
      </c>
      <c r="M369" s="97">
        <v>473.06180000000001</v>
      </c>
      <c r="N369" s="96">
        <v>574.51059999999995</v>
      </c>
      <c r="O369" s="93">
        <f t="shared" si="15"/>
        <v>-2.2045656360273336E-3</v>
      </c>
      <c r="P369" s="93">
        <f t="shared" si="16"/>
        <v>6.5322651148309596E-3</v>
      </c>
      <c r="Q369" s="93">
        <f>B369*'Portfolio 2 &amp; 3'!$F$7+C369*'Portfolio 2 &amp; 3'!$F$8+D369*'Portfolio 2 &amp; 3'!$F$9+E369*'Portfolio 2 &amp; 3'!$F$10+F369*'Portfolio 2 &amp; 3'!$F$11+G369*'Portfolio 2 &amp; 3'!$F$12+H369*'Portfolio 2 &amp; 3'!$F$13+I369*'Portfolio 2 &amp; 3'!$F$14+J369*'Portfolio 2 &amp; 3'!$F$15+K369*'Portfolio 2 &amp; 3'!$F$16</f>
        <v>3.6082898832785881E-3</v>
      </c>
      <c r="R369" s="93">
        <f>B369*'Portfolio 2 &amp; 3'!$B$23+C369*'Portfolio 2 &amp; 3'!$B$24+D369*'Portfolio 2 &amp; 3'!$B$25+E369*'Portfolio 2 &amp; 3'!$B$26+F369*'Portfolio 2 &amp; 3'!$B$27+G369*'Portfolio 2 &amp; 3'!$B$28+H369*'Portfolio 2 &amp; 3'!$B$29+I369*'Portfolio 2 &amp; 3'!$B$30+J369*'Portfolio 2 &amp; 3'!$B$31+K369*'Portfolio 2 &amp; 3'!$B$32</f>
        <v>5.7111796186294144E-3</v>
      </c>
      <c r="S369" s="93">
        <f t="shared" si="17"/>
        <v>2.163849739401813E-3</v>
      </c>
    </row>
    <row r="370" spans="1:19" ht="12.75" customHeight="1">
      <c r="A370" s="81">
        <v>45541</v>
      </c>
      <c r="B370" s="53">
        <v>7.7999999999999996E-3</v>
      </c>
      <c r="C370" s="53">
        <v>-6.6403061830917504E-3</v>
      </c>
      <c r="D370" s="53">
        <v>-1.2293482502927101E-2</v>
      </c>
      <c r="E370" s="53">
        <v>-2E-3</v>
      </c>
      <c r="F370" s="53">
        <v>-1.35856162848048E-2</v>
      </c>
      <c r="G370" s="53">
        <v>4.2145930283607998E-3</v>
      </c>
      <c r="H370" s="87">
        <v>-8.2633453026637103E-4</v>
      </c>
      <c r="I370" s="53">
        <v>5.0916219674899104E-3</v>
      </c>
      <c r="J370" s="53">
        <v>-2.23651960784321E-3</v>
      </c>
      <c r="K370" s="53">
        <v>2.3680306646149999E-3</v>
      </c>
      <c r="L370" s="95">
        <f>IFERROR(B370*'Stock Statistics'!$C$41+C370*'Stock Statistics'!$C$42+D370*'Stock Statistics'!$C$43+E370*'Stock Statistics'!$C$44+F370*'Stock Statistics'!$C$45+G370*'Stock Statistics'!$C$46+H370*'Stock Statistics'!$C$47+I370*'Stock Statistics'!$C$48+J370*'Stock Statistics'!$C$49+K370*'Stock Statistics'!$C$50,"")</f>
        <v>-1.810801344846752E-3</v>
      </c>
      <c r="M370" s="96">
        <v>474.10700000000003</v>
      </c>
      <c r="N370" s="97">
        <v>570.78210000000001</v>
      </c>
      <c r="O370" s="93">
        <f t="shared" si="15"/>
        <v>1.3636101246662147E-2</v>
      </c>
      <c r="P370" s="93">
        <f t="shared" si="16"/>
        <v>1.8456091352649917E-3</v>
      </c>
      <c r="Q370" s="93">
        <f>B370*'Portfolio 2 &amp; 3'!$F$7+C370*'Portfolio 2 &amp; 3'!$F$8+D370*'Portfolio 2 &amp; 3'!$F$9+E370*'Portfolio 2 &amp; 3'!$F$10+F370*'Portfolio 2 &amp; 3'!$F$11+G370*'Portfolio 2 &amp; 3'!$F$12+H370*'Portfolio 2 &amp; 3'!$F$13+I370*'Portfolio 2 &amp; 3'!$F$14+J370*'Portfolio 2 &amp; 3'!$F$15+K370*'Portfolio 2 &amp; 3'!$F$16</f>
        <v>-2.9202790927325699E-3</v>
      </c>
      <c r="R370" s="93">
        <f>B370*'Portfolio 2 &amp; 3'!$B$23+C370*'Portfolio 2 &amp; 3'!$B$24+D370*'Portfolio 2 &amp; 3'!$B$25+E370*'Portfolio 2 &amp; 3'!$B$26+F370*'Portfolio 2 &amp; 3'!$B$27+G370*'Portfolio 2 &amp; 3'!$B$28+H370*'Portfolio 2 &amp; 3'!$B$29+I370*'Portfolio 2 &amp; 3'!$B$30+J370*'Portfolio 2 &amp; 3'!$B$31+K370*'Portfolio 2 &amp; 3'!$B$32</f>
        <v>-6.9533983878836581E-4</v>
      </c>
      <c r="S370" s="93">
        <f t="shared" si="17"/>
        <v>7.7408551909635692E-3</v>
      </c>
    </row>
    <row r="371" spans="1:19" ht="12.75" customHeight="1">
      <c r="A371" s="82">
        <v>45540</v>
      </c>
      <c r="B371" s="53">
        <v>-2.3999999999999998E-3</v>
      </c>
      <c r="C371" s="53">
        <v>5.3213947152495099E-3</v>
      </c>
      <c r="D371" s="53">
        <v>2.51051481855824E-3</v>
      </c>
      <c r="E371" s="53">
        <v>-2.32E-3</v>
      </c>
      <c r="F371" s="53">
        <v>-1.1304193634187399E-2</v>
      </c>
      <c r="G371" s="53">
        <v>-7.4945533769064099E-3</v>
      </c>
      <c r="H371" s="87">
        <v>-1.6873776651192801E-3</v>
      </c>
      <c r="I371" s="53">
        <v>7.9589428328348307E-3</v>
      </c>
      <c r="J371" s="53">
        <v>7.3141375798535498E-3</v>
      </c>
      <c r="K371" s="53">
        <v>4.8893399052865501E-2</v>
      </c>
      <c r="L371" s="95">
        <f>IFERROR(B371*'Stock Statistics'!$C$41+C371*'Stock Statistics'!$C$42+D371*'Stock Statistics'!$C$43+E371*'Stock Statistics'!$C$44+F371*'Stock Statistics'!$C$45+G371*'Stock Statistics'!$C$46+H371*'Stock Statistics'!$C$47+I371*'Stock Statistics'!$C$48+J371*'Stock Statistics'!$C$49+K371*'Stock Statistics'!$C$50,"")</f>
        <v>4.6792264323148539E-3</v>
      </c>
      <c r="M371" s="97">
        <v>467.72899999999998</v>
      </c>
      <c r="N371" s="96">
        <v>569.73059999999998</v>
      </c>
      <c r="O371" s="93">
        <f t="shared" si="15"/>
        <v>-1.4340285998718505E-3</v>
      </c>
      <c r="P371" s="93">
        <f t="shared" si="16"/>
        <v>-6.0715872639547364E-3</v>
      </c>
      <c r="Q371" s="93">
        <f>B371*'Portfolio 2 &amp; 3'!$F$7+C371*'Portfolio 2 &amp; 3'!$F$8+D371*'Portfolio 2 &amp; 3'!$F$9+E371*'Portfolio 2 &amp; 3'!$F$10+F371*'Portfolio 2 &amp; 3'!$F$11+G371*'Portfolio 2 &amp; 3'!$F$12+H371*'Portfolio 2 &amp; 3'!$F$13+I371*'Portfolio 2 &amp; 3'!$F$14+J371*'Portfolio 2 &amp; 3'!$F$15+K371*'Portfolio 2 &amp; 3'!$F$16</f>
        <v>4.2638234035402046E-3</v>
      </c>
      <c r="R371" s="93">
        <f>B371*'Portfolio 2 &amp; 3'!$B$23+C371*'Portfolio 2 &amp; 3'!$B$24+D371*'Portfolio 2 &amp; 3'!$B$25+E371*'Portfolio 2 &amp; 3'!$B$26+F371*'Portfolio 2 &amp; 3'!$B$27+G371*'Portfolio 2 &amp; 3'!$B$28+H371*'Portfolio 2 &amp; 3'!$B$29+I371*'Portfolio 2 &amp; 3'!$B$30+J371*'Portfolio 2 &amp; 3'!$B$31+K371*'Portfolio 2 &amp; 3'!$B$32</f>
        <v>4.5285606318404715E-3</v>
      </c>
      <c r="S371" s="93">
        <f t="shared" si="17"/>
        <v>-3.7528079319132934E-3</v>
      </c>
    </row>
    <row r="372" spans="1:19" ht="12.75" customHeight="1">
      <c r="A372" s="81">
        <v>45539</v>
      </c>
      <c r="B372" s="53">
        <v>1.5E-3</v>
      </c>
      <c r="C372" s="53">
        <v>1.10747768935855E-2</v>
      </c>
      <c r="D372" s="53">
        <v>-1.07086410992485E-2</v>
      </c>
      <c r="E372" s="53">
        <v>-1.078E-2</v>
      </c>
      <c r="F372" s="53">
        <v>1.2477558348294599E-2</v>
      </c>
      <c r="G372" s="53">
        <v>-5.8766622868445797E-3</v>
      </c>
      <c r="H372" s="87">
        <v>-4.27136616510482E-3</v>
      </c>
      <c r="I372" s="53">
        <v>-1.4798169411636101E-3</v>
      </c>
      <c r="J372" s="53">
        <v>5.6484901151423496E-3</v>
      </c>
      <c r="K372" s="53">
        <v>6.9484993577018104E-3</v>
      </c>
      <c r="L372" s="95">
        <f>IFERROR(B372*'Stock Statistics'!$C$41+C372*'Stock Statistics'!$C$42+D372*'Stock Statistics'!$C$43+E372*'Stock Statistics'!$C$44+F372*'Stock Statistics'!$C$45+G372*'Stock Statistics'!$C$46+H372*'Stock Statistics'!$C$47+I372*'Stock Statistics'!$C$48+J372*'Stock Statistics'!$C$49+K372*'Stock Statistics'!$C$50,"")</f>
        <v>4.5328382223627501E-4</v>
      </c>
      <c r="M372" s="96">
        <v>468.40069999999997</v>
      </c>
      <c r="N372" s="97">
        <v>573.21090000000004</v>
      </c>
      <c r="O372" s="93">
        <f t="shared" si="15"/>
        <v>-2.1512088033821541E-3</v>
      </c>
      <c r="P372" s="93">
        <f t="shared" si="16"/>
        <v>1.2954329740759718E-2</v>
      </c>
      <c r="Q372" s="93">
        <f>B372*'Portfolio 2 &amp; 3'!$F$7+C372*'Portfolio 2 &amp; 3'!$F$8+D372*'Portfolio 2 &amp; 3'!$F$9+E372*'Portfolio 2 &amp; 3'!$F$10+F372*'Portfolio 2 &amp; 3'!$F$11+G372*'Portfolio 2 &amp; 3'!$F$12+H372*'Portfolio 2 &amp; 3'!$F$13+I372*'Portfolio 2 &amp; 3'!$F$14+J372*'Portfolio 2 &amp; 3'!$F$15+K372*'Portfolio 2 &amp; 3'!$F$16</f>
        <v>4.716653832286499E-4</v>
      </c>
      <c r="R372" s="93">
        <f>B372*'Portfolio 2 &amp; 3'!$B$23+C372*'Portfolio 2 &amp; 3'!$B$24+D372*'Portfolio 2 &amp; 3'!$B$25+E372*'Portfolio 2 &amp; 3'!$B$26+F372*'Portfolio 2 &amp; 3'!$B$27+G372*'Portfolio 2 &amp; 3'!$B$28+H372*'Portfolio 2 &amp; 3'!$B$29+I372*'Portfolio 2 &amp; 3'!$B$30+J372*'Portfolio 2 &amp; 3'!$B$31+K372*'Portfolio 2 &amp; 3'!$B$32</f>
        <v>3.8136358084567517E-3</v>
      </c>
      <c r="S372" s="93">
        <f t="shared" si="17"/>
        <v>5.4015604686887819E-3</v>
      </c>
    </row>
    <row r="373" spans="1:19" ht="12.75" customHeight="1">
      <c r="A373" s="82">
        <v>45538</v>
      </c>
      <c r="B373" s="53">
        <v>-9.5999999999999992E-3</v>
      </c>
      <c r="C373" s="53">
        <v>1.6214446490689701E-2</v>
      </c>
      <c r="D373" s="53">
        <v>4.8405834516596102E-4</v>
      </c>
      <c r="E373" s="53">
        <v>2.2799999999999999E-3</v>
      </c>
      <c r="F373" s="53">
        <v>2.2041293688992401E-3</v>
      </c>
      <c r="G373" s="53">
        <v>1.07264820057791E-2</v>
      </c>
      <c r="H373" s="87">
        <v>-1.34738920320603E-2</v>
      </c>
      <c r="I373" s="53">
        <v>-1.067615658363E-3</v>
      </c>
      <c r="J373" s="53">
        <v>-1.0259560743357401E-2</v>
      </c>
      <c r="K373" s="53">
        <v>3.3002011365190799E-3</v>
      </c>
      <c r="L373" s="95">
        <f>IFERROR(B373*'Stock Statistics'!$C$41+C373*'Stock Statistics'!$C$42+D373*'Stock Statistics'!$C$43+E373*'Stock Statistics'!$C$44+F373*'Stock Statistics'!$C$45+G373*'Stock Statistics'!$C$46+H373*'Stock Statistics'!$C$47+I373*'Stock Statistics'!$C$48+J373*'Stock Statistics'!$C$49+K373*'Stock Statistics'!$C$50,"")</f>
        <v>8.0824891327237614E-5</v>
      </c>
      <c r="M373" s="97">
        <v>469.41050000000001</v>
      </c>
      <c r="N373" s="96">
        <v>565.88030000000003</v>
      </c>
      <c r="O373" s="93">
        <f t="shared" si="15"/>
        <v>4.4847722530449996E-3</v>
      </c>
      <c r="P373" s="93">
        <f t="shared" si="16"/>
        <v>-1.4741077404418768E-3</v>
      </c>
      <c r="Q373" s="93">
        <f>B373*'Portfolio 2 &amp; 3'!$F$7+C373*'Portfolio 2 &amp; 3'!$F$8+D373*'Portfolio 2 &amp; 3'!$F$9+E373*'Portfolio 2 &amp; 3'!$F$10+F373*'Portfolio 2 &amp; 3'!$F$11+G373*'Portfolio 2 &amp; 3'!$F$12+H373*'Portfolio 2 &amp; 3'!$F$13+I373*'Portfolio 2 &amp; 3'!$F$14+J373*'Portfolio 2 &amp; 3'!$F$15+K373*'Portfolio 2 &amp; 3'!$F$16</f>
        <v>-1.5528459538215412E-3</v>
      </c>
      <c r="R373" s="93">
        <f>B373*'Portfolio 2 &amp; 3'!$B$23+C373*'Portfolio 2 &amp; 3'!$B$24+D373*'Portfolio 2 &amp; 3'!$B$25+E373*'Portfolio 2 &amp; 3'!$B$26+F373*'Portfolio 2 &amp; 3'!$B$27+G373*'Portfolio 2 &amp; 3'!$B$28+H373*'Portfolio 2 &amp; 3'!$B$29+I373*'Portfolio 2 &amp; 3'!$B$30+J373*'Portfolio 2 &amp; 3'!$B$31+K373*'Portfolio 2 &amp; 3'!$B$32</f>
        <v>2.583295136607051E-3</v>
      </c>
      <c r="S373" s="93">
        <f t="shared" si="17"/>
        <v>1.5053322563015614E-3</v>
      </c>
    </row>
    <row r="374" spans="1:19" ht="12.75" customHeight="1">
      <c r="A374" s="81">
        <v>45537</v>
      </c>
      <c r="B374" s="53">
        <v>-7.1999999999999998E-3</v>
      </c>
      <c r="C374" s="53">
        <v>5.7790620137809796E-3</v>
      </c>
      <c r="D374" s="53">
        <v>-2.92802213713439E-3</v>
      </c>
      <c r="E374" s="53">
        <v>2.3480000000000001E-2</v>
      </c>
      <c r="F374" s="53">
        <v>-1.4495965954428701E-2</v>
      </c>
      <c r="G374" s="53">
        <v>-1.06421750856478E-3</v>
      </c>
      <c r="H374" s="87">
        <v>-9.7244614340845602E-3</v>
      </c>
      <c r="I374" s="53">
        <v>-3.4645497449327101E-3</v>
      </c>
      <c r="J374" s="53">
        <v>-1.4619529027180901E-2</v>
      </c>
      <c r="K374" s="53">
        <v>4.7678844720007198E-3</v>
      </c>
      <c r="L374" s="95">
        <f>IFERROR(B374*'Stock Statistics'!$C$41+C374*'Stock Statistics'!$C$42+D374*'Stock Statistics'!$C$43+E374*'Stock Statistics'!$C$44+F374*'Stock Statistics'!$C$45+G374*'Stock Statistics'!$C$46+H374*'Stock Statistics'!$C$47+I374*'Stock Statistics'!$C$48+J374*'Stock Statistics'!$C$49+K374*'Stock Statistics'!$C$50,"")</f>
        <v>-1.946979932054434E-3</v>
      </c>
      <c r="M374" s="96">
        <v>467.31470000000002</v>
      </c>
      <c r="N374" s="97">
        <v>566.71569999999997</v>
      </c>
      <c r="O374" s="93">
        <f t="shared" si="15"/>
        <v>9.7872598805537336E-3</v>
      </c>
      <c r="P374" s="93">
        <f t="shared" si="16"/>
        <v>7.5716010290562963E-3</v>
      </c>
      <c r="Q374" s="93">
        <f>B374*'Portfolio 2 &amp; 3'!$F$7+C374*'Portfolio 2 &amp; 3'!$F$8+D374*'Portfolio 2 &amp; 3'!$F$9+E374*'Portfolio 2 &amp; 3'!$F$10+F374*'Portfolio 2 &amp; 3'!$F$11+G374*'Portfolio 2 &amp; 3'!$F$12+H374*'Portfolio 2 &amp; 3'!$F$13+I374*'Portfolio 2 &amp; 3'!$F$14+J374*'Portfolio 2 &amp; 3'!$F$15+K374*'Portfolio 2 &amp; 3'!$F$16</f>
        <v>-3.7900074379666987E-3</v>
      </c>
      <c r="R374" s="93">
        <f>B374*'Portfolio 2 &amp; 3'!$B$23+C374*'Portfolio 2 &amp; 3'!$B$24+D374*'Portfolio 2 &amp; 3'!$B$25+E374*'Portfolio 2 &amp; 3'!$B$26+F374*'Portfolio 2 &amp; 3'!$B$27+G374*'Portfolio 2 &amp; 3'!$B$28+H374*'Portfolio 2 &amp; 3'!$B$29+I374*'Portfolio 2 &amp; 3'!$B$30+J374*'Portfolio 2 &amp; 3'!$B$31+K374*'Portfolio 2 &amp; 3'!$B$32</f>
        <v>-3.5230370559936326E-3</v>
      </c>
      <c r="S374" s="93">
        <f t="shared" si="17"/>
        <v>8.679430454805015E-3</v>
      </c>
    </row>
    <row r="375" spans="1:19" ht="12.75" customHeight="1">
      <c r="A375" s="82">
        <v>45534</v>
      </c>
      <c r="B375" s="53">
        <v>7.1000000000000004E-3</v>
      </c>
      <c r="C375" s="53">
        <v>-1.5671720404839402E-2</v>
      </c>
      <c r="D375" s="53">
        <v>-9.8445265706639303E-3</v>
      </c>
      <c r="E375" s="53">
        <v>2.3500000000000001E-3</v>
      </c>
      <c r="F375" s="53">
        <v>-3.6659158164390501E-3</v>
      </c>
      <c r="G375" s="53">
        <v>-1.5896015953402301E-2</v>
      </c>
      <c r="H375" s="87">
        <v>-2.66292208406382E-3</v>
      </c>
      <c r="I375" s="53">
        <v>1.1785812862268799E-2</v>
      </c>
      <c r="J375" s="53">
        <v>-7.86353738204682E-4</v>
      </c>
      <c r="K375" s="53">
        <v>6.0402684563758396E-3</v>
      </c>
      <c r="L375" s="95">
        <f>IFERROR(B375*'Stock Statistics'!$C$41+C375*'Stock Statistics'!$C$42+D375*'Stock Statistics'!$C$43+E375*'Stock Statistics'!$C$44+F375*'Stock Statistics'!$C$45+G375*'Stock Statistics'!$C$46+H375*'Stock Statistics'!$C$47+I375*'Stock Statistics'!$C$48+J375*'Stock Statistics'!$C$49+K375*'Stock Statistics'!$C$50,"")</f>
        <v>-2.1251373248968547E-3</v>
      </c>
      <c r="M375" s="97">
        <v>462.78530000000001</v>
      </c>
      <c r="N375" s="96">
        <v>562.45699999999999</v>
      </c>
      <c r="O375" s="93">
        <f t="shared" si="15"/>
        <v>2.8204679818593092E-3</v>
      </c>
      <c r="P375" s="93">
        <f t="shared" si="16"/>
        <v>6.8117588851441813E-3</v>
      </c>
      <c r="Q375" s="93">
        <f>B375*'Portfolio 2 &amp; 3'!$F$7+C375*'Portfolio 2 &amp; 3'!$F$8+D375*'Portfolio 2 &amp; 3'!$F$9+E375*'Portfolio 2 &amp; 3'!$F$10+F375*'Portfolio 2 &amp; 3'!$F$11+G375*'Portfolio 2 &amp; 3'!$F$12+H375*'Portfolio 2 &amp; 3'!$F$13+I375*'Portfolio 2 &amp; 3'!$F$14+J375*'Portfolio 2 &amp; 3'!$F$15+K375*'Portfolio 2 &amp; 3'!$F$16</f>
        <v>-2.5070202392370169E-3</v>
      </c>
      <c r="R375" s="93">
        <f>B375*'Portfolio 2 &amp; 3'!$B$23+C375*'Portfolio 2 &amp; 3'!$B$24+D375*'Portfolio 2 &amp; 3'!$B$25+E375*'Portfolio 2 &amp; 3'!$B$26+F375*'Portfolio 2 &amp; 3'!$B$27+G375*'Portfolio 2 &amp; 3'!$B$28+H375*'Portfolio 2 &amp; 3'!$B$29+I375*'Portfolio 2 &amp; 3'!$B$30+J375*'Portfolio 2 &amp; 3'!$B$31+K375*'Portfolio 2 &amp; 3'!$B$32</f>
        <v>-1.0752433139242534E-3</v>
      </c>
      <c r="S375" s="93">
        <f t="shared" si="17"/>
        <v>4.8161134335017453E-3</v>
      </c>
    </row>
    <row r="376" spans="1:19" ht="12.75" customHeight="1">
      <c r="A376" s="81">
        <v>45533</v>
      </c>
      <c r="B376" s="53">
        <v>8.9999999999999998E-4</v>
      </c>
      <c r="C376" s="53">
        <v>2.8511659693631002E-2</v>
      </c>
      <c r="D376" s="53">
        <v>3.9983366919360596E-3</v>
      </c>
      <c r="E376" s="53">
        <v>-1.074E-2</v>
      </c>
      <c r="F376" s="53">
        <v>-5.4906439427215899E-3</v>
      </c>
      <c r="G376" s="53">
        <v>1.47326432866024E-2</v>
      </c>
      <c r="H376" s="87">
        <v>-2.26414557659626E-2</v>
      </c>
      <c r="I376" s="53">
        <v>-2.4505079985682699E-3</v>
      </c>
      <c r="J376" s="53">
        <v>3.9777730543830696E-3</v>
      </c>
      <c r="K376" s="53">
        <v>5.7873472507619103E-3</v>
      </c>
      <c r="L376" s="95">
        <f>IFERROR(B376*'Stock Statistics'!$C$41+C376*'Stock Statistics'!$C$42+D376*'Stock Statistics'!$C$43+E376*'Stock Statistics'!$C$44+F376*'Stock Statistics'!$C$45+G376*'Stock Statistics'!$C$46+H376*'Stock Statistics'!$C$47+I376*'Stock Statistics'!$C$48+J376*'Stock Statistics'!$C$49+K376*'Stock Statistics'!$C$50,"")</f>
        <v>1.6585152270061983E-3</v>
      </c>
      <c r="M376" s="96">
        <v>461.4837</v>
      </c>
      <c r="N376" s="97">
        <v>558.65160000000003</v>
      </c>
      <c r="O376" s="93">
        <f t="shared" si="15"/>
        <v>-3.7842424833783861E-3</v>
      </c>
      <c r="P376" s="93">
        <f t="shared" si="16"/>
        <v>-2.2355646055308709E-3</v>
      </c>
      <c r="Q376" s="93">
        <f>B376*'Portfolio 2 &amp; 3'!$F$7+C376*'Portfolio 2 &amp; 3'!$F$8+D376*'Portfolio 2 &amp; 3'!$F$9+E376*'Portfolio 2 &amp; 3'!$F$10+F376*'Portfolio 2 &amp; 3'!$F$11+G376*'Portfolio 2 &amp; 3'!$F$12+H376*'Portfolio 2 &amp; 3'!$F$13+I376*'Portfolio 2 &amp; 3'!$F$14+J376*'Portfolio 2 &amp; 3'!$F$15+K376*'Portfolio 2 &amp; 3'!$F$16</f>
        <v>-6.3645728618202913E-5</v>
      </c>
      <c r="R376" s="93">
        <f>B376*'Portfolio 2 &amp; 3'!$B$23+C376*'Portfolio 2 &amp; 3'!$B$24+D376*'Portfolio 2 &amp; 3'!$B$25+E376*'Portfolio 2 &amp; 3'!$B$26+F376*'Portfolio 2 &amp; 3'!$B$27+G376*'Portfolio 2 &amp; 3'!$B$28+H376*'Portfolio 2 &amp; 3'!$B$29+I376*'Portfolio 2 &amp; 3'!$B$30+J376*'Portfolio 2 &amp; 3'!$B$31+K376*'Portfolio 2 &amp; 3'!$B$32</f>
        <v>5.6562920653809414E-3</v>
      </c>
      <c r="S376" s="93">
        <f t="shared" si="17"/>
        <v>-3.0099035444546285E-3</v>
      </c>
    </row>
    <row r="377" spans="1:19" ht="12.75" customHeight="1">
      <c r="A377" s="82">
        <v>45532</v>
      </c>
      <c r="B377" s="53">
        <v>7.3000000000000001E-3</v>
      </c>
      <c r="C377" s="53">
        <v>3.1680394837763098E-4</v>
      </c>
      <c r="D377" s="53">
        <v>-6.7126965861141795E-4</v>
      </c>
      <c r="E377" s="53">
        <v>2.7799999999999999E-3</v>
      </c>
      <c r="F377" s="53">
        <v>2.15840251290105E-2</v>
      </c>
      <c r="G377" s="53">
        <v>4.41591484010595E-3</v>
      </c>
      <c r="H377" s="87">
        <v>1.44564754766525E-2</v>
      </c>
      <c r="I377" s="53">
        <v>-3.1290313726566299E-3</v>
      </c>
      <c r="J377" s="53">
        <v>-4.9851954800894703E-3</v>
      </c>
      <c r="K377" s="53">
        <v>-1.1199670193761E-2</v>
      </c>
      <c r="L377" s="95">
        <f>IFERROR(B377*'Stock Statistics'!$C$41+C377*'Stock Statistics'!$C$42+D377*'Stock Statistics'!$C$43+E377*'Stock Statistics'!$C$44+F377*'Stock Statistics'!$C$45+G377*'Stock Statistics'!$C$46+H377*'Stock Statistics'!$C$47+I377*'Stock Statistics'!$C$48+J377*'Stock Statistics'!$C$49+K377*'Stock Statistics'!$C$50,"")</f>
        <v>3.0868052689028069E-3</v>
      </c>
      <c r="M377" s="97">
        <v>463.23669999999998</v>
      </c>
      <c r="N377" s="96">
        <v>559.90329999999994</v>
      </c>
      <c r="O377" s="93">
        <f t="shared" si="15"/>
        <v>-1.8780542667129474E-5</v>
      </c>
      <c r="P377" s="93">
        <f t="shared" si="16"/>
        <v>-7.6668708905014427E-4</v>
      </c>
      <c r="Q377" s="93">
        <f>B377*'Portfolio 2 &amp; 3'!$F$7+C377*'Portfolio 2 &amp; 3'!$F$8+D377*'Portfolio 2 &amp; 3'!$F$9+E377*'Portfolio 2 &amp; 3'!$F$10+F377*'Portfolio 2 &amp; 3'!$F$11+G377*'Portfolio 2 &amp; 3'!$F$12+H377*'Portfolio 2 &amp; 3'!$F$13+I377*'Portfolio 2 &amp; 3'!$F$14+J377*'Portfolio 2 &amp; 3'!$F$15+K377*'Portfolio 2 &amp; 3'!$F$16</f>
        <v>3.5873368851521655E-3</v>
      </c>
      <c r="R377" s="93">
        <f>B377*'Portfolio 2 &amp; 3'!$B$23+C377*'Portfolio 2 &amp; 3'!$B$24+D377*'Portfolio 2 &amp; 3'!$B$25+E377*'Portfolio 2 &amp; 3'!$B$26+F377*'Portfolio 2 &amp; 3'!$B$27+G377*'Portfolio 2 &amp; 3'!$B$28+H377*'Portfolio 2 &amp; 3'!$B$29+I377*'Portfolio 2 &amp; 3'!$B$30+J377*'Portfolio 2 &amp; 3'!$B$31+K377*'Portfolio 2 &amp; 3'!$B$32</f>
        <v>3.4271319102236338E-3</v>
      </c>
      <c r="S377" s="93">
        <f t="shared" si="17"/>
        <v>-3.9273381585863687E-4</v>
      </c>
    </row>
    <row r="378" spans="1:19" ht="12.75" customHeight="1">
      <c r="A378" s="81">
        <v>45531</v>
      </c>
      <c r="B378" s="53">
        <v>2.5000000000000001E-2</v>
      </c>
      <c r="C378" s="53">
        <v>1.8061449668986599E-2</v>
      </c>
      <c r="D378" s="53">
        <v>7.8932955314281496E-3</v>
      </c>
      <c r="E378" s="53">
        <v>-3.1800000000000001E-3</v>
      </c>
      <c r="F378" s="53">
        <v>5.2325319139339098E-3</v>
      </c>
      <c r="G378" s="53">
        <v>1.70880428316478E-2</v>
      </c>
      <c r="H378" s="87">
        <v>-9.7366879545097706E-3</v>
      </c>
      <c r="I378" s="53">
        <v>1.2477767896843101E-2</v>
      </c>
      <c r="J378" s="53">
        <v>2.2458373235303201E-2</v>
      </c>
      <c r="K378" s="53">
        <v>1.62292645459894E-2</v>
      </c>
      <c r="L378" s="95">
        <f>IFERROR(B378*'Stock Statistics'!$C$41+C378*'Stock Statistics'!$C$42+D378*'Stock Statistics'!$C$43+E378*'Stock Statistics'!$C$44+F378*'Stock Statistics'!$C$45+G378*'Stock Statistics'!$C$46+H378*'Stock Statistics'!$C$47+I378*'Stock Statistics'!$C$48+J378*'Stock Statistics'!$C$49+K378*'Stock Statistics'!$C$50,"")</f>
        <v>1.115240376696224E-2</v>
      </c>
      <c r="M378" s="96">
        <v>463.24540000000002</v>
      </c>
      <c r="N378" s="97">
        <v>560.3329</v>
      </c>
      <c r="O378" s="93">
        <f t="shared" si="15"/>
        <v>1.196589187793462E-2</v>
      </c>
      <c r="P378" s="93">
        <f t="shared" si="16"/>
        <v>-5.3029608465604561E-4</v>
      </c>
      <c r="Q378" s="93">
        <f>B378*'Portfolio 2 &amp; 3'!$F$7+C378*'Portfolio 2 &amp; 3'!$F$8+D378*'Portfolio 2 &amp; 3'!$F$9+E378*'Portfolio 2 &amp; 3'!$F$10+F378*'Portfolio 2 &amp; 3'!$F$11+G378*'Portfolio 2 &amp; 3'!$F$12+H378*'Portfolio 2 &amp; 3'!$F$13+I378*'Portfolio 2 &amp; 3'!$F$14+J378*'Portfolio 2 &amp; 3'!$F$15+K378*'Portfolio 2 &amp; 3'!$F$16</f>
        <v>9.7212163451278182E-3</v>
      </c>
      <c r="R378" s="93">
        <f>B378*'Portfolio 2 &amp; 3'!$B$23+C378*'Portfolio 2 &amp; 3'!$B$24+D378*'Portfolio 2 &amp; 3'!$B$25+E378*'Portfolio 2 &amp; 3'!$B$26+F378*'Portfolio 2 &amp; 3'!$B$27+G378*'Portfolio 2 &amp; 3'!$B$28+H378*'Portfolio 2 &amp; 3'!$B$29+I378*'Portfolio 2 &amp; 3'!$B$30+J378*'Portfolio 2 &amp; 3'!$B$31+K378*'Portfolio 2 &amp; 3'!$B$32</f>
        <v>1.4496462112365768E-2</v>
      </c>
      <c r="S378" s="93">
        <f t="shared" si="17"/>
        <v>5.7177978966392873E-3</v>
      </c>
    </row>
    <row r="379" spans="1:19" ht="12.75" customHeight="1">
      <c r="A379" s="82">
        <v>45530</v>
      </c>
      <c r="B379" s="53">
        <v>-1.8E-3</v>
      </c>
      <c r="C379" s="53">
        <v>1.24341556890344E-2</v>
      </c>
      <c r="D379" s="53">
        <v>2.6488354814744302E-3</v>
      </c>
      <c r="E379" s="53">
        <v>2.3900000000000002E-3</v>
      </c>
      <c r="F379" s="53">
        <v>-5.9599558836005803E-2</v>
      </c>
      <c r="G379" s="53">
        <v>5.7436879262893203E-3</v>
      </c>
      <c r="H379" s="87">
        <v>5.2204884423987501E-3</v>
      </c>
      <c r="I379" s="53">
        <v>-6.9818141678393798E-3</v>
      </c>
      <c r="J379" s="53">
        <v>2.1628970461007299E-4</v>
      </c>
      <c r="K379" s="53">
        <v>-3.60784781441936E-3</v>
      </c>
      <c r="L379" s="95">
        <f>IFERROR(B379*'Stock Statistics'!$C$41+C379*'Stock Statistics'!$C$42+D379*'Stock Statistics'!$C$43+E379*'Stock Statistics'!$C$44+F379*'Stock Statistics'!$C$45+G379*'Stock Statistics'!$C$46+H379*'Stock Statistics'!$C$47+I379*'Stock Statistics'!$C$48+J379*'Stock Statistics'!$C$49+K379*'Stock Statistics'!$C$50,"")</f>
        <v>-4.3335763574457566E-3</v>
      </c>
      <c r="M379" s="97">
        <v>457.76780000000002</v>
      </c>
      <c r="N379" s="96">
        <v>560.63019999999995</v>
      </c>
      <c r="O379" s="93">
        <f t="shared" si="15"/>
        <v>-4.000812869092818E-3</v>
      </c>
      <c r="P379" s="93">
        <f t="shared" si="16"/>
        <v>1.2115668154428993E-2</v>
      </c>
      <c r="Q379" s="93">
        <f>B379*'Portfolio 2 &amp; 3'!$F$7+C379*'Portfolio 2 &amp; 3'!$F$8+D379*'Portfolio 2 &amp; 3'!$F$9+E379*'Portfolio 2 &amp; 3'!$F$10+F379*'Portfolio 2 &amp; 3'!$F$11+G379*'Portfolio 2 &amp; 3'!$F$12+H379*'Portfolio 2 &amp; 3'!$F$13+I379*'Portfolio 2 &amp; 3'!$F$14+J379*'Portfolio 2 &amp; 3'!$F$15+K379*'Portfolio 2 &amp; 3'!$F$16</f>
        <v>-4.2054649475169814E-3</v>
      </c>
      <c r="R379" s="93">
        <f>B379*'Portfolio 2 &amp; 3'!$B$23+C379*'Portfolio 2 &amp; 3'!$B$24+D379*'Portfolio 2 &amp; 3'!$B$25+E379*'Portfolio 2 &amp; 3'!$B$26+F379*'Portfolio 2 &amp; 3'!$B$27+G379*'Portfolio 2 &amp; 3'!$B$28+H379*'Portfolio 2 &amp; 3'!$B$29+I379*'Portfolio 2 &amp; 3'!$B$30+J379*'Portfolio 2 &amp; 3'!$B$31+K379*'Portfolio 2 &amp; 3'!$B$32</f>
        <v>-8.5110917276173623E-3</v>
      </c>
      <c r="S379" s="93">
        <f t="shared" si="17"/>
        <v>4.0574276426680878E-3</v>
      </c>
    </row>
    <row r="380" spans="1:19" ht="12.75" customHeight="1">
      <c r="A380" s="81">
        <v>45527</v>
      </c>
      <c r="B380" s="53">
        <v>-3.0999999999999999E-3</v>
      </c>
      <c r="C380" s="53">
        <v>1.1262024557470199E-2</v>
      </c>
      <c r="D380" s="53">
        <v>6.27356650630606E-3</v>
      </c>
      <c r="E380" s="53">
        <v>2.376E-2</v>
      </c>
      <c r="F380" s="53">
        <v>-2.59080203297384E-2</v>
      </c>
      <c r="G380" s="53">
        <v>-1.95560332601841E-3</v>
      </c>
      <c r="H380" s="87">
        <v>2.83006639494188E-3</v>
      </c>
      <c r="I380" s="53">
        <v>1.2546104839610901E-2</v>
      </c>
      <c r="J380" s="53">
        <v>1.26091173617848E-2</v>
      </c>
      <c r="K380" s="53">
        <v>2.61499235084139E-2</v>
      </c>
      <c r="L380" s="95">
        <f>IFERROR(B380*'Stock Statistics'!$C$41+C380*'Stock Statistics'!$C$42+D380*'Stock Statistics'!$C$43+E380*'Stock Statistics'!$C$44+F380*'Stock Statistics'!$C$45+G380*'Stock Statistics'!$C$46+H380*'Stock Statistics'!$C$47+I380*'Stock Statistics'!$C$48+J380*'Stock Statistics'!$C$49+K380*'Stock Statistics'!$C$50,"")</f>
        <v>6.4467179512770929E-3</v>
      </c>
      <c r="M380" s="96">
        <v>459.60660000000001</v>
      </c>
      <c r="N380" s="97">
        <v>553.91909999999996</v>
      </c>
      <c r="O380" s="93">
        <f t="shared" si="15"/>
        <v>9.677474629911087E-3</v>
      </c>
      <c r="P380" s="93">
        <f t="shared" si="16"/>
        <v>5.4388755446090897E-3</v>
      </c>
      <c r="Q380" s="93">
        <f>B380*'Portfolio 2 &amp; 3'!$F$7+C380*'Portfolio 2 &amp; 3'!$F$8+D380*'Portfolio 2 &amp; 3'!$F$9+E380*'Portfolio 2 &amp; 3'!$F$10+F380*'Portfolio 2 &amp; 3'!$F$11+G380*'Portfolio 2 &amp; 3'!$F$12+H380*'Portfolio 2 &amp; 3'!$F$13+I380*'Portfolio 2 &amp; 3'!$F$14+J380*'Portfolio 2 &amp; 3'!$F$15+K380*'Portfolio 2 &amp; 3'!$F$16</f>
        <v>6.0958737165378012E-3</v>
      </c>
      <c r="R380" s="93">
        <f>B380*'Portfolio 2 &amp; 3'!$B$23+C380*'Portfolio 2 &amp; 3'!$B$24+D380*'Portfolio 2 &amp; 3'!$B$25+E380*'Portfolio 2 &amp; 3'!$B$26+F380*'Portfolio 2 &amp; 3'!$B$27+G380*'Portfolio 2 &amp; 3'!$B$28+H380*'Portfolio 2 &amp; 3'!$B$29+I380*'Portfolio 2 &amp; 3'!$B$30+J380*'Portfolio 2 &amp; 3'!$B$31+K380*'Portfolio 2 &amp; 3'!$B$32</f>
        <v>3.4054780331700518E-3</v>
      </c>
      <c r="S380" s="93">
        <f t="shared" si="17"/>
        <v>7.5581750872600884E-3</v>
      </c>
    </row>
    <row r="381" spans="1:19" ht="12.75" customHeight="1">
      <c r="A381" s="82">
        <v>45526</v>
      </c>
      <c r="B381" s="53">
        <v>2.2100000000000002E-2</v>
      </c>
      <c r="C381" s="53">
        <v>3.7856650645919899E-3</v>
      </c>
      <c r="D381" s="53">
        <v>2.8360009127359502E-3</v>
      </c>
      <c r="E381" s="53">
        <v>7.7099999999999998E-3</v>
      </c>
      <c r="F381" s="53">
        <v>3.64948368100193E-3</v>
      </c>
      <c r="G381" s="53">
        <v>-3.9404032593826103E-3</v>
      </c>
      <c r="H381" s="87">
        <v>-1.6104680422747201E-3</v>
      </c>
      <c r="I381" s="53">
        <v>9.5630342181725093E-3</v>
      </c>
      <c r="J381" s="53">
        <v>2.5722262304337402E-3</v>
      </c>
      <c r="K381" s="53">
        <v>-4.8211113930474196E-3</v>
      </c>
      <c r="L381" s="95">
        <f>IFERROR(B381*'Stock Statistics'!$C$41+C381*'Stock Statistics'!$C$42+D381*'Stock Statistics'!$C$43+E381*'Stock Statistics'!$C$44+F381*'Stock Statistics'!$C$45+G381*'Stock Statistics'!$C$46+H381*'Stock Statistics'!$C$47+I381*'Stock Statistics'!$C$48+J381*'Stock Statistics'!$C$49+K381*'Stock Statistics'!$C$50,"")</f>
        <v>4.1844427412231376E-3</v>
      </c>
      <c r="M381" s="97">
        <v>455.20139999999998</v>
      </c>
      <c r="N381" s="96">
        <v>550.92269999999996</v>
      </c>
      <c r="O381" s="93">
        <f t="shared" si="15"/>
        <v>5.5888210324706034E-3</v>
      </c>
      <c r="P381" s="93">
        <f t="shared" si="16"/>
        <v>2.4673984067811183E-3</v>
      </c>
      <c r="Q381" s="93">
        <f>B381*'Portfolio 2 &amp; 3'!$F$7+C381*'Portfolio 2 &amp; 3'!$F$8+D381*'Portfolio 2 &amp; 3'!$F$9+E381*'Portfolio 2 &amp; 3'!$F$10+F381*'Portfolio 2 &amp; 3'!$F$11+G381*'Portfolio 2 &amp; 3'!$F$12+H381*'Portfolio 2 &amp; 3'!$F$13+I381*'Portfolio 2 &amp; 3'!$F$14+J381*'Portfolio 2 &amp; 3'!$F$15+K381*'Portfolio 2 &amp; 3'!$F$16</f>
        <v>3.4825398647881393E-3</v>
      </c>
      <c r="R381" s="93">
        <f>B381*'Portfolio 2 &amp; 3'!$B$23+C381*'Portfolio 2 &amp; 3'!$B$24+D381*'Portfolio 2 &amp; 3'!$B$25+E381*'Portfolio 2 &amp; 3'!$B$26+F381*'Portfolio 2 &amp; 3'!$B$27+G381*'Portfolio 2 &amp; 3'!$B$28+H381*'Portfolio 2 &amp; 3'!$B$29+I381*'Portfolio 2 &amp; 3'!$B$30+J381*'Portfolio 2 &amp; 3'!$B$31+K381*'Portfolio 2 &amp; 3'!$B$32</f>
        <v>5.8859556096088677E-3</v>
      </c>
      <c r="S381" s="93">
        <f t="shared" si="17"/>
        <v>4.0281097196258608E-3</v>
      </c>
    </row>
    <row r="382" spans="1:19" ht="12.75" customHeight="1">
      <c r="A382" s="81">
        <v>45525</v>
      </c>
      <c r="B382" s="53">
        <v>2.5399999999999999E-2</v>
      </c>
      <c r="C382" s="53">
        <v>-6.2239404998224498E-3</v>
      </c>
      <c r="D382" s="53">
        <v>1.4786635792259299E-2</v>
      </c>
      <c r="E382" s="53">
        <v>-9.6299999999999997E-3</v>
      </c>
      <c r="F382" s="53">
        <v>1.09000964239299E-2</v>
      </c>
      <c r="G382" s="53">
        <v>3.5365216742520001E-3</v>
      </c>
      <c r="H382" s="87">
        <v>-2.0878024981884099E-3</v>
      </c>
      <c r="I382" s="53">
        <v>-1.8583697029423999E-3</v>
      </c>
      <c r="J382" s="53">
        <v>1.23209805976312E-2</v>
      </c>
      <c r="K382" s="53">
        <v>1.44770848134763E-2</v>
      </c>
      <c r="L382" s="95">
        <f>IFERROR(B382*'Stock Statistics'!$C$41+C382*'Stock Statistics'!$C$42+D382*'Stock Statistics'!$C$43+E382*'Stock Statistics'!$C$44+F382*'Stock Statistics'!$C$45+G382*'Stock Statistics'!$C$46+H382*'Stock Statistics'!$C$47+I382*'Stock Statistics'!$C$48+J382*'Stock Statistics'!$C$49+K382*'Stock Statistics'!$C$50,"")</f>
        <v>6.1621206600595444E-3</v>
      </c>
      <c r="M382" s="96">
        <v>452.67149999999998</v>
      </c>
      <c r="N382" s="97">
        <v>549.56669999999997</v>
      </c>
      <c r="O382" s="93">
        <f t="shared" si="15"/>
        <v>9.0124372075695014E-4</v>
      </c>
      <c r="P382" s="93">
        <f t="shared" si="16"/>
        <v>6.2451032754566871E-3</v>
      </c>
      <c r="Q382" s="93">
        <f>B382*'Portfolio 2 &amp; 3'!$F$7+C382*'Portfolio 2 &amp; 3'!$F$8+D382*'Portfolio 2 &amp; 3'!$F$9+E382*'Portfolio 2 &amp; 3'!$F$10+F382*'Portfolio 2 &amp; 3'!$F$11+G382*'Portfolio 2 &amp; 3'!$F$12+H382*'Portfolio 2 &amp; 3'!$F$13+I382*'Portfolio 2 &amp; 3'!$F$14+J382*'Portfolio 2 &amp; 3'!$F$15+K382*'Portfolio 2 &amp; 3'!$F$16</f>
        <v>6.1103701050526154E-3</v>
      </c>
      <c r="R382" s="93">
        <f>B382*'Portfolio 2 &amp; 3'!$B$23+C382*'Portfolio 2 &amp; 3'!$B$24+D382*'Portfolio 2 &amp; 3'!$B$25+E382*'Portfolio 2 &amp; 3'!$B$26+F382*'Portfolio 2 &amp; 3'!$B$27+G382*'Portfolio 2 &amp; 3'!$B$28+H382*'Portfolio 2 &amp; 3'!$B$29+I382*'Portfolio 2 &amp; 3'!$B$30+J382*'Portfolio 2 &amp; 3'!$B$31+K382*'Portfolio 2 &amp; 3'!$B$32</f>
        <v>5.6080960145756991E-3</v>
      </c>
      <c r="S382" s="93">
        <f t="shared" si="17"/>
        <v>3.5731734981068186E-3</v>
      </c>
    </row>
    <row r="383" spans="1:19" ht="12.75" customHeight="1">
      <c r="A383" s="82">
        <v>45524</v>
      </c>
      <c r="B383" s="53">
        <v>-0.01</v>
      </c>
      <c r="C383" s="53">
        <v>-3.79101899827283E-3</v>
      </c>
      <c r="D383" s="53">
        <v>-1.6782670916542002E-2</v>
      </c>
      <c r="E383" s="53">
        <v>-7.4400000000000004E-3</v>
      </c>
      <c r="F383" s="53">
        <v>6.4981644795138998E-3</v>
      </c>
      <c r="G383" s="53">
        <v>-3.4944237918215198E-3</v>
      </c>
      <c r="H383" s="87">
        <v>-1.3224872388476999E-2</v>
      </c>
      <c r="I383" s="53">
        <v>1.4337531773912501E-2</v>
      </c>
      <c r="J383" s="53">
        <v>-7.0942111237229898E-3</v>
      </c>
      <c r="K383" s="53">
        <v>-1.1300125217603801E-2</v>
      </c>
      <c r="L383" s="95">
        <f>IFERROR(B383*'Stock Statistics'!$C$41+C383*'Stock Statistics'!$C$42+D383*'Stock Statistics'!$C$43+E383*'Stock Statistics'!$C$44+F383*'Stock Statistics'!$C$45+G383*'Stock Statistics'!$C$46+H383*'Stock Statistics'!$C$47+I383*'Stock Statistics'!$C$48+J383*'Stock Statistics'!$C$49+K383*'Stock Statistics'!$C$50,"")</f>
        <v>-5.2291626183013735E-3</v>
      </c>
      <c r="M383" s="97">
        <v>452.26389999999998</v>
      </c>
      <c r="N383" s="96">
        <v>546.15589999999997</v>
      </c>
      <c r="O383" s="93">
        <f t="shared" si="15"/>
        <v>5.3990883772545573E-3</v>
      </c>
      <c r="P383" s="93">
        <f t="shared" si="16"/>
        <v>-8.6032666092329402E-3</v>
      </c>
      <c r="Q383" s="93">
        <f>B383*'Portfolio 2 &amp; 3'!$F$7+C383*'Portfolio 2 &amp; 3'!$F$8+D383*'Portfolio 2 &amp; 3'!$F$9+E383*'Portfolio 2 &amp; 3'!$F$10+F383*'Portfolio 2 &amp; 3'!$F$11+G383*'Portfolio 2 &amp; 3'!$F$12+H383*'Portfolio 2 &amp; 3'!$F$13+I383*'Portfolio 2 &amp; 3'!$F$14+J383*'Portfolio 2 &amp; 3'!$F$15+K383*'Portfolio 2 &amp; 3'!$F$16</f>
        <v>-6.2039084034136473E-3</v>
      </c>
      <c r="R383" s="93">
        <f>B383*'Portfolio 2 &amp; 3'!$B$23+C383*'Portfolio 2 &amp; 3'!$B$24+D383*'Portfolio 2 &amp; 3'!$B$25+E383*'Portfolio 2 &amp; 3'!$B$26+F383*'Portfolio 2 &amp; 3'!$B$27+G383*'Portfolio 2 &amp; 3'!$B$28+H383*'Portfolio 2 &amp; 3'!$B$29+I383*'Portfolio 2 &amp; 3'!$B$30+J383*'Portfolio 2 &amp; 3'!$B$31+K383*'Portfolio 2 &amp; 3'!$B$32</f>
        <v>3.6626124955417333E-4</v>
      </c>
      <c r="S383" s="93">
        <f t="shared" si="17"/>
        <v>-1.6020891159891915E-3</v>
      </c>
    </row>
    <row r="384" spans="1:19" ht="12.75" customHeight="1">
      <c r="A384" s="81">
        <v>45523</v>
      </c>
      <c r="B384" s="53">
        <v>6.0000000000000001E-3</v>
      </c>
      <c r="C384" s="53">
        <v>9.9336304410391207E-3</v>
      </c>
      <c r="D384" s="53">
        <v>1.19141653501842E-2</v>
      </c>
      <c r="E384" s="53">
        <v>1.026E-2</v>
      </c>
      <c r="F384" s="53">
        <v>-2.1893814997262502E-3</v>
      </c>
      <c r="G384" s="53">
        <v>3.92613492170124E-3</v>
      </c>
      <c r="H384" s="87">
        <v>1.39404337183342E-2</v>
      </c>
      <c r="I384" s="53">
        <v>-7.9335845635112295E-3</v>
      </c>
      <c r="J384" s="53">
        <v>-5.5186253605919999E-3</v>
      </c>
      <c r="K384" s="53">
        <v>2.1731145935357499E-3</v>
      </c>
      <c r="L384" s="95">
        <f>IFERROR(B384*'Stock Statistics'!$C$41+C384*'Stock Statistics'!$C$42+D384*'Stock Statistics'!$C$43+E384*'Stock Statistics'!$C$44+F384*'Stock Statistics'!$C$45+G384*'Stock Statistics'!$C$46+H384*'Stock Statistics'!$C$47+I384*'Stock Statistics'!$C$48+J384*'Stock Statistics'!$C$49+K384*'Stock Statistics'!$C$50,"")</f>
        <v>4.2505887600965027E-3</v>
      </c>
      <c r="M384" s="96">
        <v>449.83519999999999</v>
      </c>
      <c r="N384" s="97">
        <v>550.8954</v>
      </c>
      <c r="O384" s="93">
        <f t="shared" si="15"/>
        <v>1.6406204074652653E-3</v>
      </c>
      <c r="P384" s="93">
        <f t="shared" si="16"/>
        <v>2.6055289141990734E-4</v>
      </c>
      <c r="Q384" s="93">
        <f>B384*'Portfolio 2 &amp; 3'!$F$7+C384*'Portfolio 2 &amp; 3'!$F$8+D384*'Portfolio 2 &amp; 3'!$F$9+E384*'Portfolio 2 &amp; 3'!$F$10+F384*'Portfolio 2 &amp; 3'!$F$11+G384*'Portfolio 2 &amp; 3'!$F$12+H384*'Portfolio 2 &amp; 3'!$F$13+I384*'Portfolio 2 &amp; 3'!$F$14+J384*'Portfolio 2 &amp; 3'!$F$15+K384*'Portfolio 2 &amp; 3'!$F$16</f>
        <v>4.6630937038076737E-3</v>
      </c>
      <c r="R384" s="93">
        <f>B384*'Portfolio 2 &amp; 3'!$B$23+C384*'Portfolio 2 &amp; 3'!$B$24+D384*'Portfolio 2 &amp; 3'!$B$25+E384*'Portfolio 2 &amp; 3'!$B$26+F384*'Portfolio 2 &amp; 3'!$B$27+G384*'Portfolio 2 &amp; 3'!$B$28+H384*'Portfolio 2 &amp; 3'!$B$29+I384*'Portfolio 2 &amp; 3'!$B$30+J384*'Portfolio 2 &amp; 3'!$B$31+K384*'Portfolio 2 &amp; 3'!$B$32</f>
        <v>1.3614604967402684E-3</v>
      </c>
      <c r="S384" s="93">
        <f t="shared" si="17"/>
        <v>9.5058664944258631E-4</v>
      </c>
    </row>
    <row r="385" spans="1:19" ht="12.75" customHeight="1">
      <c r="A385" s="82">
        <v>45520</v>
      </c>
      <c r="B385" s="53">
        <v>3.2399999999999998E-2</v>
      </c>
      <c r="C385" s="53">
        <v>-1.33259010225229E-3</v>
      </c>
      <c r="D385" s="53">
        <v>1.0946597903842999E-2</v>
      </c>
      <c r="E385" s="53">
        <v>5.5900000000000004E-3</v>
      </c>
      <c r="F385" s="53">
        <v>1.45664246048696E-2</v>
      </c>
      <c r="G385" s="53">
        <v>3.4346813213082E-4</v>
      </c>
      <c r="H385" s="87">
        <v>7.8132347515318407E-3</v>
      </c>
      <c r="I385" s="53">
        <v>-9.62436663175414E-4</v>
      </c>
      <c r="J385" s="53">
        <v>2.0315449339348E-2</v>
      </c>
      <c r="K385" s="53">
        <v>3.7612610228343397E-2</v>
      </c>
      <c r="L385" s="95">
        <f>IFERROR(B385*'Stock Statistics'!$C$41+C385*'Stock Statistics'!$C$42+D385*'Stock Statistics'!$C$43+E385*'Stock Statistics'!$C$44+F385*'Stock Statistics'!$C$45+G385*'Stock Statistics'!$C$46+H385*'Stock Statistics'!$C$47+I385*'Stock Statistics'!$C$48+J385*'Stock Statistics'!$C$49+K385*'Stock Statistics'!$C$50,"")</f>
        <v>1.2729275819463896E-2</v>
      </c>
      <c r="M385" s="97">
        <v>449.09840000000003</v>
      </c>
      <c r="N385" s="96">
        <v>550.75189999999998</v>
      </c>
      <c r="O385" s="93">
        <f t="shared" si="15"/>
        <v>2.9590860019823584E-3</v>
      </c>
      <c r="P385" s="93">
        <f t="shared" si="16"/>
        <v>-1.7375054489628949E-3</v>
      </c>
      <c r="Q385" s="93">
        <f>B385*'Portfolio 2 &amp; 3'!$F$7+C385*'Portfolio 2 &amp; 3'!$F$8+D385*'Portfolio 2 &amp; 3'!$F$9+E385*'Portfolio 2 &amp; 3'!$F$10+F385*'Portfolio 2 &amp; 3'!$F$11+G385*'Portfolio 2 &amp; 3'!$F$12+H385*'Portfolio 2 &amp; 3'!$F$13+I385*'Portfolio 2 &amp; 3'!$F$14+J385*'Portfolio 2 &amp; 3'!$F$15+K385*'Portfolio 2 &amp; 3'!$F$16</f>
        <v>1.2531649005092059E-2</v>
      </c>
      <c r="R385" s="93">
        <f>B385*'Portfolio 2 &amp; 3'!$B$23+C385*'Portfolio 2 &amp; 3'!$B$24+D385*'Portfolio 2 &amp; 3'!$B$25+E385*'Portfolio 2 &amp; 3'!$B$26+F385*'Portfolio 2 &amp; 3'!$B$27+G385*'Portfolio 2 &amp; 3'!$B$28+H385*'Portfolio 2 &amp; 3'!$B$29+I385*'Portfolio 2 &amp; 3'!$B$30+J385*'Portfolio 2 &amp; 3'!$B$31+K385*'Portfolio 2 &amp; 3'!$B$32</f>
        <v>1.0442757440908593E-2</v>
      </c>
      <c r="S385" s="93">
        <f t="shared" si="17"/>
        <v>6.1079027650973172E-4</v>
      </c>
    </row>
    <row r="386" spans="1:19" ht="12.75" customHeight="1">
      <c r="A386" s="81">
        <v>45518</v>
      </c>
      <c r="B386" s="53">
        <v>-9.4000000000000004E-3</v>
      </c>
      <c r="C386" s="53">
        <v>1.0339760117565201E-2</v>
      </c>
      <c r="D386" s="53">
        <v>-1.11535171415411E-2</v>
      </c>
      <c r="E386" s="53">
        <v>-1.251E-2</v>
      </c>
      <c r="F386" s="53">
        <v>-4.21115317537968E-3</v>
      </c>
      <c r="G386" s="53">
        <v>-1.6424038820461701E-4</v>
      </c>
      <c r="H386" s="87">
        <v>1.7332489401789899E-2</v>
      </c>
      <c r="I386" s="53">
        <v>1.06133424876989E-2</v>
      </c>
      <c r="J386" s="53">
        <v>-8.0291970802920404E-3</v>
      </c>
      <c r="K386" s="53">
        <v>1.1402813764748601E-2</v>
      </c>
      <c r="L386" s="95">
        <f>IFERROR(B386*'Stock Statistics'!$C$41+C386*'Stock Statistics'!$C$42+D386*'Stock Statistics'!$C$43+E386*'Stock Statistics'!$C$44+F386*'Stock Statistics'!$C$45+G386*'Stock Statistics'!$C$46+H386*'Stock Statistics'!$C$47+I386*'Stock Statistics'!$C$48+J386*'Stock Statistics'!$C$49+K386*'Stock Statistics'!$C$50,"")</f>
        <v>4.2202979863851576E-4</v>
      </c>
      <c r="M386" s="96">
        <v>447.77339999999998</v>
      </c>
      <c r="N386" s="97">
        <v>551.71050000000002</v>
      </c>
      <c r="O386" s="93">
        <f t="shared" ref="O386:O449" si="18">M386/M387-1</f>
        <v>4.6966412239088928E-3</v>
      </c>
      <c r="P386" s="93">
        <f t="shared" ref="P386:P449" si="19">N386/N387-1</f>
        <v>7.6791838483627473E-3</v>
      </c>
      <c r="Q386" s="93">
        <f>B386*'Portfolio 2 &amp; 3'!$F$7+C386*'Portfolio 2 &amp; 3'!$F$8+D386*'Portfolio 2 &amp; 3'!$F$9+E386*'Portfolio 2 &amp; 3'!$F$10+F386*'Portfolio 2 &amp; 3'!$F$11+G386*'Portfolio 2 &amp; 3'!$F$12+H386*'Portfolio 2 &amp; 3'!$F$13+I386*'Portfolio 2 &amp; 3'!$F$14+J386*'Portfolio 2 &amp; 3'!$F$15+K386*'Portfolio 2 &amp; 3'!$F$16</f>
        <v>1.0034598483798646E-3</v>
      </c>
      <c r="R386" s="93">
        <f>B386*'Portfolio 2 &amp; 3'!$B$23+C386*'Portfolio 2 &amp; 3'!$B$24+D386*'Portfolio 2 &amp; 3'!$B$25+E386*'Portfolio 2 &amp; 3'!$B$26+F386*'Portfolio 2 &amp; 3'!$B$27+G386*'Portfolio 2 &amp; 3'!$B$28+H386*'Portfolio 2 &amp; 3'!$B$29+I386*'Portfolio 2 &amp; 3'!$B$30+J386*'Portfolio 2 &amp; 3'!$B$31+K386*'Portfolio 2 &amp; 3'!$B$32</f>
        <v>3.7880487593673698E-3</v>
      </c>
      <c r="S386" s="93">
        <f t="shared" ref="S386:S449" si="20">IFERROR(AVERAGE(O386,P386),"")</f>
        <v>6.18791253613582E-3</v>
      </c>
    </row>
    <row r="387" spans="1:19" ht="12.75" customHeight="1">
      <c r="A387" s="82">
        <v>45517</v>
      </c>
      <c r="B387" s="53">
        <v>1.2200000000000001E-2</v>
      </c>
      <c r="C387" s="53">
        <v>-1.14384260725853E-4</v>
      </c>
      <c r="D387" s="53">
        <v>9.2309735688671495E-3</v>
      </c>
      <c r="E387" s="53">
        <v>-2.96E-3</v>
      </c>
      <c r="F387" s="53">
        <v>-5.9940818937939899E-2</v>
      </c>
      <c r="G387" s="53">
        <v>-4.3557114824285302E-3</v>
      </c>
      <c r="H387" s="87">
        <v>-1.09541908969935E-3</v>
      </c>
      <c r="I387" s="53">
        <v>2.89771912207715E-3</v>
      </c>
      <c r="J387" s="53">
        <v>-3.8068650466338598E-4</v>
      </c>
      <c r="K387" s="53">
        <v>7.76883402749307E-3</v>
      </c>
      <c r="L387" s="95">
        <f>IFERROR(B387*'Stock Statistics'!$C$41+C387*'Stock Statistics'!$C$42+D387*'Stock Statistics'!$C$43+E387*'Stock Statistics'!$C$44+F387*'Stock Statistics'!$C$45+G387*'Stock Statistics'!$C$46+H387*'Stock Statistics'!$C$47+I387*'Stock Statistics'!$C$48+J387*'Stock Statistics'!$C$49+K387*'Stock Statistics'!$C$50,"")</f>
        <v>-3.6749493557019655E-3</v>
      </c>
      <c r="M387" s="97">
        <v>445.68020000000001</v>
      </c>
      <c r="N387" s="96">
        <v>547.50609999999995</v>
      </c>
      <c r="O387" s="93">
        <f t="shared" si="18"/>
        <v>4.2107976496323918E-3</v>
      </c>
      <c r="P387" s="93">
        <f t="shared" si="19"/>
        <v>-3.8724292893699275E-4</v>
      </c>
      <c r="Q387" s="93">
        <f>B387*'Portfolio 2 &amp; 3'!$F$7+C387*'Portfolio 2 &amp; 3'!$F$8+D387*'Portfolio 2 &amp; 3'!$F$9+E387*'Portfolio 2 &amp; 3'!$F$10+F387*'Portfolio 2 &amp; 3'!$F$11+G387*'Portfolio 2 &amp; 3'!$F$12+H387*'Portfolio 2 &amp; 3'!$F$13+I387*'Portfolio 2 &amp; 3'!$F$14+J387*'Portfolio 2 &amp; 3'!$F$15+K387*'Portfolio 2 &amp; 3'!$F$16</f>
        <v>-3.972205675216273E-3</v>
      </c>
      <c r="R387" s="93">
        <f>B387*'Portfolio 2 &amp; 3'!$B$23+C387*'Portfolio 2 &amp; 3'!$B$24+D387*'Portfolio 2 &amp; 3'!$B$25+E387*'Portfolio 2 &amp; 3'!$B$26+F387*'Portfolio 2 &amp; 3'!$B$27+G387*'Portfolio 2 &amp; 3'!$B$28+H387*'Portfolio 2 &amp; 3'!$B$29+I387*'Portfolio 2 &amp; 3'!$B$30+J387*'Portfolio 2 &amp; 3'!$B$31+K387*'Portfolio 2 &amp; 3'!$B$32</f>
        <v>-6.8439044395573276E-3</v>
      </c>
      <c r="S387" s="93">
        <f t="shared" si="20"/>
        <v>1.9117773603476995E-3</v>
      </c>
    </row>
    <row r="388" spans="1:19" ht="12.75" customHeight="1">
      <c r="A388" s="81">
        <v>45516</v>
      </c>
      <c r="B388" s="53">
        <v>-9.1000000000000004E-3</v>
      </c>
      <c r="C388" s="53">
        <v>-4.6940133814410397E-3</v>
      </c>
      <c r="D388" s="53">
        <v>3.0099876864140101E-2</v>
      </c>
      <c r="E388" s="53">
        <v>-1.1390000000000001E-2</v>
      </c>
      <c r="F388" s="53">
        <v>-3.8819278960719503E-2</v>
      </c>
      <c r="G388" s="53">
        <v>7.8357929432917306E-3</v>
      </c>
      <c r="H388" s="87">
        <v>-2.12063208796269E-2</v>
      </c>
      <c r="I388" s="53">
        <v>6.3158499124393896E-4</v>
      </c>
      <c r="J388" s="53">
        <v>7.86545594065724E-3</v>
      </c>
      <c r="K388" s="53">
        <v>-6.0274560274561403E-3</v>
      </c>
      <c r="L388" s="95">
        <f>IFERROR(B388*'Stock Statistics'!$C$41+C388*'Stock Statistics'!$C$42+D388*'Stock Statistics'!$C$43+E388*'Stock Statistics'!$C$44+F388*'Stock Statistics'!$C$45+G388*'Stock Statistics'!$C$46+H388*'Stock Statistics'!$C$47+I388*'Stock Statistics'!$C$48+J388*'Stock Statistics'!$C$49+K388*'Stock Statistics'!$C$50,"")</f>
        <v>-4.4804358509910576E-3</v>
      </c>
      <c r="M388" s="96">
        <v>443.81139999999999</v>
      </c>
      <c r="N388" s="97">
        <v>547.71820000000002</v>
      </c>
      <c r="O388" s="93">
        <f t="shared" si="18"/>
        <v>9.7268460997856909E-3</v>
      </c>
      <c r="P388" s="93">
        <f t="shared" si="19"/>
        <v>1.7952502208402166E-2</v>
      </c>
      <c r="Q388" s="93">
        <f>B388*'Portfolio 2 &amp; 3'!$F$7+C388*'Portfolio 2 &amp; 3'!$F$8+D388*'Portfolio 2 &amp; 3'!$F$9+E388*'Portfolio 2 &amp; 3'!$F$10+F388*'Portfolio 2 &amp; 3'!$F$11+G388*'Portfolio 2 &amp; 3'!$F$12+H388*'Portfolio 2 &amp; 3'!$F$13+I388*'Portfolio 2 &amp; 3'!$F$14+J388*'Portfolio 2 &amp; 3'!$F$15+K388*'Portfolio 2 &amp; 3'!$F$16</f>
        <v>-4.1964059914439255E-3</v>
      </c>
      <c r="R388" s="93">
        <f>B388*'Portfolio 2 &amp; 3'!$B$23+C388*'Portfolio 2 &amp; 3'!$B$24+D388*'Portfolio 2 &amp; 3'!$B$25+E388*'Portfolio 2 &amp; 3'!$B$26+F388*'Portfolio 2 &amp; 3'!$B$27+G388*'Portfolio 2 &amp; 3'!$B$28+H388*'Portfolio 2 &amp; 3'!$B$29+I388*'Portfolio 2 &amp; 3'!$B$30+J388*'Portfolio 2 &amp; 3'!$B$31+K388*'Portfolio 2 &amp; 3'!$B$32</f>
        <v>-7.768754317832755E-3</v>
      </c>
      <c r="S388" s="93">
        <f t="shared" si="20"/>
        <v>1.3839674154093928E-2</v>
      </c>
    </row>
    <row r="389" spans="1:19" ht="12.75" customHeight="1">
      <c r="A389" s="82">
        <v>45513</v>
      </c>
      <c r="B389" s="53">
        <v>2.9999999999999997E-4</v>
      </c>
      <c r="C389" s="53">
        <v>-9.5365582648721003E-4</v>
      </c>
      <c r="D389" s="53">
        <v>8.3465544595433504E-3</v>
      </c>
      <c r="E389" s="53">
        <v>-4.96E-3</v>
      </c>
      <c r="F389" s="53">
        <v>1.68047522276067E-2</v>
      </c>
      <c r="G389" s="53">
        <v>-3.4447639587831301E-4</v>
      </c>
      <c r="H389" s="87">
        <v>8.9812750942053193E-3</v>
      </c>
      <c r="I389" s="53">
        <v>8.9075340497690703E-4</v>
      </c>
      <c r="J389" s="53">
        <v>-1.2409611923332E-2</v>
      </c>
      <c r="K389" s="53">
        <v>-4.1095890410958999E-2</v>
      </c>
      <c r="L389" s="95">
        <f>IFERROR(B389*'Stock Statistics'!$C$41+C389*'Stock Statistics'!$C$42+D389*'Stock Statistics'!$C$43+E389*'Stock Statistics'!$C$44+F389*'Stock Statistics'!$C$45+G389*'Stock Statistics'!$C$46+H389*'Stock Statistics'!$C$47+I389*'Stock Statistics'!$C$48+J389*'Stock Statistics'!$C$49+K389*'Stock Statistics'!$C$50,"")</f>
        <v>-2.4440299370324251E-3</v>
      </c>
      <c r="M389" s="97">
        <v>439.53609999999998</v>
      </c>
      <c r="N389" s="96">
        <v>538.05870000000004</v>
      </c>
      <c r="O389" s="93">
        <f t="shared" si="18"/>
        <v>-6.9956652793556895E-4</v>
      </c>
      <c r="P389" s="93">
        <f t="shared" si="19"/>
        <v>-9.4342985865425444E-4</v>
      </c>
      <c r="Q389" s="93">
        <f>B389*'Portfolio 2 &amp; 3'!$F$7+C389*'Portfolio 2 &amp; 3'!$F$8+D389*'Portfolio 2 &amp; 3'!$F$9+E389*'Portfolio 2 &amp; 3'!$F$10+F389*'Portfolio 2 &amp; 3'!$F$11+G389*'Portfolio 2 &amp; 3'!$F$12+H389*'Portfolio 2 &amp; 3'!$F$13+I389*'Portfolio 2 &amp; 3'!$F$14+J389*'Portfolio 2 &amp; 3'!$F$15+K389*'Portfolio 2 &amp; 3'!$F$16</f>
        <v>-1.1053701884645283E-3</v>
      </c>
      <c r="R389" s="93">
        <f>B389*'Portfolio 2 &amp; 3'!$B$23+C389*'Portfolio 2 &amp; 3'!$B$24+D389*'Portfolio 2 &amp; 3'!$B$25+E389*'Portfolio 2 &amp; 3'!$B$26+F389*'Portfolio 2 &amp; 3'!$B$27+G389*'Portfolio 2 &amp; 3'!$B$28+H389*'Portfolio 2 &amp; 3'!$B$29+I389*'Portfolio 2 &amp; 3'!$B$30+J389*'Portfolio 2 &amp; 3'!$B$31+K389*'Portfolio 2 &amp; 3'!$B$32</f>
        <v>-8.7146230018333212E-4</v>
      </c>
      <c r="S389" s="93">
        <f t="shared" si="20"/>
        <v>-8.2149819329491169E-4</v>
      </c>
    </row>
    <row r="390" spans="1:19" ht="12.75" customHeight="1">
      <c r="A390" s="81">
        <v>45512</v>
      </c>
      <c r="B390" s="53">
        <v>-3.2599999999999997E-2</v>
      </c>
      <c r="C390" s="53">
        <v>-1.41456135659884E-2</v>
      </c>
      <c r="D390" s="53">
        <v>-2.0009463935645198E-2</v>
      </c>
      <c r="E390" s="53">
        <v>-3.9899999999999996E-3</v>
      </c>
      <c r="F390" s="53">
        <v>5.1459323565228301E-3</v>
      </c>
      <c r="G390" s="53">
        <v>1.4999700005999799E-3</v>
      </c>
      <c r="H390" s="87">
        <v>-1.8100805589220802E-2</v>
      </c>
      <c r="I390" s="53">
        <v>3.6046947544481301E-3</v>
      </c>
      <c r="J390" s="53">
        <v>-1.76516942474392E-3</v>
      </c>
      <c r="K390" s="53">
        <v>-5.9701492537312896E-3</v>
      </c>
      <c r="L390" s="95">
        <f>IFERROR(B390*'Stock Statistics'!$C$41+C390*'Stock Statistics'!$C$42+D390*'Stock Statistics'!$C$43+E390*'Stock Statistics'!$C$44+F390*'Stock Statistics'!$C$45+G390*'Stock Statistics'!$C$46+H390*'Stock Statistics'!$C$47+I390*'Stock Statistics'!$C$48+J390*'Stock Statistics'!$C$49+K390*'Stock Statistics'!$C$50,"")</f>
        <v>-8.6330604657758672E-3</v>
      </c>
      <c r="M390" s="96">
        <v>439.84379999999999</v>
      </c>
      <c r="N390" s="97">
        <v>538.56679999999994</v>
      </c>
      <c r="O390" s="93">
        <f t="shared" si="18"/>
        <v>8.1094475063459015E-4</v>
      </c>
      <c r="P390" s="93">
        <f t="shared" si="19"/>
        <v>-1.1818179482935953E-2</v>
      </c>
      <c r="Q390" s="93">
        <f>B390*'Portfolio 2 &amp; 3'!$F$7+C390*'Portfolio 2 &amp; 3'!$F$8+D390*'Portfolio 2 &amp; 3'!$F$9+E390*'Portfolio 2 &amp; 3'!$F$10+F390*'Portfolio 2 &amp; 3'!$F$11+G390*'Portfolio 2 &amp; 3'!$F$12+H390*'Portfolio 2 &amp; 3'!$F$13+I390*'Portfolio 2 &amp; 3'!$F$14+J390*'Portfolio 2 &amp; 3'!$F$15+K390*'Portfolio 2 &amp; 3'!$F$16</f>
        <v>-9.2743604509864797E-3</v>
      </c>
      <c r="R390" s="93">
        <f>B390*'Portfolio 2 &amp; 3'!$B$23+C390*'Portfolio 2 &amp; 3'!$B$24+D390*'Portfolio 2 &amp; 3'!$B$25+E390*'Portfolio 2 &amp; 3'!$B$26+F390*'Portfolio 2 &amp; 3'!$B$27+G390*'Portfolio 2 &amp; 3'!$B$28+H390*'Portfolio 2 &amp; 3'!$B$29+I390*'Portfolio 2 &amp; 3'!$B$30+J390*'Portfolio 2 &amp; 3'!$B$31+K390*'Portfolio 2 &amp; 3'!$B$32</f>
        <v>-6.5565886939657984E-3</v>
      </c>
      <c r="S390" s="93">
        <f t="shared" si="20"/>
        <v>-5.5036173661506815E-3</v>
      </c>
    </row>
    <row r="391" spans="1:19" ht="12.75" customHeight="1">
      <c r="A391" s="82">
        <v>45511</v>
      </c>
      <c r="B391" s="53">
        <v>1.18E-2</v>
      </c>
      <c r="C391" s="53">
        <v>1.9307022094055899E-2</v>
      </c>
      <c r="D391" s="53">
        <v>9.6577142272120699E-3</v>
      </c>
      <c r="E391" s="53">
        <v>3.0450000000000001E-2</v>
      </c>
      <c r="F391" s="53">
        <v>3.6776085362873599E-2</v>
      </c>
      <c r="G391" s="53">
        <v>2.9335218810644399E-3</v>
      </c>
      <c r="H391" s="87">
        <v>1.08383898073015E-2</v>
      </c>
      <c r="I391" s="53">
        <v>-8.3559038782921003E-4</v>
      </c>
      <c r="J391" s="53">
        <v>7.3027464676933603E-3</v>
      </c>
      <c r="K391" s="53">
        <v>1.2639882400439E-2</v>
      </c>
      <c r="L391" s="95">
        <f>IFERROR(B391*'Stock Statistics'!$C$41+C391*'Stock Statistics'!$C$42+D391*'Stock Statistics'!$C$43+E391*'Stock Statistics'!$C$44+F391*'Stock Statistics'!$C$45+G391*'Stock Statistics'!$C$46+H391*'Stock Statistics'!$C$47+I391*'Stock Statistics'!$C$48+J391*'Stock Statistics'!$C$49+K391*'Stock Statistics'!$C$50,"")</f>
        <v>1.4086977185281065E-2</v>
      </c>
      <c r="M391" s="97">
        <v>439.48739999999998</v>
      </c>
      <c r="N391" s="96">
        <v>545.00779999999997</v>
      </c>
      <c r="O391" s="93">
        <f t="shared" si="18"/>
        <v>-4.8714855711240457E-4</v>
      </c>
      <c r="P391" s="93">
        <f t="shared" si="19"/>
        <v>4.3479350533419669E-3</v>
      </c>
      <c r="Q391" s="93">
        <f>B391*'Portfolio 2 &amp; 3'!$F$7+C391*'Portfolio 2 &amp; 3'!$F$8+D391*'Portfolio 2 &amp; 3'!$F$9+E391*'Portfolio 2 &amp; 3'!$F$10+F391*'Portfolio 2 &amp; 3'!$F$11+G391*'Portfolio 2 &amp; 3'!$F$12+H391*'Portfolio 2 &amp; 3'!$F$13+I391*'Portfolio 2 &amp; 3'!$F$14+J391*'Portfolio 2 &amp; 3'!$F$15+K391*'Portfolio 2 &amp; 3'!$F$16</f>
        <v>1.3870908244847697E-2</v>
      </c>
      <c r="R391" s="93">
        <f>B391*'Portfolio 2 &amp; 3'!$B$23+C391*'Portfolio 2 &amp; 3'!$B$24+D391*'Portfolio 2 &amp; 3'!$B$25+E391*'Portfolio 2 &amp; 3'!$B$26+F391*'Portfolio 2 &amp; 3'!$B$27+G391*'Portfolio 2 &amp; 3'!$B$28+H391*'Portfolio 2 &amp; 3'!$B$29+I391*'Portfolio 2 &amp; 3'!$B$30+J391*'Portfolio 2 &amp; 3'!$B$31+K391*'Portfolio 2 &amp; 3'!$B$32</f>
        <v>1.294350732054169E-2</v>
      </c>
      <c r="S391" s="93">
        <f t="shared" si="20"/>
        <v>1.9303932481147812E-3</v>
      </c>
    </row>
    <row r="392" spans="1:19" ht="12.75" customHeight="1">
      <c r="A392" s="81">
        <v>45510</v>
      </c>
      <c r="B392" s="53">
        <v>-6.6E-3</v>
      </c>
      <c r="C392" s="53">
        <v>3.1711188716041498E-2</v>
      </c>
      <c r="D392" s="53">
        <v>4.5341038812785499E-2</v>
      </c>
      <c r="E392" s="53">
        <v>1.5270000000000001E-2</v>
      </c>
      <c r="F392" s="53">
        <v>1.2219461529072701E-4</v>
      </c>
      <c r="G392" s="53">
        <v>3.2013165453105702E-2</v>
      </c>
      <c r="H392" s="87">
        <v>1.7252954297717301E-3</v>
      </c>
      <c r="I392" s="53">
        <v>-1.00745516824496E-3</v>
      </c>
      <c r="J392" s="53">
        <v>3.0574222108983298E-3</v>
      </c>
      <c r="K392" s="53">
        <v>-9.4115213569145905E-4</v>
      </c>
      <c r="L392" s="95">
        <f>IFERROR(B392*'Stock Statistics'!$C$41+C392*'Stock Statistics'!$C$42+D392*'Stock Statistics'!$C$43+E392*'Stock Statistics'!$C$44+F392*'Stock Statistics'!$C$45+G392*'Stock Statistics'!$C$46+H392*'Stock Statistics'!$C$47+I392*'Stock Statistics'!$C$48+J392*'Stock Statistics'!$C$49+K392*'Stock Statistics'!$C$50,"")</f>
        <v>1.206916979339571E-2</v>
      </c>
      <c r="M392" s="96">
        <v>439.70159999999998</v>
      </c>
      <c r="N392" s="97">
        <v>542.64840000000004</v>
      </c>
      <c r="O392" s="93">
        <f t="shared" si="18"/>
        <v>6.0833844915453295E-3</v>
      </c>
      <c r="P392" s="93">
        <f t="shared" si="19"/>
        <v>4.2931274981321543E-3</v>
      </c>
      <c r="Q392" s="93">
        <f>B392*'Portfolio 2 &amp; 3'!$F$7+C392*'Portfolio 2 &amp; 3'!$F$8+D392*'Portfolio 2 &amp; 3'!$F$9+E392*'Portfolio 2 &amp; 3'!$F$10+F392*'Portfolio 2 &amp; 3'!$F$11+G392*'Portfolio 2 &amp; 3'!$F$12+H392*'Portfolio 2 &amp; 3'!$F$13+I392*'Portfolio 2 &amp; 3'!$F$14+J392*'Portfolio 2 &amp; 3'!$F$15+K392*'Portfolio 2 &amp; 3'!$F$16</f>
        <v>1.2117208669223134E-2</v>
      </c>
      <c r="R392" s="93">
        <f>B392*'Portfolio 2 &amp; 3'!$B$23+C392*'Portfolio 2 &amp; 3'!$B$24+D392*'Portfolio 2 &amp; 3'!$B$25+E392*'Portfolio 2 &amp; 3'!$B$26+F392*'Portfolio 2 &amp; 3'!$B$27+G392*'Portfolio 2 &amp; 3'!$B$28+H392*'Portfolio 2 &amp; 3'!$B$29+I392*'Portfolio 2 &amp; 3'!$B$30+J392*'Portfolio 2 &amp; 3'!$B$31+K392*'Portfolio 2 &amp; 3'!$B$32</f>
        <v>8.9810357188514177E-3</v>
      </c>
      <c r="S392" s="93">
        <f t="shared" si="20"/>
        <v>5.1882559948387419E-3</v>
      </c>
    </row>
    <row r="393" spans="1:19" ht="12.75" customHeight="1">
      <c r="A393" s="82">
        <v>45509</v>
      </c>
      <c r="B393" s="53">
        <v>-8.3000000000000001E-3</v>
      </c>
      <c r="C393" s="53">
        <v>3.5533805489282401E-2</v>
      </c>
      <c r="D393" s="53">
        <v>-1.38258575197889E-2</v>
      </c>
      <c r="E393" s="53">
        <v>-1.265E-2</v>
      </c>
      <c r="F393" s="53">
        <v>-1.7881430514441202E-2</v>
      </c>
      <c r="G393" s="53">
        <v>1.67482241515391E-2</v>
      </c>
      <c r="H393" s="87">
        <v>1.7473631636160801E-2</v>
      </c>
      <c r="I393" s="53">
        <v>1.49903427599529E-3</v>
      </c>
      <c r="J393" s="53">
        <v>1.05564674455281E-2</v>
      </c>
      <c r="K393" s="53">
        <v>-2.2642272313757199E-2</v>
      </c>
      <c r="L393" s="95">
        <f>IFERROR(B393*'Stock Statistics'!$C$41+C393*'Stock Statistics'!$C$42+D393*'Stock Statistics'!$C$43+E393*'Stock Statistics'!$C$44+F393*'Stock Statistics'!$C$45+G393*'Stock Statistics'!$C$46+H393*'Stock Statistics'!$C$47+I393*'Stock Statistics'!$C$48+J393*'Stock Statistics'!$C$49+K393*'Stock Statistics'!$C$50,"")</f>
        <v>6.51160265051839E-4</v>
      </c>
      <c r="M393" s="97">
        <v>437.04289999999997</v>
      </c>
      <c r="N393" s="96">
        <v>540.32870000000003</v>
      </c>
      <c r="O393" s="93">
        <f t="shared" si="18"/>
        <v>4.0239719930079687E-3</v>
      </c>
      <c r="P393" s="93">
        <f t="shared" si="19"/>
        <v>1.1005018083174223E-2</v>
      </c>
      <c r="Q393" s="93">
        <f>B393*'Portfolio 2 &amp; 3'!$F$7+C393*'Portfolio 2 &amp; 3'!$F$8+D393*'Portfolio 2 &amp; 3'!$F$9+E393*'Portfolio 2 &amp; 3'!$F$10+F393*'Portfolio 2 &amp; 3'!$F$11+G393*'Portfolio 2 &amp; 3'!$F$12+H393*'Portfolio 2 &amp; 3'!$F$13+I393*'Portfolio 2 &amp; 3'!$F$14+J393*'Portfolio 2 &amp; 3'!$F$15+K393*'Portfolio 2 &amp; 3'!$F$16</f>
        <v>1.9381935373673986E-3</v>
      </c>
      <c r="R393" s="93">
        <f>B393*'Portfolio 2 &amp; 3'!$B$23+C393*'Portfolio 2 &amp; 3'!$B$24+D393*'Portfolio 2 &amp; 3'!$B$25+E393*'Portfolio 2 &amp; 3'!$B$26+F393*'Portfolio 2 &amp; 3'!$B$27+G393*'Portfolio 2 &amp; 3'!$B$28+H393*'Portfolio 2 &amp; 3'!$B$29+I393*'Portfolio 2 &amp; 3'!$B$30+J393*'Portfolio 2 &amp; 3'!$B$31+K393*'Portfolio 2 &amp; 3'!$B$32</f>
        <v>3.7721468943612653E-3</v>
      </c>
      <c r="S393" s="93">
        <f t="shared" si="20"/>
        <v>7.5144950380910958E-3</v>
      </c>
    </row>
    <row r="394" spans="1:19" ht="12.75" customHeight="1">
      <c r="A394" s="81">
        <v>45506</v>
      </c>
      <c r="B394" s="53">
        <v>-5.5999999999999999E-3</v>
      </c>
      <c r="C394" s="53">
        <v>1.67475819502472E-3</v>
      </c>
      <c r="D394" s="53">
        <v>-1.52774890875078E-2</v>
      </c>
      <c r="E394" s="53">
        <v>-3.0079999999999999E-2</v>
      </c>
      <c r="F394" s="53">
        <v>6.8471081037537697E-3</v>
      </c>
      <c r="G394" s="53">
        <v>-1.87726526439701E-2</v>
      </c>
      <c r="H394" s="87">
        <v>-6.8261389743184996E-4</v>
      </c>
      <c r="I394" s="53">
        <v>1.57535650493397E-2</v>
      </c>
      <c r="J394" s="53">
        <v>1.41327762908805E-2</v>
      </c>
      <c r="K394" s="53">
        <v>2.46398276558502E-2</v>
      </c>
      <c r="L394" s="95">
        <f>IFERROR(B394*'Stock Statistics'!$C$41+C394*'Stock Statistics'!$C$42+D394*'Stock Statistics'!$C$43+E394*'Stock Statistics'!$C$44+F394*'Stock Statistics'!$C$45+G394*'Stock Statistics'!$C$46+H394*'Stock Statistics'!$C$47+I394*'Stock Statistics'!$C$48+J394*'Stock Statistics'!$C$49+K394*'Stock Statistics'!$C$50,"")</f>
        <v>-7.3647203340608579E-4</v>
      </c>
      <c r="M394" s="96">
        <v>435.29129999999998</v>
      </c>
      <c r="N394" s="97">
        <v>534.44709999999998</v>
      </c>
      <c r="O394" s="93">
        <f t="shared" si="18"/>
        <v>1.3179039041107954E-2</v>
      </c>
      <c r="P394" s="93">
        <f t="shared" si="19"/>
        <v>-2.2497807345885912E-3</v>
      </c>
      <c r="Q394" s="93">
        <f>B394*'Portfolio 2 &amp; 3'!$F$7+C394*'Portfolio 2 &amp; 3'!$F$8+D394*'Portfolio 2 &amp; 3'!$F$9+E394*'Portfolio 2 &amp; 3'!$F$10+F394*'Portfolio 2 &amp; 3'!$F$11+G394*'Portfolio 2 &amp; 3'!$F$12+H394*'Portfolio 2 &amp; 3'!$F$13+I394*'Portfolio 2 &amp; 3'!$F$14+J394*'Portfolio 2 &amp; 3'!$F$15+K394*'Portfolio 2 &amp; 3'!$F$16</f>
        <v>4.6789127957931847E-4</v>
      </c>
      <c r="R394" s="93">
        <f>B394*'Portfolio 2 &amp; 3'!$B$23+C394*'Portfolio 2 &amp; 3'!$B$24+D394*'Portfolio 2 &amp; 3'!$B$25+E394*'Portfolio 2 &amp; 3'!$B$26+F394*'Portfolio 2 &amp; 3'!$B$27+G394*'Portfolio 2 &amp; 3'!$B$28+H394*'Portfolio 2 &amp; 3'!$B$29+I394*'Portfolio 2 &amp; 3'!$B$30+J394*'Portfolio 2 &amp; 3'!$B$31+K394*'Portfolio 2 &amp; 3'!$B$32</f>
        <v>4.9670685203954453E-3</v>
      </c>
      <c r="S394" s="93">
        <f t="shared" si="20"/>
        <v>5.4646291532596813E-3</v>
      </c>
    </row>
    <row r="395" spans="1:19" ht="12.75" customHeight="1">
      <c r="A395" s="82">
        <v>45505</v>
      </c>
      <c r="B395" s="53">
        <v>1E-4</v>
      </c>
      <c r="C395" s="53">
        <v>3.4839257895482598E-3</v>
      </c>
      <c r="D395" s="53">
        <v>7.29315699480071E-3</v>
      </c>
      <c r="E395" s="53">
        <v>2.537E-2</v>
      </c>
      <c r="F395" s="53">
        <v>-4.6504169339319796E-3</v>
      </c>
      <c r="G395" s="53">
        <v>7.2074882995318799E-3</v>
      </c>
      <c r="H395" s="87">
        <v>-2.1840425608293801E-2</v>
      </c>
      <c r="I395" s="53">
        <v>-7.4403464411311199E-3</v>
      </c>
      <c r="J395" s="53">
        <v>1.11217451569257E-2</v>
      </c>
      <c r="K395" s="53">
        <v>1.2430209552616301E-4</v>
      </c>
      <c r="L395" s="95">
        <f>IFERROR(B395*'Stock Statistics'!$C$41+C395*'Stock Statistics'!$C$42+D395*'Stock Statistics'!$C$43+E395*'Stock Statistics'!$C$44+F395*'Stock Statistics'!$C$45+G395*'Stock Statistics'!$C$46+H395*'Stock Statistics'!$C$47+I395*'Stock Statistics'!$C$48+J395*'Stock Statistics'!$C$49+K395*'Stock Statistics'!$C$50,"")</f>
        <v>2.0769429352975816E-3</v>
      </c>
      <c r="M395" s="97">
        <v>429.62920000000003</v>
      </c>
      <c r="N395" s="96">
        <v>535.65219999999999</v>
      </c>
      <c r="O395" s="93">
        <f t="shared" si="18"/>
        <v>5.0421803628668549E-3</v>
      </c>
      <c r="P395" s="93">
        <f t="shared" si="19"/>
        <v>5.1232647785726115E-3</v>
      </c>
      <c r="Q395" s="93">
        <f>B395*'Portfolio 2 &amp; 3'!$F$7+C395*'Portfolio 2 &amp; 3'!$F$8+D395*'Portfolio 2 &amp; 3'!$F$9+E395*'Portfolio 2 &amp; 3'!$F$10+F395*'Portfolio 2 &amp; 3'!$F$11+G395*'Portfolio 2 &amp; 3'!$F$12+H395*'Portfolio 2 &amp; 3'!$F$13+I395*'Portfolio 2 &amp; 3'!$F$14+J395*'Portfolio 2 &amp; 3'!$F$15+K395*'Portfolio 2 &amp; 3'!$F$16</f>
        <v>4.9832753179163483E-4</v>
      </c>
      <c r="R395" s="93">
        <f>B395*'Portfolio 2 &amp; 3'!$B$23+C395*'Portfolio 2 &amp; 3'!$B$24+D395*'Portfolio 2 &amp; 3'!$B$25+E395*'Portfolio 2 &amp; 3'!$B$26+F395*'Portfolio 2 &amp; 3'!$B$27+G395*'Portfolio 2 &amp; 3'!$B$28+H395*'Portfolio 2 &amp; 3'!$B$29+I395*'Portfolio 2 &amp; 3'!$B$30+J395*'Portfolio 2 &amp; 3'!$B$31+K395*'Portfolio 2 &amp; 3'!$B$32</f>
        <v>-1.3367101482366726E-3</v>
      </c>
      <c r="S395" s="93">
        <f t="shared" si="20"/>
        <v>5.0827225707197332E-3</v>
      </c>
    </row>
    <row r="396" spans="1:19" ht="12.75" customHeight="1">
      <c r="A396" s="81">
        <v>45504</v>
      </c>
      <c r="B396" s="53">
        <v>7.7000000000000002E-3</v>
      </c>
      <c r="C396" s="53">
        <v>4.6383245119798701E-3</v>
      </c>
      <c r="D396" s="53">
        <v>-9.0646027263552298E-4</v>
      </c>
      <c r="E396" s="53">
        <v>6.1599999999999997E-3</v>
      </c>
      <c r="F396" s="53">
        <v>2.2798097424963099E-2</v>
      </c>
      <c r="G396" s="53">
        <v>1.0483171750610899E-2</v>
      </c>
      <c r="H396" s="87">
        <v>1.1062798074899001E-2</v>
      </c>
      <c r="I396" s="53">
        <v>-6.5255680997893303E-3</v>
      </c>
      <c r="J396" s="53">
        <v>-8.9939822082679699E-3</v>
      </c>
      <c r="K396" s="53">
        <v>-3.2917605810167803E-2</v>
      </c>
      <c r="L396" s="95">
        <f>IFERROR(B396*'Stock Statistics'!$C$41+C396*'Stock Statistics'!$C$42+D396*'Stock Statistics'!$C$43+E396*'Stock Statistics'!$C$44+F396*'Stock Statistics'!$C$45+G396*'Stock Statistics'!$C$46+H396*'Stock Statistics'!$C$47+I396*'Stock Statistics'!$C$48+J396*'Stock Statistics'!$C$49+K396*'Stock Statistics'!$C$50,"")</f>
        <v>1.349877537159224E-3</v>
      </c>
      <c r="M396" s="96">
        <v>427.47379999999998</v>
      </c>
      <c r="N396" s="97">
        <v>532.92190000000005</v>
      </c>
      <c r="O396" s="93">
        <f t="shared" si="18"/>
        <v>-1.7227505890099359E-2</v>
      </c>
      <c r="P396" s="93">
        <f t="shared" si="19"/>
        <v>1.9001133111758994E-2</v>
      </c>
      <c r="Q396" s="93">
        <f>B396*'Portfolio 2 &amp; 3'!$F$7+C396*'Portfolio 2 &amp; 3'!$F$8+D396*'Portfolio 2 &amp; 3'!$F$9+E396*'Portfolio 2 &amp; 3'!$F$10+F396*'Portfolio 2 &amp; 3'!$F$11+G396*'Portfolio 2 &amp; 3'!$F$12+H396*'Portfolio 2 &amp; 3'!$F$13+I396*'Portfolio 2 &amp; 3'!$F$14+J396*'Portfolio 2 &amp; 3'!$F$15+K396*'Portfolio 2 &amp; 3'!$F$16</f>
        <v>1.5658206925344051E-3</v>
      </c>
      <c r="R396" s="93">
        <f>B396*'Portfolio 2 &amp; 3'!$B$23+C396*'Portfolio 2 &amp; 3'!$B$24+D396*'Portfolio 2 &amp; 3'!$B$25+E396*'Portfolio 2 &amp; 3'!$B$26+F396*'Portfolio 2 &amp; 3'!$B$27+G396*'Portfolio 2 &amp; 3'!$B$28+H396*'Portfolio 2 &amp; 3'!$B$29+I396*'Portfolio 2 &amp; 3'!$B$30+J396*'Portfolio 2 &amp; 3'!$B$31+K396*'Portfolio 2 &amp; 3'!$B$32</f>
        <v>2.1914079066956351E-3</v>
      </c>
      <c r="S396" s="93">
        <f t="shared" si="20"/>
        <v>8.8681361082981747E-4</v>
      </c>
    </row>
    <row r="397" spans="1:19" ht="12.75" customHeight="1">
      <c r="A397" s="82">
        <v>45503</v>
      </c>
      <c r="B397" s="53">
        <v>3.3999999999999998E-3</v>
      </c>
      <c r="C397" s="53">
        <v>-7.1946510970900598E-3</v>
      </c>
      <c r="D397" s="53">
        <v>2.4795455357461901E-2</v>
      </c>
      <c r="E397" s="53">
        <v>2.2159999999999999E-2</v>
      </c>
      <c r="F397" s="53">
        <v>-1.3350594708309699E-2</v>
      </c>
      <c r="G397" s="53">
        <v>1.9478327949472098E-2</v>
      </c>
      <c r="H397" s="87">
        <v>2.0361454707058801E-2</v>
      </c>
      <c r="I397" s="53">
        <v>9.5907182835821593E-3</v>
      </c>
      <c r="J397" s="53">
        <v>-1.12533954210323E-2</v>
      </c>
      <c r="K397" s="53">
        <v>1.4914902702373001E-2</v>
      </c>
      <c r="L397" s="95">
        <f>IFERROR(B397*'Stock Statistics'!$C$41+C397*'Stock Statistics'!$C$42+D397*'Stock Statistics'!$C$43+E397*'Stock Statistics'!$C$44+F397*'Stock Statistics'!$C$45+G397*'Stock Statistics'!$C$46+H397*'Stock Statistics'!$C$47+I397*'Stock Statistics'!$C$48+J397*'Stock Statistics'!$C$49+K397*'Stock Statistics'!$C$50,"")</f>
        <v>8.2902217773515897E-3</v>
      </c>
      <c r="M397" s="97">
        <v>434.96719999999999</v>
      </c>
      <c r="N397" s="96">
        <v>522.9846</v>
      </c>
      <c r="O397" s="93">
        <f t="shared" si="18"/>
        <v>2.295776053186982E-3</v>
      </c>
      <c r="P397" s="93">
        <f t="shared" si="19"/>
        <v>5.2918738500313811E-3</v>
      </c>
      <c r="Q397" s="93">
        <f>B397*'Portfolio 2 &amp; 3'!$F$7+C397*'Portfolio 2 &amp; 3'!$F$8+D397*'Portfolio 2 &amp; 3'!$F$9+E397*'Portfolio 2 &amp; 3'!$F$10+F397*'Portfolio 2 &amp; 3'!$F$11+G397*'Portfolio 2 &amp; 3'!$F$12+H397*'Portfolio 2 &amp; 3'!$F$13+I397*'Portfolio 2 &amp; 3'!$F$14+J397*'Portfolio 2 &amp; 3'!$F$15+K397*'Portfolio 2 &amp; 3'!$F$16</f>
        <v>7.8175273933425247E-3</v>
      </c>
      <c r="R397" s="93">
        <f>B397*'Portfolio 2 &amp; 3'!$B$23+C397*'Portfolio 2 &amp; 3'!$B$24+D397*'Portfolio 2 &amp; 3'!$B$25+E397*'Portfolio 2 &amp; 3'!$B$26+F397*'Portfolio 2 &amp; 3'!$B$27+G397*'Portfolio 2 &amp; 3'!$B$28+H397*'Portfolio 2 &amp; 3'!$B$29+I397*'Portfolio 2 &amp; 3'!$B$30+J397*'Portfolio 2 &amp; 3'!$B$31+K397*'Portfolio 2 &amp; 3'!$B$32</f>
        <v>3.2694526442915879E-3</v>
      </c>
      <c r="S397" s="93">
        <f t="shared" si="20"/>
        <v>3.7938249516091815E-3</v>
      </c>
    </row>
    <row r="398" spans="1:19" ht="12.75" customHeight="1">
      <c r="A398" s="81">
        <v>45502</v>
      </c>
      <c r="B398" s="53">
        <v>-1.7899999999999999E-2</v>
      </c>
      <c r="C398" s="53">
        <v>1.5900045920710398E-2</v>
      </c>
      <c r="D398" s="53">
        <v>-3.9501779359429898E-3</v>
      </c>
      <c r="E398" s="53">
        <v>2.6499999999999999E-2</v>
      </c>
      <c r="F398" s="53">
        <v>2.47502176526679E-2</v>
      </c>
      <c r="G398" s="53">
        <v>-2.72792646323161E-2</v>
      </c>
      <c r="H398" s="87">
        <v>-7.8848937780619001E-3</v>
      </c>
      <c r="I398" s="53">
        <v>-2.4137028528221599E-3</v>
      </c>
      <c r="J398" s="53">
        <v>1.2303308942562801E-3</v>
      </c>
      <c r="K398" s="53">
        <v>-1.0765355866103601E-3</v>
      </c>
      <c r="L398" s="95">
        <f>IFERROR(B398*'Stock Statistics'!$C$41+C398*'Stock Statistics'!$C$42+D398*'Stock Statistics'!$C$43+E398*'Stock Statistics'!$C$44+F398*'Stock Statistics'!$C$45+G398*'Stock Statistics'!$C$46+H398*'Stock Statistics'!$C$47+I398*'Stock Statistics'!$C$48+J398*'Stock Statistics'!$C$49+K398*'Stock Statistics'!$C$50,"")</f>
        <v>7.8760196818810724E-4</v>
      </c>
      <c r="M398" s="96">
        <v>433.97089999999997</v>
      </c>
      <c r="N398" s="97">
        <v>520.23159999999996</v>
      </c>
      <c r="O398" s="93">
        <f t="shared" si="18"/>
        <v>-8.6403857621264457E-5</v>
      </c>
      <c r="P398" s="93">
        <f t="shared" si="19"/>
        <v>9.7361220180915975E-3</v>
      </c>
      <c r="Q398" s="93">
        <f>B398*'Portfolio 2 &amp; 3'!$F$7+C398*'Portfolio 2 &amp; 3'!$F$8+D398*'Portfolio 2 &amp; 3'!$F$9+E398*'Portfolio 2 &amp; 3'!$F$10+F398*'Portfolio 2 &amp; 3'!$F$11+G398*'Portfolio 2 &amp; 3'!$F$12+H398*'Portfolio 2 &amp; 3'!$F$13+I398*'Portfolio 2 &amp; 3'!$F$14+J398*'Portfolio 2 &amp; 3'!$F$15+K398*'Portfolio 2 &amp; 3'!$F$16</f>
        <v>1.4102190632373601E-3</v>
      </c>
      <c r="R398" s="93">
        <f>B398*'Portfolio 2 &amp; 3'!$B$23+C398*'Portfolio 2 &amp; 3'!$B$24+D398*'Portfolio 2 &amp; 3'!$B$25+E398*'Portfolio 2 &amp; 3'!$B$26+F398*'Portfolio 2 &amp; 3'!$B$27+G398*'Portfolio 2 &amp; 3'!$B$28+H398*'Portfolio 2 &amp; 3'!$B$29+I398*'Portfolio 2 &amp; 3'!$B$30+J398*'Portfolio 2 &amp; 3'!$B$31+K398*'Portfolio 2 &amp; 3'!$B$32</f>
        <v>7.1016894649169834E-4</v>
      </c>
      <c r="S398" s="93">
        <f t="shared" si="20"/>
        <v>4.8248590802351665E-3</v>
      </c>
    </row>
    <row r="399" spans="1:19" ht="12.75" customHeight="1">
      <c r="A399" s="82">
        <v>45499</v>
      </c>
      <c r="B399" s="53">
        <v>2.0400000000000001E-2</v>
      </c>
      <c r="C399" s="53">
        <v>4.6808469737891203E-3</v>
      </c>
      <c r="D399" s="53">
        <v>1.35622565286395E-2</v>
      </c>
      <c r="E399" s="53">
        <v>8.0999999999999996E-4</v>
      </c>
      <c r="F399" s="53">
        <v>2.07331232376928E-4</v>
      </c>
      <c r="G399" s="53">
        <v>1.09549594666492E-3</v>
      </c>
      <c r="H399" s="87">
        <v>-5.2484996454704698E-3</v>
      </c>
      <c r="I399" s="53">
        <v>1.04313587212035E-2</v>
      </c>
      <c r="J399" s="53">
        <v>1.0072601216560799E-2</v>
      </c>
      <c r="K399" s="53">
        <v>2.2087188412875901E-3</v>
      </c>
      <c r="L399" s="95">
        <f>IFERROR(B399*'Stock Statistics'!$C$41+C399*'Stock Statistics'!$C$42+D399*'Stock Statistics'!$C$43+E399*'Stock Statistics'!$C$44+F399*'Stock Statistics'!$C$45+G399*'Stock Statistics'!$C$46+H399*'Stock Statistics'!$C$47+I399*'Stock Statistics'!$C$48+J399*'Stock Statistics'!$C$49+K399*'Stock Statistics'!$C$50,"")</f>
        <v>5.8220109815051903E-3</v>
      </c>
      <c r="M399" s="97">
        <v>434.00839999999999</v>
      </c>
      <c r="N399" s="96">
        <v>515.21540000000005</v>
      </c>
      <c r="O399" s="93">
        <f t="shared" si="18"/>
        <v>6.8760881997100842E-3</v>
      </c>
      <c r="P399" s="93">
        <f t="shared" si="19"/>
        <v>5.2887299223871587E-3</v>
      </c>
      <c r="Q399" s="93">
        <f>B399*'Portfolio 2 &amp; 3'!$F$7+C399*'Portfolio 2 &amp; 3'!$F$8+D399*'Portfolio 2 &amp; 3'!$F$9+E399*'Portfolio 2 &amp; 3'!$F$10+F399*'Portfolio 2 &amp; 3'!$F$11+G399*'Portfolio 2 &amp; 3'!$F$12+H399*'Portfolio 2 &amp; 3'!$F$13+I399*'Portfolio 2 &amp; 3'!$F$14+J399*'Portfolio 2 &amp; 3'!$F$15+K399*'Portfolio 2 &amp; 3'!$F$16</f>
        <v>5.4275914877844316E-3</v>
      </c>
      <c r="R399" s="93">
        <f>B399*'Portfolio 2 &amp; 3'!$B$23+C399*'Portfolio 2 &amp; 3'!$B$24+D399*'Portfolio 2 &amp; 3'!$B$25+E399*'Portfolio 2 &amp; 3'!$B$26+F399*'Portfolio 2 &amp; 3'!$B$27+G399*'Portfolio 2 &amp; 3'!$B$28+H399*'Portfolio 2 &amp; 3'!$B$29+I399*'Portfolio 2 &amp; 3'!$B$30+J399*'Portfolio 2 &amp; 3'!$B$31+K399*'Portfolio 2 &amp; 3'!$B$32</f>
        <v>6.9132099466534813E-3</v>
      </c>
      <c r="S399" s="93">
        <f t="shared" si="20"/>
        <v>6.0824090610486214E-3</v>
      </c>
    </row>
    <row r="400" spans="1:19" ht="12.75" customHeight="1">
      <c r="A400" s="81">
        <v>45498</v>
      </c>
      <c r="B400" s="53">
        <v>1.12E-2</v>
      </c>
      <c r="C400" s="53">
        <v>-1.6597824134899901E-2</v>
      </c>
      <c r="D400" s="53">
        <v>1.7170531259172301E-2</v>
      </c>
      <c r="E400" s="53">
        <v>4.8300000000000001E-3</v>
      </c>
      <c r="F400" s="53">
        <v>2.23409216160073E-2</v>
      </c>
      <c r="G400" s="53">
        <v>3.5540069686411199E-2</v>
      </c>
      <c r="H400" s="87">
        <v>-5.6115662230232797E-3</v>
      </c>
      <c r="I400" s="53">
        <v>-1.2563470187146399E-2</v>
      </c>
      <c r="J400" s="53">
        <v>-1.6120209787959701E-2</v>
      </c>
      <c r="K400" s="53">
        <v>-2.3355707424068698E-3</v>
      </c>
      <c r="L400" s="95">
        <f>IFERROR(B400*'Stock Statistics'!$C$41+C400*'Stock Statistics'!$C$42+D400*'Stock Statistics'!$C$43+E400*'Stock Statistics'!$C$44+F400*'Stock Statistics'!$C$45+G400*'Stock Statistics'!$C$46+H400*'Stock Statistics'!$C$47+I400*'Stock Statistics'!$C$48+J400*'Stock Statistics'!$C$49+K400*'Stock Statistics'!$C$50,"")</f>
        <v>3.7852881486154658E-3</v>
      </c>
      <c r="M400" s="96">
        <v>431.04450000000003</v>
      </c>
      <c r="N400" s="97">
        <v>512.50490000000002</v>
      </c>
      <c r="O400" s="93">
        <f t="shared" si="18"/>
        <v>-1.9599702177308664E-4</v>
      </c>
      <c r="P400" s="93">
        <f t="shared" si="19"/>
        <v>8.924516434485108E-3</v>
      </c>
      <c r="Q400" s="93">
        <f>B400*'Portfolio 2 &amp; 3'!$F$7+C400*'Portfolio 2 &amp; 3'!$F$8+D400*'Portfolio 2 &amp; 3'!$F$9+E400*'Portfolio 2 &amp; 3'!$F$10+F400*'Portfolio 2 &amp; 3'!$F$11+G400*'Portfolio 2 &amp; 3'!$F$12+H400*'Portfolio 2 &amp; 3'!$F$13+I400*'Portfolio 2 &amp; 3'!$F$14+J400*'Portfolio 2 &amp; 3'!$F$15+K400*'Portfolio 2 &amp; 3'!$F$16</f>
        <v>1.5051786120558594E-3</v>
      </c>
      <c r="R400" s="93">
        <f>B400*'Portfolio 2 &amp; 3'!$B$23+C400*'Portfolio 2 &amp; 3'!$B$24+D400*'Portfolio 2 &amp; 3'!$B$25+E400*'Portfolio 2 &amp; 3'!$B$26+F400*'Portfolio 2 &amp; 3'!$B$27+G400*'Portfolio 2 &amp; 3'!$B$28+H400*'Portfolio 2 &amp; 3'!$B$29+I400*'Portfolio 2 &amp; 3'!$B$30+J400*'Portfolio 2 &amp; 3'!$B$31+K400*'Portfolio 2 &amp; 3'!$B$32</f>
        <v>1.7952943902881742E-3</v>
      </c>
      <c r="S400" s="93">
        <f t="shared" si="20"/>
        <v>4.3642597063560107E-3</v>
      </c>
    </row>
    <row r="401" spans="1:19" ht="12.75" customHeight="1">
      <c r="A401" s="82">
        <v>45497</v>
      </c>
      <c r="B401" s="53">
        <v>-1E-3</v>
      </c>
      <c r="C401" s="53">
        <v>2.0743485098459101E-2</v>
      </c>
      <c r="D401" s="53">
        <v>6.7223166137253499E-3</v>
      </c>
      <c r="E401" s="53">
        <v>2.2669999999999999E-2</v>
      </c>
      <c r="F401" s="53">
        <v>2.6635330983157301E-2</v>
      </c>
      <c r="G401" s="53">
        <v>-1.9279061635780002E-2</v>
      </c>
      <c r="H401" s="87">
        <v>3.7135936496819301E-3</v>
      </c>
      <c r="I401" s="53">
        <v>5.2501093772787701E-3</v>
      </c>
      <c r="J401" s="53">
        <v>-1.3365079365079399E-2</v>
      </c>
      <c r="K401" s="53">
        <v>2.7814887487997299E-2</v>
      </c>
      <c r="L401" s="95">
        <f>IFERROR(B401*'Stock Statistics'!$C$41+C401*'Stock Statistics'!$C$42+D401*'Stock Statistics'!$C$43+E401*'Stock Statistics'!$C$44+F401*'Stock Statistics'!$C$45+G401*'Stock Statistics'!$C$46+H401*'Stock Statistics'!$C$47+I401*'Stock Statistics'!$C$48+J401*'Stock Statistics'!$C$49+K401*'Stock Statistics'!$C$50,"")</f>
        <v>7.9905582209440357E-3</v>
      </c>
      <c r="M401" s="97">
        <v>431.12900000000002</v>
      </c>
      <c r="N401" s="96">
        <v>507.97149999999999</v>
      </c>
      <c r="O401" s="93">
        <f t="shared" si="18"/>
        <v>2.1948706695356091E-3</v>
      </c>
      <c r="P401" s="93">
        <f t="shared" si="19"/>
        <v>-1.1910453834761192E-2</v>
      </c>
      <c r="Q401" s="93">
        <f>B401*'Portfolio 2 &amp; 3'!$F$7+C401*'Portfolio 2 &amp; 3'!$F$8+D401*'Portfolio 2 &amp; 3'!$F$9+E401*'Portfolio 2 &amp; 3'!$F$10+F401*'Portfolio 2 &amp; 3'!$F$11+G401*'Portfolio 2 &amp; 3'!$F$12+H401*'Portfolio 2 &amp; 3'!$F$13+I401*'Portfolio 2 &amp; 3'!$F$14+J401*'Portfolio 2 &amp; 3'!$F$15+K401*'Portfolio 2 &amp; 3'!$F$16</f>
        <v>7.4831272210565541E-3</v>
      </c>
      <c r="R401" s="93">
        <f>B401*'Portfolio 2 &amp; 3'!$B$23+C401*'Portfolio 2 &amp; 3'!$B$24+D401*'Portfolio 2 &amp; 3'!$B$25+E401*'Portfolio 2 &amp; 3'!$B$26+F401*'Portfolio 2 &amp; 3'!$B$27+G401*'Portfolio 2 &amp; 3'!$B$28+H401*'Portfolio 2 &amp; 3'!$B$29+I401*'Portfolio 2 &amp; 3'!$B$30+J401*'Portfolio 2 &amp; 3'!$B$31+K401*'Portfolio 2 &amp; 3'!$B$32</f>
        <v>9.4421893050776525E-3</v>
      </c>
      <c r="S401" s="93">
        <f t="shared" si="20"/>
        <v>-4.8577915826127915E-3</v>
      </c>
    </row>
    <row r="402" spans="1:19" ht="12.75" customHeight="1">
      <c r="A402" s="81">
        <v>45496</v>
      </c>
      <c r="B402" s="53">
        <v>-7.7000000000000002E-3</v>
      </c>
      <c r="C402" s="53">
        <v>-2.0796626325061398E-3</v>
      </c>
      <c r="D402" s="53">
        <v>-2.9828760817528499E-3</v>
      </c>
      <c r="E402" s="53">
        <v>-5.3299999999999997E-3</v>
      </c>
      <c r="F402" s="53">
        <v>-4.93698843705348E-3</v>
      </c>
      <c r="G402" s="53">
        <v>2.2939433523434501E-3</v>
      </c>
      <c r="H402" s="87">
        <v>4.8459344735820604E-3</v>
      </c>
      <c r="I402" s="53">
        <v>2.90851242646177E-2</v>
      </c>
      <c r="J402" s="53">
        <v>4.99650011666277E-2</v>
      </c>
      <c r="K402" s="53">
        <v>5.3573784913129703E-2</v>
      </c>
      <c r="L402" s="95">
        <f>IFERROR(B402*'Stock Statistics'!$C$41+C402*'Stock Statistics'!$C$42+D402*'Stock Statistics'!$C$43+E402*'Stock Statistics'!$C$44+F402*'Stock Statistics'!$C$45+G402*'Stock Statistics'!$C$46+H402*'Stock Statistics'!$C$47+I402*'Stock Statistics'!$C$48+J402*'Stock Statistics'!$C$49+K402*'Stock Statistics'!$C$50,"")</f>
        <v>1.1673426101898816E-2</v>
      </c>
      <c r="M402" s="96">
        <v>430.1848</v>
      </c>
      <c r="N402" s="97">
        <v>514.09460000000001</v>
      </c>
      <c r="O402" s="93">
        <f t="shared" si="18"/>
        <v>1.9098466347122978E-2</v>
      </c>
      <c r="P402" s="93">
        <f t="shared" si="19"/>
        <v>6.6121023857879102E-4</v>
      </c>
      <c r="Q402" s="93">
        <f>B402*'Portfolio 2 &amp; 3'!$F$7+C402*'Portfolio 2 &amp; 3'!$F$8+D402*'Portfolio 2 &amp; 3'!$F$9+E402*'Portfolio 2 &amp; 3'!$F$10+F402*'Portfolio 2 &amp; 3'!$F$11+G402*'Portfolio 2 &amp; 3'!$F$12+H402*'Portfolio 2 &amp; 3'!$F$13+I402*'Portfolio 2 &amp; 3'!$F$14+J402*'Portfolio 2 &amp; 3'!$F$15+K402*'Portfolio 2 &amp; 3'!$F$16</f>
        <v>1.2865515231415971E-2</v>
      </c>
      <c r="R402" s="93">
        <f>B402*'Portfolio 2 &amp; 3'!$B$23+C402*'Portfolio 2 &amp; 3'!$B$24+D402*'Portfolio 2 &amp; 3'!$B$25+E402*'Portfolio 2 &amp; 3'!$B$26+F402*'Portfolio 2 &amp; 3'!$B$27+G402*'Portfolio 2 &amp; 3'!$B$28+H402*'Portfolio 2 &amp; 3'!$B$29+I402*'Portfolio 2 &amp; 3'!$B$30+J402*'Portfolio 2 &amp; 3'!$B$31+K402*'Portfolio 2 &amp; 3'!$B$32</f>
        <v>1.1662670311528411E-2</v>
      </c>
      <c r="S402" s="93">
        <f t="shared" si="20"/>
        <v>9.8798382928508843E-3</v>
      </c>
    </row>
    <row r="403" spans="1:19" ht="12.75" customHeight="1">
      <c r="A403" s="82">
        <v>45495</v>
      </c>
      <c r="B403" s="53">
        <v>1.9699999999999999E-2</v>
      </c>
      <c r="C403" s="53">
        <v>2.4128246455561398E-3</v>
      </c>
      <c r="D403" s="53">
        <v>9.8174110297126801E-3</v>
      </c>
      <c r="E403" s="53">
        <v>1.094E-2</v>
      </c>
      <c r="F403" s="53">
        <v>8.8251998776704994E-3</v>
      </c>
      <c r="G403" s="53">
        <v>3.59429665324442E-2</v>
      </c>
      <c r="H403" s="87">
        <v>-6.5331391114348304E-3</v>
      </c>
      <c r="I403" s="53">
        <v>2.86208280589089E-2</v>
      </c>
      <c r="J403" s="53">
        <v>-2.29464582640504E-3</v>
      </c>
      <c r="K403" s="53">
        <v>-1.0106336233413099E-3</v>
      </c>
      <c r="L403" s="95">
        <f>IFERROR(B403*'Stock Statistics'!$C$41+C403*'Stock Statistics'!$C$42+D403*'Stock Statistics'!$C$43+E403*'Stock Statistics'!$C$44+F403*'Stock Statistics'!$C$45+G403*'Stock Statistics'!$C$46+H403*'Stock Statistics'!$C$47+I403*'Stock Statistics'!$C$48+J403*'Stock Statistics'!$C$49+K403*'Stock Statistics'!$C$50,"")</f>
        <v>1.0642081158311126E-2</v>
      </c>
      <c r="M403" s="97">
        <v>422.12290000000002</v>
      </c>
      <c r="N403" s="96">
        <v>513.75490000000002</v>
      </c>
      <c r="O403" s="93">
        <f t="shared" si="18"/>
        <v>9.054222546895474E-3</v>
      </c>
      <c r="P403" s="93">
        <f t="shared" si="19"/>
        <v>-1.7865250472570704E-4</v>
      </c>
      <c r="Q403" s="93">
        <f>B403*'Portfolio 2 &amp; 3'!$F$7+C403*'Portfolio 2 &amp; 3'!$F$8+D403*'Portfolio 2 &amp; 3'!$F$9+E403*'Portfolio 2 &amp; 3'!$F$10+F403*'Portfolio 2 &amp; 3'!$F$11+G403*'Portfolio 2 &amp; 3'!$F$12+H403*'Portfolio 2 &amp; 3'!$F$13+I403*'Portfolio 2 &amp; 3'!$F$14+J403*'Portfolio 2 &amp; 3'!$F$15+K403*'Portfolio 2 &amp; 3'!$F$16</f>
        <v>7.4676995974169678E-3</v>
      </c>
      <c r="R403" s="93">
        <f>B403*'Portfolio 2 &amp; 3'!$B$23+C403*'Portfolio 2 &amp; 3'!$B$24+D403*'Portfolio 2 &amp; 3'!$B$25+E403*'Portfolio 2 &amp; 3'!$B$26+F403*'Portfolio 2 &amp; 3'!$B$27+G403*'Portfolio 2 &amp; 3'!$B$28+H403*'Portfolio 2 &amp; 3'!$B$29+I403*'Portfolio 2 &amp; 3'!$B$30+J403*'Portfolio 2 &amp; 3'!$B$31+K403*'Portfolio 2 &amp; 3'!$B$32</f>
        <v>1.522471060090342E-2</v>
      </c>
      <c r="S403" s="93">
        <f t="shared" si="20"/>
        <v>4.4377850210848835E-3</v>
      </c>
    </row>
    <row r="404" spans="1:19" ht="12.75" customHeight="1">
      <c r="A404" s="81">
        <v>45492</v>
      </c>
      <c r="B404" s="53">
        <v>-4.8300000000000003E-2</v>
      </c>
      <c r="C404" s="53">
        <v>-6.9104989744475098E-3</v>
      </c>
      <c r="D404" s="53">
        <v>1.0332131048993E-2</v>
      </c>
      <c r="E404" s="53">
        <v>-9.3600000000000003E-3</v>
      </c>
      <c r="F404" s="53">
        <v>-3.47488719267912E-2</v>
      </c>
      <c r="G404" s="53">
        <v>2.8323179527211601E-2</v>
      </c>
      <c r="H404" s="87">
        <v>1.38977093148622E-2</v>
      </c>
      <c r="I404" s="53">
        <v>1.1145104895105E-2</v>
      </c>
      <c r="J404" s="53">
        <v>3.7385673275918099E-3</v>
      </c>
      <c r="K404" s="53">
        <v>5.4340622929092098E-3</v>
      </c>
      <c r="L404" s="95">
        <f>IFERROR(B404*'Stock Statistics'!$C$41+C404*'Stock Statistics'!$C$42+D404*'Stock Statistics'!$C$43+E404*'Stock Statistics'!$C$44+F404*'Stock Statistics'!$C$45+G404*'Stock Statistics'!$C$46+H404*'Stock Statistics'!$C$47+I404*'Stock Statistics'!$C$48+J404*'Stock Statistics'!$C$49+K404*'Stock Statistics'!$C$50,"")</f>
        <v>-2.644861649456591E-3</v>
      </c>
      <c r="M404" s="96">
        <v>418.33519999999999</v>
      </c>
      <c r="N404" s="97">
        <v>513.84670000000006</v>
      </c>
      <c r="O404" s="93">
        <f t="shared" si="18"/>
        <v>8.4910550055083966E-3</v>
      </c>
      <c r="P404" s="93">
        <f t="shared" si="19"/>
        <v>1.0299478006945861E-2</v>
      </c>
      <c r="Q404" s="93">
        <f>B404*'Portfolio 2 &amp; 3'!$F$7+C404*'Portfolio 2 &amp; 3'!$F$8+D404*'Portfolio 2 &amp; 3'!$F$9+E404*'Portfolio 2 &amp; 3'!$F$10+F404*'Portfolio 2 &amp; 3'!$F$11+G404*'Portfolio 2 &amp; 3'!$F$12+H404*'Portfolio 2 &amp; 3'!$F$13+I404*'Portfolio 2 &amp; 3'!$F$14+J404*'Portfolio 2 &amp; 3'!$F$15+K404*'Portfolio 2 &amp; 3'!$F$16</f>
        <v>-1.0367591625520456E-3</v>
      </c>
      <c r="R404" s="93">
        <f>B404*'Portfolio 2 &amp; 3'!$B$23+C404*'Portfolio 2 &amp; 3'!$B$24+D404*'Portfolio 2 &amp; 3'!$B$25+E404*'Portfolio 2 &amp; 3'!$B$26+F404*'Portfolio 2 &amp; 3'!$B$27+G404*'Portfolio 2 &amp; 3'!$B$28+H404*'Portfolio 2 &amp; 3'!$B$29+I404*'Portfolio 2 &amp; 3'!$B$30+J404*'Portfolio 2 &amp; 3'!$B$31+K404*'Portfolio 2 &amp; 3'!$B$32</f>
        <v>-6.3346920967111645E-3</v>
      </c>
      <c r="S404" s="93">
        <f t="shared" si="20"/>
        <v>9.395266506227129E-3</v>
      </c>
    </row>
    <row r="405" spans="1:19" ht="12.75" customHeight="1">
      <c r="A405" s="82">
        <v>45491</v>
      </c>
      <c r="B405" s="53">
        <v>7.1999999999999998E-3</v>
      </c>
      <c r="C405" s="53">
        <v>1.6177573461377399E-2</v>
      </c>
      <c r="D405" s="53">
        <v>-4.1903621670159596E-3</v>
      </c>
      <c r="E405" s="53">
        <v>1.1089999999999999E-2</v>
      </c>
      <c r="F405" s="53">
        <v>7.1742066171509599E-4</v>
      </c>
      <c r="G405" s="53">
        <v>-3.6605303600039302E-2</v>
      </c>
      <c r="H405" s="87">
        <v>2.03285111512959E-2</v>
      </c>
      <c r="I405" s="53">
        <v>8.9772261946010606E-3</v>
      </c>
      <c r="J405" s="53">
        <v>5.30201342281877E-3</v>
      </c>
      <c r="K405" s="53">
        <v>-1.72003175443247E-3</v>
      </c>
      <c r="L405" s="95">
        <f>IFERROR(B405*'Stock Statistics'!$C$41+C405*'Stock Statistics'!$C$42+D405*'Stock Statistics'!$C$43+E405*'Stock Statistics'!$C$44+F405*'Stock Statistics'!$C$45+G405*'Stock Statistics'!$C$46+H405*'Stock Statistics'!$C$47+I405*'Stock Statistics'!$C$48+J405*'Stock Statistics'!$C$49+K405*'Stock Statistics'!$C$50,"")</f>
        <v>2.7277047370320496E-3</v>
      </c>
      <c r="M405" s="97">
        <v>414.81299999999999</v>
      </c>
      <c r="N405" s="96">
        <v>508.60829999999999</v>
      </c>
      <c r="O405" s="93">
        <f t="shared" si="18"/>
        <v>4.505262812624089E-4</v>
      </c>
      <c r="P405" s="93">
        <f t="shared" si="19"/>
        <v>-1.0474492754078968E-3</v>
      </c>
      <c r="Q405" s="93">
        <f>B405*'Portfolio 2 &amp; 3'!$F$7+C405*'Portfolio 2 &amp; 3'!$F$8+D405*'Portfolio 2 &amp; 3'!$F$9+E405*'Portfolio 2 &amp; 3'!$F$10+F405*'Portfolio 2 &amp; 3'!$F$11+G405*'Portfolio 2 &amp; 3'!$F$12+H405*'Portfolio 2 &amp; 3'!$F$13+I405*'Portfolio 2 &amp; 3'!$F$14+J405*'Portfolio 2 &amp; 3'!$F$15+K405*'Portfolio 2 &amp; 3'!$F$16</f>
        <v>5.0977000224601381E-3</v>
      </c>
      <c r="R405" s="93">
        <f>B405*'Portfolio 2 &amp; 3'!$B$23+C405*'Portfolio 2 &amp; 3'!$B$24+D405*'Portfolio 2 &amp; 3'!$B$25+E405*'Portfolio 2 &amp; 3'!$B$26+F405*'Portfolio 2 &amp; 3'!$B$27+G405*'Portfolio 2 &amp; 3'!$B$28+H405*'Portfolio 2 &amp; 3'!$B$29+I405*'Portfolio 2 &amp; 3'!$B$30+J405*'Portfolio 2 &amp; 3'!$B$31+K405*'Portfolio 2 &amp; 3'!$B$32</f>
        <v>3.1110529480667887E-3</v>
      </c>
      <c r="S405" s="93">
        <f t="shared" si="20"/>
        <v>-2.9846149707274394E-4</v>
      </c>
    </row>
    <row r="406" spans="1:19" ht="12.75" customHeight="1">
      <c r="A406" s="81">
        <v>45489</v>
      </c>
      <c r="B406" s="53">
        <v>-2.9999999999999997E-4</v>
      </c>
      <c r="C406" s="53">
        <v>-2.6380920771893301E-2</v>
      </c>
      <c r="D406" s="53">
        <v>-2.52726012909813E-2</v>
      </c>
      <c r="E406" s="53">
        <v>-1.7299999999999999E-2</v>
      </c>
      <c r="F406" s="53">
        <v>-2.6936026936027501E-3</v>
      </c>
      <c r="G406" s="53">
        <v>2.79827229794458E-2</v>
      </c>
      <c r="H406" s="87">
        <v>-4.7244094488189097E-3</v>
      </c>
      <c r="I406" s="53">
        <v>1.19210786344945E-2</v>
      </c>
      <c r="J406" s="53">
        <v>3.02928306967343E-3</v>
      </c>
      <c r="K406" s="53">
        <v>3.31873091729729E-3</v>
      </c>
      <c r="L406" s="95">
        <f>IFERROR(B406*'Stock Statistics'!$C$41+C406*'Stock Statistics'!$C$42+D406*'Stock Statistics'!$C$43+E406*'Stock Statistics'!$C$44+F406*'Stock Statistics'!$C$45+G406*'Stock Statistics'!$C$46+H406*'Stock Statistics'!$C$47+I406*'Stock Statistics'!$C$48+J406*'Stock Statistics'!$C$49+K406*'Stock Statistics'!$C$50,"")</f>
        <v>-3.0419718604385239E-3</v>
      </c>
      <c r="M406" s="96">
        <v>414.62619999999998</v>
      </c>
      <c r="N406" s="97">
        <v>509.14159999999998</v>
      </c>
      <c r="O406" s="93">
        <f t="shared" si="18"/>
        <v>6.8278331209399301E-3</v>
      </c>
      <c r="P406" s="93">
        <f t="shared" si="19"/>
        <v>-4.0663479000446756E-3</v>
      </c>
      <c r="Q406" s="93">
        <f>B406*'Portfolio 2 &amp; 3'!$F$7+C406*'Portfolio 2 &amp; 3'!$F$8+D406*'Portfolio 2 &amp; 3'!$F$9+E406*'Portfolio 2 &amp; 3'!$F$10+F406*'Portfolio 2 &amp; 3'!$F$11+G406*'Portfolio 2 &amp; 3'!$F$12+H406*'Portfolio 2 &amp; 3'!$F$13+I406*'Portfolio 2 &amp; 3'!$F$14+J406*'Portfolio 2 &amp; 3'!$F$15+K406*'Portfolio 2 &amp; 3'!$F$16</f>
        <v>-5.0167052022198561E-3</v>
      </c>
      <c r="R406" s="93">
        <f>B406*'Portfolio 2 &amp; 3'!$B$23+C406*'Portfolio 2 &amp; 3'!$B$24+D406*'Portfolio 2 &amp; 3'!$B$25+E406*'Portfolio 2 &amp; 3'!$B$26+F406*'Portfolio 2 &amp; 3'!$B$27+G406*'Portfolio 2 &amp; 3'!$B$28+H406*'Portfolio 2 &amp; 3'!$B$29+I406*'Portfolio 2 &amp; 3'!$B$30+J406*'Portfolio 2 &amp; 3'!$B$31+K406*'Portfolio 2 &amp; 3'!$B$32</f>
        <v>3.7271150198897319E-4</v>
      </c>
      <c r="S406" s="93">
        <f t="shared" si="20"/>
        <v>1.3807426104476272E-3</v>
      </c>
    </row>
    <row r="407" spans="1:19" ht="12.75" customHeight="1">
      <c r="A407" s="82">
        <v>45488</v>
      </c>
      <c r="B407" s="53">
        <v>4.0899999999999999E-2</v>
      </c>
      <c r="C407" s="53">
        <v>-4.5404772692947404E-3</v>
      </c>
      <c r="D407" s="53">
        <v>-2.7639378841327598E-3</v>
      </c>
      <c r="E407" s="53">
        <v>-4.2500000000000003E-3</v>
      </c>
      <c r="F407" s="53">
        <v>1.09347742841339E-2</v>
      </c>
      <c r="G407" s="53">
        <v>7.22822222974595E-3</v>
      </c>
      <c r="H407" s="87">
        <v>3.2274809849459599E-3</v>
      </c>
      <c r="I407" s="53">
        <v>-1.60577073859181E-2</v>
      </c>
      <c r="J407" s="53">
        <v>-1.40377659044901E-2</v>
      </c>
      <c r="K407" s="53">
        <v>-1.41772814517536E-2</v>
      </c>
      <c r="L407" s="95">
        <f>IFERROR(B407*'Stock Statistics'!$C$41+C407*'Stock Statistics'!$C$42+D407*'Stock Statistics'!$C$43+E407*'Stock Statistics'!$C$44+F407*'Stock Statistics'!$C$45+G407*'Stock Statistics'!$C$46+H407*'Stock Statistics'!$C$47+I407*'Stock Statistics'!$C$48+J407*'Stock Statistics'!$C$49+K407*'Stock Statistics'!$C$50,"")</f>
        <v>6.4633076032365134E-4</v>
      </c>
      <c r="M407" s="97">
        <v>411.81439999999998</v>
      </c>
      <c r="N407" s="96">
        <v>511.22039999999998</v>
      </c>
      <c r="O407" s="93">
        <f t="shared" si="18"/>
        <v>-1.3700414911523628E-2</v>
      </c>
      <c r="P407" s="93">
        <f t="shared" si="19"/>
        <v>4.0900502417813289E-3</v>
      </c>
      <c r="Q407" s="93">
        <f>B407*'Portfolio 2 &amp; 3'!$F$7+C407*'Portfolio 2 &amp; 3'!$F$8+D407*'Portfolio 2 &amp; 3'!$F$9+E407*'Portfolio 2 &amp; 3'!$F$10+F407*'Portfolio 2 &amp; 3'!$F$11+G407*'Portfolio 2 &amp; 3'!$F$12+H407*'Portfolio 2 &amp; 3'!$F$13+I407*'Portfolio 2 &amp; 3'!$F$14+J407*'Portfolio 2 &amp; 3'!$F$15+K407*'Portfolio 2 &amp; 3'!$F$16</f>
        <v>-8.6355190455465703E-4</v>
      </c>
      <c r="R407" s="93">
        <f>B407*'Portfolio 2 &amp; 3'!$B$23+C407*'Portfolio 2 &amp; 3'!$B$24+D407*'Portfolio 2 &amp; 3'!$B$25+E407*'Portfolio 2 &amp; 3'!$B$26+F407*'Portfolio 2 &amp; 3'!$B$27+G407*'Portfolio 2 &amp; 3'!$B$28+H407*'Portfolio 2 &amp; 3'!$B$29+I407*'Portfolio 2 &amp; 3'!$B$30+J407*'Portfolio 2 &amp; 3'!$B$31+K407*'Portfolio 2 &amp; 3'!$B$32</f>
        <v>1.4647856298600304E-3</v>
      </c>
      <c r="S407" s="93">
        <f t="shared" si="20"/>
        <v>-4.8051823348711498E-3</v>
      </c>
    </row>
    <row r="408" spans="1:19" ht="12.75" customHeight="1">
      <c r="A408" s="81">
        <v>45485</v>
      </c>
      <c r="B408" s="53">
        <v>-1.29E-2</v>
      </c>
      <c r="C408" s="53">
        <v>-1.6141315452198199E-2</v>
      </c>
      <c r="D408" s="53">
        <v>3.6175905339714397E-2</v>
      </c>
      <c r="E408" s="53">
        <v>4.6600000000000001E-3</v>
      </c>
      <c r="F408" s="53">
        <v>1.0143121158722899E-2</v>
      </c>
      <c r="G408" s="53">
        <v>1.78059658464624E-3</v>
      </c>
      <c r="H408" s="87">
        <v>-2.18845432135104E-2</v>
      </c>
      <c r="I408" s="53">
        <v>9.4662192110428495E-3</v>
      </c>
      <c r="J408" s="53">
        <v>-2.4827860169491802E-3</v>
      </c>
      <c r="K408" s="53">
        <v>3.0629211516583999E-3</v>
      </c>
      <c r="L408" s="95">
        <f>IFERROR(B408*'Stock Statistics'!$C$41+C408*'Stock Statistics'!$C$42+D408*'Stock Statistics'!$C$43+E408*'Stock Statistics'!$C$44+F408*'Stock Statistics'!$C$45+G408*'Stock Statistics'!$C$46+H408*'Stock Statistics'!$C$47+I408*'Stock Statistics'!$C$48+J408*'Stock Statistics'!$C$49+K408*'Stock Statistics'!$C$50,"")</f>
        <v>1.1880118763127007E-3</v>
      </c>
      <c r="M408" s="96">
        <v>417.53480000000002</v>
      </c>
      <c r="N408" s="97">
        <v>509.13799999999998</v>
      </c>
      <c r="O408" s="93">
        <f t="shared" si="18"/>
        <v>-7.072249188246893E-4</v>
      </c>
      <c r="P408" s="93">
        <f t="shared" si="19"/>
        <v>1.3994509582737846E-2</v>
      </c>
      <c r="Q408" s="93">
        <f>B408*'Portfolio 2 &amp; 3'!$F$7+C408*'Portfolio 2 &amp; 3'!$F$8+D408*'Portfolio 2 &amp; 3'!$F$9+E408*'Portfolio 2 &amp; 3'!$F$10+F408*'Portfolio 2 &amp; 3'!$F$11+G408*'Portfolio 2 &amp; 3'!$F$12+H408*'Portfolio 2 &amp; 3'!$F$13+I408*'Portfolio 2 &amp; 3'!$F$14+J408*'Portfolio 2 &amp; 3'!$F$15+K408*'Portfolio 2 &amp; 3'!$F$16</f>
        <v>9.8159279971666083E-4</v>
      </c>
      <c r="R408" s="93">
        <f>B408*'Portfolio 2 &amp; 3'!$B$23+C408*'Portfolio 2 &amp; 3'!$B$24+D408*'Portfolio 2 &amp; 3'!$B$25+E408*'Portfolio 2 &amp; 3'!$B$26+F408*'Portfolio 2 &amp; 3'!$B$27+G408*'Portfolio 2 &amp; 3'!$B$28+H408*'Portfolio 2 &amp; 3'!$B$29+I408*'Portfolio 2 &amp; 3'!$B$30+J408*'Portfolio 2 &amp; 3'!$B$31+K408*'Portfolio 2 &amp; 3'!$B$32</f>
        <v>-6.8354895090257648E-4</v>
      </c>
      <c r="S408" s="93">
        <f t="shared" si="20"/>
        <v>6.6436423319565785E-3</v>
      </c>
    </row>
    <row r="409" spans="1:19" ht="12.75" customHeight="1">
      <c r="A409" s="82">
        <v>45484</v>
      </c>
      <c r="B409" s="53">
        <v>-8.8999999999999999E-3</v>
      </c>
      <c r="C409" s="53">
        <v>3.5575859581630197E-2</v>
      </c>
      <c r="D409" s="53">
        <v>6.7911070642687798E-3</v>
      </c>
      <c r="E409" s="53">
        <v>7.0299999999999998E-3</v>
      </c>
      <c r="F409" s="53">
        <v>-1.42354785408636E-2</v>
      </c>
      <c r="G409" s="53">
        <v>-3.3633044889129801E-3</v>
      </c>
      <c r="H409" s="87">
        <v>1.1206274323047201E-2</v>
      </c>
      <c r="I409" s="53">
        <v>-4.35001891312581E-3</v>
      </c>
      <c r="J409" s="53">
        <v>-4.4819404165568101E-3</v>
      </c>
      <c r="K409" s="53">
        <v>-1.0053765790968301E-3</v>
      </c>
      <c r="L409" s="95">
        <f>IFERROR(B409*'Stock Statistics'!$C$41+C409*'Stock Statistics'!$C$42+D409*'Stock Statistics'!$C$43+E409*'Stock Statistics'!$C$44+F409*'Stock Statistics'!$C$45+G409*'Stock Statistics'!$C$46+H409*'Stock Statistics'!$C$47+I409*'Stock Statistics'!$C$48+J409*'Stock Statistics'!$C$49+K409*'Stock Statistics'!$C$50,"")</f>
        <v>2.4267122030390146E-3</v>
      </c>
      <c r="M409" s="97">
        <v>417.83030000000002</v>
      </c>
      <c r="N409" s="96">
        <v>502.1112</v>
      </c>
      <c r="O409" s="93">
        <f t="shared" si="18"/>
        <v>-8.94060843960931E-4</v>
      </c>
      <c r="P409" s="93">
        <f t="shared" si="19"/>
        <v>-4.9643659945191043E-3</v>
      </c>
      <c r="Q409" s="93">
        <f>B409*'Portfolio 2 &amp; 3'!$F$7+C409*'Portfolio 2 &amp; 3'!$F$8+D409*'Portfolio 2 &amp; 3'!$F$9+E409*'Portfolio 2 &amp; 3'!$F$10+F409*'Portfolio 2 &amp; 3'!$F$11+G409*'Portfolio 2 &amp; 3'!$F$12+H409*'Portfolio 2 &amp; 3'!$F$13+I409*'Portfolio 2 &amp; 3'!$F$14+J409*'Portfolio 2 &amp; 3'!$F$15+K409*'Portfolio 2 &amp; 3'!$F$16</f>
        <v>3.3565933911393273E-3</v>
      </c>
      <c r="R409" s="93">
        <f>B409*'Portfolio 2 &amp; 3'!$B$23+C409*'Portfolio 2 &amp; 3'!$B$24+D409*'Portfolio 2 &amp; 3'!$B$25+E409*'Portfolio 2 &amp; 3'!$B$26+F409*'Portfolio 2 &amp; 3'!$B$27+G409*'Portfolio 2 &amp; 3'!$B$28+H409*'Portfolio 2 &amp; 3'!$B$29+I409*'Portfolio 2 &amp; 3'!$B$30+J409*'Portfolio 2 &amp; 3'!$B$31+K409*'Portfolio 2 &amp; 3'!$B$32</f>
        <v>2.108241990548705E-3</v>
      </c>
      <c r="S409" s="93">
        <f t="shared" si="20"/>
        <v>-2.9292134192400177E-3</v>
      </c>
    </row>
    <row r="410" spans="1:19" ht="12.75" customHeight="1">
      <c r="A410" s="81">
        <v>45483</v>
      </c>
      <c r="B410" s="53">
        <v>-8.9999999999999993E-3</v>
      </c>
      <c r="C410" s="53">
        <v>-1.05783470851883E-4</v>
      </c>
      <c r="D410" s="53">
        <v>-1.43594345972626E-2</v>
      </c>
      <c r="E410" s="53">
        <v>-1.078E-2</v>
      </c>
      <c r="F410" s="53">
        <v>1.2613153717448301E-2</v>
      </c>
      <c r="G410" s="53">
        <v>2.2529008215466102E-3</v>
      </c>
      <c r="H410" s="87">
        <v>1.89089806285303E-2</v>
      </c>
      <c r="I410" s="53">
        <v>5.64255373105937E-3</v>
      </c>
      <c r="J410" s="53">
        <v>3.40597202473458E-3</v>
      </c>
      <c r="K410" s="53">
        <v>7.9527680479367698E-3</v>
      </c>
      <c r="L410" s="95">
        <f>IFERROR(B410*'Stock Statistics'!$C$41+C410*'Stock Statistics'!$C$42+D410*'Stock Statistics'!$C$43+E410*'Stock Statistics'!$C$44+F410*'Stock Statistics'!$C$45+G410*'Stock Statistics'!$C$46+H410*'Stock Statistics'!$C$47+I410*'Stock Statistics'!$C$48+J410*'Stock Statistics'!$C$49+K410*'Stock Statistics'!$C$50,"")</f>
        <v>1.6531110903141451E-3</v>
      </c>
      <c r="M410" s="96">
        <v>418.20420000000001</v>
      </c>
      <c r="N410" s="97">
        <v>504.61630000000002</v>
      </c>
      <c r="O410" s="93">
        <f t="shared" si="18"/>
        <v>6.5029739914734819E-3</v>
      </c>
      <c r="P410" s="93">
        <f t="shared" si="19"/>
        <v>6.2302102985114516E-3</v>
      </c>
      <c r="Q410" s="93">
        <f>B410*'Portfolio 2 &amp; 3'!$F$7+C410*'Portfolio 2 &amp; 3'!$F$8+D410*'Portfolio 2 &amp; 3'!$F$9+E410*'Portfolio 2 &amp; 3'!$F$10+F410*'Portfolio 2 &amp; 3'!$F$11+G410*'Portfolio 2 &amp; 3'!$F$12+H410*'Portfolio 2 &amp; 3'!$F$13+I410*'Portfolio 2 &amp; 3'!$F$14+J410*'Portfolio 2 &amp; 3'!$F$15+K410*'Portfolio 2 &amp; 3'!$F$16</f>
        <v>2.8085282808429728E-3</v>
      </c>
      <c r="R410" s="93">
        <f>B410*'Portfolio 2 &amp; 3'!$B$23+C410*'Portfolio 2 &amp; 3'!$B$24+D410*'Portfolio 2 &amp; 3'!$B$25+E410*'Portfolio 2 &amp; 3'!$B$26+F410*'Portfolio 2 &amp; 3'!$B$27+G410*'Portfolio 2 &amp; 3'!$B$28+H410*'Portfolio 2 &amp; 3'!$B$29+I410*'Portfolio 2 &amp; 3'!$B$30+J410*'Portfolio 2 &amp; 3'!$B$31+K410*'Portfolio 2 &amp; 3'!$B$32</f>
        <v>3.5989767264091982E-3</v>
      </c>
      <c r="S410" s="93">
        <f t="shared" si="20"/>
        <v>6.3665921449924667E-3</v>
      </c>
    </row>
    <row r="411" spans="1:19" ht="12.75" customHeight="1">
      <c r="A411" s="82">
        <v>45482</v>
      </c>
      <c r="B411" s="53">
        <v>1.49E-2</v>
      </c>
      <c r="C411" s="53">
        <v>-5.0709939148072501E-3</v>
      </c>
      <c r="D411" s="53">
        <v>3.5274692284597E-3</v>
      </c>
      <c r="E411" s="53">
        <v>-4.2199999999999998E-3</v>
      </c>
      <c r="F411" s="53">
        <v>6.6073587839006196E-3</v>
      </c>
      <c r="G411" s="53">
        <v>5.3301999250707803E-3</v>
      </c>
      <c r="H411" s="87">
        <v>3.3371002116022697E-4</v>
      </c>
      <c r="I411" s="53">
        <v>-2.8133396554449498E-3</v>
      </c>
      <c r="J411" s="53">
        <v>4.0172642762283904E-3</v>
      </c>
      <c r="K411" s="53">
        <v>-9.4271685761047105E-3</v>
      </c>
      <c r="L411" s="95">
        <f>IFERROR(B411*'Stock Statistics'!$C$41+C411*'Stock Statistics'!$C$42+D411*'Stock Statistics'!$C$43+E411*'Stock Statistics'!$C$44+F411*'Stock Statistics'!$C$45+G411*'Stock Statistics'!$C$46+H411*'Stock Statistics'!$C$47+I411*'Stock Statistics'!$C$48+J411*'Stock Statistics'!$C$49+K411*'Stock Statistics'!$C$50,"")</f>
        <v>1.3184500088462801E-3</v>
      </c>
      <c r="M411" s="97">
        <v>415.50220000000002</v>
      </c>
      <c r="N411" s="96">
        <v>501.49189999999999</v>
      </c>
      <c r="O411" s="93">
        <f t="shared" si="18"/>
        <v>-2.2011494197666792E-3</v>
      </c>
      <c r="P411" s="93">
        <f t="shared" si="19"/>
        <v>1.2589016896476624E-2</v>
      </c>
      <c r="Q411" s="93">
        <f>B411*'Portfolio 2 &amp; 3'!$F$7+C411*'Portfolio 2 &amp; 3'!$F$8+D411*'Portfolio 2 &amp; 3'!$F$9+E411*'Portfolio 2 &amp; 3'!$F$10+F411*'Portfolio 2 &amp; 3'!$F$11+G411*'Portfolio 2 &amp; 3'!$F$12+H411*'Portfolio 2 &amp; 3'!$F$13+I411*'Portfolio 2 &amp; 3'!$F$14+J411*'Portfolio 2 &amp; 3'!$F$15+K411*'Portfolio 2 &amp; 3'!$F$16</f>
        <v>1.2939993065234057E-3</v>
      </c>
      <c r="R411" s="93">
        <f>B411*'Portfolio 2 &amp; 3'!$B$23+C411*'Portfolio 2 &amp; 3'!$B$24+D411*'Portfolio 2 &amp; 3'!$B$25+E411*'Portfolio 2 &amp; 3'!$B$26+F411*'Portfolio 2 &amp; 3'!$B$27+G411*'Portfolio 2 &amp; 3'!$B$28+H411*'Portfolio 2 &amp; 3'!$B$29+I411*'Portfolio 2 &amp; 3'!$B$30+J411*'Portfolio 2 &amp; 3'!$B$31+K411*'Portfolio 2 &amp; 3'!$B$32</f>
        <v>1.3048848949594872E-3</v>
      </c>
      <c r="S411" s="93">
        <f t="shared" si="20"/>
        <v>5.1939337383549722E-3</v>
      </c>
    </row>
    <row r="412" spans="1:19" ht="12.75" customHeight="1">
      <c r="A412" s="81">
        <v>45481</v>
      </c>
      <c r="B412" s="53">
        <v>3.5000000000000001E-3</v>
      </c>
      <c r="C412" s="53">
        <v>-1.84724322192273E-2</v>
      </c>
      <c r="D412" s="53">
        <v>2.0683315458863299E-2</v>
      </c>
      <c r="E412" s="53">
        <v>-4.1399999999999996E-3</v>
      </c>
      <c r="F412" s="53">
        <v>-4.0001720504108098E-3</v>
      </c>
      <c r="G412" s="53">
        <v>1.8506634290174299E-2</v>
      </c>
      <c r="H412" s="87">
        <v>1.47352590443339E-3</v>
      </c>
      <c r="I412" s="53">
        <v>-1.0509524256357299E-2</v>
      </c>
      <c r="J412" s="53">
        <v>-4.7581284694686596E-3</v>
      </c>
      <c r="K412" s="53">
        <v>-1.17426325494129E-2</v>
      </c>
      <c r="L412" s="95">
        <f>IFERROR(B412*'Stock Statistics'!$C$41+C412*'Stock Statistics'!$C$42+D412*'Stock Statistics'!$C$43+E412*'Stock Statistics'!$C$44+F412*'Stock Statistics'!$C$45+G412*'Stock Statistics'!$C$46+H412*'Stock Statistics'!$C$47+I412*'Stock Statistics'!$C$48+J412*'Stock Statistics'!$C$49+K412*'Stock Statistics'!$C$50,"")</f>
        <v>-9.4594138914059795E-4</v>
      </c>
      <c r="M412" s="96">
        <v>416.41879999999998</v>
      </c>
      <c r="N412" s="97">
        <v>495.25709999999998</v>
      </c>
      <c r="O412" s="93">
        <f t="shared" si="18"/>
        <v>-4.8412621407947221E-3</v>
      </c>
      <c r="P412" s="93">
        <f t="shared" si="19"/>
        <v>4.5277641205878627E-3</v>
      </c>
      <c r="Q412" s="93">
        <f>B412*'Portfolio 2 &amp; 3'!$F$7+C412*'Portfolio 2 &amp; 3'!$F$8+D412*'Portfolio 2 &amp; 3'!$F$9+E412*'Portfolio 2 &amp; 3'!$F$10+F412*'Portfolio 2 &amp; 3'!$F$11+G412*'Portfolio 2 &amp; 3'!$F$12+H412*'Portfolio 2 &amp; 3'!$F$13+I412*'Portfolio 2 &amp; 3'!$F$14+J412*'Portfolio 2 &amp; 3'!$F$15+K412*'Portfolio 2 &amp; 3'!$F$16</f>
        <v>-7.7179780749682088E-4</v>
      </c>
      <c r="R412" s="93">
        <f>B412*'Portfolio 2 &amp; 3'!$B$23+C412*'Portfolio 2 &amp; 3'!$B$24+D412*'Portfolio 2 &amp; 3'!$B$25+E412*'Portfolio 2 &amp; 3'!$B$26+F412*'Portfolio 2 &amp; 3'!$B$27+G412*'Portfolio 2 &amp; 3'!$B$28+H412*'Portfolio 2 &amp; 3'!$B$29+I412*'Portfolio 2 &amp; 3'!$B$30+J412*'Portfolio 2 &amp; 3'!$B$31+K412*'Portfolio 2 &amp; 3'!$B$32</f>
        <v>-5.2209883489560396E-3</v>
      </c>
      <c r="S412" s="93">
        <f t="shared" si="20"/>
        <v>-1.5674901010342968E-4</v>
      </c>
    </row>
    <row r="413" spans="1:19" ht="12.75" customHeight="1">
      <c r="A413" s="82">
        <v>45478</v>
      </c>
      <c r="B413" s="53">
        <v>-2.8E-3</v>
      </c>
      <c r="C413" s="53">
        <v>1.9590758064670401E-2</v>
      </c>
      <c r="D413" s="53">
        <v>1.4192014115301801E-3</v>
      </c>
      <c r="E413" s="53">
        <v>1.8380000000000001E-2</v>
      </c>
      <c r="F413" s="53">
        <v>2.2338507541445101E-2</v>
      </c>
      <c r="G413" s="53">
        <v>-2.8881740513990702E-3</v>
      </c>
      <c r="H413" s="87">
        <v>7.4531499889045599E-3</v>
      </c>
      <c r="I413" s="53">
        <v>8.2944367352086896E-3</v>
      </c>
      <c r="J413" s="53">
        <v>7.6055685989229204E-4</v>
      </c>
      <c r="K413" s="53">
        <v>1.8673315831676501E-2</v>
      </c>
      <c r="L413" s="95">
        <f>IFERROR(B413*'Stock Statistics'!$C$41+C413*'Stock Statistics'!$C$42+D413*'Stock Statistics'!$C$43+E413*'Stock Statistics'!$C$44+F413*'Stock Statistics'!$C$45+G413*'Stock Statistics'!$C$46+H413*'Stock Statistics'!$C$47+I413*'Stock Statistics'!$C$48+J413*'Stock Statistics'!$C$49+K413*'Stock Statistics'!$C$50,"")</f>
        <v>9.1221752381928662E-3</v>
      </c>
      <c r="M413" s="97">
        <v>418.44459999999998</v>
      </c>
      <c r="N413" s="96">
        <v>493.02480000000003</v>
      </c>
      <c r="O413" s="93">
        <f t="shared" si="18"/>
        <v>6.9863058202368489E-3</v>
      </c>
      <c r="P413" s="93">
        <f t="shared" si="19"/>
        <v>3.2280598954237405E-4</v>
      </c>
      <c r="Q413" s="93">
        <f>B413*'Portfolio 2 &amp; 3'!$F$7+C413*'Portfolio 2 &amp; 3'!$F$8+D413*'Portfolio 2 &amp; 3'!$F$9+E413*'Portfolio 2 &amp; 3'!$F$10+F413*'Portfolio 2 &amp; 3'!$F$11+G413*'Portfolio 2 &amp; 3'!$F$12+H413*'Portfolio 2 &amp; 3'!$F$13+I413*'Portfolio 2 &amp; 3'!$F$14+J413*'Portfolio 2 &amp; 3'!$F$15+K413*'Portfolio 2 &amp; 3'!$F$16</f>
        <v>8.8882379168055727E-3</v>
      </c>
      <c r="R413" s="93">
        <f>B413*'Portfolio 2 &amp; 3'!$B$23+C413*'Portfolio 2 &amp; 3'!$B$24+D413*'Portfolio 2 &amp; 3'!$B$25+E413*'Portfolio 2 &amp; 3'!$B$26+F413*'Portfolio 2 &amp; 3'!$B$27+G413*'Portfolio 2 &amp; 3'!$B$28+H413*'Portfolio 2 &amp; 3'!$B$29+I413*'Portfolio 2 &amp; 3'!$B$30+J413*'Portfolio 2 &amp; 3'!$B$31+K413*'Portfolio 2 &amp; 3'!$B$32</f>
        <v>1.0531033428596043E-2</v>
      </c>
      <c r="S413" s="93">
        <f t="shared" si="20"/>
        <v>3.6545559048896115E-3</v>
      </c>
    </row>
    <row r="414" spans="1:19" ht="12.75" customHeight="1">
      <c r="A414" s="81">
        <v>45477</v>
      </c>
      <c r="B414" s="53">
        <v>1.0999999999999999E-2</v>
      </c>
      <c r="C414" s="53">
        <v>3.1262651696932098E-2</v>
      </c>
      <c r="D414" s="53">
        <v>3.8975012951819203E-2</v>
      </c>
      <c r="E414" s="53">
        <v>4.9100000000000003E-3</v>
      </c>
      <c r="F414" s="53">
        <v>3.8164802556494001E-2</v>
      </c>
      <c r="G414" s="53">
        <v>7.2466292722013197E-3</v>
      </c>
      <c r="H414" s="87">
        <v>2.1702453987728601E-3</v>
      </c>
      <c r="I414" s="53">
        <v>1.86327422256489E-2</v>
      </c>
      <c r="J414" s="53">
        <v>1.6811808614370701E-2</v>
      </c>
      <c r="K414" s="53">
        <v>1.96563774024461E-2</v>
      </c>
      <c r="L414" s="95">
        <f>IFERROR(B414*'Stock Statistics'!$C$41+C414*'Stock Statistics'!$C$42+D414*'Stock Statistics'!$C$43+E414*'Stock Statistics'!$C$44+F414*'Stock Statistics'!$C$45+G414*'Stock Statistics'!$C$46+H414*'Stock Statistics'!$C$47+I414*'Stock Statistics'!$C$48+J414*'Stock Statistics'!$C$49+K414*'Stock Statistics'!$C$50,"")</f>
        <v>1.888302701186852E-2</v>
      </c>
      <c r="M414" s="96">
        <v>415.54149999999998</v>
      </c>
      <c r="N414" s="97">
        <v>492.8657</v>
      </c>
      <c r="O414" s="93">
        <f t="shared" si="18"/>
        <v>9.6638628918646052E-3</v>
      </c>
      <c r="P414" s="93">
        <f t="shared" si="19"/>
        <v>1.4678651522839203E-3</v>
      </c>
      <c r="Q414" s="93">
        <f>B414*'Portfolio 2 &amp; 3'!$F$7+C414*'Portfolio 2 &amp; 3'!$F$8+D414*'Portfolio 2 &amp; 3'!$F$9+E414*'Portfolio 2 &amp; 3'!$F$10+F414*'Portfolio 2 &amp; 3'!$F$11+G414*'Portfolio 2 &amp; 3'!$F$12+H414*'Portfolio 2 &amp; 3'!$F$13+I414*'Portfolio 2 &amp; 3'!$F$14+J414*'Portfolio 2 &amp; 3'!$F$15+K414*'Portfolio 2 &amp; 3'!$F$16</f>
        <v>1.9576153629719963E-2</v>
      </c>
      <c r="R414" s="93">
        <f>B414*'Portfolio 2 &amp; 3'!$B$23+C414*'Portfolio 2 &amp; 3'!$B$24+D414*'Portfolio 2 &amp; 3'!$B$25+E414*'Portfolio 2 &amp; 3'!$B$26+F414*'Portfolio 2 &amp; 3'!$B$27+G414*'Portfolio 2 &amp; 3'!$B$28+H414*'Portfolio 2 &amp; 3'!$B$29+I414*'Portfolio 2 &amp; 3'!$B$30+J414*'Portfolio 2 &amp; 3'!$B$31+K414*'Portfolio 2 &amp; 3'!$B$32</f>
        <v>2.1685574797581184E-2</v>
      </c>
      <c r="S414" s="93">
        <f t="shared" si="20"/>
        <v>5.5658640220742628E-3</v>
      </c>
    </row>
    <row r="415" spans="1:19" ht="12.75" customHeight="1">
      <c r="A415" s="82">
        <v>45476</v>
      </c>
      <c r="B415" s="53">
        <v>-5.9999999999999995E-4</v>
      </c>
      <c r="C415" s="53">
        <v>1.6501550784425899E-2</v>
      </c>
      <c r="D415" s="53">
        <v>1.2794639974168701E-2</v>
      </c>
      <c r="E415" s="53">
        <v>3.49E-3</v>
      </c>
      <c r="F415" s="53">
        <v>1.9216452633538099E-2</v>
      </c>
      <c r="G415" s="53">
        <v>1.15594713656388E-2</v>
      </c>
      <c r="H415" s="87">
        <v>6.2737774622454497E-3</v>
      </c>
      <c r="I415" s="53">
        <v>-7.6511094108645504E-3</v>
      </c>
      <c r="J415" s="53">
        <v>-1.51334525465263E-2</v>
      </c>
      <c r="K415" s="53">
        <v>-3.5747456638659102E-2</v>
      </c>
      <c r="L415" s="95">
        <f>IFERROR(B415*'Stock Statistics'!$C$41+C415*'Stock Statistics'!$C$42+D415*'Stock Statistics'!$C$43+E415*'Stock Statistics'!$C$44+F415*'Stock Statistics'!$C$45+G415*'Stock Statistics'!$C$46+H415*'Stock Statistics'!$C$47+I415*'Stock Statistics'!$C$48+J415*'Stock Statistics'!$C$49+K415*'Stock Statistics'!$C$50,"")</f>
        <v>1.0703873623967007E-3</v>
      </c>
      <c r="M415" s="97">
        <v>411.56420000000003</v>
      </c>
      <c r="N415" s="96">
        <v>492.14330000000001</v>
      </c>
      <c r="O415" s="93">
        <f t="shared" si="18"/>
        <v>-5.9085472249005289E-3</v>
      </c>
      <c r="P415" s="93">
        <f t="shared" si="19"/>
        <v>7.680301266010936E-3</v>
      </c>
      <c r="Q415" s="93">
        <f>B415*'Portfolio 2 &amp; 3'!$F$7+C415*'Portfolio 2 &amp; 3'!$F$8+D415*'Portfolio 2 &amp; 3'!$F$9+E415*'Portfolio 2 &amp; 3'!$F$10+F415*'Portfolio 2 &amp; 3'!$F$11+G415*'Portfolio 2 &amp; 3'!$F$12+H415*'Portfolio 2 &amp; 3'!$F$13+I415*'Portfolio 2 &amp; 3'!$F$14+J415*'Portfolio 2 &amp; 3'!$F$15+K415*'Portfolio 2 &amp; 3'!$F$16</f>
        <v>1.4900514627439196E-3</v>
      </c>
      <c r="R415" s="93">
        <f>B415*'Portfolio 2 &amp; 3'!$B$23+C415*'Portfolio 2 &amp; 3'!$B$24+D415*'Portfolio 2 &amp; 3'!$B$25+E415*'Portfolio 2 &amp; 3'!$B$26+F415*'Portfolio 2 &amp; 3'!$B$27+G415*'Portfolio 2 &amp; 3'!$B$28+H415*'Portfolio 2 &amp; 3'!$B$29+I415*'Portfolio 2 &amp; 3'!$B$30+J415*'Portfolio 2 &amp; 3'!$B$31+K415*'Portfolio 2 &amp; 3'!$B$32</f>
        <v>2.1983593421114177E-3</v>
      </c>
      <c r="S415" s="93">
        <f t="shared" si="20"/>
        <v>8.8587702055520356E-4</v>
      </c>
    </row>
    <row r="416" spans="1:19" ht="12.75" customHeight="1">
      <c r="A416" s="81">
        <v>45475</v>
      </c>
      <c r="B416" s="53">
        <v>-4.0000000000000002E-4</v>
      </c>
      <c r="C416" s="53">
        <v>2.1324749786251198E-3</v>
      </c>
      <c r="D416" s="53">
        <v>2.1227484440047701E-2</v>
      </c>
      <c r="E416" s="53">
        <v>6.5500000000000003E-2</v>
      </c>
      <c r="F416" s="53">
        <v>6.8396889346948901E-3</v>
      </c>
      <c r="G416" s="53">
        <v>6.3305729434504103E-3</v>
      </c>
      <c r="H416" s="87">
        <v>8.3179009944134297E-3</v>
      </c>
      <c r="I416" s="53">
        <v>6.73984209512812E-3</v>
      </c>
      <c r="J416" s="53">
        <v>1.96859699476617E-2</v>
      </c>
      <c r="K416" s="53">
        <v>1.88488242867044E-2</v>
      </c>
      <c r="L416" s="95">
        <f>IFERROR(B416*'Stock Statistics'!$C$41+C416*'Stock Statistics'!$C$42+D416*'Stock Statistics'!$C$43+E416*'Stock Statistics'!$C$44+F416*'Stock Statistics'!$C$45+G416*'Stock Statistics'!$C$46+H416*'Stock Statistics'!$C$47+I416*'Stock Statistics'!$C$48+J416*'Stock Statistics'!$C$49+K416*'Stock Statistics'!$C$50,"")</f>
        <v>1.5522275862072579E-2</v>
      </c>
      <c r="M416" s="96">
        <v>414.0104</v>
      </c>
      <c r="N416" s="97">
        <v>488.39229999999998</v>
      </c>
      <c r="O416" s="93">
        <f t="shared" si="18"/>
        <v>7.4522828806278252E-3</v>
      </c>
      <c r="P416" s="93">
        <f t="shared" si="19"/>
        <v>-1.2433530204378762E-3</v>
      </c>
      <c r="Q416" s="93">
        <f>B416*'Portfolio 2 &amp; 3'!$F$7+C416*'Portfolio 2 &amp; 3'!$F$8+D416*'Portfolio 2 &amp; 3'!$F$9+E416*'Portfolio 2 &amp; 3'!$F$10+F416*'Portfolio 2 &amp; 3'!$F$11+G416*'Portfolio 2 &amp; 3'!$F$12+H416*'Portfolio 2 &amp; 3'!$F$13+I416*'Portfolio 2 &amp; 3'!$F$14+J416*'Portfolio 2 &amp; 3'!$F$15+K416*'Portfolio 2 &amp; 3'!$F$16</f>
        <v>1.5105534765890377E-2</v>
      </c>
      <c r="R416" s="93">
        <f>B416*'Portfolio 2 &amp; 3'!$B$23+C416*'Portfolio 2 &amp; 3'!$B$24+D416*'Portfolio 2 &amp; 3'!$B$25+E416*'Portfolio 2 &amp; 3'!$B$26+F416*'Portfolio 2 &amp; 3'!$B$27+G416*'Portfolio 2 &amp; 3'!$B$28+H416*'Portfolio 2 &amp; 3'!$B$29+I416*'Portfolio 2 &amp; 3'!$B$30+J416*'Portfolio 2 &amp; 3'!$B$31+K416*'Portfolio 2 &amp; 3'!$B$32</f>
        <v>6.5696357856859424E-3</v>
      </c>
      <c r="S416" s="93">
        <f t="shared" si="20"/>
        <v>3.1044649300949745E-3</v>
      </c>
    </row>
    <row r="417" spans="1:19" ht="12.75" customHeight="1">
      <c r="A417" s="82">
        <v>45474</v>
      </c>
      <c r="B417" s="53">
        <v>0</v>
      </c>
      <c r="C417" s="53">
        <v>1.03663804055083E-2</v>
      </c>
      <c r="D417" s="53">
        <v>1.0315233536888401E-3</v>
      </c>
      <c r="E417" s="53">
        <v>-5.7299999999999999E-3</v>
      </c>
      <c r="F417" s="53">
        <v>-6.1920946040319204E-3</v>
      </c>
      <c r="G417" s="53">
        <v>1.38249676398679E-2</v>
      </c>
      <c r="H417" s="87">
        <v>8.7359208822259705E-3</v>
      </c>
      <c r="I417" s="53">
        <v>1.56132859610809E-2</v>
      </c>
      <c r="J417" s="53">
        <v>-2.0219039595619202E-3</v>
      </c>
      <c r="K417" s="53">
        <v>-3.3120208810851798E-3</v>
      </c>
      <c r="L417" s="95">
        <f>IFERROR(B417*'Stock Statistics'!$C$41+C417*'Stock Statistics'!$C$42+D417*'Stock Statistics'!$C$43+E417*'Stock Statistics'!$C$44+F417*'Stock Statistics'!$C$45+G417*'Stock Statistics'!$C$46+H417*'Stock Statistics'!$C$47+I417*'Stock Statistics'!$C$48+J417*'Stock Statistics'!$C$49+K417*'Stock Statistics'!$C$50,"")</f>
        <v>3.2316058797692889E-3</v>
      </c>
      <c r="M417" s="97">
        <v>410.9479</v>
      </c>
      <c r="N417" s="96">
        <v>489.00029999999998</v>
      </c>
      <c r="O417" s="93">
        <f t="shared" si="18"/>
        <v>8.3918160224574212E-3</v>
      </c>
      <c r="P417" s="93">
        <f t="shared" si="19"/>
        <v>-2.2959421013716286E-3</v>
      </c>
      <c r="Q417" s="93">
        <f>B417*'Portfolio 2 &amp; 3'!$F$7+C417*'Portfolio 2 &amp; 3'!$F$8+D417*'Portfolio 2 &amp; 3'!$F$9+E417*'Portfolio 2 &amp; 3'!$F$10+F417*'Portfolio 2 &amp; 3'!$F$11+G417*'Portfolio 2 &amp; 3'!$F$12+H417*'Portfolio 2 &amp; 3'!$F$13+I417*'Portfolio 2 &amp; 3'!$F$14+J417*'Portfolio 2 &amp; 3'!$F$15+K417*'Portfolio 2 &amp; 3'!$F$16</f>
        <v>3.041385463946643E-3</v>
      </c>
      <c r="R417" s="93">
        <f>B417*'Portfolio 2 &amp; 3'!$B$23+C417*'Portfolio 2 &amp; 3'!$B$24+D417*'Portfolio 2 &amp; 3'!$B$25+E417*'Portfolio 2 &amp; 3'!$B$26+F417*'Portfolio 2 &amp; 3'!$B$27+G417*'Portfolio 2 &amp; 3'!$B$28+H417*'Portfolio 2 &amp; 3'!$B$29+I417*'Portfolio 2 &amp; 3'!$B$30+J417*'Portfolio 2 &amp; 3'!$B$31+K417*'Portfolio 2 &amp; 3'!$B$32</f>
        <v>6.3009369501992657E-3</v>
      </c>
      <c r="S417" s="93">
        <f t="shared" si="20"/>
        <v>3.0479369605428963E-3</v>
      </c>
    </row>
    <row r="418" spans="1:19" ht="12.75" customHeight="1">
      <c r="A418" s="81">
        <v>45471</v>
      </c>
      <c r="B418" s="53">
        <v>8.9999999999999993E-3</v>
      </c>
      <c r="C418" s="53">
        <v>-7.8348727463397605E-3</v>
      </c>
      <c r="D418" s="53">
        <v>3.47797283868845E-3</v>
      </c>
      <c r="E418" s="53">
        <v>5.4799999999999996E-3</v>
      </c>
      <c r="F418" s="53">
        <v>1.6035950804162799E-2</v>
      </c>
      <c r="G418" s="53">
        <v>-3.6183856984202101E-3</v>
      </c>
      <c r="H418" s="87">
        <v>2.6047814659175801E-3</v>
      </c>
      <c r="I418" s="53">
        <v>6.4958498736917801E-3</v>
      </c>
      <c r="J418" s="53">
        <v>-3.2915729016222998E-3</v>
      </c>
      <c r="K418" s="53">
        <v>-2.6906123877544802E-3</v>
      </c>
      <c r="L418" s="95">
        <f>IFERROR(B418*'Stock Statistics'!$C$41+C418*'Stock Statistics'!$C$42+D418*'Stock Statistics'!$C$43+E418*'Stock Statistics'!$C$44+F418*'Stock Statistics'!$C$45+G418*'Stock Statistics'!$C$46+H418*'Stock Statistics'!$C$47+I418*'Stock Statistics'!$C$48+J418*'Stock Statistics'!$C$49+K418*'Stock Statistics'!$C$50,"")</f>
        <v>2.5659111248323859E-3</v>
      </c>
      <c r="M418" s="96">
        <v>407.52800000000002</v>
      </c>
      <c r="N418" s="97">
        <v>490.12560000000002</v>
      </c>
      <c r="O418" s="93">
        <f t="shared" si="18"/>
        <v>8.3078861331191689E-3</v>
      </c>
      <c r="P418" s="93">
        <f t="shared" si="19"/>
        <v>1.4625779867913913E-3</v>
      </c>
      <c r="Q418" s="93">
        <f>B418*'Portfolio 2 &amp; 3'!$F$7+C418*'Portfolio 2 &amp; 3'!$F$8+D418*'Portfolio 2 &amp; 3'!$F$9+E418*'Portfolio 2 &amp; 3'!$F$10+F418*'Portfolio 2 &amp; 3'!$F$11+G418*'Portfolio 2 &amp; 3'!$F$12+H418*'Portfolio 2 &amp; 3'!$F$13+I418*'Portfolio 2 &amp; 3'!$F$14+J418*'Portfolio 2 &amp; 3'!$F$15+K418*'Portfolio 2 &amp; 3'!$F$16</f>
        <v>2.4439904122812821E-3</v>
      </c>
      <c r="R418" s="93">
        <f>B418*'Portfolio 2 &amp; 3'!$B$23+C418*'Portfolio 2 &amp; 3'!$B$24+D418*'Portfolio 2 &amp; 3'!$B$25+E418*'Portfolio 2 &amp; 3'!$B$26+F418*'Portfolio 2 &amp; 3'!$B$27+G418*'Portfolio 2 &amp; 3'!$B$28+H418*'Portfolio 2 &amp; 3'!$B$29+I418*'Portfolio 2 &amp; 3'!$B$30+J418*'Portfolio 2 &amp; 3'!$B$31+K418*'Portfolio 2 &amp; 3'!$B$32</f>
        <v>3.2565856345728103E-3</v>
      </c>
      <c r="S418" s="93">
        <f t="shared" si="20"/>
        <v>4.8852320599552801E-3</v>
      </c>
    </row>
    <row r="419" spans="1:19" ht="12.75" customHeight="1">
      <c r="A419" s="82">
        <v>45470</v>
      </c>
      <c r="B419" s="53">
        <v>-9.4999999999999998E-3</v>
      </c>
      <c r="C419" s="53">
        <v>-6.5613511374678097E-3</v>
      </c>
      <c r="D419" s="53">
        <v>1.6284451925099801E-2</v>
      </c>
      <c r="E419" s="53">
        <v>6.2E-4</v>
      </c>
      <c r="F419" s="53">
        <v>-8.2567085757177007E-3</v>
      </c>
      <c r="G419" s="53">
        <v>7.0714723815710201E-3</v>
      </c>
      <c r="H419" s="87">
        <v>-7.5987723257867597E-3</v>
      </c>
      <c r="I419" s="53">
        <v>2.5985132557069298E-3</v>
      </c>
      <c r="J419" s="53">
        <v>6.4566290311676199E-3</v>
      </c>
      <c r="K419" s="53">
        <v>-6.6600030420895804E-3</v>
      </c>
      <c r="L419" s="95">
        <f>IFERROR(B419*'Stock Statistics'!$C$41+C419*'Stock Statistics'!$C$42+D419*'Stock Statistics'!$C$43+E419*'Stock Statistics'!$C$44+F419*'Stock Statistics'!$C$45+G419*'Stock Statistics'!$C$46+H419*'Stock Statistics'!$C$47+I419*'Stock Statistics'!$C$48+J419*'Stock Statistics'!$C$49+K419*'Stock Statistics'!$C$50,"")</f>
        <v>-5.5457684875164783E-4</v>
      </c>
      <c r="M419" s="97">
        <v>404.17020000000002</v>
      </c>
      <c r="N419" s="96">
        <v>489.40980000000002</v>
      </c>
      <c r="O419" s="93">
        <f t="shared" si="18"/>
        <v>-4.8838641913481196E-3</v>
      </c>
      <c r="P419" s="93">
        <f t="shared" si="19"/>
        <v>7.8380210479389589E-4</v>
      </c>
      <c r="Q419" s="93">
        <f>B419*'Portfolio 2 &amp; 3'!$F$7+C419*'Portfolio 2 &amp; 3'!$F$8+D419*'Portfolio 2 &amp; 3'!$F$9+E419*'Portfolio 2 &amp; 3'!$F$10+F419*'Portfolio 2 &amp; 3'!$F$11+G419*'Portfolio 2 &amp; 3'!$F$12+H419*'Portfolio 2 &amp; 3'!$F$13+I419*'Portfolio 2 &amp; 3'!$F$14+J419*'Portfolio 2 &amp; 3'!$F$15+K419*'Portfolio 2 &amp; 3'!$F$16</f>
        <v>-1.2674594070204983E-4</v>
      </c>
      <c r="R419" s="93">
        <f>B419*'Portfolio 2 &amp; 3'!$B$23+C419*'Portfolio 2 &amp; 3'!$B$24+D419*'Portfolio 2 &amp; 3'!$B$25+E419*'Portfolio 2 &amp; 3'!$B$26+F419*'Portfolio 2 &amp; 3'!$B$27+G419*'Portfolio 2 &amp; 3'!$B$28+H419*'Portfolio 2 &amp; 3'!$B$29+I419*'Portfolio 2 &amp; 3'!$B$30+J419*'Portfolio 2 &amp; 3'!$B$31+K419*'Portfolio 2 &amp; 3'!$B$32</f>
        <v>-2.8128017311173977E-3</v>
      </c>
      <c r="S419" s="93">
        <f t="shared" si="20"/>
        <v>-2.0500310432771118E-3</v>
      </c>
    </row>
    <row r="420" spans="1:19" ht="12.75" customHeight="1">
      <c r="A420" s="81">
        <v>45469</v>
      </c>
      <c r="B420" s="53">
        <v>2.92E-2</v>
      </c>
      <c r="C420" s="53">
        <v>1.37602567227233E-2</v>
      </c>
      <c r="D420" s="53">
        <v>-8.0971659919029104E-3</v>
      </c>
      <c r="E420" s="53">
        <v>2.3970000000000002E-2</v>
      </c>
      <c r="F420" s="53">
        <v>-5.5516678329834398E-3</v>
      </c>
      <c r="G420" s="53">
        <v>-6.7549407822832296E-3</v>
      </c>
      <c r="H420" s="87">
        <v>2.66922176430027E-2</v>
      </c>
      <c r="I420" s="53">
        <v>-4.9314528059962704E-4</v>
      </c>
      <c r="J420" s="53">
        <v>-1.1480280929228E-3</v>
      </c>
      <c r="K420" s="53">
        <v>1.22920949863503E-3</v>
      </c>
      <c r="L420" s="95">
        <f>IFERROR(B420*'Stock Statistics'!$C$41+C420*'Stock Statistics'!$C$42+D420*'Stock Statistics'!$C$43+E420*'Stock Statistics'!$C$44+F420*'Stock Statistics'!$C$45+G420*'Stock Statistics'!$C$46+H420*'Stock Statistics'!$C$47+I420*'Stock Statistics'!$C$48+J420*'Stock Statistics'!$C$49+K420*'Stock Statistics'!$C$50,"")</f>
        <v>7.2806735883669035E-3</v>
      </c>
      <c r="M420" s="96">
        <v>406.15379999999999</v>
      </c>
      <c r="N420" s="97">
        <v>489.0265</v>
      </c>
      <c r="O420" s="93">
        <f t="shared" si="18"/>
        <v>3.0698119190695206E-3</v>
      </c>
      <c r="P420" s="93">
        <f t="shared" si="19"/>
        <v>-4.0161027001309746E-3</v>
      </c>
      <c r="Q420" s="93">
        <f>B420*'Portfolio 2 &amp; 3'!$F$7+C420*'Portfolio 2 &amp; 3'!$F$8+D420*'Portfolio 2 &amp; 3'!$F$9+E420*'Portfolio 2 &amp; 3'!$F$10+F420*'Portfolio 2 &amp; 3'!$F$11+G420*'Portfolio 2 &amp; 3'!$F$12+H420*'Portfolio 2 &amp; 3'!$F$13+I420*'Portfolio 2 &amp; 3'!$F$14+J420*'Portfolio 2 &amp; 3'!$F$15+K420*'Portfolio 2 &amp; 3'!$F$16</f>
        <v>7.2600395589407733E-3</v>
      </c>
      <c r="R420" s="93">
        <f>B420*'Portfolio 2 &amp; 3'!$B$23+C420*'Portfolio 2 &amp; 3'!$B$24+D420*'Portfolio 2 &amp; 3'!$B$25+E420*'Portfolio 2 &amp; 3'!$B$26+F420*'Portfolio 2 &amp; 3'!$B$27+G420*'Portfolio 2 &amp; 3'!$B$28+H420*'Portfolio 2 &amp; 3'!$B$29+I420*'Portfolio 2 &amp; 3'!$B$30+J420*'Portfolio 2 &amp; 3'!$B$31+K420*'Portfolio 2 &amp; 3'!$B$32</f>
        <v>5.5899426795608942E-3</v>
      </c>
      <c r="S420" s="93">
        <f t="shared" si="20"/>
        <v>-4.7314539053072702E-4</v>
      </c>
    </row>
    <row r="421" spans="1:19" ht="12.75" customHeight="1">
      <c r="A421" s="82">
        <v>45468</v>
      </c>
      <c r="B421" s="53">
        <v>8.0000000000000004E-4</v>
      </c>
      <c r="C421" s="53">
        <v>-1.0053080263792801E-2</v>
      </c>
      <c r="D421" s="53">
        <v>-1.64210353462786E-2</v>
      </c>
      <c r="E421" s="53">
        <v>-4.0999999999999999E-4</v>
      </c>
      <c r="F421" s="53">
        <v>-7.9603832091450499E-3</v>
      </c>
      <c r="G421" s="53">
        <v>-1.40966984048472E-2</v>
      </c>
      <c r="H421" s="87">
        <v>2.7322674442549901E-2</v>
      </c>
      <c r="I421" s="53">
        <v>3.0338004946412998E-3</v>
      </c>
      <c r="J421" s="53">
        <v>-6.75265041529816E-5</v>
      </c>
      <c r="K421" s="53">
        <v>1.6385286410826001E-2</v>
      </c>
      <c r="L421" s="95">
        <f>IFERROR(B421*'Stock Statistics'!$C$41+C421*'Stock Statistics'!$C$42+D421*'Stock Statistics'!$C$43+E421*'Stock Statistics'!$C$44+F421*'Stock Statistics'!$C$45+G421*'Stock Statistics'!$C$46+H421*'Stock Statistics'!$C$47+I421*'Stock Statistics'!$C$48+J421*'Stock Statistics'!$C$49+K421*'Stock Statistics'!$C$50,"")</f>
        <v>-1.4669623801994336E-4</v>
      </c>
      <c r="M421" s="97">
        <v>404.91079999999999</v>
      </c>
      <c r="N421" s="96">
        <v>490.9984</v>
      </c>
      <c r="O421" s="93">
        <f t="shared" si="18"/>
        <v>-4.4699205218545757E-5</v>
      </c>
      <c r="P421" s="93">
        <f t="shared" si="19"/>
        <v>-4.9321882382601379E-3</v>
      </c>
      <c r="Q421" s="93">
        <f>B421*'Portfolio 2 &amp; 3'!$F$7+C421*'Portfolio 2 &amp; 3'!$F$8+D421*'Portfolio 2 &amp; 3'!$F$9+E421*'Portfolio 2 &amp; 3'!$F$10+F421*'Portfolio 2 &amp; 3'!$F$11+G421*'Portfolio 2 &amp; 3'!$F$12+H421*'Portfolio 2 &amp; 3'!$F$13+I421*'Portfolio 2 &amp; 3'!$F$14+J421*'Portfolio 2 &amp; 3'!$F$15+K421*'Portfolio 2 &amp; 3'!$F$16</f>
        <v>1.2796644974362873E-3</v>
      </c>
      <c r="R421" s="93">
        <f>B421*'Portfolio 2 &amp; 3'!$B$23+C421*'Portfolio 2 &amp; 3'!$B$24+D421*'Portfolio 2 &amp; 3'!$B$25+E421*'Portfolio 2 &amp; 3'!$B$26+F421*'Portfolio 2 &amp; 3'!$B$27+G421*'Portfolio 2 &amp; 3'!$B$28+H421*'Portfolio 2 &amp; 3'!$B$29+I421*'Portfolio 2 &amp; 3'!$B$30+J421*'Portfolio 2 &amp; 3'!$B$31+K421*'Portfolio 2 &amp; 3'!$B$32</f>
        <v>-1.7877467497678431E-3</v>
      </c>
      <c r="S421" s="93">
        <f t="shared" si="20"/>
        <v>-2.4884437217393418E-3</v>
      </c>
    </row>
    <row r="422" spans="1:19" ht="12.75" customHeight="1">
      <c r="A422" s="81">
        <v>45467</v>
      </c>
      <c r="B422" s="53">
        <v>-5.9999999999999995E-4</v>
      </c>
      <c r="C422" s="53">
        <v>-2.3386415850138301E-2</v>
      </c>
      <c r="D422" s="53">
        <v>-5.7440610511638702E-4</v>
      </c>
      <c r="E422" s="53">
        <v>1.5910000000000001E-2</v>
      </c>
      <c r="F422" s="53">
        <v>-4.3315976222294602E-3</v>
      </c>
      <c r="G422" s="53">
        <v>-3.5205689239381499E-3</v>
      </c>
      <c r="H422" s="87">
        <v>-1.37371676757037E-3</v>
      </c>
      <c r="I422" s="53">
        <v>-3.2212470827992501E-3</v>
      </c>
      <c r="J422" s="53">
        <v>1.21695625718354E-3</v>
      </c>
      <c r="K422" s="53">
        <v>-5.0601163826767799E-3</v>
      </c>
      <c r="L422" s="95">
        <f>IFERROR(B422*'Stock Statistics'!$C$41+C422*'Stock Statistics'!$C$42+D422*'Stock Statistics'!$C$43+E422*'Stock Statistics'!$C$44+F422*'Stock Statistics'!$C$45+G422*'Stock Statistics'!$C$46+H422*'Stock Statistics'!$C$47+I422*'Stock Statistics'!$C$48+J422*'Stock Statistics'!$C$49+K422*'Stock Statistics'!$C$50,"")</f>
        <v>-2.4941112477285159E-3</v>
      </c>
      <c r="M422" s="96">
        <v>404.9289</v>
      </c>
      <c r="N422" s="97">
        <v>493.43209999999999</v>
      </c>
      <c r="O422" s="93">
        <f t="shared" si="18"/>
        <v>8.0644378307124231E-3</v>
      </c>
      <c r="P422" s="93">
        <f t="shared" si="19"/>
        <v>-8.1726961716428459E-3</v>
      </c>
      <c r="Q422" s="93">
        <f>B422*'Portfolio 2 &amp; 3'!$F$7+C422*'Portfolio 2 &amp; 3'!$F$8+D422*'Portfolio 2 &amp; 3'!$F$9+E422*'Portfolio 2 &amp; 3'!$F$10+F422*'Portfolio 2 &amp; 3'!$F$11+G422*'Portfolio 2 &amp; 3'!$F$12+H422*'Portfolio 2 &amp; 3'!$F$13+I422*'Portfolio 2 &amp; 3'!$F$14+J422*'Portfolio 2 &amp; 3'!$F$15+K422*'Portfolio 2 &amp; 3'!$F$16</f>
        <v>-2.5853590454187887E-3</v>
      </c>
      <c r="R422" s="93">
        <f>B422*'Portfolio 2 &amp; 3'!$B$23+C422*'Portfolio 2 &amp; 3'!$B$24+D422*'Portfolio 2 &amp; 3'!$B$25+E422*'Portfolio 2 &amp; 3'!$B$26+F422*'Portfolio 2 &amp; 3'!$B$27+G422*'Portfolio 2 &amp; 3'!$B$28+H422*'Portfolio 2 &amp; 3'!$B$29+I422*'Portfolio 2 &amp; 3'!$B$30+J422*'Portfolio 2 &amp; 3'!$B$31+K422*'Portfolio 2 &amp; 3'!$B$32</f>
        <v>-6.8570121211352251E-3</v>
      </c>
      <c r="S422" s="93">
        <f t="shared" si="20"/>
        <v>-5.4129170465211374E-5</v>
      </c>
    </row>
    <row r="423" spans="1:19" ht="12.75" customHeight="1">
      <c r="A423" s="82">
        <v>45464</v>
      </c>
      <c r="B423" s="53">
        <v>-2E-3</v>
      </c>
      <c r="C423" s="53">
        <v>2.7582728006456898E-2</v>
      </c>
      <c r="D423" s="53">
        <v>-1.8088792200467201E-2</v>
      </c>
      <c r="E423" s="53">
        <v>-5.7400000000000003E-3</v>
      </c>
      <c r="F423" s="53">
        <v>-3.3068479309237299E-3</v>
      </c>
      <c r="G423" s="53">
        <v>3.2494481236202701E-3</v>
      </c>
      <c r="H423" s="87">
        <v>3.87286435065515E-3</v>
      </c>
      <c r="I423" s="53">
        <v>1.05965984586767E-2</v>
      </c>
      <c r="J423" s="53">
        <v>-1.3736080549443299E-2</v>
      </c>
      <c r="K423" s="53">
        <v>1.33280461745211E-3</v>
      </c>
      <c r="L423" s="95">
        <f>IFERROR(B423*'Stock Statistics'!$C$41+C423*'Stock Statistics'!$C$42+D423*'Stock Statistics'!$C$43+E423*'Stock Statistics'!$C$44+F423*'Stock Statistics'!$C$45+G423*'Stock Statistics'!$C$46+H423*'Stock Statistics'!$C$47+I423*'Stock Statistics'!$C$48+J423*'Stock Statistics'!$C$49+K423*'Stock Statistics'!$C$50,"")</f>
        <v>3.7627228760268969E-4</v>
      </c>
      <c r="M423" s="97">
        <v>401.68950000000001</v>
      </c>
      <c r="N423" s="96">
        <v>497.49799999999999</v>
      </c>
      <c r="O423" s="93">
        <f t="shared" si="18"/>
        <v>2.6669495475895033E-4</v>
      </c>
      <c r="P423" s="93">
        <f t="shared" si="19"/>
        <v>-3.0883345436590881E-3</v>
      </c>
      <c r="Q423" s="93">
        <f>B423*'Portfolio 2 &amp; 3'!$F$7+C423*'Portfolio 2 &amp; 3'!$F$8+D423*'Portfolio 2 &amp; 3'!$F$9+E423*'Portfolio 2 &amp; 3'!$F$10+F423*'Portfolio 2 &amp; 3'!$F$11+G423*'Portfolio 2 &amp; 3'!$F$12+H423*'Portfolio 2 &amp; 3'!$F$13+I423*'Portfolio 2 &amp; 3'!$F$14+J423*'Portfolio 2 &amp; 3'!$F$15+K423*'Portfolio 2 &amp; 3'!$F$16</f>
        <v>-8.1152072297386625E-4</v>
      </c>
      <c r="R423" s="93">
        <f>B423*'Portfolio 2 &amp; 3'!$B$23+C423*'Portfolio 2 &amp; 3'!$B$24+D423*'Portfolio 2 &amp; 3'!$B$25+E423*'Portfolio 2 &amp; 3'!$B$26+F423*'Portfolio 2 &amp; 3'!$B$27+G423*'Portfolio 2 &amp; 3'!$B$28+H423*'Portfolio 2 &amp; 3'!$B$29+I423*'Portfolio 2 &amp; 3'!$B$30+J423*'Portfolio 2 &amp; 3'!$B$31+K423*'Portfolio 2 &amp; 3'!$B$32</f>
        <v>7.0334244553218479E-3</v>
      </c>
      <c r="S423" s="93">
        <f t="shared" si="20"/>
        <v>-1.4108197944500689E-3</v>
      </c>
    </row>
    <row r="424" spans="1:19" ht="12.75" customHeight="1">
      <c r="A424" s="81">
        <v>45463</v>
      </c>
      <c r="B424" s="53">
        <v>-2.0000000000000001E-4</v>
      </c>
      <c r="C424" s="53">
        <v>-9.9385706437596904E-3</v>
      </c>
      <c r="D424" s="53">
        <v>-1.68918918918926E-3</v>
      </c>
      <c r="E424" s="53">
        <v>5.1000000000000004E-4</v>
      </c>
      <c r="F424" s="53">
        <v>1.40654836756557E-2</v>
      </c>
      <c r="G424" s="53">
        <v>-9.3943528917812599E-3</v>
      </c>
      <c r="H424" s="87">
        <v>7.2361909356311004E-3</v>
      </c>
      <c r="I424" s="53">
        <v>7.1595851455337201E-3</v>
      </c>
      <c r="J424" s="53">
        <v>-3.1241691039617398E-3</v>
      </c>
      <c r="K424" s="53">
        <v>4.3699040833711199E-3</v>
      </c>
      <c r="L424" s="95">
        <f>IFERROR(B424*'Stock Statistics'!$C$41+C424*'Stock Statistics'!$C$42+D424*'Stock Statistics'!$C$43+E424*'Stock Statistics'!$C$44+F424*'Stock Statistics'!$C$45+G424*'Stock Statistics'!$C$46+H424*'Stock Statistics'!$C$47+I424*'Stock Statistics'!$C$48+J424*'Stock Statistics'!$C$49+K424*'Stock Statistics'!$C$50,"")</f>
        <v>8.9948820114996901E-4</v>
      </c>
      <c r="M424" s="96">
        <v>401.58240000000001</v>
      </c>
      <c r="N424" s="97">
        <v>499.03919999999999</v>
      </c>
      <c r="O424" s="93">
        <f t="shared" si="18"/>
        <v>1.2059375909221348E-3</v>
      </c>
      <c r="P424" s="93">
        <f t="shared" si="19"/>
        <v>1.3893938919644633E-3</v>
      </c>
      <c r="Q424" s="93">
        <f>B424*'Portfolio 2 &amp; 3'!$F$7+C424*'Portfolio 2 &amp; 3'!$F$8+D424*'Portfolio 2 &amp; 3'!$F$9+E424*'Portfolio 2 &amp; 3'!$F$10+F424*'Portfolio 2 &amp; 3'!$F$11+G424*'Portfolio 2 &amp; 3'!$F$12+H424*'Portfolio 2 &amp; 3'!$F$13+I424*'Portfolio 2 &amp; 3'!$F$14+J424*'Portfolio 2 &amp; 3'!$F$15+K424*'Portfolio 2 &amp; 3'!$F$16</f>
        <v>1.4529987629457661E-3</v>
      </c>
      <c r="R424" s="93">
        <f>B424*'Portfolio 2 &amp; 3'!$B$23+C424*'Portfolio 2 &amp; 3'!$B$24+D424*'Portfolio 2 &amp; 3'!$B$25+E424*'Portfolio 2 &amp; 3'!$B$26+F424*'Portfolio 2 &amp; 3'!$B$27+G424*'Portfolio 2 &amp; 3'!$B$28+H424*'Portfolio 2 &amp; 3'!$B$29+I424*'Portfolio 2 &amp; 3'!$B$30+J424*'Portfolio 2 &amp; 3'!$B$31+K424*'Portfolio 2 &amp; 3'!$B$32</f>
        <v>1.5520574572045354E-3</v>
      </c>
      <c r="S424" s="93">
        <f t="shared" si="20"/>
        <v>1.297665741443299E-3</v>
      </c>
    </row>
    <row r="425" spans="1:19" ht="12.75" customHeight="1">
      <c r="A425" s="82">
        <v>45462</v>
      </c>
      <c r="B425" s="53">
        <v>-1.06E-2</v>
      </c>
      <c r="C425" s="53">
        <v>-2.4077594190183699E-2</v>
      </c>
      <c r="D425" s="53">
        <v>1.7598428419415502E-2</v>
      </c>
      <c r="E425" s="53">
        <v>5.7999999999999996E-3</v>
      </c>
      <c r="F425" s="53">
        <v>-5.0048658417907203E-3</v>
      </c>
      <c r="G425" s="53">
        <v>-9.5129178146281506E-3</v>
      </c>
      <c r="H425" s="87">
        <v>6.8081329135123402E-3</v>
      </c>
      <c r="I425" s="53">
        <v>1.8572158800476999E-2</v>
      </c>
      <c r="J425" s="53">
        <v>-2.4099121014563098E-2</v>
      </c>
      <c r="K425" s="53">
        <v>-5.7494775715083402E-4</v>
      </c>
      <c r="L425" s="95">
        <f>IFERROR(B425*'Stock Statistics'!$C$41+C425*'Stock Statistics'!$C$42+D425*'Stock Statistics'!$C$43+E425*'Stock Statistics'!$C$44+F425*'Stock Statistics'!$C$45+G425*'Stock Statistics'!$C$46+H425*'Stock Statistics'!$C$47+I425*'Stock Statistics'!$C$48+J425*'Stock Statistics'!$C$49+K425*'Stock Statistics'!$C$50,"")</f>
        <v>-2.5090726484911664E-3</v>
      </c>
      <c r="M425" s="97">
        <v>401.09870000000001</v>
      </c>
      <c r="N425" s="96">
        <v>498.34679999999997</v>
      </c>
      <c r="O425" s="93">
        <f t="shared" si="18"/>
        <v>-9.2982823210574495E-4</v>
      </c>
      <c r="P425" s="93">
        <f t="shared" si="19"/>
        <v>4.2679900344375632E-3</v>
      </c>
      <c r="Q425" s="93">
        <f>B425*'Portfolio 2 &amp; 3'!$F$7+C425*'Portfolio 2 &amp; 3'!$F$8+D425*'Portfolio 2 &amp; 3'!$F$9+E425*'Portfolio 2 &amp; 3'!$F$10+F425*'Portfolio 2 &amp; 3'!$F$11+G425*'Portfolio 2 &amp; 3'!$F$12+H425*'Portfolio 2 &amp; 3'!$F$13+I425*'Portfolio 2 &amp; 3'!$F$14+J425*'Portfolio 2 &amp; 3'!$F$15+K425*'Portfolio 2 &amp; 3'!$F$16</f>
        <v>-2.1684756047203498E-3</v>
      </c>
      <c r="R425" s="93">
        <f>B425*'Portfolio 2 &amp; 3'!$B$23+C425*'Portfolio 2 &amp; 3'!$B$24+D425*'Portfolio 2 &amp; 3'!$B$25+E425*'Portfolio 2 &amp; 3'!$B$26+F425*'Portfolio 2 &amp; 3'!$B$27+G425*'Portfolio 2 &amp; 3'!$B$28+H425*'Portfolio 2 &amp; 3'!$B$29+I425*'Portfolio 2 &amp; 3'!$B$30+J425*'Portfolio 2 &amp; 3'!$B$31+K425*'Portfolio 2 &amp; 3'!$B$32</f>
        <v>-3.5982001181200408E-3</v>
      </c>
      <c r="S425" s="93">
        <f t="shared" si="20"/>
        <v>1.6690809011659091E-3</v>
      </c>
    </row>
    <row r="426" spans="1:19" ht="12.75" customHeight="1">
      <c r="A426" s="81">
        <v>45461</v>
      </c>
      <c r="B426" s="53">
        <v>-9.7000000000000003E-3</v>
      </c>
      <c r="C426" s="53">
        <v>-5.6413388001977901E-3</v>
      </c>
      <c r="D426" s="53">
        <v>-1.6898688339904998E-2</v>
      </c>
      <c r="E426" s="53">
        <v>-1.213E-2</v>
      </c>
      <c r="F426" s="53">
        <v>-2.7578748141138299E-2</v>
      </c>
      <c r="G426" s="53">
        <v>-4.50317820461677E-4</v>
      </c>
      <c r="H426" s="87">
        <v>2.4512272925691901E-3</v>
      </c>
      <c r="I426" s="53">
        <v>-2.5492861998640498E-3</v>
      </c>
      <c r="J426" s="53">
        <v>-2.1361297213321499E-3</v>
      </c>
      <c r="K426" s="53">
        <v>4.0186054772926002E-3</v>
      </c>
      <c r="L426" s="95">
        <f>IFERROR(B426*'Stock Statistics'!$C$41+C426*'Stock Statistics'!$C$42+D426*'Stock Statistics'!$C$43+E426*'Stock Statistics'!$C$44+F426*'Stock Statistics'!$C$45+G426*'Stock Statistics'!$C$46+H426*'Stock Statistics'!$C$47+I426*'Stock Statistics'!$C$48+J426*'Stock Statistics'!$C$49+K426*'Stock Statistics'!$C$50,"")</f>
        <v>-7.0614676253037178E-3</v>
      </c>
      <c r="M426" s="96">
        <v>401.47199999999998</v>
      </c>
      <c r="N426" s="97">
        <v>496.22890000000001</v>
      </c>
      <c r="O426" s="93">
        <f t="shared" si="18"/>
        <v>-2.9290845629744711E-3</v>
      </c>
      <c r="P426" s="93">
        <f t="shared" si="19"/>
        <v>1.9812308063218431E-3</v>
      </c>
      <c r="Q426" s="93">
        <f>B426*'Portfolio 2 &amp; 3'!$F$7+C426*'Portfolio 2 &amp; 3'!$F$8+D426*'Portfolio 2 &amp; 3'!$F$9+E426*'Portfolio 2 &amp; 3'!$F$10+F426*'Portfolio 2 &amp; 3'!$F$11+G426*'Portfolio 2 &amp; 3'!$F$12+H426*'Portfolio 2 &amp; 3'!$F$13+I426*'Portfolio 2 &amp; 3'!$F$14+J426*'Portfolio 2 &amp; 3'!$F$15+K426*'Portfolio 2 &amp; 3'!$F$16</f>
        <v>-7.0043409398210738E-3</v>
      </c>
      <c r="R426" s="93">
        <f>B426*'Portfolio 2 &amp; 3'!$B$23+C426*'Portfolio 2 &amp; 3'!$B$24+D426*'Portfolio 2 &amp; 3'!$B$25+E426*'Portfolio 2 &amp; 3'!$B$26+F426*'Portfolio 2 &amp; 3'!$B$27+G426*'Portfolio 2 &amp; 3'!$B$28+H426*'Portfolio 2 &amp; 3'!$B$29+I426*'Portfolio 2 &amp; 3'!$B$30+J426*'Portfolio 2 &amp; 3'!$B$31+K426*'Portfolio 2 &amp; 3'!$B$32</f>
        <v>-7.27188523692451E-3</v>
      </c>
      <c r="S426" s="93">
        <f t="shared" si="20"/>
        <v>-4.7392687832631397E-4</v>
      </c>
    </row>
    <row r="427" spans="1:19" ht="12.75" customHeight="1">
      <c r="A427" s="82">
        <v>45457</v>
      </c>
      <c r="B427" s="53">
        <v>-5.4999999999999997E-3</v>
      </c>
      <c r="C427" s="53">
        <v>-5.1110446782452997E-3</v>
      </c>
      <c r="D427" s="53">
        <v>-1.29467831612391E-2</v>
      </c>
      <c r="E427" s="53">
        <v>-1.2E-2</v>
      </c>
      <c r="F427" s="53">
        <v>1.7469050894085399E-2</v>
      </c>
      <c r="G427" s="53">
        <v>1.6481038131916899E-3</v>
      </c>
      <c r="H427" s="87">
        <v>-5.8501982057167501E-3</v>
      </c>
      <c r="I427" s="53">
        <v>-2.1941489361702201E-2</v>
      </c>
      <c r="J427" s="53">
        <v>-9.5845621233491309E-3</v>
      </c>
      <c r="K427" s="53">
        <v>5.4356318503472299E-3</v>
      </c>
      <c r="L427" s="95">
        <f>IFERROR(B427*'Stock Statistics'!$C$41+C427*'Stock Statistics'!$C$42+D427*'Stock Statistics'!$C$43+E427*'Stock Statistics'!$C$44+F427*'Stock Statistics'!$C$45+G427*'Stock Statistics'!$C$46+H427*'Stock Statistics'!$C$47+I427*'Stock Statistics'!$C$48+J427*'Stock Statistics'!$C$49+K427*'Stock Statistics'!$C$50,"")</f>
        <v>-4.8381290972628168E-3</v>
      </c>
      <c r="M427" s="97">
        <v>402.65140000000002</v>
      </c>
      <c r="N427" s="96">
        <v>495.24770000000001</v>
      </c>
      <c r="O427" s="93">
        <f t="shared" si="18"/>
        <v>-1.2962145376437251E-3</v>
      </c>
      <c r="P427" s="93">
        <f t="shared" si="19"/>
        <v>-3.8183954009486376E-3</v>
      </c>
      <c r="Q427" s="93">
        <f>B427*'Portfolio 2 &amp; 3'!$F$7+C427*'Portfolio 2 &amp; 3'!$F$8+D427*'Portfolio 2 &amp; 3'!$F$9+E427*'Portfolio 2 &amp; 3'!$F$10+F427*'Portfolio 2 &amp; 3'!$F$11+G427*'Portfolio 2 &amp; 3'!$F$12+H427*'Portfolio 2 &amp; 3'!$F$13+I427*'Portfolio 2 &amp; 3'!$F$14+J427*'Portfolio 2 &amp; 3'!$F$15+K427*'Portfolio 2 &amp; 3'!$F$16</f>
        <v>-5.3563734812427655E-3</v>
      </c>
      <c r="R427" s="93">
        <f>B427*'Portfolio 2 &amp; 3'!$B$23+C427*'Portfolio 2 &amp; 3'!$B$24+D427*'Portfolio 2 &amp; 3'!$B$25+E427*'Portfolio 2 &amp; 3'!$B$26+F427*'Portfolio 2 &amp; 3'!$B$27+G427*'Portfolio 2 &amp; 3'!$B$28+H427*'Portfolio 2 &amp; 3'!$B$29+I427*'Portfolio 2 &amp; 3'!$B$30+J427*'Portfolio 2 &amp; 3'!$B$31+K427*'Portfolio 2 &amp; 3'!$B$32</f>
        <v>-4.4530635072320534E-3</v>
      </c>
      <c r="S427" s="93">
        <f t="shared" si="20"/>
        <v>-2.5573049692961813E-3</v>
      </c>
    </row>
    <row r="428" spans="1:19" ht="12.75" customHeight="1">
      <c r="A428" s="81">
        <v>45456</v>
      </c>
      <c r="B428" s="53">
        <v>2.0999999999999999E-3</v>
      </c>
      <c r="C428" s="53">
        <v>-6.3625300639127396E-3</v>
      </c>
      <c r="D428" s="53">
        <v>3.4671023791494901E-3</v>
      </c>
      <c r="E428" s="53">
        <v>-1.7090000000000001E-2</v>
      </c>
      <c r="F428" s="53">
        <v>-5.8799398331738102E-3</v>
      </c>
      <c r="G428" s="53">
        <v>2.5044349368672498E-3</v>
      </c>
      <c r="H428" s="87">
        <v>-1.54471878723143E-2</v>
      </c>
      <c r="I428" s="53">
        <v>-1.11443505703672E-2</v>
      </c>
      <c r="J428" s="53">
        <v>-9.52501905003811E-3</v>
      </c>
      <c r="K428" s="53">
        <v>-1.8578157519991301E-2</v>
      </c>
      <c r="L428" s="95">
        <f>IFERROR(B428*'Stock Statistics'!$C$41+C428*'Stock Statistics'!$C$42+D428*'Stock Statistics'!$C$43+E428*'Stock Statistics'!$C$44+F428*'Stock Statistics'!$C$45+G428*'Stock Statistics'!$C$46+H428*'Stock Statistics'!$C$47+I428*'Stock Statistics'!$C$48+J428*'Stock Statistics'!$C$49+K428*'Stock Statistics'!$C$50,"")</f>
        <v>-7.5955647593780734E-3</v>
      </c>
      <c r="M428" s="96">
        <v>403.17399999999998</v>
      </c>
      <c r="N428" s="97">
        <v>497.14600000000002</v>
      </c>
      <c r="O428" s="93">
        <f t="shared" si="18"/>
        <v>-1.2937943696784693E-3</v>
      </c>
      <c r="P428" s="93">
        <f t="shared" si="19"/>
        <v>1.1173747956889857E-2</v>
      </c>
      <c r="Q428" s="93">
        <f>B428*'Portfolio 2 &amp; 3'!$F$7+C428*'Portfolio 2 &amp; 3'!$F$8+D428*'Portfolio 2 &amp; 3'!$F$9+E428*'Portfolio 2 &amp; 3'!$F$10+F428*'Portfolio 2 &amp; 3'!$F$11+G428*'Portfolio 2 &amp; 3'!$F$12+H428*'Portfolio 2 &amp; 3'!$F$13+I428*'Portfolio 2 &amp; 3'!$F$14+J428*'Portfolio 2 &amp; 3'!$F$15+K428*'Portfolio 2 &amp; 3'!$F$16</f>
        <v>-8.0493016782538958E-3</v>
      </c>
      <c r="R428" s="93">
        <f>B428*'Portfolio 2 &amp; 3'!$B$23+C428*'Portfolio 2 &amp; 3'!$B$24+D428*'Portfolio 2 &amp; 3'!$B$25+E428*'Portfolio 2 &amp; 3'!$B$26+F428*'Portfolio 2 &amp; 3'!$B$27+G428*'Portfolio 2 &amp; 3'!$B$28+H428*'Portfolio 2 &amp; 3'!$B$29+I428*'Portfolio 2 &amp; 3'!$B$30+J428*'Portfolio 2 &amp; 3'!$B$31+K428*'Portfolio 2 &amp; 3'!$B$32</f>
        <v>-6.7125793365896058E-3</v>
      </c>
      <c r="S428" s="93">
        <f t="shared" si="20"/>
        <v>4.9399767936056938E-3</v>
      </c>
    </row>
    <row r="429" spans="1:19" ht="12.75" customHeight="1">
      <c r="A429" s="82">
        <v>45455</v>
      </c>
      <c r="B429" s="53">
        <v>-1.4999999999999999E-2</v>
      </c>
      <c r="C429" s="53">
        <v>2.2756005056889999E-2</v>
      </c>
      <c r="D429" s="53">
        <v>4.5638336202409296E-3</v>
      </c>
      <c r="E429" s="53">
        <v>-6.13E-3</v>
      </c>
      <c r="F429" s="53">
        <v>1.11536157072407E-2</v>
      </c>
      <c r="G429" s="53">
        <v>-6.4282011404872604E-3</v>
      </c>
      <c r="H429" s="87">
        <v>-1.73888793195376E-3</v>
      </c>
      <c r="I429" s="53">
        <v>3.2651715039577799E-3</v>
      </c>
      <c r="J429" s="53">
        <v>6.4227512382169002E-3</v>
      </c>
      <c r="K429" s="53">
        <v>-5.2521466242427799E-3</v>
      </c>
      <c r="L429" s="95">
        <f>IFERROR(B429*'Stock Statistics'!$C$41+C429*'Stock Statistics'!$C$42+D429*'Stock Statistics'!$C$43+E429*'Stock Statistics'!$C$44+F429*'Stock Statistics'!$C$45+G429*'Stock Statistics'!$C$46+H429*'Stock Statistics'!$C$47+I429*'Stock Statistics'!$C$48+J429*'Stock Statistics'!$C$49+K429*'Stock Statistics'!$C$50,"")</f>
        <v>1.3612141429862504E-3</v>
      </c>
      <c r="M429" s="97">
        <v>403.69630000000001</v>
      </c>
      <c r="N429" s="96">
        <v>491.6524</v>
      </c>
      <c r="O429" s="93">
        <f t="shared" si="18"/>
        <v>-6.6752917994966632E-3</v>
      </c>
      <c r="P429" s="93">
        <f t="shared" si="19"/>
        <v>1.6830936162397503E-2</v>
      </c>
      <c r="Q429" s="93">
        <f>B429*'Portfolio 2 &amp; 3'!$F$7+C429*'Portfolio 2 &amp; 3'!$F$8+D429*'Portfolio 2 &amp; 3'!$F$9+E429*'Portfolio 2 &amp; 3'!$F$10+F429*'Portfolio 2 &amp; 3'!$F$11+G429*'Portfolio 2 &amp; 3'!$F$12+H429*'Portfolio 2 &amp; 3'!$F$13+I429*'Portfolio 2 &amp; 3'!$F$14+J429*'Portfolio 2 &amp; 3'!$F$15+K429*'Portfolio 2 &amp; 3'!$F$16</f>
        <v>2.6807795624785085E-3</v>
      </c>
      <c r="R429" s="93">
        <f>B429*'Portfolio 2 &amp; 3'!$B$23+C429*'Portfolio 2 &amp; 3'!$B$24+D429*'Portfolio 2 &amp; 3'!$B$25+E429*'Portfolio 2 &amp; 3'!$B$26+F429*'Portfolio 2 &amp; 3'!$B$27+G429*'Portfolio 2 &amp; 3'!$B$28+H429*'Portfolio 2 &amp; 3'!$B$29+I429*'Portfolio 2 &amp; 3'!$B$30+J429*'Portfolio 2 &amp; 3'!$B$31+K429*'Portfolio 2 &amp; 3'!$B$32</f>
        <v>4.0010652984261803E-3</v>
      </c>
      <c r="S429" s="93">
        <f t="shared" si="20"/>
        <v>5.0778221814504199E-3</v>
      </c>
    </row>
    <row r="430" spans="1:19" ht="12.75" customHeight="1">
      <c r="A430" s="81">
        <v>45454</v>
      </c>
      <c r="B430" s="53">
        <v>1.6000000000000001E-3</v>
      </c>
      <c r="C430" s="53">
        <v>2.40682162013473E-3</v>
      </c>
      <c r="D430" s="53">
        <v>-6.4041368337310898E-3</v>
      </c>
      <c r="E430" s="53">
        <v>-9.6000000000000002E-4</v>
      </c>
      <c r="F430" s="53">
        <v>-1.1049215045347801E-3</v>
      </c>
      <c r="G430" s="53">
        <v>1.4907050157839399E-2</v>
      </c>
      <c r="H430" s="87">
        <v>5.9075420169800701E-3</v>
      </c>
      <c r="I430" s="53">
        <v>3.44188509398991E-3</v>
      </c>
      <c r="J430" s="53">
        <v>1.3078242853905801E-2</v>
      </c>
      <c r="K430" s="53">
        <v>-1.0667247197125901E-3</v>
      </c>
      <c r="L430" s="95">
        <f>IFERROR(B430*'Stock Statistics'!$C$41+C430*'Stock Statistics'!$C$42+D430*'Stock Statistics'!$C$43+E430*'Stock Statistics'!$C$44+F430*'Stock Statistics'!$C$45+G430*'Stock Statistics'!$C$46+H430*'Stock Statistics'!$C$47+I430*'Stock Statistics'!$C$48+J430*'Stock Statistics'!$C$49+K430*'Stock Statistics'!$C$50,"")</f>
        <v>3.1805758684871452E-3</v>
      </c>
      <c r="M430" s="96">
        <v>406.4092</v>
      </c>
      <c r="N430" s="97">
        <v>483.51440000000002</v>
      </c>
      <c r="O430" s="93">
        <f t="shared" si="18"/>
        <v>-2.2164826963114725E-3</v>
      </c>
      <c r="P430" s="93">
        <f t="shared" si="19"/>
        <v>-3.6968237729195774E-3</v>
      </c>
      <c r="Q430" s="93">
        <f>B430*'Portfolio 2 &amp; 3'!$F$7+C430*'Portfolio 2 &amp; 3'!$F$8+D430*'Portfolio 2 &amp; 3'!$F$9+E430*'Portfolio 2 &amp; 3'!$F$10+F430*'Portfolio 2 &amp; 3'!$F$11+G430*'Portfolio 2 &amp; 3'!$F$12+H430*'Portfolio 2 &amp; 3'!$F$13+I430*'Portfolio 2 &amp; 3'!$F$14+J430*'Portfolio 2 &amp; 3'!$F$15+K430*'Portfolio 2 &amp; 3'!$F$16</f>
        <v>3.1925960868807949E-3</v>
      </c>
      <c r="R430" s="93">
        <f>B430*'Portfolio 2 &amp; 3'!$B$23+C430*'Portfolio 2 &amp; 3'!$B$24+D430*'Portfolio 2 &amp; 3'!$B$25+E430*'Portfolio 2 &amp; 3'!$B$26+F430*'Portfolio 2 &amp; 3'!$B$27+G430*'Portfolio 2 &amp; 3'!$B$28+H430*'Portfolio 2 &amp; 3'!$B$29+I430*'Portfolio 2 &amp; 3'!$B$30+J430*'Portfolio 2 &amp; 3'!$B$31+K430*'Portfolio 2 &amp; 3'!$B$32</f>
        <v>3.3800756730059732E-3</v>
      </c>
      <c r="S430" s="93">
        <f t="shared" si="20"/>
        <v>-2.956653234615525E-3</v>
      </c>
    </row>
    <row r="431" spans="1:19" ht="12.75" customHeight="1">
      <c r="A431" s="82">
        <v>45453</v>
      </c>
      <c r="B431" s="53">
        <v>1.6E-2</v>
      </c>
      <c r="C431" s="53">
        <v>2.2843189381853701E-3</v>
      </c>
      <c r="D431" s="53">
        <v>6.2439961575409004E-3</v>
      </c>
      <c r="E431" s="53">
        <v>-1.197E-2</v>
      </c>
      <c r="F431" s="53">
        <v>2.8651259708278001E-2</v>
      </c>
      <c r="G431" s="53">
        <v>-4.5217269854570504E-3</v>
      </c>
      <c r="H431" s="87">
        <v>3.44413627519979E-3</v>
      </c>
      <c r="I431" s="53">
        <v>2.6213624448352402E-3</v>
      </c>
      <c r="J431" s="53">
        <v>2.33622116226995E-3</v>
      </c>
      <c r="K431" s="53">
        <v>3.1702359428167098E-2</v>
      </c>
      <c r="L431" s="95">
        <f>IFERROR(B431*'Stock Statistics'!$C$41+C431*'Stock Statistics'!$C$42+D431*'Stock Statistics'!$C$43+E431*'Stock Statistics'!$C$44+F431*'Stock Statistics'!$C$45+G431*'Stock Statistics'!$C$46+H431*'Stock Statistics'!$C$47+I431*'Stock Statistics'!$C$48+J431*'Stock Statistics'!$C$49+K431*'Stock Statistics'!$C$50,"")</f>
        <v>7.6791927129019315E-3</v>
      </c>
      <c r="M431" s="97">
        <v>407.31200000000001</v>
      </c>
      <c r="N431" s="96">
        <v>485.30849999999998</v>
      </c>
      <c r="O431" s="93">
        <f t="shared" si="18"/>
        <v>6.4103957920287336E-3</v>
      </c>
      <c r="P431" s="93">
        <f t="shared" si="19"/>
        <v>3.4010751563293251E-2</v>
      </c>
      <c r="Q431" s="93">
        <f>B431*'Portfolio 2 &amp; 3'!$F$7+C431*'Portfolio 2 &amp; 3'!$F$8+D431*'Portfolio 2 &amp; 3'!$F$9+E431*'Portfolio 2 &amp; 3'!$F$10+F431*'Portfolio 2 &amp; 3'!$F$11+G431*'Portfolio 2 &amp; 3'!$F$12+H431*'Portfolio 2 &amp; 3'!$F$13+I431*'Portfolio 2 &amp; 3'!$F$14+J431*'Portfolio 2 &amp; 3'!$F$15+K431*'Portfolio 2 &amp; 3'!$F$16</f>
        <v>7.5790522713164669E-3</v>
      </c>
      <c r="R431" s="93">
        <f>B431*'Portfolio 2 &amp; 3'!$B$23+C431*'Portfolio 2 &amp; 3'!$B$24+D431*'Portfolio 2 &amp; 3'!$B$25+E431*'Portfolio 2 &amp; 3'!$B$26+F431*'Portfolio 2 &amp; 3'!$B$27+G431*'Portfolio 2 &amp; 3'!$B$28+H431*'Portfolio 2 &amp; 3'!$B$29+I431*'Portfolio 2 &amp; 3'!$B$30+J431*'Portfolio 2 &amp; 3'!$B$31+K431*'Portfolio 2 &amp; 3'!$B$32</f>
        <v>1.0251842634057491E-2</v>
      </c>
      <c r="S431" s="93">
        <f t="shared" si="20"/>
        <v>2.0210573677660992E-2</v>
      </c>
    </row>
    <row r="432" spans="1:19" ht="12.75" customHeight="1">
      <c r="A432" s="81">
        <v>45450</v>
      </c>
      <c r="B432" s="53">
        <v>1.84E-2</v>
      </c>
      <c r="C432" s="53">
        <v>2.2203143965184901E-3</v>
      </c>
      <c r="D432" s="53">
        <v>-1.26072007271866E-2</v>
      </c>
      <c r="E432" s="53">
        <v>-1.5820000000000001E-2</v>
      </c>
      <c r="F432" s="53">
        <v>1.0334928229665001E-2</v>
      </c>
      <c r="G432" s="53">
        <v>6.6785005008875896E-3</v>
      </c>
      <c r="H432" s="87">
        <v>-1.0956167142962299E-2</v>
      </c>
      <c r="I432" s="53">
        <v>4.7341223537256099E-3</v>
      </c>
      <c r="J432" s="53">
        <v>6.9923215160920798E-3</v>
      </c>
      <c r="K432" s="53">
        <v>-5.1614921404550297E-3</v>
      </c>
      <c r="L432" s="95">
        <f>IFERROR(B432*'Stock Statistics'!$C$41+C432*'Stock Statistics'!$C$42+D432*'Stock Statistics'!$C$43+E432*'Stock Statistics'!$C$44+F432*'Stock Statistics'!$C$45+G432*'Stock Statistics'!$C$46+H432*'Stock Statistics'!$C$47+I432*'Stock Statistics'!$C$48+J432*'Stock Statistics'!$C$49+K432*'Stock Statistics'!$C$50,"")</f>
        <v>4.8153269862848396E-4</v>
      </c>
      <c r="M432" s="96">
        <v>404.7176</v>
      </c>
      <c r="N432" s="97">
        <v>469.34570000000002</v>
      </c>
      <c r="O432" s="93">
        <f t="shared" si="18"/>
        <v>8.0850032517858494E-3</v>
      </c>
      <c r="P432" s="93">
        <f t="shared" si="19"/>
        <v>-1.506036548551859E-2</v>
      </c>
      <c r="Q432" s="93">
        <f>B432*'Portfolio 2 &amp; 3'!$F$7+C432*'Portfolio 2 &amp; 3'!$F$8+D432*'Portfolio 2 &amp; 3'!$F$9+E432*'Portfolio 2 &amp; 3'!$F$10+F432*'Portfolio 2 &amp; 3'!$F$11+G432*'Portfolio 2 &amp; 3'!$F$12+H432*'Portfolio 2 &amp; 3'!$F$13+I432*'Portfolio 2 &amp; 3'!$F$14+J432*'Portfolio 2 &amp; 3'!$F$15+K432*'Portfolio 2 &amp; 3'!$F$16</f>
        <v>-7.4118534902451556E-4</v>
      </c>
      <c r="R432" s="93">
        <f>B432*'Portfolio 2 &amp; 3'!$B$23+C432*'Portfolio 2 &amp; 3'!$B$24+D432*'Portfolio 2 &amp; 3'!$B$25+E432*'Portfolio 2 &amp; 3'!$B$26+F432*'Portfolio 2 &amp; 3'!$B$27+G432*'Portfolio 2 &amp; 3'!$B$28+H432*'Portfolio 2 &amp; 3'!$B$29+I432*'Portfolio 2 &amp; 3'!$B$30+J432*'Portfolio 2 &amp; 3'!$B$31+K432*'Portfolio 2 &amp; 3'!$B$32</f>
        <v>5.7107105357665309E-3</v>
      </c>
      <c r="S432" s="93">
        <f t="shared" si="20"/>
        <v>-3.4876811168663702E-3</v>
      </c>
    </row>
    <row r="433" spans="1:19" ht="12.75" customHeight="1">
      <c r="A433" s="82">
        <v>45449</v>
      </c>
      <c r="B433" s="53">
        <v>-1.7299999999999999E-2</v>
      </c>
      <c r="C433" s="53">
        <v>7.0957932083124398E-3</v>
      </c>
      <c r="D433" s="53">
        <v>1.10684887716777E-2</v>
      </c>
      <c r="E433" s="53">
        <v>-5.9899999999999997E-3</v>
      </c>
      <c r="F433" s="53">
        <v>-3.480665617699E-3</v>
      </c>
      <c r="G433" s="53">
        <v>2.2627606038820899E-2</v>
      </c>
      <c r="H433" s="87">
        <v>7.3994027683830198E-3</v>
      </c>
      <c r="I433" s="53">
        <v>-8.8229462692485106E-3</v>
      </c>
      <c r="J433" s="53">
        <v>-2.6071370376405901E-3</v>
      </c>
      <c r="K433" s="53">
        <v>-1.3403141361256501E-2</v>
      </c>
      <c r="L433" s="95">
        <f>IFERROR(B433*'Stock Statistics'!$C$41+C433*'Stock Statistics'!$C$42+D433*'Stock Statistics'!$C$43+E433*'Stock Statistics'!$C$44+F433*'Stock Statistics'!$C$45+G433*'Stock Statistics'!$C$46+H433*'Stock Statistics'!$C$47+I433*'Stock Statistics'!$C$48+J433*'Stock Statistics'!$C$49+K433*'Stock Statistics'!$C$50,"")</f>
        <v>-3.4125994986505402E-4</v>
      </c>
      <c r="M433" s="97">
        <v>401.4717</v>
      </c>
      <c r="N433" s="96">
        <v>476.52229999999997</v>
      </c>
      <c r="O433" s="93">
        <f t="shared" si="18"/>
        <v>8.1828025791210734E-3</v>
      </c>
      <c r="P433" s="93">
        <f t="shared" si="19"/>
        <v>2.9766121829077896E-4</v>
      </c>
      <c r="Q433" s="93">
        <f>B433*'Portfolio 2 &amp; 3'!$F$7+C433*'Portfolio 2 &amp; 3'!$F$8+D433*'Portfolio 2 &amp; 3'!$F$9+E433*'Portfolio 2 &amp; 3'!$F$10+F433*'Portfolio 2 &amp; 3'!$F$11+G433*'Portfolio 2 &amp; 3'!$F$12+H433*'Portfolio 2 &amp; 3'!$F$13+I433*'Portfolio 2 &amp; 3'!$F$14+J433*'Portfolio 2 &amp; 3'!$F$15+K433*'Portfolio 2 &amp; 3'!$F$16</f>
        <v>4.7749747597313472E-4</v>
      </c>
      <c r="R433" s="93">
        <f>B433*'Portfolio 2 &amp; 3'!$B$23+C433*'Portfolio 2 &amp; 3'!$B$24+D433*'Portfolio 2 &amp; 3'!$B$25+E433*'Portfolio 2 &amp; 3'!$B$26+F433*'Portfolio 2 &amp; 3'!$B$27+G433*'Portfolio 2 &amp; 3'!$B$28+H433*'Portfolio 2 &amp; 3'!$B$29+I433*'Portfolio 2 &amp; 3'!$B$30+J433*'Portfolio 2 &amp; 3'!$B$31+K433*'Portfolio 2 &amp; 3'!$B$32</f>
        <v>-2.1874834201211567E-3</v>
      </c>
      <c r="S433" s="93">
        <f t="shared" si="20"/>
        <v>4.2402318987059262E-3</v>
      </c>
    </row>
    <row r="434" spans="1:19" ht="12.75" customHeight="1">
      <c r="A434" s="81">
        <v>45448</v>
      </c>
      <c r="B434" s="53">
        <v>4.4900000000000002E-2</v>
      </c>
      <c r="C434" s="53">
        <v>1.5142955146183299E-2</v>
      </c>
      <c r="D434" s="53">
        <v>-1.1923562855338E-2</v>
      </c>
      <c r="E434" s="53">
        <v>1.6000000000000001E-3</v>
      </c>
      <c r="F434" s="53">
        <v>4.4888401753686802E-2</v>
      </c>
      <c r="G434" s="53">
        <v>5.7545676881010099E-4</v>
      </c>
      <c r="H434" s="87">
        <v>2.8917237457455999E-2</v>
      </c>
      <c r="I434" s="53">
        <v>4.1477253873976102E-3</v>
      </c>
      <c r="J434" s="53">
        <v>2.47119719485724E-2</v>
      </c>
      <c r="K434" s="53">
        <v>2.6966987544345699E-3</v>
      </c>
      <c r="L434" s="95">
        <f>IFERROR(B434*'Stock Statistics'!$C$41+C434*'Stock Statistics'!$C$42+D434*'Stock Statistics'!$C$43+E434*'Stock Statistics'!$C$44+F434*'Stock Statistics'!$C$45+G434*'Stock Statistics'!$C$46+H434*'Stock Statistics'!$C$47+I434*'Stock Statistics'!$C$48+J434*'Stock Statistics'!$C$49+K434*'Stock Statistics'!$C$50,"")</f>
        <v>1.556568843612028E-2</v>
      </c>
      <c r="M434" s="96">
        <v>398.21319999999997</v>
      </c>
      <c r="N434" s="97">
        <v>476.38049999999998</v>
      </c>
      <c r="O434" s="93">
        <f t="shared" si="18"/>
        <v>-2.6945388692054539E-3</v>
      </c>
      <c r="P434" s="93">
        <f t="shared" si="19"/>
        <v>-8.7542331876888646E-4</v>
      </c>
      <c r="Q434" s="93">
        <f>B434*'Portfolio 2 &amp; 3'!$F$7+C434*'Portfolio 2 &amp; 3'!$F$8+D434*'Portfolio 2 &amp; 3'!$F$9+E434*'Portfolio 2 &amp; 3'!$F$10+F434*'Portfolio 2 &amp; 3'!$F$11+G434*'Portfolio 2 &amp; 3'!$F$12+H434*'Portfolio 2 &amp; 3'!$F$13+I434*'Portfolio 2 &amp; 3'!$F$14+J434*'Portfolio 2 &amp; 3'!$F$15+K434*'Portfolio 2 &amp; 3'!$F$16</f>
        <v>1.6535326167283204E-2</v>
      </c>
      <c r="R434" s="93">
        <f>B434*'Portfolio 2 &amp; 3'!$B$23+C434*'Portfolio 2 &amp; 3'!$B$24+D434*'Portfolio 2 &amp; 3'!$B$25+E434*'Portfolio 2 &amp; 3'!$B$26+F434*'Portfolio 2 &amp; 3'!$B$27+G434*'Portfolio 2 &amp; 3'!$B$28+H434*'Portfolio 2 &amp; 3'!$B$29+I434*'Portfolio 2 &amp; 3'!$B$30+J434*'Portfolio 2 &amp; 3'!$B$31+K434*'Portfolio 2 &amp; 3'!$B$32</f>
        <v>1.8844234080635139E-2</v>
      </c>
      <c r="S434" s="93">
        <f t="shared" si="20"/>
        <v>-1.7849810939871702E-3</v>
      </c>
    </row>
    <row r="435" spans="1:19" ht="12.75" customHeight="1">
      <c r="A435" s="82">
        <v>45447</v>
      </c>
      <c r="B435" s="53">
        <v>1.35E-2</v>
      </c>
      <c r="C435" s="53">
        <v>2.0908004778972498E-2</v>
      </c>
      <c r="D435" s="53">
        <v>5.7669019083810301E-2</v>
      </c>
      <c r="E435" s="53">
        <v>-2.2950000000000002E-2</v>
      </c>
      <c r="F435" s="53">
        <v>-2.7754904335190098E-2</v>
      </c>
      <c r="G435" s="53">
        <v>3.2071269487750499E-2</v>
      </c>
      <c r="H435" s="87">
        <v>1.1469484817526999E-2</v>
      </c>
      <c r="I435" s="53">
        <v>2.31887010253276E-2</v>
      </c>
      <c r="J435" s="53">
        <v>1.37102234258633E-2</v>
      </c>
      <c r="K435" s="53">
        <v>1.6891815954505701E-2</v>
      </c>
      <c r="L435" s="95">
        <f>IFERROR(B435*'Stock Statistics'!$C$41+C435*'Stock Statistics'!$C$42+D435*'Stock Statistics'!$C$43+E435*'Stock Statistics'!$C$44+F435*'Stock Statistics'!$C$45+G435*'Stock Statistics'!$C$46+H435*'Stock Statistics'!$C$47+I435*'Stock Statistics'!$C$48+J435*'Stock Statistics'!$C$49+K435*'Stock Statistics'!$C$50,"")</f>
        <v>1.3870361423856682E-2</v>
      </c>
      <c r="M435" s="97">
        <v>399.28910000000002</v>
      </c>
      <c r="N435" s="96">
        <v>476.79790000000003</v>
      </c>
      <c r="O435" s="93">
        <f t="shared" si="18"/>
        <v>8.2821287277849986E-3</v>
      </c>
      <c r="P435" s="93">
        <f t="shared" si="19"/>
        <v>-1.0823111655492657E-2</v>
      </c>
      <c r="Q435" s="93">
        <f>B435*'Portfolio 2 &amp; 3'!$F$7+C435*'Portfolio 2 &amp; 3'!$F$8+D435*'Portfolio 2 &amp; 3'!$F$9+E435*'Portfolio 2 &amp; 3'!$F$10+F435*'Portfolio 2 &amp; 3'!$F$11+G435*'Portfolio 2 &amp; 3'!$F$12+H435*'Portfolio 2 &amp; 3'!$F$13+I435*'Portfolio 2 &amp; 3'!$F$14+J435*'Portfolio 2 &amp; 3'!$F$15+K435*'Portfolio 2 &amp; 3'!$F$16</f>
        <v>1.5006735891248596E-2</v>
      </c>
      <c r="R435" s="93">
        <f>B435*'Portfolio 2 &amp; 3'!$B$23+C435*'Portfolio 2 &amp; 3'!$B$24+D435*'Portfolio 2 &amp; 3'!$B$25+E435*'Portfolio 2 &amp; 3'!$B$26+F435*'Portfolio 2 &amp; 3'!$B$27+G435*'Portfolio 2 &amp; 3'!$B$28+H435*'Portfolio 2 &amp; 3'!$B$29+I435*'Portfolio 2 &amp; 3'!$B$30+J435*'Portfolio 2 &amp; 3'!$B$31+K435*'Portfolio 2 &amp; 3'!$B$32</f>
        <v>1.3591359898379066E-2</v>
      </c>
      <c r="S435" s="93">
        <f t="shared" si="20"/>
        <v>-1.2704914638538289E-3</v>
      </c>
    </row>
    <row r="436" spans="1:19" ht="12.75" customHeight="1">
      <c r="A436" s="81">
        <v>45446</v>
      </c>
      <c r="B436" s="53">
        <v>2.0999999999999999E-3</v>
      </c>
      <c r="C436" s="53">
        <v>6.1034371988437598E-3</v>
      </c>
      <c r="D436" s="53">
        <v>-2.4482646244093399E-2</v>
      </c>
      <c r="E436" s="53">
        <v>2.7119999999999998E-2</v>
      </c>
      <c r="F436" s="53">
        <v>3.2095185722141699E-2</v>
      </c>
      <c r="G436" s="53">
        <v>5.99339046658831E-3</v>
      </c>
      <c r="H436" s="87">
        <v>1.6289174286312501E-2</v>
      </c>
      <c r="I436" s="53">
        <v>-9.8164459086935701E-3</v>
      </c>
      <c r="J436" s="53">
        <v>-1.33270984334815E-2</v>
      </c>
      <c r="K436" s="53">
        <v>-1.1948386523641399E-2</v>
      </c>
      <c r="L436" s="95">
        <f>IFERROR(B436*'Stock Statistics'!$C$41+C436*'Stock Statistics'!$C$42+D436*'Stock Statistics'!$C$43+E436*'Stock Statistics'!$C$44+F436*'Stock Statistics'!$C$45+G436*'Stock Statistics'!$C$46+H436*'Stock Statistics'!$C$47+I436*'Stock Statistics'!$C$48+J436*'Stock Statistics'!$C$49+K436*'Stock Statistics'!$C$50,"")</f>
        <v>3.0126610563976398E-3</v>
      </c>
      <c r="M436" s="96">
        <v>396.0093</v>
      </c>
      <c r="N436" s="97">
        <v>482.01479999999998</v>
      </c>
      <c r="O436" s="93">
        <f t="shared" si="18"/>
        <v>1.164643378737984E-2</v>
      </c>
      <c r="P436" s="93">
        <f t="shared" si="19"/>
        <v>3.8196037450066722E-3</v>
      </c>
      <c r="Q436" s="93">
        <f>B436*'Portfolio 2 &amp; 3'!$F$7+C436*'Portfolio 2 &amp; 3'!$F$8+D436*'Portfolio 2 &amp; 3'!$F$9+E436*'Portfolio 2 &amp; 3'!$F$10+F436*'Portfolio 2 &amp; 3'!$F$11+G436*'Portfolio 2 &amp; 3'!$F$12+H436*'Portfolio 2 &amp; 3'!$F$13+I436*'Portfolio 2 &amp; 3'!$F$14+J436*'Portfolio 2 &amp; 3'!$F$15+K436*'Portfolio 2 &amp; 3'!$F$16</f>
        <v>2.0262637883938324E-3</v>
      </c>
      <c r="R436" s="93">
        <f>B436*'Portfolio 2 &amp; 3'!$B$23+C436*'Portfolio 2 &amp; 3'!$B$24+D436*'Portfolio 2 &amp; 3'!$B$25+E436*'Portfolio 2 &amp; 3'!$B$26+F436*'Portfolio 2 &amp; 3'!$B$27+G436*'Portfolio 2 &amp; 3'!$B$28+H436*'Portfolio 2 &amp; 3'!$B$29+I436*'Portfolio 2 &amp; 3'!$B$30+J436*'Portfolio 2 &amp; 3'!$B$31+K436*'Portfolio 2 &amp; 3'!$B$32</f>
        <v>3.4120170454992388E-3</v>
      </c>
      <c r="S436" s="93">
        <f t="shared" si="20"/>
        <v>7.7330187661932559E-3</v>
      </c>
    </row>
    <row r="437" spans="1:19" ht="12.75" customHeight="1">
      <c r="A437" s="82">
        <v>45443</v>
      </c>
      <c r="B437" s="53">
        <v>-4.0000000000000001E-3</v>
      </c>
      <c r="C437" s="53">
        <v>2.4785226560757798E-2</v>
      </c>
      <c r="D437" s="53">
        <v>3.5169098422872497E-2</v>
      </c>
      <c r="E437" s="53">
        <v>-1.281E-2</v>
      </c>
      <c r="F437" s="53">
        <v>-2.3243322427853E-2</v>
      </c>
      <c r="G437" s="53">
        <v>-6.71352534263103E-3</v>
      </c>
      <c r="H437" s="87">
        <v>-9.0778621202427506E-3</v>
      </c>
      <c r="I437" s="53">
        <v>4.0179039759415301E-2</v>
      </c>
      <c r="J437" s="53">
        <v>2.3520563399541901E-2</v>
      </c>
      <c r="K437" s="53">
        <v>4.1291352057629897E-2</v>
      </c>
      <c r="L437" s="95">
        <f>IFERROR(B437*'Stock Statistics'!$C$41+C437*'Stock Statistics'!$C$42+D437*'Stock Statistics'!$C$43+E437*'Stock Statistics'!$C$44+F437*'Stock Statistics'!$C$45+G437*'Stock Statistics'!$C$46+H437*'Stock Statistics'!$C$47+I437*'Stock Statistics'!$C$48+J437*'Stock Statistics'!$C$49+K437*'Stock Statistics'!$C$50,"")</f>
        <v>1.091005703094906E-2</v>
      </c>
      <c r="M437" s="97">
        <v>391.45030000000003</v>
      </c>
      <c r="N437" s="96">
        <v>480.1807</v>
      </c>
      <c r="O437" s="93">
        <f t="shared" si="18"/>
        <v>1.4869998653521677E-4</v>
      </c>
      <c r="P437" s="93">
        <f t="shared" si="19"/>
        <v>7.1461648081916351E-4</v>
      </c>
      <c r="Q437" s="93">
        <f>B437*'Portfolio 2 &amp; 3'!$F$7+C437*'Portfolio 2 &amp; 3'!$F$8+D437*'Portfolio 2 &amp; 3'!$F$9+E437*'Portfolio 2 &amp; 3'!$F$10+F437*'Portfolio 2 &amp; 3'!$F$11+G437*'Portfolio 2 &amp; 3'!$F$12+H437*'Portfolio 2 &amp; 3'!$F$13+I437*'Portfolio 2 &amp; 3'!$F$14+J437*'Portfolio 2 &amp; 3'!$F$15+K437*'Portfolio 2 &amp; 3'!$F$16</f>
        <v>1.1731460355403598E-2</v>
      </c>
      <c r="R437" s="93">
        <f>B437*'Portfolio 2 &amp; 3'!$B$23+C437*'Portfolio 2 &amp; 3'!$B$24+D437*'Portfolio 2 &amp; 3'!$B$25+E437*'Portfolio 2 &amp; 3'!$B$26+F437*'Portfolio 2 &amp; 3'!$B$27+G437*'Portfolio 2 &amp; 3'!$B$28+H437*'Portfolio 2 &amp; 3'!$B$29+I437*'Portfolio 2 &amp; 3'!$B$30+J437*'Portfolio 2 &amp; 3'!$B$31+K437*'Portfolio 2 &amp; 3'!$B$32</f>
        <v>1.4354561554442558E-2</v>
      </c>
      <c r="S437" s="93">
        <f t="shared" si="20"/>
        <v>4.3165823367719014E-4</v>
      </c>
    </row>
    <row r="438" spans="1:19" ht="12.75" customHeight="1">
      <c r="A438" s="81">
        <v>45442</v>
      </c>
      <c r="B438" s="53">
        <v>-6.7999999999999996E-3</v>
      </c>
      <c r="C438" s="53">
        <v>-2.3568569710292302E-2</v>
      </c>
      <c r="D438" s="53">
        <v>-1.2328196584756399E-2</v>
      </c>
      <c r="E438" s="53">
        <v>-1.9130000000000001E-2</v>
      </c>
      <c r="F438" s="53">
        <v>-1.9909069155300201E-2</v>
      </c>
      <c r="G438" s="53">
        <v>1.42961945787326E-2</v>
      </c>
      <c r="H438" s="87">
        <v>-1.4762122637844699E-3</v>
      </c>
      <c r="I438" s="53">
        <v>-1.59664154709061E-2</v>
      </c>
      <c r="J438" s="53">
        <v>7.0231004923055904E-3</v>
      </c>
      <c r="K438" s="53">
        <v>5.2060436382150898E-4</v>
      </c>
      <c r="L438" s="95">
        <f>IFERROR(B438*'Stock Statistics'!$C$41+C438*'Stock Statistics'!$C$42+D438*'Stock Statistics'!$C$43+E438*'Stock Statistics'!$C$44+F438*'Stock Statistics'!$C$45+G438*'Stock Statistics'!$C$46+H438*'Stock Statistics'!$C$47+I438*'Stock Statistics'!$C$48+J438*'Stock Statistics'!$C$49+K438*'Stock Statistics'!$C$50,"")</f>
        <v>-7.7338563750179766E-3</v>
      </c>
      <c r="M438" s="96">
        <v>391.39210000000003</v>
      </c>
      <c r="N438" s="97">
        <v>479.83780000000002</v>
      </c>
      <c r="O438" s="93">
        <f t="shared" si="18"/>
        <v>3.2122222192921601E-2</v>
      </c>
      <c r="P438" s="93">
        <f t="shared" si="19"/>
        <v>-5.1386787117679855E-4</v>
      </c>
      <c r="Q438" s="93">
        <f>B438*'Portfolio 2 &amp; 3'!$F$7+C438*'Portfolio 2 &amp; 3'!$F$8+D438*'Portfolio 2 &amp; 3'!$F$9+E438*'Portfolio 2 &amp; 3'!$F$10+F438*'Portfolio 2 &amp; 3'!$F$11+G438*'Portfolio 2 &amp; 3'!$F$12+H438*'Portfolio 2 &amp; 3'!$F$13+I438*'Portfolio 2 &amp; 3'!$F$14+J438*'Portfolio 2 &amp; 3'!$F$15+K438*'Portfolio 2 &amp; 3'!$F$16</f>
        <v>-7.5789766292768462E-3</v>
      </c>
      <c r="R438" s="93">
        <f>B438*'Portfolio 2 &amp; 3'!$B$23+C438*'Portfolio 2 &amp; 3'!$B$24+D438*'Portfolio 2 &amp; 3'!$B$25+E438*'Portfolio 2 &amp; 3'!$B$26+F438*'Portfolio 2 &amp; 3'!$B$27+G438*'Portfolio 2 &amp; 3'!$B$28+H438*'Portfolio 2 &amp; 3'!$B$29+I438*'Portfolio 2 &amp; 3'!$B$30+J438*'Portfolio 2 &amp; 3'!$B$31+K438*'Portfolio 2 &amp; 3'!$B$32</f>
        <v>-1.0950534822379248E-2</v>
      </c>
      <c r="S438" s="93">
        <f t="shared" si="20"/>
        <v>1.5804177160872401E-2</v>
      </c>
    </row>
    <row r="439" spans="1:19" ht="12.75" customHeight="1">
      <c r="A439" s="82">
        <v>45441</v>
      </c>
      <c r="B439" s="53">
        <v>9.1000000000000004E-3</v>
      </c>
      <c r="C439" s="53">
        <v>2.4218108492970502E-3</v>
      </c>
      <c r="D439" s="53">
        <v>-1.5095577980146199E-2</v>
      </c>
      <c r="E439" s="53">
        <v>1.65E-3</v>
      </c>
      <c r="F439" s="53">
        <v>-7.7876442376181298E-3</v>
      </c>
      <c r="G439" s="53">
        <v>-2.0687495394591301E-2</v>
      </c>
      <c r="H439" s="87">
        <v>-1.39433922111086E-2</v>
      </c>
      <c r="I439" s="53">
        <v>-4.6239210850801396E-3</v>
      </c>
      <c r="J439" s="53">
        <v>3.5585959093420399E-3</v>
      </c>
      <c r="K439" s="53">
        <v>3.4128900445764602E-3</v>
      </c>
      <c r="L439" s="95">
        <f>IFERROR(B439*'Stock Statistics'!$C$41+C439*'Stock Statistics'!$C$42+D439*'Stock Statistics'!$C$43+E439*'Stock Statistics'!$C$44+F439*'Stock Statistics'!$C$45+G439*'Stock Statistics'!$C$46+H439*'Stock Statistics'!$C$47+I439*'Stock Statistics'!$C$48+J439*'Stock Statistics'!$C$49+K439*'Stock Statistics'!$C$50,"")</f>
        <v>-4.1994734105328824E-3</v>
      </c>
      <c r="M439" s="97">
        <v>379.21100000000001</v>
      </c>
      <c r="N439" s="96">
        <v>480.08449999999999</v>
      </c>
      <c r="O439" s="93">
        <f t="shared" si="18"/>
        <v>-1.30599199956275E-2</v>
      </c>
      <c r="P439" s="93">
        <f t="shared" si="19"/>
        <v>-6.1728573960018185E-3</v>
      </c>
      <c r="Q439" s="93">
        <f>B439*'Portfolio 2 &amp; 3'!$F$7+C439*'Portfolio 2 &amp; 3'!$F$8+D439*'Portfolio 2 &amp; 3'!$F$9+E439*'Portfolio 2 &amp; 3'!$F$10+F439*'Portfolio 2 &amp; 3'!$F$11+G439*'Portfolio 2 &amp; 3'!$F$12+H439*'Portfolio 2 &amp; 3'!$F$13+I439*'Portfolio 2 &amp; 3'!$F$14+J439*'Portfolio 2 &amp; 3'!$F$15+K439*'Portfolio 2 &amp; 3'!$F$16</f>
        <v>-4.8694773639554228E-3</v>
      </c>
      <c r="R439" s="93">
        <f>B439*'Portfolio 2 &amp; 3'!$B$23+C439*'Portfolio 2 &amp; 3'!$B$24+D439*'Portfolio 2 &amp; 3'!$B$25+E439*'Portfolio 2 &amp; 3'!$B$26+F439*'Portfolio 2 &amp; 3'!$B$27+G439*'Portfolio 2 &amp; 3'!$B$28+H439*'Portfolio 2 &amp; 3'!$B$29+I439*'Portfolio 2 &amp; 3'!$B$30+J439*'Portfolio 2 &amp; 3'!$B$31+K439*'Portfolio 2 &amp; 3'!$B$32</f>
        <v>-3.0957154171030142E-3</v>
      </c>
      <c r="S439" s="93">
        <f t="shared" si="20"/>
        <v>-9.6163886958146594E-3</v>
      </c>
    </row>
    <row r="440" spans="1:19" ht="12.75" customHeight="1">
      <c r="A440" s="81">
        <v>45440</v>
      </c>
      <c r="B440" s="53">
        <v>-1.1900000000000001E-2</v>
      </c>
      <c r="C440" s="53">
        <v>-2.7563273227136802E-2</v>
      </c>
      <c r="D440" s="53">
        <v>-1.71990171990166E-3</v>
      </c>
      <c r="E440" s="53">
        <v>-1.4999999999999999E-2</v>
      </c>
      <c r="F440" s="53">
        <v>-5.2432687765705498E-3</v>
      </c>
      <c r="G440" s="53">
        <v>1.7812277346533199E-2</v>
      </c>
      <c r="H440" s="87">
        <v>-2.1164021164021201E-2</v>
      </c>
      <c r="I440" s="53">
        <v>4.7974778973336501E-4</v>
      </c>
      <c r="J440" s="53">
        <v>-1.32278739942724E-2</v>
      </c>
      <c r="K440" s="53">
        <v>-2.3930384336475801E-2</v>
      </c>
      <c r="L440" s="95">
        <f>IFERROR(B440*'Stock Statistics'!$C$41+C440*'Stock Statistics'!$C$42+D440*'Stock Statistics'!$C$43+E440*'Stock Statistics'!$C$44+F440*'Stock Statistics'!$C$45+G440*'Stock Statistics'!$C$46+H440*'Stock Statistics'!$C$47+I440*'Stock Statistics'!$C$48+J440*'Stock Statistics'!$C$49+K440*'Stock Statistics'!$C$50,"")</f>
        <v>-1.0145669808211185E-2</v>
      </c>
      <c r="M440" s="96">
        <v>384.22899999999998</v>
      </c>
      <c r="N440" s="97">
        <v>483.06639999999999</v>
      </c>
      <c r="O440" s="93">
        <f t="shared" si="18"/>
        <v>1.3635446740705159E-3</v>
      </c>
      <c r="P440" s="93">
        <f t="shared" si="19"/>
        <v>-1.1802235229217972E-3</v>
      </c>
      <c r="Q440" s="93">
        <f>B440*'Portfolio 2 &amp; 3'!$F$7+C440*'Portfolio 2 &amp; 3'!$F$8+D440*'Portfolio 2 &amp; 3'!$F$9+E440*'Portfolio 2 &amp; 3'!$F$10+F440*'Portfolio 2 &amp; 3'!$F$11+G440*'Portfolio 2 &amp; 3'!$F$12+H440*'Portfolio 2 &amp; 3'!$F$13+I440*'Portfolio 2 &amp; 3'!$F$14+J440*'Portfolio 2 &amp; 3'!$F$15+K440*'Portfolio 2 &amp; 3'!$F$16</f>
        <v>-1.1586977922205784E-2</v>
      </c>
      <c r="R440" s="93">
        <f>B440*'Portfolio 2 &amp; 3'!$B$23+C440*'Portfolio 2 &amp; 3'!$B$24+D440*'Portfolio 2 &amp; 3'!$B$25+E440*'Portfolio 2 &amp; 3'!$B$26+F440*'Portfolio 2 &amp; 3'!$B$27+G440*'Portfolio 2 &amp; 3'!$B$28+H440*'Portfolio 2 &amp; 3'!$B$29+I440*'Portfolio 2 &amp; 3'!$B$30+J440*'Portfolio 2 &amp; 3'!$B$31+K440*'Portfolio 2 &amp; 3'!$B$32</f>
        <v>-8.8246450106208157E-3</v>
      </c>
      <c r="S440" s="93">
        <f t="shared" si="20"/>
        <v>9.166057557435936E-5</v>
      </c>
    </row>
    <row r="441" spans="1:19" ht="12.75" customHeight="1">
      <c r="A441" s="82">
        <v>45439</v>
      </c>
      <c r="B441" s="53">
        <v>2E-3</v>
      </c>
      <c r="C441" s="53">
        <v>-5.9981567520831502E-2</v>
      </c>
      <c r="D441" s="53">
        <v>2.0604338195344199E-2</v>
      </c>
      <c r="E441" s="53">
        <v>6.0000000000000002E-5</v>
      </c>
      <c r="F441" s="53">
        <v>-1.62639405204461E-2</v>
      </c>
      <c r="G441" s="53">
        <v>4.31221165615292E-3</v>
      </c>
      <c r="H441" s="87">
        <v>5.9427019596667296E-3</v>
      </c>
      <c r="I441" s="53">
        <v>-1.34216843030529E-2</v>
      </c>
      <c r="J441" s="53">
        <v>-1.8044256971644801E-2</v>
      </c>
      <c r="K441" s="53">
        <v>-7.9136690647481096E-3</v>
      </c>
      <c r="L441" s="95">
        <f>IFERROR(B441*'Stock Statistics'!$C$41+C441*'Stock Statistics'!$C$42+D441*'Stock Statistics'!$C$43+E441*'Stock Statistics'!$C$44+F441*'Stock Statistics'!$C$45+G441*'Stock Statistics'!$C$46+H441*'Stock Statistics'!$C$47+I441*'Stock Statistics'!$C$48+J441*'Stock Statistics'!$C$49+K441*'Stock Statistics'!$C$50,"")</f>
        <v>-8.2705866569559548E-3</v>
      </c>
      <c r="M441" s="97">
        <v>383.70580000000001</v>
      </c>
      <c r="N441" s="96">
        <v>483.63720000000001</v>
      </c>
      <c r="O441" s="93">
        <f t="shared" si="18"/>
        <v>-5.7071720389267888E-5</v>
      </c>
      <c r="P441" s="93">
        <f t="shared" si="19"/>
        <v>1.4874133110134302E-3</v>
      </c>
      <c r="Q441" s="93">
        <f>B441*'Portfolio 2 &amp; 3'!$F$7+C441*'Portfolio 2 &amp; 3'!$F$8+D441*'Portfolio 2 &amp; 3'!$F$9+E441*'Portfolio 2 &amp; 3'!$F$10+F441*'Portfolio 2 &amp; 3'!$F$11+G441*'Portfolio 2 &amp; 3'!$F$12+H441*'Portfolio 2 &amp; 3'!$F$13+I441*'Portfolio 2 &amp; 3'!$F$14+J441*'Portfolio 2 &amp; 3'!$F$15+K441*'Portfolio 2 &amp; 3'!$F$16</f>
        <v>-7.7864073725507797E-3</v>
      </c>
      <c r="R441" s="93">
        <f>B441*'Portfolio 2 &amp; 3'!$B$23+C441*'Portfolio 2 &amp; 3'!$B$24+D441*'Portfolio 2 &amp; 3'!$B$25+E441*'Portfolio 2 &amp; 3'!$B$26+F441*'Portfolio 2 &amp; 3'!$B$27+G441*'Portfolio 2 &amp; 3'!$B$28+H441*'Portfolio 2 &amp; 3'!$B$29+I441*'Portfolio 2 &amp; 3'!$B$30+J441*'Portfolio 2 &amp; 3'!$B$31+K441*'Portfolio 2 &amp; 3'!$B$32</f>
        <v>-1.7502828702553829E-2</v>
      </c>
      <c r="S441" s="93">
        <f t="shared" si="20"/>
        <v>7.1517079531208116E-4</v>
      </c>
    </row>
    <row r="442" spans="1:19" ht="12.75" customHeight="1">
      <c r="A442" s="81">
        <v>45436</v>
      </c>
      <c r="B442" s="53">
        <v>3.2000000000000002E-3</v>
      </c>
      <c r="C442" s="53">
        <v>-9.6728360793022494E-3</v>
      </c>
      <c r="D442" s="53">
        <v>-3.1334763774745998E-2</v>
      </c>
      <c r="E442" s="53">
        <v>-1.3140000000000001E-2</v>
      </c>
      <c r="F442" s="53">
        <v>-9.2537176004787707E-3</v>
      </c>
      <c r="G442" s="53">
        <v>1.63441848002908E-2</v>
      </c>
      <c r="H442" s="87">
        <v>1.57678750830113E-2</v>
      </c>
      <c r="I442" s="53">
        <v>9.5910983684892592E-3</v>
      </c>
      <c r="J442" s="53">
        <v>9.5305687924565098E-3</v>
      </c>
      <c r="K442" s="53">
        <v>1.2727396917192201E-2</v>
      </c>
      <c r="L442" s="95">
        <f>IFERROR(B442*'Stock Statistics'!$C$41+C442*'Stock Statistics'!$C$42+D442*'Stock Statistics'!$C$43+E442*'Stock Statistics'!$C$44+F442*'Stock Statistics'!$C$45+G442*'Stock Statistics'!$C$46+H442*'Stock Statistics'!$C$47+I442*'Stock Statistics'!$C$48+J442*'Stock Statistics'!$C$49+K442*'Stock Statistics'!$C$50,"")</f>
        <v>3.7598065069130546E-4</v>
      </c>
      <c r="M442" s="96">
        <v>383.72770000000003</v>
      </c>
      <c r="N442" s="97">
        <v>482.91890000000001</v>
      </c>
      <c r="O442" s="93">
        <f t="shared" si="18"/>
        <v>-1.0689556580115278E-2</v>
      </c>
      <c r="P442" s="93">
        <f t="shared" si="19"/>
        <v>8.8374799060348952E-3</v>
      </c>
      <c r="Q442" s="93">
        <f>B442*'Portfolio 2 &amp; 3'!$F$7+C442*'Portfolio 2 &amp; 3'!$F$8+D442*'Portfolio 2 &amp; 3'!$F$9+E442*'Portfolio 2 &amp; 3'!$F$10+F442*'Portfolio 2 &amp; 3'!$F$11+G442*'Portfolio 2 &amp; 3'!$F$12+H442*'Portfolio 2 &amp; 3'!$F$13+I442*'Portfolio 2 &amp; 3'!$F$14+J442*'Portfolio 2 &amp; 3'!$F$15+K442*'Portfolio 2 &amp; 3'!$F$16</f>
        <v>-1.3713879379490999E-4</v>
      </c>
      <c r="R442" s="93">
        <f>B442*'Portfolio 2 &amp; 3'!$B$23+C442*'Portfolio 2 &amp; 3'!$B$24+D442*'Portfolio 2 &amp; 3'!$B$25+E442*'Portfolio 2 &amp; 3'!$B$26+F442*'Portfolio 2 &amp; 3'!$B$27+G442*'Portfolio 2 &amp; 3'!$B$28+H442*'Portfolio 2 &amp; 3'!$B$29+I442*'Portfolio 2 &amp; 3'!$B$30+J442*'Portfolio 2 &amp; 3'!$B$31+K442*'Portfolio 2 &amp; 3'!$B$32</f>
        <v>2.7442537840972232E-3</v>
      </c>
      <c r="S442" s="93">
        <f t="shared" si="20"/>
        <v>-9.2603833704019145E-4</v>
      </c>
    </row>
    <row r="443" spans="1:19" ht="12.75" customHeight="1">
      <c r="A443" s="82">
        <v>45435</v>
      </c>
      <c r="B443" s="53">
        <v>-3.3E-3</v>
      </c>
      <c r="C443" s="53">
        <v>-4.3936072546043601E-3</v>
      </c>
      <c r="D443" s="53">
        <v>4.22815790543574E-3</v>
      </c>
      <c r="E443" s="53">
        <v>-7.5799999999999999E-3</v>
      </c>
      <c r="F443" s="53">
        <v>4.99699255077957E-3</v>
      </c>
      <c r="G443" s="53">
        <v>-2.9837721415574298E-2</v>
      </c>
      <c r="H443" s="87">
        <v>1.18484422281884E-3</v>
      </c>
      <c r="I443" s="53">
        <v>-7.8442072234907701E-4</v>
      </c>
      <c r="J443" s="53">
        <v>5.4103405133054704E-4</v>
      </c>
      <c r="K443" s="53">
        <v>3.2160272604429899E-2</v>
      </c>
      <c r="L443" s="95">
        <f>IFERROR(B443*'Stock Statistics'!$C$41+C443*'Stock Statistics'!$C$42+D443*'Stock Statistics'!$C$43+E443*'Stock Statistics'!$C$44+F443*'Stock Statistics'!$C$45+G443*'Stock Statistics'!$C$46+H443*'Stock Statistics'!$C$47+I443*'Stock Statistics'!$C$48+J443*'Stock Statistics'!$C$49+K443*'Stock Statistics'!$C$50,"")</f>
        <v>-2.7844480577331448E-4</v>
      </c>
      <c r="M443" s="97">
        <v>387.87389999999999</v>
      </c>
      <c r="N443" s="96">
        <v>478.68849999999998</v>
      </c>
      <c r="O443" s="93">
        <f t="shared" si="18"/>
        <v>-5.4137763989237087E-4</v>
      </c>
      <c r="P443" s="93">
        <f t="shared" si="19"/>
        <v>3.8704571253971309E-3</v>
      </c>
      <c r="Q443" s="93">
        <f>B443*'Portfolio 2 &amp; 3'!$F$7+C443*'Portfolio 2 &amp; 3'!$F$8+D443*'Portfolio 2 &amp; 3'!$F$9+E443*'Portfolio 2 &amp; 3'!$F$10+F443*'Portfolio 2 &amp; 3'!$F$11+G443*'Portfolio 2 &amp; 3'!$F$12+H443*'Portfolio 2 &amp; 3'!$F$13+I443*'Portfolio 2 &amp; 3'!$F$14+J443*'Portfolio 2 &amp; 3'!$F$15+K443*'Portfolio 2 &amp; 3'!$F$16</f>
        <v>9.9362668764693273E-4</v>
      </c>
      <c r="R443" s="93">
        <f>B443*'Portfolio 2 &amp; 3'!$B$23+C443*'Portfolio 2 &amp; 3'!$B$24+D443*'Portfolio 2 &amp; 3'!$B$25+E443*'Portfolio 2 &amp; 3'!$B$26+F443*'Portfolio 2 &amp; 3'!$B$27+G443*'Portfolio 2 &amp; 3'!$B$28+H443*'Portfolio 2 &amp; 3'!$B$29+I443*'Portfolio 2 &amp; 3'!$B$30+J443*'Portfolio 2 &amp; 3'!$B$31+K443*'Portfolio 2 &amp; 3'!$B$32</f>
        <v>-9.9010125502240354E-4</v>
      </c>
      <c r="S443" s="93">
        <f t="shared" si="20"/>
        <v>1.66453974275238E-3</v>
      </c>
    </row>
    <row r="444" spans="1:19" ht="12.75" customHeight="1">
      <c r="A444" s="81">
        <v>45434</v>
      </c>
      <c r="B444" s="53">
        <v>-9.1999999999999998E-3</v>
      </c>
      <c r="C444" s="53">
        <v>-2.0975301055643599E-2</v>
      </c>
      <c r="D444" s="53">
        <v>5.8065835207523602E-3</v>
      </c>
      <c r="E444" s="53">
        <v>-1.302E-2</v>
      </c>
      <c r="F444" s="53">
        <v>-7.0749299398169497E-3</v>
      </c>
      <c r="G444" s="53">
        <v>1.0943219145940901E-2</v>
      </c>
      <c r="H444" s="87">
        <v>-5.4173660918662696E-3</v>
      </c>
      <c r="I444" s="53">
        <v>-1.38898230981369E-2</v>
      </c>
      <c r="J444" s="53">
        <v>-5.2474015271283302E-3</v>
      </c>
      <c r="K444" s="53">
        <v>3.2226372986609901E-2</v>
      </c>
      <c r="L444" s="95">
        <f>IFERROR(B444*'Stock Statistics'!$C$41+C444*'Stock Statistics'!$C$42+D444*'Stock Statistics'!$C$43+E444*'Stock Statistics'!$C$44+F444*'Stock Statistics'!$C$45+G444*'Stock Statistics'!$C$46+H444*'Stock Statistics'!$C$47+I444*'Stock Statistics'!$C$48+J444*'Stock Statistics'!$C$49+K444*'Stock Statistics'!$C$50,"")</f>
        <v>-2.5848646059288887E-3</v>
      </c>
      <c r="M444" s="96">
        <v>388.084</v>
      </c>
      <c r="N444" s="97">
        <v>476.84289999999999</v>
      </c>
      <c r="O444" s="93">
        <f t="shared" si="18"/>
        <v>-3.5572421044549607E-4</v>
      </c>
      <c r="P444" s="93">
        <f t="shared" si="19"/>
        <v>5.3541678174771068E-3</v>
      </c>
      <c r="Q444" s="93">
        <f>B444*'Portfolio 2 &amp; 3'!$F$7+C444*'Portfolio 2 &amp; 3'!$F$8+D444*'Portfolio 2 &amp; 3'!$F$9+E444*'Portfolio 2 &amp; 3'!$F$10+F444*'Portfolio 2 &amp; 3'!$F$11+G444*'Portfolio 2 &amp; 3'!$F$12+H444*'Portfolio 2 &amp; 3'!$F$13+I444*'Portfolio 2 &amp; 3'!$F$14+J444*'Portfolio 2 &amp; 3'!$F$15+K444*'Portfolio 2 &amp; 3'!$F$16</f>
        <v>-3.241248556221956E-3</v>
      </c>
      <c r="R444" s="93">
        <f>B444*'Portfolio 2 &amp; 3'!$B$23+C444*'Portfolio 2 &amp; 3'!$B$24+D444*'Portfolio 2 &amp; 3'!$B$25+E444*'Portfolio 2 &amp; 3'!$B$26+F444*'Portfolio 2 &amp; 3'!$B$27+G444*'Portfolio 2 &amp; 3'!$B$28+H444*'Portfolio 2 &amp; 3'!$B$29+I444*'Portfolio 2 &amp; 3'!$B$30+J444*'Portfolio 2 &amp; 3'!$B$31+K444*'Portfolio 2 &amp; 3'!$B$32</f>
        <v>-6.1623533323748808E-3</v>
      </c>
      <c r="S444" s="93">
        <f t="shared" si="20"/>
        <v>2.4992218035158054E-3</v>
      </c>
    </row>
    <row r="445" spans="1:19" ht="12.75" customHeight="1">
      <c r="A445" s="82">
        <v>45433</v>
      </c>
      <c r="B445" s="53">
        <v>-8.2000000000000007E-3</v>
      </c>
      <c r="C445" s="53">
        <v>-8.4306987399773703E-4</v>
      </c>
      <c r="D445" s="53">
        <v>3.69382310691568E-3</v>
      </c>
      <c r="E445" s="53">
        <v>-3.9620000000000002E-2</v>
      </c>
      <c r="F445" s="53">
        <v>-1.4131074776937501E-2</v>
      </c>
      <c r="G445" s="53">
        <v>-6.6935153074542102E-3</v>
      </c>
      <c r="H445" s="87">
        <v>4.2484355710696899E-3</v>
      </c>
      <c r="I445" s="53">
        <v>-5.6183532874054497E-3</v>
      </c>
      <c r="J445" s="53">
        <v>-1.81311486418434E-3</v>
      </c>
      <c r="K445" s="53">
        <v>2.2854364211037899E-3</v>
      </c>
      <c r="L445" s="95">
        <f>IFERROR(B445*'Stock Statistics'!$C$41+C445*'Stock Statistics'!$C$42+D445*'Stock Statistics'!$C$43+E445*'Stock Statistics'!$C$44+F445*'Stock Statistics'!$C$45+G445*'Stock Statistics'!$C$46+H445*'Stock Statistics'!$C$47+I445*'Stock Statistics'!$C$48+J445*'Stock Statistics'!$C$49+K445*'Stock Statistics'!$C$50,"")</f>
        <v>-6.6691433010890085E-3</v>
      </c>
      <c r="M445" s="97">
        <v>388.22210000000001</v>
      </c>
      <c r="N445" s="96">
        <v>474.30340000000001</v>
      </c>
      <c r="O445" s="93">
        <f t="shared" si="18"/>
        <v>1.86400096206496E-3</v>
      </c>
      <c r="P445" s="93">
        <f t="shared" si="19"/>
        <v>3.9584423875287378E-3</v>
      </c>
      <c r="Q445" s="93">
        <f>B445*'Portfolio 2 &amp; 3'!$F$7+C445*'Portfolio 2 &amp; 3'!$F$8+D445*'Portfolio 2 &amp; 3'!$F$9+E445*'Portfolio 2 &amp; 3'!$F$10+F445*'Portfolio 2 &amp; 3'!$F$11+G445*'Portfolio 2 &amp; 3'!$F$12+H445*'Portfolio 2 &amp; 3'!$F$13+I445*'Portfolio 2 &amp; 3'!$F$14+J445*'Portfolio 2 &amp; 3'!$F$15+K445*'Portfolio 2 &amp; 3'!$F$16</f>
        <v>-4.703564772592205E-3</v>
      </c>
      <c r="R445" s="93">
        <f>B445*'Portfolio 2 &amp; 3'!$B$23+C445*'Portfolio 2 &amp; 3'!$B$24+D445*'Portfolio 2 &amp; 3'!$B$25+E445*'Portfolio 2 &amp; 3'!$B$26+F445*'Portfolio 2 &amp; 3'!$B$27+G445*'Portfolio 2 &amp; 3'!$B$28+H445*'Portfolio 2 &amp; 3'!$B$29+I445*'Portfolio 2 &amp; 3'!$B$30+J445*'Portfolio 2 &amp; 3'!$B$31+K445*'Portfolio 2 &amp; 3'!$B$32</f>
        <v>-5.2923411165354158E-3</v>
      </c>
      <c r="S445" s="93">
        <f t="shared" si="20"/>
        <v>2.9112216747968489E-3</v>
      </c>
    </row>
    <row r="446" spans="1:19" ht="12.75" customHeight="1">
      <c r="A446" s="81">
        <v>45430</v>
      </c>
      <c r="B446" s="53">
        <v>6.1999999999999998E-3</v>
      </c>
      <c r="C446" s="53">
        <v>2.8656266201630799E-2</v>
      </c>
      <c r="D446" s="53">
        <v>1.31819693945441E-2</v>
      </c>
      <c r="E446" s="53">
        <v>1.4670000000000001E-2</v>
      </c>
      <c r="F446" s="53">
        <v>4.9980977743960403E-2</v>
      </c>
      <c r="G446" s="53">
        <v>-9.3461396379756999E-3</v>
      </c>
      <c r="H446" s="87">
        <v>1.6081871345029301E-2</v>
      </c>
      <c r="I446" s="53">
        <v>-2.8714350678880101E-2</v>
      </c>
      <c r="J446" s="53">
        <v>4.6211967887743698E-3</v>
      </c>
      <c r="K446" s="53">
        <v>1.3416121521233001E-2</v>
      </c>
      <c r="L446" s="95">
        <f>IFERROR(B446*'Stock Statistics'!$C$41+C446*'Stock Statistics'!$C$42+D446*'Stock Statistics'!$C$43+E446*'Stock Statistics'!$C$44+F446*'Stock Statistics'!$C$45+G446*'Stock Statistics'!$C$46+H446*'Stock Statistics'!$C$47+I446*'Stock Statistics'!$C$48+J446*'Stock Statistics'!$C$49+K446*'Stock Statistics'!$C$50,"")</f>
        <v>1.0874791267831618E-2</v>
      </c>
      <c r="M446" s="96">
        <v>387.49979999999999</v>
      </c>
      <c r="N446" s="97">
        <v>472.43329999999997</v>
      </c>
      <c r="O446" s="93">
        <f t="shared" si="18"/>
        <v>-5.5101183944022969E-3</v>
      </c>
      <c r="P446" s="93">
        <f t="shared" si="19"/>
        <v>-2.1048527152284224E-3</v>
      </c>
      <c r="Q446" s="93">
        <f>B446*'Portfolio 2 &amp; 3'!$F$7+C446*'Portfolio 2 &amp; 3'!$F$8+D446*'Portfolio 2 &amp; 3'!$F$9+E446*'Portfolio 2 &amp; 3'!$F$10+F446*'Portfolio 2 &amp; 3'!$F$11+G446*'Portfolio 2 &amp; 3'!$F$12+H446*'Portfolio 2 &amp; 3'!$F$13+I446*'Portfolio 2 &amp; 3'!$F$14+J446*'Portfolio 2 &amp; 3'!$F$15+K446*'Portfolio 2 &amp; 3'!$F$16</f>
        <v>1.2580805274725406E-2</v>
      </c>
      <c r="R446" s="93">
        <f>B446*'Portfolio 2 &amp; 3'!$B$23+C446*'Portfolio 2 &amp; 3'!$B$24+D446*'Portfolio 2 &amp; 3'!$B$25+E446*'Portfolio 2 &amp; 3'!$B$26+F446*'Portfolio 2 &amp; 3'!$B$27+G446*'Portfolio 2 &amp; 3'!$B$28+H446*'Portfolio 2 &amp; 3'!$B$29+I446*'Portfolio 2 &amp; 3'!$B$30+J446*'Portfolio 2 &amp; 3'!$B$31+K446*'Portfolio 2 &amp; 3'!$B$32</f>
        <v>7.9698853625691408E-3</v>
      </c>
      <c r="S446" s="93">
        <f t="shared" si="20"/>
        <v>-3.8074855548153597E-3</v>
      </c>
    </row>
    <row r="447" spans="1:19" ht="12.75" customHeight="1">
      <c r="A447" s="82">
        <v>45429</v>
      </c>
      <c r="B447" s="53">
        <v>-1.9E-3</v>
      </c>
      <c r="C447" s="53">
        <v>-5.41893627593437E-3</v>
      </c>
      <c r="D447" s="53">
        <v>3.2058709926612798E-2</v>
      </c>
      <c r="E447" s="53">
        <v>3.1550000000000002E-2</v>
      </c>
      <c r="F447" s="53">
        <v>4.2021803766105099E-2</v>
      </c>
      <c r="G447" s="53">
        <v>3.07555489680222E-3</v>
      </c>
      <c r="H447" s="87">
        <v>-5.4718149907082604E-3</v>
      </c>
      <c r="I447" s="53">
        <v>-1.0707680327071199E-3</v>
      </c>
      <c r="J447" s="53">
        <v>2.7733481245233199E-2</v>
      </c>
      <c r="K447" s="53">
        <v>1.04567352578706E-2</v>
      </c>
      <c r="L447" s="95">
        <f>IFERROR(B447*'Stock Statistics'!$C$41+C447*'Stock Statistics'!$C$42+D447*'Stock Statistics'!$C$43+E447*'Stock Statistics'!$C$44+F447*'Stock Statistics'!$C$45+G447*'Stock Statistics'!$C$46+H447*'Stock Statistics'!$C$47+I447*'Stock Statistics'!$C$48+J447*'Stock Statistics'!$C$49+K447*'Stock Statistics'!$C$50,"")</f>
        <v>1.3303476579327419E-2</v>
      </c>
      <c r="M447" s="97">
        <v>389.64679999999998</v>
      </c>
      <c r="N447" s="96">
        <v>473.4298</v>
      </c>
      <c r="O447" s="93">
        <f t="shared" si="18"/>
        <v>-6.5752941290451172E-3</v>
      </c>
      <c r="P447" s="93">
        <f t="shared" si="19"/>
        <v>1.2326122977265985E-2</v>
      </c>
      <c r="Q447" s="93">
        <f>B447*'Portfolio 2 &amp; 3'!$F$7+C447*'Portfolio 2 &amp; 3'!$F$8+D447*'Portfolio 2 &amp; 3'!$F$9+E447*'Portfolio 2 &amp; 3'!$F$10+F447*'Portfolio 2 &amp; 3'!$F$11+G447*'Portfolio 2 &amp; 3'!$F$12+H447*'Portfolio 2 &amp; 3'!$F$13+I447*'Portfolio 2 &amp; 3'!$F$14+J447*'Portfolio 2 &amp; 3'!$F$15+K447*'Portfolio 2 &amp; 3'!$F$16</f>
        <v>1.4285761497554124E-2</v>
      </c>
      <c r="R447" s="93">
        <f>B447*'Portfolio 2 &amp; 3'!$B$23+C447*'Portfolio 2 &amp; 3'!$B$24+D447*'Portfolio 2 &amp; 3'!$B$25+E447*'Portfolio 2 &amp; 3'!$B$26+F447*'Portfolio 2 &amp; 3'!$B$27+G447*'Portfolio 2 &amp; 3'!$B$28+H447*'Portfolio 2 &amp; 3'!$B$29+I447*'Portfolio 2 &amp; 3'!$B$30+J447*'Portfolio 2 &amp; 3'!$B$31+K447*'Portfolio 2 &amp; 3'!$B$32</f>
        <v>7.4394884048077465E-3</v>
      </c>
      <c r="S447" s="93">
        <f t="shared" si="20"/>
        <v>2.875414424110434E-3</v>
      </c>
    </row>
    <row r="448" spans="1:19" ht="12.75" customHeight="1">
      <c r="A448" s="81">
        <v>45428</v>
      </c>
      <c r="B448" s="53">
        <v>5.0000000000000001E-3</v>
      </c>
      <c r="C448" s="53">
        <v>-1.9326069967360901E-2</v>
      </c>
      <c r="D448" s="53">
        <v>4.3967412388463698E-3</v>
      </c>
      <c r="E448" s="53">
        <v>5.0200000000000002E-3</v>
      </c>
      <c r="F448" s="53">
        <v>1.19853568025676E-2</v>
      </c>
      <c r="G448" s="53">
        <v>-4.6297153650998201E-4</v>
      </c>
      <c r="H448" s="87">
        <v>2.0777474114370702E-3</v>
      </c>
      <c r="I448" s="53">
        <v>5.9076963248252401E-3</v>
      </c>
      <c r="J448" s="53">
        <v>2.72426195648303E-2</v>
      </c>
      <c r="K448" s="53">
        <v>2.2283023670145199E-2</v>
      </c>
      <c r="L448" s="95">
        <f>IFERROR(B448*'Stock Statistics'!$C$41+C448*'Stock Statistics'!$C$42+D448*'Stock Statistics'!$C$43+E448*'Stock Statistics'!$C$44+F448*'Stock Statistics'!$C$45+G448*'Stock Statistics'!$C$46+H448*'Stock Statistics'!$C$47+I448*'Stock Statistics'!$C$48+J448*'Stock Statistics'!$C$49+K448*'Stock Statistics'!$C$50,"")</f>
        <v>6.4124143508780904E-3</v>
      </c>
      <c r="M448" s="96">
        <v>392.22579999999999</v>
      </c>
      <c r="N448" s="97">
        <v>467.6653</v>
      </c>
      <c r="O448" s="93">
        <f t="shared" si="18"/>
        <v>-4.4373486575256527E-3</v>
      </c>
      <c r="P448" s="93">
        <f t="shared" si="19"/>
        <v>1.1073339280162742E-2</v>
      </c>
      <c r="Q448" s="93">
        <f>B448*'Portfolio 2 &amp; 3'!$F$7+C448*'Portfolio 2 &amp; 3'!$F$8+D448*'Portfolio 2 &amp; 3'!$F$9+E448*'Portfolio 2 &amp; 3'!$F$10+F448*'Portfolio 2 &amp; 3'!$F$11+G448*'Portfolio 2 &amp; 3'!$F$12+H448*'Portfolio 2 &amp; 3'!$F$13+I448*'Portfolio 2 &amp; 3'!$F$14+J448*'Portfolio 2 &amp; 3'!$F$15+K448*'Portfolio 2 &amp; 3'!$F$16</f>
        <v>7.1796643364610549E-3</v>
      </c>
      <c r="R448" s="93">
        <f>B448*'Portfolio 2 &amp; 3'!$B$23+C448*'Portfolio 2 &amp; 3'!$B$24+D448*'Portfolio 2 &amp; 3'!$B$25+E448*'Portfolio 2 &amp; 3'!$B$26+F448*'Portfolio 2 &amp; 3'!$B$27+G448*'Portfolio 2 &amp; 3'!$B$28+H448*'Portfolio 2 &amp; 3'!$B$29+I448*'Portfolio 2 &amp; 3'!$B$30+J448*'Portfolio 2 &amp; 3'!$B$31+K448*'Portfolio 2 &amp; 3'!$B$32</f>
        <v>3.2189486246876524E-3</v>
      </c>
      <c r="S448" s="93">
        <f t="shared" si="20"/>
        <v>3.3179953113185445E-3</v>
      </c>
    </row>
    <row r="449" spans="1:19" ht="12.75" customHeight="1">
      <c r="A449" s="82">
        <v>45427</v>
      </c>
      <c r="B449" s="53">
        <v>-1.37E-2</v>
      </c>
      <c r="C449" s="53">
        <v>1.01145704985539E-4</v>
      </c>
      <c r="D449" s="53">
        <v>1.3380524861879E-3</v>
      </c>
      <c r="E449" s="53">
        <v>-1.2019999999999999E-2</v>
      </c>
      <c r="F449" s="53">
        <v>1.3622731662684901E-2</v>
      </c>
      <c r="G449" s="53">
        <v>1.9252911530984101E-2</v>
      </c>
      <c r="H449" s="87">
        <v>-8.6917133871187192E-3</v>
      </c>
      <c r="I449" s="53">
        <v>3.2649862870570701E-4</v>
      </c>
      <c r="J449" s="53">
        <v>3.5738536864300401E-3</v>
      </c>
      <c r="K449" s="53">
        <v>4.6666240490953496E-3</v>
      </c>
      <c r="L449" s="95">
        <f>IFERROR(B449*'Stock Statistics'!$C$41+C449*'Stock Statistics'!$C$42+D449*'Stock Statistics'!$C$43+E449*'Stock Statistics'!$C$44+F449*'Stock Statistics'!$C$45+G449*'Stock Statistics'!$C$46+H449*'Stock Statistics'!$C$47+I449*'Stock Statistics'!$C$48+J449*'Stock Statistics'!$C$49+K449*'Stock Statistics'!$C$50,"")</f>
        <v>8.4701043619548201E-4</v>
      </c>
      <c r="M449" s="97">
        <v>393.97399999999999</v>
      </c>
      <c r="N449" s="96">
        <v>462.54340000000002</v>
      </c>
      <c r="O449" s="93">
        <f t="shared" si="18"/>
        <v>2.0627576857434882E-3</v>
      </c>
      <c r="P449" s="93">
        <f t="shared" si="19"/>
        <v>-1.3749073544174317E-2</v>
      </c>
      <c r="Q449" s="93">
        <f>B449*'Portfolio 2 &amp; 3'!$F$7+C449*'Portfolio 2 &amp; 3'!$F$8+D449*'Portfolio 2 &amp; 3'!$F$9+E449*'Portfolio 2 &amp; 3'!$F$10+F449*'Portfolio 2 &amp; 3'!$F$11+G449*'Portfolio 2 &amp; 3'!$F$12+H449*'Portfolio 2 &amp; 3'!$F$13+I449*'Portfolio 2 &amp; 3'!$F$14+J449*'Portfolio 2 &amp; 3'!$F$15+K449*'Portfolio 2 &amp; 3'!$F$16</f>
        <v>3.4734211201598546E-4</v>
      </c>
      <c r="R449" s="93">
        <f>B449*'Portfolio 2 &amp; 3'!$B$23+C449*'Portfolio 2 &amp; 3'!$B$24+D449*'Portfolio 2 &amp; 3'!$B$25+E449*'Portfolio 2 &amp; 3'!$B$26+F449*'Portfolio 2 &amp; 3'!$B$27+G449*'Portfolio 2 &amp; 3'!$B$28+H449*'Portfolio 2 &amp; 3'!$B$29+I449*'Portfolio 2 &amp; 3'!$B$30+J449*'Portfolio 2 &amp; 3'!$B$31+K449*'Portfolio 2 &amp; 3'!$B$32</f>
        <v>2.7351509450815898E-3</v>
      </c>
      <c r="S449" s="93">
        <f t="shared" si="20"/>
        <v>-5.8431579292154145E-3</v>
      </c>
    </row>
    <row r="450" spans="1:19" ht="12.75" customHeight="1">
      <c r="A450" s="81">
        <v>45426</v>
      </c>
      <c r="B450" s="53">
        <v>-1.11E-2</v>
      </c>
      <c r="C450" s="53">
        <v>2.2498848262051001E-2</v>
      </c>
      <c r="D450" s="53">
        <v>-8.7283929488275493E-3</v>
      </c>
      <c r="E450" s="53">
        <v>6.2599999999999999E-3</v>
      </c>
      <c r="F450" s="53">
        <v>-8.9168765743072899E-3</v>
      </c>
      <c r="G450" s="53">
        <v>6.9564556288368396E-3</v>
      </c>
      <c r="H450" s="87">
        <v>-4.1872340425532801E-3</v>
      </c>
      <c r="I450" s="53">
        <v>-3.1894812211156198E-3</v>
      </c>
      <c r="J450" s="53">
        <v>-1.55161494616846E-2</v>
      </c>
      <c r="K450" s="53">
        <v>-5.18932119100013E-3</v>
      </c>
      <c r="L450" s="95">
        <f>IFERROR(B450*'Stock Statistics'!$C$41+C450*'Stock Statistics'!$C$42+D450*'Stock Statistics'!$C$43+E450*'Stock Statistics'!$C$44+F450*'Stock Statistics'!$C$45+G450*'Stock Statistics'!$C$46+H450*'Stock Statistics'!$C$47+I450*'Stock Statistics'!$C$48+J450*'Stock Statistics'!$C$49+K450*'Stock Statistics'!$C$50,"")</f>
        <v>-2.1112151548600632E-3</v>
      </c>
      <c r="M450" s="96">
        <v>393.16300000000001</v>
      </c>
      <c r="N450" s="97">
        <v>468.99160000000001</v>
      </c>
      <c r="O450" s="93">
        <f t="shared" ref="O450:O513" si="21">M450/M451-1</f>
        <v>-8.515924219202331E-4</v>
      </c>
      <c r="P450" s="93">
        <f t="shared" ref="P450:P513" si="22">N450/N451-1</f>
        <v>9.8518932054814101E-5</v>
      </c>
      <c r="Q450" s="93">
        <f>B450*'Portfolio 2 &amp; 3'!$F$7+C450*'Portfolio 2 &amp; 3'!$F$8+D450*'Portfolio 2 &amp; 3'!$F$9+E450*'Portfolio 2 &amp; 3'!$F$10+F450*'Portfolio 2 &amp; 3'!$F$11+G450*'Portfolio 2 &amp; 3'!$F$12+H450*'Portfolio 2 &amp; 3'!$F$13+I450*'Portfolio 2 &amp; 3'!$F$14+J450*'Portfolio 2 &amp; 3'!$F$15+K450*'Portfolio 2 &amp; 3'!$F$16</f>
        <v>-3.4276284399580108E-3</v>
      </c>
      <c r="R450" s="93">
        <f>B450*'Portfolio 2 &amp; 3'!$B$23+C450*'Portfolio 2 &amp; 3'!$B$24+D450*'Portfolio 2 &amp; 3'!$B$25+E450*'Portfolio 2 &amp; 3'!$B$26+F450*'Portfolio 2 &amp; 3'!$B$27+G450*'Portfolio 2 &amp; 3'!$B$28+H450*'Portfolio 2 &amp; 3'!$B$29+I450*'Portfolio 2 &amp; 3'!$B$30+J450*'Portfolio 2 &amp; 3'!$B$31+K450*'Portfolio 2 &amp; 3'!$B$32</f>
        <v>1.6172053300106469E-4</v>
      </c>
      <c r="S450" s="93">
        <f t="shared" ref="S450:S513" si="23">IFERROR(AVERAGE(O450,P450),"")</f>
        <v>-3.765367449327095E-4</v>
      </c>
    </row>
    <row r="451" spans="1:19" ht="12.75" customHeight="1">
      <c r="A451" s="82">
        <v>45425</v>
      </c>
      <c r="B451" s="53">
        <v>2.69E-2</v>
      </c>
      <c r="C451" s="53">
        <v>1.3550729471407201E-2</v>
      </c>
      <c r="D451" s="53">
        <v>-7.6426630434782697E-3</v>
      </c>
      <c r="E451" s="53">
        <v>9.0000000000000006E-5</v>
      </c>
      <c r="F451" s="53">
        <v>1.05381051774169E-2</v>
      </c>
      <c r="G451" s="53">
        <v>1.0001535744452301E-2</v>
      </c>
      <c r="H451" s="87">
        <v>1.05643402399114E-3</v>
      </c>
      <c r="I451" s="53">
        <v>5.8268953777660401E-3</v>
      </c>
      <c r="J451" s="53">
        <v>5.65799256505575E-2</v>
      </c>
      <c r="K451" s="53">
        <v>9.9163787234588501E-3</v>
      </c>
      <c r="L451" s="95">
        <f>IFERROR(B451*'Stock Statistics'!$C$41+C451*'Stock Statistics'!$C$42+D451*'Stock Statistics'!$C$43+E451*'Stock Statistics'!$C$44+F451*'Stock Statistics'!$C$45+G451*'Stock Statistics'!$C$46+H451*'Stock Statistics'!$C$47+I451*'Stock Statistics'!$C$48+J451*'Stock Statistics'!$C$49+K451*'Stock Statistics'!$C$50,"")</f>
        <v>1.2681734112557167E-2</v>
      </c>
      <c r="M451" s="97">
        <v>393.49810000000002</v>
      </c>
      <c r="N451" s="96">
        <v>468.94540000000001</v>
      </c>
      <c r="O451" s="93">
        <f t="shared" si="21"/>
        <v>4.2062024259801323E-3</v>
      </c>
      <c r="P451" s="93">
        <f t="shared" si="22"/>
        <v>-1.5803130991917214E-2</v>
      </c>
      <c r="Q451" s="93">
        <f>B451*'Portfolio 2 &amp; 3'!$F$7+C451*'Portfolio 2 &amp; 3'!$F$8+D451*'Portfolio 2 &amp; 3'!$F$9+E451*'Portfolio 2 &amp; 3'!$F$10+F451*'Portfolio 2 &amp; 3'!$F$11+G451*'Portfolio 2 &amp; 3'!$F$12+H451*'Portfolio 2 &amp; 3'!$F$13+I451*'Portfolio 2 &amp; 3'!$F$14+J451*'Portfolio 2 &amp; 3'!$F$15+K451*'Portfolio 2 &amp; 3'!$F$16</f>
        <v>1.3404521740951404E-2</v>
      </c>
      <c r="R451" s="93">
        <f>B451*'Portfolio 2 &amp; 3'!$B$23+C451*'Portfolio 2 &amp; 3'!$B$24+D451*'Portfolio 2 &amp; 3'!$B$25+E451*'Portfolio 2 &amp; 3'!$B$26+F451*'Portfolio 2 &amp; 3'!$B$27+G451*'Portfolio 2 &amp; 3'!$B$28+H451*'Portfolio 2 &amp; 3'!$B$29+I451*'Portfolio 2 &amp; 3'!$B$30+J451*'Portfolio 2 &amp; 3'!$B$31+K451*'Portfolio 2 &amp; 3'!$B$32</f>
        <v>1.302108608714311E-2</v>
      </c>
      <c r="S451" s="93">
        <f t="shared" si="23"/>
        <v>-5.7984642829685407E-3</v>
      </c>
    </row>
    <row r="452" spans="1:19" ht="12.75" customHeight="1">
      <c r="A452" s="81">
        <v>45422</v>
      </c>
      <c r="B452" s="53">
        <v>3.1600000000000003E-2</v>
      </c>
      <c r="C452" s="53">
        <v>1.22993517518135E-2</v>
      </c>
      <c r="D452" s="53">
        <v>4.4388275464502601E-2</v>
      </c>
      <c r="E452" s="53">
        <v>-1.9820000000000001E-2</v>
      </c>
      <c r="F452" s="53">
        <v>1.44081801280727E-2</v>
      </c>
      <c r="G452" s="53">
        <v>1.8077618369936E-3</v>
      </c>
      <c r="H452" s="87">
        <v>-6.7275389054843896E-3</v>
      </c>
      <c r="I452" s="53">
        <v>-1.1551528878822199E-2</v>
      </c>
      <c r="J452" s="53">
        <v>-4.3861519869197403E-2</v>
      </c>
      <c r="K452" s="53">
        <v>-9.3681022534764001E-4</v>
      </c>
      <c r="L452" s="95">
        <f>IFERROR(B452*'Stock Statistics'!$C$41+C452*'Stock Statistics'!$C$42+D452*'Stock Statistics'!$C$43+E452*'Stock Statistics'!$C$44+F452*'Stock Statistics'!$C$45+G452*'Stock Statistics'!$C$46+H452*'Stock Statistics'!$C$47+I452*'Stock Statistics'!$C$48+J452*'Stock Statistics'!$C$49+K452*'Stock Statistics'!$C$50,"")</f>
        <v>2.1606171302530766E-3</v>
      </c>
      <c r="M452" s="96">
        <v>391.84989999999999</v>
      </c>
      <c r="N452" s="97">
        <v>476.47519999999997</v>
      </c>
      <c r="O452" s="93">
        <f t="shared" si="21"/>
        <v>3.3684612674325098E-3</v>
      </c>
      <c r="P452" s="93">
        <f t="shared" si="22"/>
        <v>4.4806596313520242E-3</v>
      </c>
      <c r="Q452" s="93">
        <f>B452*'Portfolio 2 &amp; 3'!$F$7+C452*'Portfolio 2 &amp; 3'!$F$8+D452*'Portfolio 2 &amp; 3'!$F$9+E452*'Portfolio 2 &amp; 3'!$F$10+F452*'Portfolio 2 &amp; 3'!$F$11+G452*'Portfolio 2 &amp; 3'!$F$12+H452*'Portfolio 2 &amp; 3'!$F$13+I452*'Portfolio 2 &amp; 3'!$F$14+J452*'Portfolio 2 &amp; 3'!$F$15+K452*'Portfolio 2 &amp; 3'!$F$16</f>
        <v>8.2473116616003266E-4</v>
      </c>
      <c r="R452" s="93">
        <f>B452*'Portfolio 2 &amp; 3'!$B$23+C452*'Portfolio 2 &amp; 3'!$B$24+D452*'Portfolio 2 &amp; 3'!$B$25+E452*'Portfolio 2 &amp; 3'!$B$26+F452*'Portfolio 2 &amp; 3'!$B$27+G452*'Portfolio 2 &amp; 3'!$B$28+H452*'Portfolio 2 &amp; 3'!$B$29+I452*'Portfolio 2 &amp; 3'!$B$30+J452*'Portfolio 2 &amp; 3'!$B$31+K452*'Portfolio 2 &amp; 3'!$B$32</f>
        <v>4.9810605950683217E-3</v>
      </c>
      <c r="S452" s="93">
        <f t="shared" si="23"/>
        <v>3.924560449392267E-3</v>
      </c>
    </row>
    <row r="453" spans="1:19" ht="12.75" customHeight="1">
      <c r="A453" s="82">
        <v>45421</v>
      </c>
      <c r="B453" s="53">
        <v>-1.44E-2</v>
      </c>
      <c r="C453" s="53">
        <v>-5.2298745789710601E-3</v>
      </c>
      <c r="D453" s="53">
        <v>1.0983591858692699E-2</v>
      </c>
      <c r="E453" s="53">
        <v>4.5609999999999998E-2</v>
      </c>
      <c r="F453" s="53">
        <v>-3.7191726332537797E-2</v>
      </c>
      <c r="G453" s="53">
        <v>2.9928496444629402E-2</v>
      </c>
      <c r="H453" s="87">
        <v>-2.1026853572031498E-3</v>
      </c>
      <c r="I453" s="53">
        <v>1.32454673617259E-2</v>
      </c>
      <c r="J453" s="53">
        <v>3.6357608575533301E-2</v>
      </c>
      <c r="K453" s="53">
        <v>-3.91154288636075E-3</v>
      </c>
      <c r="L453" s="95">
        <f>IFERROR(B453*'Stock Statistics'!$C$41+C453*'Stock Statistics'!$C$42+D453*'Stock Statistics'!$C$43+E453*'Stock Statistics'!$C$44+F453*'Stock Statistics'!$C$45+G453*'Stock Statistics'!$C$46+H453*'Stock Statistics'!$C$47+I453*'Stock Statistics'!$C$48+J453*'Stock Statistics'!$C$49+K453*'Stock Statistics'!$C$50,"")</f>
        <v>7.3289335085508552E-3</v>
      </c>
      <c r="M453" s="97">
        <v>390.53440000000001</v>
      </c>
      <c r="N453" s="96">
        <v>474.34980000000002</v>
      </c>
      <c r="O453" s="93">
        <f t="shared" si="21"/>
        <v>-1.2755950134157867E-3</v>
      </c>
      <c r="P453" s="93">
        <f t="shared" si="22"/>
        <v>1.5939783135334729E-3</v>
      </c>
      <c r="Q453" s="93">
        <f>B453*'Portfolio 2 &amp; 3'!$F$7+C453*'Portfolio 2 &amp; 3'!$F$8+D453*'Portfolio 2 &amp; 3'!$F$9+E453*'Portfolio 2 &amp; 3'!$F$10+F453*'Portfolio 2 &amp; 3'!$F$11+G453*'Portfolio 2 &amp; 3'!$F$12+H453*'Portfolio 2 &amp; 3'!$F$13+I453*'Portfolio 2 &amp; 3'!$F$14+J453*'Portfolio 2 &amp; 3'!$F$15+K453*'Portfolio 2 &amp; 3'!$F$16</f>
        <v>6.8749983920364322E-3</v>
      </c>
      <c r="R453" s="93">
        <f>B453*'Portfolio 2 &amp; 3'!$B$23+C453*'Portfolio 2 &amp; 3'!$B$24+D453*'Portfolio 2 &amp; 3'!$B$25+E453*'Portfolio 2 &amp; 3'!$B$26+F453*'Portfolio 2 &amp; 3'!$B$27+G453*'Portfolio 2 &amp; 3'!$B$28+H453*'Portfolio 2 &amp; 3'!$B$29+I453*'Portfolio 2 &amp; 3'!$B$30+J453*'Portfolio 2 &amp; 3'!$B$31+K453*'Portfolio 2 &amp; 3'!$B$32</f>
        <v>-1.3687543327610069E-3</v>
      </c>
      <c r="S453" s="93">
        <f t="shared" si="23"/>
        <v>1.5919165005884306E-4</v>
      </c>
    </row>
    <row r="454" spans="1:19" ht="12.75" customHeight="1">
      <c r="A454" s="81">
        <v>45420</v>
      </c>
      <c r="B454" s="53">
        <v>7.7999999999999996E-3</v>
      </c>
      <c r="C454" s="53">
        <v>1.5900095537054699E-2</v>
      </c>
      <c r="D454" s="53">
        <v>-1.8308247513423099E-2</v>
      </c>
      <c r="E454" s="53">
        <v>1.553E-2</v>
      </c>
      <c r="F454" s="53">
        <v>2.5233216088086801E-2</v>
      </c>
      <c r="G454" s="53">
        <v>-2.4424648799057199E-2</v>
      </c>
      <c r="H454" s="87">
        <v>7.4268165074395896E-3</v>
      </c>
      <c r="I454" s="53">
        <v>1.22797119245959E-2</v>
      </c>
      <c r="J454" s="53">
        <v>-4.0504718481603301E-2</v>
      </c>
      <c r="K454" s="53">
        <v>3.1105838935020499E-2</v>
      </c>
      <c r="L454" s="95">
        <f>IFERROR(B454*'Stock Statistics'!$C$41+C454*'Stock Statistics'!$C$42+D454*'Stock Statistics'!$C$43+E454*'Stock Statistics'!$C$44+F454*'Stock Statistics'!$C$45+G454*'Stock Statistics'!$C$46+H454*'Stock Statistics'!$C$47+I454*'Stock Statistics'!$C$48+J454*'Stock Statistics'!$C$49+K454*'Stock Statistics'!$C$50,"")</f>
        <v>3.2038064198113897E-3</v>
      </c>
      <c r="M454" s="96">
        <v>391.03320000000002</v>
      </c>
      <c r="N454" s="97">
        <v>473.5949</v>
      </c>
      <c r="O454" s="93">
        <f t="shared" si="21"/>
        <v>9.3685193588706195E-3</v>
      </c>
      <c r="P454" s="93">
        <f t="shared" si="22"/>
        <v>3.161390410216125E-3</v>
      </c>
      <c r="Q454" s="93">
        <f>B454*'Portfolio 2 &amp; 3'!$F$7+C454*'Portfolio 2 &amp; 3'!$F$8+D454*'Portfolio 2 &amp; 3'!$F$9+E454*'Portfolio 2 &amp; 3'!$F$10+F454*'Portfolio 2 &amp; 3'!$F$11+G454*'Portfolio 2 &amp; 3'!$F$12+H454*'Portfolio 2 &amp; 3'!$F$13+I454*'Portfolio 2 &amp; 3'!$F$14+J454*'Portfolio 2 &amp; 3'!$F$15+K454*'Portfolio 2 &amp; 3'!$F$16</f>
        <v>8.3409450209410031E-4</v>
      </c>
      <c r="R454" s="93">
        <f>B454*'Portfolio 2 &amp; 3'!$B$23+C454*'Portfolio 2 &amp; 3'!$B$24+D454*'Portfolio 2 &amp; 3'!$B$25+E454*'Portfolio 2 &amp; 3'!$B$26+F454*'Portfolio 2 &amp; 3'!$B$27+G454*'Portfolio 2 &amp; 3'!$B$28+H454*'Portfolio 2 &amp; 3'!$B$29+I454*'Portfolio 2 &amp; 3'!$B$30+J454*'Portfolio 2 &amp; 3'!$B$31+K454*'Portfolio 2 &amp; 3'!$B$32</f>
        <v>9.8742152749955025E-3</v>
      </c>
      <c r="S454" s="93">
        <f t="shared" si="23"/>
        <v>6.2649548845433722E-3</v>
      </c>
    </row>
    <row r="455" spans="1:19" ht="12.75" customHeight="1">
      <c r="A455" s="82">
        <v>45419</v>
      </c>
      <c r="B455" s="53">
        <v>-1.5E-3</v>
      </c>
      <c r="C455" s="53">
        <v>1.2096455916015301E-2</v>
      </c>
      <c r="D455" s="53">
        <v>1.0450482501000599E-2</v>
      </c>
      <c r="E455" s="53">
        <v>-2.0379999999999999E-2</v>
      </c>
      <c r="F455" s="53">
        <v>-3.9088905216752401E-2</v>
      </c>
      <c r="G455" s="53">
        <v>-1.2140416515547699E-2</v>
      </c>
      <c r="H455" s="87">
        <v>-2.95557555293204E-2</v>
      </c>
      <c r="I455" s="53">
        <v>7.9617301709429301E-3</v>
      </c>
      <c r="J455" s="53">
        <v>5.6063603448919502E-2</v>
      </c>
      <c r="K455" s="53">
        <v>9.3668781910061195E-4</v>
      </c>
      <c r="L455" s="95">
        <f>IFERROR(B455*'Stock Statistics'!$C$41+C455*'Stock Statistics'!$C$42+D455*'Stock Statistics'!$C$43+E455*'Stock Statistics'!$C$44+F455*'Stock Statistics'!$C$45+G455*'Stock Statistics'!$C$46+H455*'Stock Statistics'!$C$47+I455*'Stock Statistics'!$C$48+J455*'Stock Statistics'!$C$49+K455*'Stock Statistics'!$C$50,"")</f>
        <v>-1.5156117405641565E-3</v>
      </c>
      <c r="M455" s="97">
        <v>387.40379999999999</v>
      </c>
      <c r="N455" s="96">
        <v>472.10239999999999</v>
      </c>
      <c r="O455" s="93">
        <f t="shared" si="21"/>
        <v>9.4665878696347239E-3</v>
      </c>
      <c r="P455" s="93">
        <f t="shared" si="22"/>
        <v>-3.796568739164341E-3</v>
      </c>
      <c r="Q455" s="93">
        <f>B455*'Portfolio 2 &amp; 3'!$F$7+C455*'Portfolio 2 &amp; 3'!$F$8+D455*'Portfolio 2 &amp; 3'!$F$9+E455*'Portfolio 2 &amp; 3'!$F$10+F455*'Portfolio 2 &amp; 3'!$F$11+G455*'Portfolio 2 &amp; 3'!$F$12+H455*'Portfolio 2 &amp; 3'!$F$13+I455*'Portfolio 2 &amp; 3'!$F$14+J455*'Portfolio 2 &amp; 3'!$F$15+K455*'Portfolio 2 &amp; 3'!$F$16</f>
        <v>3.6230921137857068E-4</v>
      </c>
      <c r="R455" s="93">
        <f>B455*'Portfolio 2 &amp; 3'!$B$23+C455*'Portfolio 2 &amp; 3'!$B$24+D455*'Portfolio 2 &amp; 3'!$B$25+E455*'Portfolio 2 &amp; 3'!$B$26+F455*'Portfolio 2 &amp; 3'!$B$27+G455*'Portfolio 2 &amp; 3'!$B$28+H455*'Portfolio 2 &amp; 3'!$B$29+I455*'Portfolio 2 &amp; 3'!$B$30+J455*'Portfolio 2 &amp; 3'!$B$31+K455*'Portfolio 2 &amp; 3'!$B$32</f>
        <v>-2.1831903184921721E-3</v>
      </c>
      <c r="S455" s="93">
        <f t="shared" si="23"/>
        <v>2.8350095652351914E-3</v>
      </c>
    </row>
    <row r="456" spans="1:19" ht="12.75" customHeight="1">
      <c r="A456" s="81">
        <v>45418</v>
      </c>
      <c r="B456" s="53">
        <v>-1.43E-2</v>
      </c>
      <c r="C456" s="53">
        <v>-1.8648695753209599E-2</v>
      </c>
      <c r="D456" s="53">
        <v>-3.3399243466300001E-2</v>
      </c>
      <c r="E456" s="53">
        <v>3.2000000000000002E-3</v>
      </c>
      <c r="F456" s="53">
        <v>2.3410868257469401E-2</v>
      </c>
      <c r="G456" s="53">
        <v>-3.6011335197997901E-2</v>
      </c>
      <c r="H456" s="87">
        <v>-3.2160892354896498E-2</v>
      </c>
      <c r="I456" s="53">
        <v>-1.78084442253983E-2</v>
      </c>
      <c r="J456" s="53">
        <v>-1.41669119811598E-2</v>
      </c>
      <c r="K456" s="53">
        <v>-3.49854227405249E-2</v>
      </c>
      <c r="L456" s="95">
        <f>IFERROR(B456*'Stock Statistics'!$C$41+C456*'Stock Statistics'!$C$42+D456*'Stock Statistics'!$C$43+E456*'Stock Statistics'!$C$44+F456*'Stock Statistics'!$C$45+G456*'Stock Statistics'!$C$46+H456*'Stock Statistics'!$C$47+I456*'Stock Statistics'!$C$48+J456*'Stock Statistics'!$C$49+K456*'Stock Statistics'!$C$50,"")</f>
        <v>-1.7487007746201759E-2</v>
      </c>
      <c r="M456" s="96">
        <v>383.77080000000001</v>
      </c>
      <c r="N456" s="97">
        <v>473.90159999999997</v>
      </c>
      <c r="O456" s="93">
        <f t="shared" si="21"/>
        <v>-1.3814837999438723E-2</v>
      </c>
      <c r="P456" s="93">
        <f t="shared" si="22"/>
        <v>2.6995992812071101E-3</v>
      </c>
      <c r="Q456" s="93">
        <f>B456*'Portfolio 2 &amp; 3'!$F$7+C456*'Portfolio 2 &amp; 3'!$F$8+D456*'Portfolio 2 &amp; 3'!$F$9+E456*'Portfolio 2 &amp; 3'!$F$10+F456*'Portfolio 2 &amp; 3'!$F$11+G456*'Portfolio 2 &amp; 3'!$F$12+H456*'Portfolio 2 &amp; 3'!$F$13+I456*'Portfolio 2 &amp; 3'!$F$14+J456*'Portfolio 2 &amp; 3'!$F$15+K456*'Portfolio 2 &amp; 3'!$F$16</f>
        <v>-1.8125202670469062E-2</v>
      </c>
      <c r="R456" s="93">
        <f>B456*'Portfolio 2 &amp; 3'!$B$23+C456*'Portfolio 2 &amp; 3'!$B$24+D456*'Portfolio 2 &amp; 3'!$B$25+E456*'Portfolio 2 &amp; 3'!$B$26+F456*'Portfolio 2 &amp; 3'!$B$27+G456*'Portfolio 2 &amp; 3'!$B$28+H456*'Portfolio 2 &amp; 3'!$B$29+I456*'Portfolio 2 &amp; 3'!$B$30+J456*'Portfolio 2 &amp; 3'!$B$31+K456*'Portfolio 2 &amp; 3'!$B$32</f>
        <v>-1.4913908165407965E-2</v>
      </c>
      <c r="S456" s="93">
        <f t="shared" si="23"/>
        <v>-5.5576193591158063E-3</v>
      </c>
    </row>
    <row r="457" spans="1:19" ht="12.75" customHeight="1">
      <c r="A457" s="82">
        <v>45415</v>
      </c>
      <c r="B457" s="53">
        <v>-1.8599999999999998E-2</v>
      </c>
      <c r="C457" s="53">
        <v>8.9782041637764803E-3</v>
      </c>
      <c r="D457" s="53">
        <v>1.0029088698823499E-2</v>
      </c>
      <c r="E457" s="53">
        <v>-4.3589999999999997E-2</v>
      </c>
      <c r="F457" s="53">
        <v>9.5141700404857091E-3</v>
      </c>
      <c r="G457" s="53">
        <v>-6.3992394046878997E-3</v>
      </c>
      <c r="H457" s="87">
        <v>-5.6963986366777002E-3</v>
      </c>
      <c r="I457" s="53">
        <v>4.2234467284785202E-3</v>
      </c>
      <c r="J457" s="53">
        <v>-1.87398447373173E-2</v>
      </c>
      <c r="K457" s="53">
        <v>4.0778237971057498E-3</v>
      </c>
      <c r="L457" s="95">
        <f>IFERROR(B457*'Stock Statistics'!$C$41+C457*'Stock Statistics'!$C$42+D457*'Stock Statistics'!$C$43+E457*'Stock Statistics'!$C$44+F457*'Stock Statistics'!$C$45+G457*'Stock Statistics'!$C$46+H457*'Stock Statistics'!$C$47+I457*'Stock Statistics'!$C$48+J457*'Stock Statistics'!$C$49+K457*'Stock Statistics'!$C$50,"")</f>
        <v>-5.620274935001294E-3</v>
      </c>
      <c r="M457" s="97">
        <v>389.14679999999998</v>
      </c>
      <c r="N457" s="96">
        <v>472.62569999999999</v>
      </c>
      <c r="O457" s="93">
        <f t="shared" si="21"/>
        <v>5.3684648967178283E-4</v>
      </c>
      <c r="P457" s="93">
        <f t="shared" si="22"/>
        <v>4.4060980243645353E-3</v>
      </c>
      <c r="Q457" s="93">
        <f>B457*'Portfolio 2 &amp; 3'!$F$7+C457*'Portfolio 2 &amp; 3'!$F$8+D457*'Portfolio 2 &amp; 3'!$F$9+E457*'Portfolio 2 &amp; 3'!$F$10+F457*'Portfolio 2 &amp; 3'!$F$11+G457*'Portfolio 2 &amp; 3'!$F$12+H457*'Portfolio 2 &amp; 3'!$F$13+I457*'Portfolio 2 &amp; 3'!$F$14+J457*'Portfolio 2 &amp; 3'!$F$15+K457*'Portfolio 2 &amp; 3'!$F$16</f>
        <v>-4.5494552683892865E-3</v>
      </c>
      <c r="R457" s="93">
        <f>B457*'Portfolio 2 &amp; 3'!$B$23+C457*'Portfolio 2 &amp; 3'!$B$24+D457*'Portfolio 2 &amp; 3'!$B$25+E457*'Portfolio 2 &amp; 3'!$B$26+F457*'Portfolio 2 &amp; 3'!$B$27+G457*'Portfolio 2 &amp; 3'!$B$28+H457*'Portfolio 2 &amp; 3'!$B$29+I457*'Portfolio 2 &amp; 3'!$B$30+J457*'Portfolio 2 &amp; 3'!$B$31+K457*'Portfolio 2 &amp; 3'!$B$32</f>
        <v>7.9181262191916008E-4</v>
      </c>
      <c r="S457" s="93">
        <f t="shared" si="23"/>
        <v>2.4714722570181591E-3</v>
      </c>
    </row>
    <row r="458" spans="1:19" ht="12.75" customHeight="1">
      <c r="A458" s="81">
        <v>45414</v>
      </c>
      <c r="B458" s="53">
        <v>7.4999999999999997E-3</v>
      </c>
      <c r="C458" s="53">
        <v>-6.0206449858709599E-3</v>
      </c>
      <c r="D458" s="53">
        <v>-4.0645133393867302E-3</v>
      </c>
      <c r="E458" s="53">
        <v>7.0400000000000003E-3</v>
      </c>
      <c r="F458" s="53">
        <v>3.6128152692569901E-2</v>
      </c>
      <c r="G458" s="53">
        <v>2.4232209737827599E-2</v>
      </c>
      <c r="H458" s="87">
        <v>-8.8352717909143692E-3</v>
      </c>
      <c r="I458" s="53">
        <v>-9.0246215217605306E-3</v>
      </c>
      <c r="J458" s="53">
        <v>-1.76614763552485E-3</v>
      </c>
      <c r="K458" s="53">
        <v>-1.3020439061317101E-2</v>
      </c>
      <c r="L458" s="95">
        <f>IFERROR(B458*'Stock Statistics'!$C$41+C458*'Stock Statistics'!$C$42+D458*'Stock Statistics'!$C$43+E458*'Stock Statistics'!$C$44+F458*'Stock Statistics'!$C$45+G458*'Stock Statistics'!$C$46+H458*'Stock Statistics'!$C$47+I458*'Stock Statistics'!$C$48+J458*'Stock Statistics'!$C$49+K458*'Stock Statistics'!$C$50,"")</f>
        <v>3.2168724095622951E-3</v>
      </c>
      <c r="M458" s="96">
        <v>388.93799999999999</v>
      </c>
      <c r="N458" s="97">
        <v>470.55239999999998</v>
      </c>
      <c r="O458" s="93">
        <f t="shared" si="21"/>
        <v>-1.7434352130865305E-2</v>
      </c>
      <c r="P458" s="93">
        <f t="shared" si="22"/>
        <v>1.0823739274753885E-2</v>
      </c>
      <c r="Q458" s="93">
        <f>B458*'Portfolio 2 &amp; 3'!$F$7+C458*'Portfolio 2 &amp; 3'!$F$8+D458*'Portfolio 2 &amp; 3'!$F$9+E458*'Portfolio 2 &amp; 3'!$F$10+F458*'Portfolio 2 &amp; 3'!$F$11+G458*'Portfolio 2 &amp; 3'!$F$12+H458*'Portfolio 2 &amp; 3'!$F$13+I458*'Portfolio 2 &amp; 3'!$F$14+J458*'Portfolio 2 &amp; 3'!$F$15+K458*'Portfolio 2 &amp; 3'!$F$16</f>
        <v>1.4360519967553888E-3</v>
      </c>
      <c r="R458" s="93">
        <f>B458*'Portfolio 2 &amp; 3'!$B$23+C458*'Portfolio 2 &amp; 3'!$B$24+D458*'Portfolio 2 &amp; 3'!$B$25+E458*'Portfolio 2 &amp; 3'!$B$26+F458*'Portfolio 2 &amp; 3'!$B$27+G458*'Portfolio 2 &amp; 3'!$B$28+H458*'Portfolio 2 &amp; 3'!$B$29+I458*'Portfolio 2 &amp; 3'!$B$30+J458*'Portfolio 2 &amp; 3'!$B$31+K458*'Portfolio 2 &amp; 3'!$B$32</f>
        <v>4.3750475603251716E-3</v>
      </c>
      <c r="S458" s="93">
        <f t="shared" si="23"/>
        <v>-3.3053064280557098E-3</v>
      </c>
    </row>
    <row r="459" spans="1:19" ht="12.75" customHeight="1">
      <c r="A459" s="82">
        <v>45412</v>
      </c>
      <c r="B459" s="53">
        <v>6.0000000000000001E-3</v>
      </c>
      <c r="C459" s="53">
        <v>4.9949021207177799E-2</v>
      </c>
      <c r="D459" s="53">
        <v>2.4707412223665699E-3</v>
      </c>
      <c r="E459" s="53">
        <v>4.4999999999999999E-4</v>
      </c>
      <c r="F459" s="53">
        <v>-9.9158965839477604E-3</v>
      </c>
      <c r="G459" s="53">
        <v>1.03876937049441E-2</v>
      </c>
      <c r="H459" s="87">
        <v>9.8687872763418803E-3</v>
      </c>
      <c r="I459" s="53">
        <v>1.19114581610031E-2</v>
      </c>
      <c r="J459" s="53">
        <v>-2.5432064071940399E-2</v>
      </c>
      <c r="K459" s="53">
        <v>3.0498993912857499E-3</v>
      </c>
      <c r="L459" s="95">
        <f>IFERROR(B459*'Stock Statistics'!$C$41+C459*'Stock Statistics'!$C$42+D459*'Stock Statistics'!$C$43+E459*'Stock Statistics'!$C$44+F459*'Stock Statistics'!$C$45+G459*'Stock Statistics'!$C$46+H459*'Stock Statistics'!$C$47+I459*'Stock Statistics'!$C$48+J459*'Stock Statistics'!$C$49+K459*'Stock Statistics'!$C$50,"")</f>
        <v>5.8739640307231044E-3</v>
      </c>
      <c r="M459" s="97">
        <v>395.83920000000001</v>
      </c>
      <c r="N459" s="96">
        <v>465.5138</v>
      </c>
      <c r="O459" s="93">
        <f t="shared" si="21"/>
        <v>9.1917093346598477E-3</v>
      </c>
      <c r="P459" s="93">
        <f t="shared" si="22"/>
        <v>5.9042995245703889E-3</v>
      </c>
      <c r="Q459" s="93">
        <f>B459*'Portfolio 2 &amp; 3'!$F$7+C459*'Portfolio 2 &amp; 3'!$F$8+D459*'Portfolio 2 &amp; 3'!$F$9+E459*'Portfolio 2 &amp; 3'!$F$10+F459*'Portfolio 2 &amp; 3'!$F$11+G459*'Portfolio 2 &amp; 3'!$F$12+H459*'Portfolio 2 &amp; 3'!$F$13+I459*'Portfolio 2 &amp; 3'!$F$14+J459*'Portfolio 2 &amp; 3'!$F$15+K459*'Portfolio 2 &amp; 3'!$F$16</f>
        <v>4.3173119557558407E-3</v>
      </c>
      <c r="R459" s="93">
        <f>B459*'Portfolio 2 &amp; 3'!$B$23+C459*'Portfolio 2 &amp; 3'!$B$24+D459*'Portfolio 2 &amp; 3'!$B$25+E459*'Portfolio 2 &amp; 3'!$B$26+F459*'Portfolio 2 &amp; 3'!$B$27+G459*'Portfolio 2 &amp; 3'!$B$28+H459*'Portfolio 2 &amp; 3'!$B$29+I459*'Portfolio 2 &amp; 3'!$B$30+J459*'Portfolio 2 &amp; 3'!$B$31+K459*'Portfolio 2 &amp; 3'!$B$32</f>
        <v>1.262232583443188E-2</v>
      </c>
      <c r="S459" s="93">
        <f t="shared" si="23"/>
        <v>7.5480044296151183E-3</v>
      </c>
    </row>
    <row r="460" spans="1:19" ht="12.75" customHeight="1">
      <c r="A460" s="81">
        <v>45411</v>
      </c>
      <c r="B460" s="53">
        <v>1.52E-2</v>
      </c>
      <c r="C460" s="53">
        <v>2.4270019633234399E-2</v>
      </c>
      <c r="D460" s="53">
        <v>1.47595068588302E-3</v>
      </c>
      <c r="E460" s="53">
        <v>-7.2999999999999996E-4</v>
      </c>
      <c r="F460" s="53">
        <v>1.6571669833227901E-2</v>
      </c>
      <c r="G460" s="53">
        <v>-1.6707287577443199E-2</v>
      </c>
      <c r="H460" s="87">
        <v>1.3410054317167099E-2</v>
      </c>
      <c r="I460" s="53">
        <v>-5.1678736010533103E-3</v>
      </c>
      <c r="J460" s="53">
        <v>-9.4753465520258705E-4</v>
      </c>
      <c r="K460" s="53">
        <v>-3.4555383199022E-3</v>
      </c>
      <c r="L460" s="95">
        <f>IFERROR(B460*'Stock Statistics'!$C$41+C460*'Stock Statistics'!$C$42+D460*'Stock Statistics'!$C$43+E460*'Stock Statistics'!$C$44+F460*'Stock Statistics'!$C$45+G460*'Stock Statistics'!$C$46+H460*'Stock Statistics'!$C$47+I460*'Stock Statistics'!$C$48+J460*'Stock Statistics'!$C$49+K460*'Stock Statistics'!$C$50,"")</f>
        <v>4.3919460315911124E-3</v>
      </c>
      <c r="M460" s="96">
        <v>392.23390000000001</v>
      </c>
      <c r="N460" s="97">
        <v>462.78140000000002</v>
      </c>
      <c r="O460" s="93">
        <f t="shared" si="21"/>
        <v>2.2908620540740277E-3</v>
      </c>
      <c r="P460" s="93">
        <f t="shared" si="22"/>
        <v>-6.4629733713645887E-3</v>
      </c>
      <c r="Q460" s="93">
        <f>B460*'Portfolio 2 &amp; 3'!$F$7+C460*'Portfolio 2 &amp; 3'!$F$8+D460*'Portfolio 2 &amp; 3'!$F$9+E460*'Portfolio 2 &amp; 3'!$F$10+F460*'Portfolio 2 &amp; 3'!$F$11+G460*'Portfolio 2 &amp; 3'!$F$12+H460*'Portfolio 2 &amp; 3'!$F$13+I460*'Portfolio 2 &amp; 3'!$F$14+J460*'Portfolio 2 &amp; 3'!$F$15+K460*'Portfolio 2 &amp; 3'!$F$16</f>
        <v>5.6523783906317401E-3</v>
      </c>
      <c r="R460" s="93">
        <f>B460*'Portfolio 2 &amp; 3'!$B$23+C460*'Portfolio 2 &amp; 3'!$B$24+D460*'Portfolio 2 &amp; 3'!$B$25+E460*'Portfolio 2 &amp; 3'!$B$26+F460*'Portfolio 2 &amp; 3'!$B$27+G460*'Portfolio 2 &amp; 3'!$B$28+H460*'Portfolio 2 &amp; 3'!$B$29+I460*'Portfolio 2 &amp; 3'!$B$30+J460*'Portfolio 2 &amp; 3'!$B$31+K460*'Portfolio 2 &amp; 3'!$B$32</f>
        <v>6.3138565317708605E-3</v>
      </c>
      <c r="S460" s="93">
        <f t="shared" si="23"/>
        <v>-2.0860556586452805E-3</v>
      </c>
    </row>
    <row r="461" spans="1:19" ht="12.75" customHeight="1">
      <c r="A461" s="82">
        <v>45408</v>
      </c>
      <c r="B461" s="53">
        <v>8.6E-3</v>
      </c>
      <c r="C461" s="53">
        <v>-9.36261780863013E-3</v>
      </c>
      <c r="D461" s="53">
        <v>1.81207460443738E-2</v>
      </c>
      <c r="E461" s="53">
        <v>-1.5499999999999999E-3</v>
      </c>
      <c r="F461" s="53">
        <v>-4.0473061760841799E-3</v>
      </c>
      <c r="G461" s="53">
        <v>-1.3192121887775101E-3</v>
      </c>
      <c r="H461" s="87">
        <v>-1.47369424020581E-2</v>
      </c>
      <c r="I461" s="53">
        <v>1.12509153851275E-2</v>
      </c>
      <c r="J461" s="53">
        <v>3.30974261469663E-3</v>
      </c>
      <c r="K461" s="53">
        <v>-9.4318408954626697E-3</v>
      </c>
      <c r="L461" s="95">
        <f>IFERROR(B461*'Stock Statistics'!$C$41+C461*'Stock Statistics'!$C$42+D461*'Stock Statistics'!$C$43+E461*'Stock Statistics'!$C$44+F461*'Stock Statistics'!$C$45+G461*'Stock Statistics'!$C$46+H461*'Stock Statistics'!$C$47+I461*'Stock Statistics'!$C$48+J461*'Stock Statistics'!$C$49+K461*'Stock Statistics'!$C$50,"")</f>
        <v>8.3348457318533969E-5</v>
      </c>
      <c r="M461" s="97">
        <v>391.3374</v>
      </c>
      <c r="N461" s="96">
        <v>465.79180000000002</v>
      </c>
      <c r="O461" s="93">
        <f t="shared" si="21"/>
        <v>-1.0983549690287697E-3</v>
      </c>
      <c r="P461" s="93">
        <f t="shared" si="22"/>
        <v>1.1516023842490952E-2</v>
      </c>
      <c r="Q461" s="93">
        <f>B461*'Portfolio 2 &amp; 3'!$F$7+C461*'Portfolio 2 &amp; 3'!$F$8+D461*'Portfolio 2 &amp; 3'!$F$9+E461*'Portfolio 2 &amp; 3'!$F$10+F461*'Portfolio 2 &amp; 3'!$F$11+G461*'Portfolio 2 &amp; 3'!$F$12+H461*'Portfolio 2 &amp; 3'!$F$13+I461*'Portfolio 2 &amp; 3'!$F$14+J461*'Portfolio 2 &amp; 3'!$F$15+K461*'Portfolio 2 &amp; 3'!$F$16</f>
        <v>-2.3871106064464497E-4</v>
      </c>
      <c r="R461" s="93">
        <f>B461*'Portfolio 2 &amp; 3'!$B$23+C461*'Portfolio 2 &amp; 3'!$B$24+D461*'Portfolio 2 &amp; 3'!$B$25+E461*'Portfolio 2 &amp; 3'!$B$26+F461*'Portfolio 2 &amp; 3'!$B$27+G461*'Portfolio 2 &amp; 3'!$B$28+H461*'Portfolio 2 &amp; 3'!$B$29+I461*'Portfolio 2 &amp; 3'!$B$30+J461*'Portfolio 2 &amp; 3'!$B$31+K461*'Portfolio 2 &amp; 3'!$B$32</f>
        <v>4.76200180846915E-4</v>
      </c>
      <c r="S461" s="93">
        <f t="shared" si="23"/>
        <v>5.2088344367310913E-3</v>
      </c>
    </row>
    <row r="462" spans="1:19" ht="12.75" customHeight="1">
      <c r="A462" s="81">
        <v>45407</v>
      </c>
      <c r="B462" s="53">
        <v>8.6999999999999994E-3</v>
      </c>
      <c r="C462" s="53">
        <v>-1.0330705436674499E-2</v>
      </c>
      <c r="D462" s="53">
        <v>2.5285481239804002E-2</v>
      </c>
      <c r="E462" s="53">
        <v>7.6600000000000001E-3</v>
      </c>
      <c r="F462" s="53">
        <v>1.9014461703267298E-2</v>
      </c>
      <c r="G462" s="53">
        <v>-1.2248079278477399E-3</v>
      </c>
      <c r="H462" s="87">
        <v>7.1975816125782197E-3</v>
      </c>
      <c r="I462" s="53">
        <v>-1.2815457413249199E-2</v>
      </c>
      <c r="J462" s="53">
        <v>1.43214285714286E-2</v>
      </c>
      <c r="K462" s="53">
        <v>3.2963589647176899E-3</v>
      </c>
      <c r="L462" s="95">
        <f>IFERROR(B462*'Stock Statistics'!$C$41+C462*'Stock Statistics'!$C$42+D462*'Stock Statistics'!$C$43+E462*'Stock Statistics'!$C$44+F462*'Stock Statistics'!$C$45+G462*'Stock Statistics'!$C$46+H462*'Stock Statistics'!$C$47+I462*'Stock Statistics'!$C$48+J462*'Stock Statistics'!$C$49+K462*'Stock Statistics'!$C$50,"")</f>
        <v>6.1104341314024381E-3</v>
      </c>
      <c r="M462" s="96">
        <v>391.76769999999999</v>
      </c>
      <c r="N462" s="97">
        <v>460.48880000000003</v>
      </c>
      <c r="O462" s="93">
        <f t="shared" si="21"/>
        <v>-5.2946149959502975E-3</v>
      </c>
      <c r="P462" s="93">
        <f t="shared" si="22"/>
        <v>-5.3674743581600959E-3</v>
      </c>
      <c r="Q462" s="93">
        <f>B462*'Portfolio 2 &amp; 3'!$F$7+C462*'Portfolio 2 &amp; 3'!$F$8+D462*'Portfolio 2 &amp; 3'!$F$9+E462*'Portfolio 2 &amp; 3'!$F$10+F462*'Portfolio 2 &amp; 3'!$F$11+G462*'Portfolio 2 &amp; 3'!$F$12+H462*'Portfolio 2 &amp; 3'!$F$13+I462*'Portfolio 2 &amp; 3'!$F$14+J462*'Portfolio 2 &amp; 3'!$F$15+K462*'Portfolio 2 &amp; 3'!$F$16</f>
        <v>7.8322250297184846E-3</v>
      </c>
      <c r="R462" s="93">
        <f>B462*'Portfolio 2 &amp; 3'!$B$23+C462*'Portfolio 2 &amp; 3'!$B$24+D462*'Portfolio 2 &amp; 3'!$B$25+E462*'Portfolio 2 &amp; 3'!$B$26+F462*'Portfolio 2 &amp; 3'!$B$27+G462*'Portfolio 2 &amp; 3'!$B$28+H462*'Portfolio 2 &amp; 3'!$B$29+I462*'Portfolio 2 &amp; 3'!$B$30+J462*'Portfolio 2 &amp; 3'!$B$31+K462*'Portfolio 2 &amp; 3'!$B$32</f>
        <v>1.3727042668352504E-4</v>
      </c>
      <c r="S462" s="93">
        <f t="shared" si="23"/>
        <v>-5.3310446770551967E-3</v>
      </c>
    </row>
    <row r="463" spans="1:19" ht="12.75" customHeight="1">
      <c r="A463" s="82">
        <v>45406</v>
      </c>
      <c r="B463" s="53">
        <v>-1.06E-2</v>
      </c>
      <c r="C463" s="53">
        <v>-5.4781687846203698E-3</v>
      </c>
      <c r="D463" s="53">
        <v>1.7849730178497499E-2</v>
      </c>
      <c r="E463" s="53">
        <v>1.6320000000000001E-2</v>
      </c>
      <c r="F463" s="53">
        <v>-2.70467455312941E-2</v>
      </c>
      <c r="G463" s="53">
        <v>2.9220718792459799E-3</v>
      </c>
      <c r="H463" s="87">
        <v>5.3628140703518897E-3</v>
      </c>
      <c r="I463" s="53">
        <v>9.9897115927118901E-3</v>
      </c>
      <c r="J463" s="53">
        <v>-5.6818181818182297E-3</v>
      </c>
      <c r="K463" s="53">
        <v>-6.7474199210726402E-3</v>
      </c>
      <c r="L463" s="95">
        <f>IFERROR(B463*'Stock Statistics'!$C$41+C463*'Stock Statistics'!$C$42+D463*'Stock Statistics'!$C$43+E463*'Stock Statistics'!$C$44+F463*'Stock Statistics'!$C$45+G463*'Stock Statistics'!$C$46+H463*'Stock Statistics'!$C$47+I463*'Stock Statistics'!$C$48+J463*'Stock Statistics'!$C$49+K463*'Stock Statistics'!$C$50,"")</f>
        <v>-3.1098246979980779E-4</v>
      </c>
      <c r="M463" s="97">
        <v>393.85300000000001</v>
      </c>
      <c r="N463" s="96">
        <v>462.97379999999998</v>
      </c>
      <c r="O463" s="93">
        <f t="shared" si="21"/>
        <v>8.0528437316278456E-3</v>
      </c>
      <c r="P463" s="93">
        <f t="shared" si="22"/>
        <v>-8.1645743039245877E-3</v>
      </c>
      <c r="Q463" s="93">
        <f>B463*'Portfolio 2 &amp; 3'!$F$7+C463*'Portfolio 2 &amp; 3'!$F$8+D463*'Portfolio 2 &amp; 3'!$F$9+E463*'Portfolio 2 &amp; 3'!$F$10+F463*'Portfolio 2 &amp; 3'!$F$11+G463*'Portfolio 2 &amp; 3'!$F$12+H463*'Portfolio 2 &amp; 3'!$F$13+I463*'Portfolio 2 &amp; 3'!$F$14+J463*'Portfolio 2 &amp; 3'!$F$15+K463*'Portfolio 2 &amp; 3'!$F$16</f>
        <v>6.8843534024962778E-5</v>
      </c>
      <c r="R463" s="93">
        <f>B463*'Portfolio 2 &amp; 3'!$B$23+C463*'Portfolio 2 &amp; 3'!$B$24+D463*'Portfolio 2 &amp; 3'!$B$25+E463*'Portfolio 2 &amp; 3'!$B$26+F463*'Portfolio 2 &amp; 3'!$B$27+G463*'Portfolio 2 &amp; 3'!$B$28+H463*'Portfolio 2 &amp; 3'!$B$29+I463*'Portfolio 2 &amp; 3'!$B$30+J463*'Portfolio 2 &amp; 3'!$B$31+K463*'Portfolio 2 &amp; 3'!$B$32</f>
        <v>-4.3075398232286328E-3</v>
      </c>
      <c r="S463" s="93">
        <f t="shared" si="23"/>
        <v>-5.5865286148371052E-5</v>
      </c>
    </row>
    <row r="464" spans="1:19" ht="12.75" customHeight="1">
      <c r="A464" s="81">
        <v>45405</v>
      </c>
      <c r="B464" s="53">
        <v>-2.2499999999999999E-2</v>
      </c>
      <c r="C464" s="53">
        <v>8.7824720347600103E-3</v>
      </c>
      <c r="D464" s="53">
        <v>-8.4152755545392494E-3</v>
      </c>
      <c r="E464" s="53">
        <v>8.6E-3</v>
      </c>
      <c r="F464" s="53">
        <v>-2.6049807231431899E-4</v>
      </c>
      <c r="G464" s="53">
        <v>1.8597861530294899E-2</v>
      </c>
      <c r="H464" s="87">
        <v>4.50275593197553E-2</v>
      </c>
      <c r="I464" s="53">
        <v>-8.9464855441897494E-3</v>
      </c>
      <c r="J464" s="53">
        <v>-8.1609480892741503E-4</v>
      </c>
      <c r="K464" s="53">
        <v>4.48904729694573E-2</v>
      </c>
      <c r="L464" s="95">
        <f>IFERROR(B464*'Stock Statistics'!$C$41+C464*'Stock Statistics'!$C$42+D464*'Stock Statistics'!$C$43+E464*'Stock Statistics'!$C$44+F464*'Stock Statistics'!$C$45+G464*'Stock Statistics'!$C$46+H464*'Stock Statistics'!$C$47+I464*'Stock Statistics'!$C$48+J464*'Stock Statistics'!$C$49+K464*'Stock Statistics'!$C$50,"")</f>
        <v>8.496001187429679E-3</v>
      </c>
      <c r="M464" s="96">
        <v>390.70670000000001</v>
      </c>
      <c r="N464" s="97">
        <v>466.78489999999999</v>
      </c>
      <c r="O464" s="93">
        <f t="shared" si="21"/>
        <v>3.5399412064618385E-3</v>
      </c>
      <c r="P464" s="93">
        <f t="shared" si="22"/>
        <v>2.1537986571820156E-3</v>
      </c>
      <c r="Q464" s="93">
        <f>B464*'Portfolio 2 &amp; 3'!$F$7+C464*'Portfolio 2 &amp; 3'!$F$8+D464*'Portfolio 2 &amp; 3'!$F$9+E464*'Portfolio 2 &amp; 3'!$F$10+F464*'Portfolio 2 &amp; 3'!$F$11+G464*'Portfolio 2 &amp; 3'!$F$12+H464*'Portfolio 2 &amp; 3'!$F$13+I464*'Portfolio 2 &amp; 3'!$F$14+J464*'Portfolio 2 &amp; 3'!$F$15+K464*'Portfolio 2 &amp; 3'!$F$16</f>
        <v>9.8698118430486717E-3</v>
      </c>
      <c r="R464" s="93">
        <f>B464*'Portfolio 2 &amp; 3'!$B$23+C464*'Portfolio 2 &amp; 3'!$B$24+D464*'Portfolio 2 &amp; 3'!$B$25+E464*'Portfolio 2 &amp; 3'!$B$26+F464*'Portfolio 2 &amp; 3'!$B$27+G464*'Portfolio 2 &amp; 3'!$B$28+H464*'Portfolio 2 &amp; 3'!$B$29+I464*'Portfolio 2 &amp; 3'!$B$30+J464*'Portfolio 2 &amp; 3'!$B$31+K464*'Portfolio 2 &amp; 3'!$B$32</f>
        <v>3.4418190870910692E-3</v>
      </c>
      <c r="S464" s="93">
        <f t="shared" si="23"/>
        <v>2.846869931821927E-3</v>
      </c>
    </row>
    <row r="465" spans="1:19" ht="12.75" customHeight="1">
      <c r="A465" s="82">
        <v>45404</v>
      </c>
      <c r="B465" s="53">
        <v>7.1999999999999998E-3</v>
      </c>
      <c r="C465" s="53">
        <v>3.1074254122581298E-2</v>
      </c>
      <c r="D465" s="53">
        <v>1.57955865272939E-2</v>
      </c>
      <c r="E465" s="53">
        <v>-7.4799999999999997E-3</v>
      </c>
      <c r="F465" s="53">
        <v>4.0720056389958403E-2</v>
      </c>
      <c r="G465" s="53">
        <v>1.7554689609938601E-2</v>
      </c>
      <c r="H465" s="87">
        <v>-2.18410308966632E-4</v>
      </c>
      <c r="I465" s="53">
        <v>2.31532895843851E-2</v>
      </c>
      <c r="J465" s="53">
        <v>2.0978523680841299E-3</v>
      </c>
      <c r="K465" s="53">
        <v>7.8661702239235503E-3</v>
      </c>
      <c r="L465" s="95">
        <f>IFERROR(B465*'Stock Statistics'!$C$41+C465*'Stock Statistics'!$C$42+D465*'Stock Statistics'!$C$43+E465*'Stock Statistics'!$C$44+F465*'Stock Statistics'!$C$45+G465*'Stock Statistics'!$C$46+H465*'Stock Statistics'!$C$47+I465*'Stock Statistics'!$C$48+J465*'Stock Statistics'!$C$49+K465*'Stock Statistics'!$C$50,"")</f>
        <v>1.3776348851719838E-2</v>
      </c>
      <c r="M465" s="97">
        <v>389.32850000000002</v>
      </c>
      <c r="N465" s="96">
        <v>465.7817</v>
      </c>
      <c r="O465" s="93">
        <f t="shared" si="21"/>
        <v>2.2398794825908563E-3</v>
      </c>
      <c r="P465" s="93">
        <f t="shared" si="22"/>
        <v>-7.9959773061112349E-3</v>
      </c>
      <c r="Q465" s="93">
        <f>B465*'Portfolio 2 &amp; 3'!$F$7+C465*'Portfolio 2 &amp; 3'!$F$8+D465*'Portfolio 2 &amp; 3'!$F$9+E465*'Portfolio 2 &amp; 3'!$F$10+F465*'Portfolio 2 &amp; 3'!$F$11+G465*'Portfolio 2 &amp; 3'!$F$12+H465*'Portfolio 2 &amp; 3'!$F$13+I465*'Portfolio 2 &amp; 3'!$F$14+J465*'Portfolio 2 &amp; 3'!$F$15+K465*'Portfolio 2 &amp; 3'!$F$16</f>
        <v>1.306195018342318E-2</v>
      </c>
      <c r="R465" s="93">
        <f>B465*'Portfolio 2 &amp; 3'!$B$23+C465*'Portfolio 2 &amp; 3'!$B$24+D465*'Portfolio 2 &amp; 3'!$B$25+E465*'Portfolio 2 &amp; 3'!$B$26+F465*'Portfolio 2 &amp; 3'!$B$27+G465*'Portfolio 2 &amp; 3'!$B$28+H465*'Portfolio 2 &amp; 3'!$B$29+I465*'Portfolio 2 &amp; 3'!$B$30+J465*'Portfolio 2 &amp; 3'!$B$31+K465*'Portfolio 2 &amp; 3'!$B$32</f>
        <v>2.1912977042420186E-2</v>
      </c>
      <c r="S465" s="93">
        <f t="shared" si="23"/>
        <v>-2.8780489117601893E-3</v>
      </c>
    </row>
    <row r="466" spans="1:19" ht="12.75" customHeight="1">
      <c r="A466" s="81">
        <v>45401</v>
      </c>
      <c r="B466" s="53">
        <v>2.3999999999999998E-3</v>
      </c>
      <c r="C466" s="53">
        <v>3.5179831646969801E-3</v>
      </c>
      <c r="D466" s="53">
        <v>-9.9351455774803199E-3</v>
      </c>
      <c r="E466" s="53">
        <v>-1.37E-2</v>
      </c>
      <c r="F466" s="53">
        <v>-1.5848452508004301E-2</v>
      </c>
      <c r="G466" s="53">
        <v>2.0674175001969001E-2</v>
      </c>
      <c r="H466" s="87">
        <v>-1.0638121041871E-2</v>
      </c>
      <c r="I466" s="53">
        <v>7.4091536725817697E-4</v>
      </c>
      <c r="J466" s="53">
        <v>5.7216421112860098E-3</v>
      </c>
      <c r="K466" s="53">
        <v>1.19804173908429E-2</v>
      </c>
      <c r="L466" s="95">
        <f>IFERROR(B466*'Stock Statistics'!$C$41+C466*'Stock Statistics'!$C$42+D466*'Stock Statistics'!$C$43+E466*'Stock Statistics'!$C$44+F466*'Stock Statistics'!$C$45+G466*'Stock Statistics'!$C$46+H466*'Stock Statistics'!$C$47+I466*'Stock Statistics'!$C$48+J466*'Stock Statistics'!$C$49+K466*'Stock Statistics'!$C$50,"")</f>
        <v>-5.0865860913025551E-4</v>
      </c>
      <c r="M466" s="96">
        <v>388.45839999999998</v>
      </c>
      <c r="N466" s="97">
        <v>469.53609999999998</v>
      </c>
      <c r="O466" s="93">
        <f t="shared" si="21"/>
        <v>8.2768014917344868E-3</v>
      </c>
      <c r="P466" s="93">
        <f t="shared" si="22"/>
        <v>-1.1523549298656843E-2</v>
      </c>
      <c r="Q466" s="93">
        <f>B466*'Portfolio 2 &amp; 3'!$F$7+C466*'Portfolio 2 &amp; 3'!$F$8+D466*'Portfolio 2 &amp; 3'!$F$9+E466*'Portfolio 2 &amp; 3'!$F$10+F466*'Portfolio 2 &amp; 3'!$F$11+G466*'Portfolio 2 &amp; 3'!$F$12+H466*'Portfolio 2 &amp; 3'!$F$13+I466*'Portfolio 2 &amp; 3'!$F$14+J466*'Portfolio 2 &amp; 3'!$F$15+K466*'Portfolio 2 &amp; 3'!$F$16</f>
        <v>-2.2268679146960494E-3</v>
      </c>
      <c r="R466" s="93">
        <f>B466*'Portfolio 2 &amp; 3'!$B$23+C466*'Portfolio 2 &amp; 3'!$B$24+D466*'Portfolio 2 &amp; 3'!$B$25+E466*'Portfolio 2 &amp; 3'!$B$26+F466*'Portfolio 2 &amp; 3'!$B$27+G466*'Portfolio 2 &amp; 3'!$B$28+H466*'Portfolio 2 &amp; 3'!$B$29+I466*'Portfolio 2 &amp; 3'!$B$30+J466*'Portfolio 2 &amp; 3'!$B$31+K466*'Portfolio 2 &amp; 3'!$B$32</f>
        <v>1.6503040905192651E-3</v>
      </c>
      <c r="S466" s="93">
        <f t="shared" si="23"/>
        <v>-1.6233739034611783E-3</v>
      </c>
    </row>
    <row r="467" spans="1:19" ht="12.75" customHeight="1">
      <c r="A467" s="82">
        <v>45400</v>
      </c>
      <c r="B467" s="53">
        <v>-3.0000000000000001E-3</v>
      </c>
      <c r="C467" s="53">
        <v>-8.7026149988410594E-3</v>
      </c>
      <c r="D467" s="53">
        <v>-2.4629878869448198E-2</v>
      </c>
      <c r="E467" s="53">
        <v>1.094E-2</v>
      </c>
      <c r="F467" s="53">
        <v>-8.3081970683177592E-3</v>
      </c>
      <c r="G467" s="53">
        <v>-2.9251820876768902E-3</v>
      </c>
      <c r="H467" s="87">
        <v>1.2325735968432601E-2</v>
      </c>
      <c r="I467" s="53">
        <v>-3.6004155574313301E-2</v>
      </c>
      <c r="J467" s="53">
        <v>3.8241627682483098E-2</v>
      </c>
      <c r="K467" s="53">
        <v>8.3344481605351906E-3</v>
      </c>
      <c r="L467" s="95">
        <f>IFERROR(B467*'Stock Statistics'!$C$41+C467*'Stock Statistics'!$C$42+D467*'Stock Statistics'!$C$43+E467*'Stock Statistics'!$C$44+F467*'Stock Statistics'!$C$45+G467*'Stock Statistics'!$C$46+H467*'Stock Statistics'!$C$47+I467*'Stock Statistics'!$C$48+J467*'Stock Statistics'!$C$49+K467*'Stock Statistics'!$C$50,"")</f>
        <v>-1.3728216787146324E-3</v>
      </c>
      <c r="M467" s="97">
        <v>385.26960000000003</v>
      </c>
      <c r="N467" s="96">
        <v>475.00990000000002</v>
      </c>
      <c r="O467" s="93">
        <f t="shared" si="21"/>
        <v>1.6373760593679787E-3</v>
      </c>
      <c r="P467" s="93">
        <f t="shared" si="22"/>
        <v>-1.7761709394308323E-3</v>
      </c>
      <c r="Q467" s="93">
        <f>B467*'Portfolio 2 &amp; 3'!$F$7+C467*'Portfolio 2 &amp; 3'!$F$8+D467*'Portfolio 2 &amp; 3'!$F$9+E467*'Portfolio 2 &amp; 3'!$F$10+F467*'Portfolio 2 &amp; 3'!$F$11+G467*'Portfolio 2 &amp; 3'!$F$12+H467*'Portfolio 2 &amp; 3'!$F$13+I467*'Portfolio 2 &amp; 3'!$F$14+J467*'Portfolio 2 &amp; 3'!$F$15+K467*'Portfolio 2 &amp; 3'!$F$16</f>
        <v>6.333237546305129E-4</v>
      </c>
      <c r="R467" s="93">
        <f>B467*'Portfolio 2 &amp; 3'!$B$23+C467*'Portfolio 2 &amp; 3'!$B$24+D467*'Portfolio 2 &amp; 3'!$B$25+E467*'Portfolio 2 &amp; 3'!$B$26+F467*'Portfolio 2 &amp; 3'!$B$27+G467*'Portfolio 2 &amp; 3'!$B$28+H467*'Portfolio 2 &amp; 3'!$B$29+I467*'Portfolio 2 &amp; 3'!$B$30+J467*'Portfolio 2 &amp; 3'!$B$31+K467*'Portfolio 2 &amp; 3'!$B$32</f>
        <v>-1.0648795667926245E-2</v>
      </c>
      <c r="S467" s="93">
        <f t="shared" si="23"/>
        <v>-6.9397440031426783E-5</v>
      </c>
    </row>
    <row r="468" spans="1:19" ht="12.75" customHeight="1">
      <c r="A468" s="81">
        <v>45398</v>
      </c>
      <c r="B468" s="53">
        <v>-2.8999999999999998E-3</v>
      </c>
      <c r="C468" s="53">
        <v>2.80199724890875E-2</v>
      </c>
      <c r="D468" s="53">
        <v>3.0600306003061299E-3</v>
      </c>
      <c r="E468" s="53">
        <v>-1.7430000000000001E-2</v>
      </c>
      <c r="F468" s="53">
        <v>1.0372667486499501E-2</v>
      </c>
      <c r="G468" s="53">
        <v>3.6451765447667E-3</v>
      </c>
      <c r="H468" s="87">
        <v>-2.4004767380373399E-3</v>
      </c>
      <c r="I468" s="53">
        <v>1.13606514315734E-2</v>
      </c>
      <c r="J468" s="53">
        <v>-6.0154260619256199E-3</v>
      </c>
      <c r="K468" s="53">
        <v>1.79208541002807E-2</v>
      </c>
      <c r="L468" s="95">
        <f>IFERROR(B468*'Stock Statistics'!$C$41+C468*'Stock Statistics'!$C$42+D468*'Stock Statistics'!$C$43+E468*'Stock Statistics'!$C$44+F468*'Stock Statistics'!$C$45+G468*'Stock Statistics'!$C$46+H468*'Stock Statistics'!$C$47+I468*'Stock Statistics'!$C$48+J468*'Stock Statistics'!$C$49+K468*'Stock Statistics'!$C$50,"")</f>
        <v>4.5633449852550967E-3</v>
      </c>
      <c r="M468" s="96">
        <v>384.63979999999998</v>
      </c>
      <c r="N468" s="97">
        <v>475.85509999999999</v>
      </c>
      <c r="O468" s="93">
        <f t="shared" si="21"/>
        <v>7.2975688039276232E-3</v>
      </c>
      <c r="P468" s="93">
        <f t="shared" si="22"/>
        <v>-6.7894721810146663E-4</v>
      </c>
      <c r="Q468" s="93">
        <f>B468*'Portfolio 2 &amp; 3'!$F$7+C468*'Portfolio 2 &amp; 3'!$F$8+D468*'Portfolio 2 &amp; 3'!$F$9+E468*'Portfolio 2 &amp; 3'!$F$10+F468*'Portfolio 2 &amp; 3'!$F$11+G468*'Portfolio 2 &amp; 3'!$F$12+H468*'Portfolio 2 &amp; 3'!$F$13+I468*'Portfolio 2 &amp; 3'!$F$14+J468*'Portfolio 2 &amp; 3'!$F$15+K468*'Portfolio 2 &amp; 3'!$F$16</f>
        <v>4.0397533038665483E-3</v>
      </c>
      <c r="R468" s="93">
        <f>B468*'Portfolio 2 &amp; 3'!$B$23+C468*'Portfolio 2 &amp; 3'!$B$24+D468*'Portfolio 2 &amp; 3'!$B$25+E468*'Portfolio 2 &amp; 3'!$B$26+F468*'Portfolio 2 &amp; 3'!$B$27+G468*'Portfolio 2 &amp; 3'!$B$28+H468*'Portfolio 2 &amp; 3'!$B$29+I468*'Portfolio 2 &amp; 3'!$B$30+J468*'Portfolio 2 &amp; 3'!$B$31+K468*'Portfolio 2 &amp; 3'!$B$32</f>
        <v>1.1139872936561511E-2</v>
      </c>
      <c r="S468" s="93">
        <f t="shared" si="23"/>
        <v>3.3093107929130783E-3</v>
      </c>
    </row>
    <row r="469" spans="1:19" ht="12.75" customHeight="1">
      <c r="A469" s="82">
        <v>45397</v>
      </c>
      <c r="B469" s="53">
        <v>-8.5000000000000006E-3</v>
      </c>
      <c r="C469" s="53">
        <v>-7.4179988604233804E-3</v>
      </c>
      <c r="D469" s="53">
        <v>2.3772228876808299E-2</v>
      </c>
      <c r="E469" s="53">
        <v>-1.8929999999999999E-2</v>
      </c>
      <c r="F469" s="53">
        <v>-2.80621524710284E-2</v>
      </c>
      <c r="G469" s="53">
        <v>7.0440700835368002E-3</v>
      </c>
      <c r="H469" s="87">
        <v>-1.54040675332833E-2</v>
      </c>
      <c r="I469" s="53">
        <v>4.2205222896332098E-3</v>
      </c>
      <c r="J469" s="53">
        <v>6.7620286085825496E-3</v>
      </c>
      <c r="K469" s="53">
        <v>-1.0029928011000701E-2</v>
      </c>
      <c r="L469" s="95">
        <f>IFERROR(B469*'Stock Statistics'!$C$41+C469*'Stock Statistics'!$C$42+D469*'Stock Statistics'!$C$43+E469*'Stock Statistics'!$C$44+F469*'Stock Statistics'!$C$45+G469*'Stock Statistics'!$C$46+H469*'Stock Statistics'!$C$47+I469*'Stock Statistics'!$C$48+J469*'Stock Statistics'!$C$49+K469*'Stock Statistics'!$C$50,"")</f>
        <v>-4.6545297017174933E-3</v>
      </c>
      <c r="M469" s="97">
        <v>381.85320000000002</v>
      </c>
      <c r="N469" s="96">
        <v>476.17840000000001</v>
      </c>
      <c r="O469" s="93">
        <f t="shared" si="21"/>
        <v>-6.923003303900499E-3</v>
      </c>
      <c r="P469" s="93">
        <f t="shared" si="22"/>
        <v>1.7599967013210982E-3</v>
      </c>
      <c r="Q469" s="93">
        <f>B469*'Portfolio 2 &amp; 3'!$F$7+C469*'Portfolio 2 &amp; 3'!$F$8+D469*'Portfolio 2 &amp; 3'!$F$9+E469*'Portfolio 2 &amp; 3'!$F$10+F469*'Portfolio 2 &amp; 3'!$F$11+G469*'Portfolio 2 &amp; 3'!$F$12+H469*'Portfolio 2 &amp; 3'!$F$13+I469*'Portfolio 2 &amp; 3'!$F$14+J469*'Portfolio 2 &amp; 3'!$F$15+K469*'Portfolio 2 &amp; 3'!$F$16</f>
        <v>-3.9693442218997283E-3</v>
      </c>
      <c r="R469" s="93">
        <f>B469*'Portfolio 2 &amp; 3'!$B$23+C469*'Portfolio 2 &amp; 3'!$B$24+D469*'Portfolio 2 &amp; 3'!$B$25+E469*'Portfolio 2 &amp; 3'!$B$26+F469*'Portfolio 2 &amp; 3'!$B$27+G469*'Portfolio 2 &amp; 3'!$B$28+H469*'Portfolio 2 &amp; 3'!$B$29+I469*'Portfolio 2 &amp; 3'!$B$30+J469*'Portfolio 2 &amp; 3'!$B$31+K469*'Portfolio 2 &amp; 3'!$B$32</f>
        <v>-5.9842584743628894E-3</v>
      </c>
      <c r="S469" s="93">
        <f t="shared" si="23"/>
        <v>-2.5815033012897004E-3</v>
      </c>
    </row>
    <row r="470" spans="1:19" ht="12.75" customHeight="1">
      <c r="A470" s="81">
        <v>45394</v>
      </c>
      <c r="B470" s="53">
        <v>-2.1399999999999999E-2</v>
      </c>
      <c r="C470" s="53">
        <v>-1.7626681874828298E-2</v>
      </c>
      <c r="D470" s="53">
        <v>-2.89402361155777E-3</v>
      </c>
      <c r="E470" s="53">
        <v>3.3899999999999998E-3</v>
      </c>
      <c r="F470" s="53">
        <v>-3.2236974451820603E-2</v>
      </c>
      <c r="G470" s="53">
        <v>-2.2442487488846599E-2</v>
      </c>
      <c r="H470" s="87">
        <v>6.5714499613198597E-3</v>
      </c>
      <c r="I470" s="53">
        <v>-1.3755650222756899E-2</v>
      </c>
      <c r="J470" s="53">
        <v>-1.1504490462406201E-3</v>
      </c>
      <c r="K470" s="53">
        <v>-1.4691036608044199E-2</v>
      </c>
      <c r="L470" s="95">
        <f>IFERROR(B470*'Stock Statistics'!$C$41+C470*'Stock Statistics'!$C$42+D470*'Stock Statistics'!$C$43+E470*'Stock Statistics'!$C$44+F470*'Stock Statistics'!$C$45+G470*'Stock Statistics'!$C$46+H470*'Stock Statistics'!$C$47+I470*'Stock Statistics'!$C$48+J470*'Stock Statistics'!$C$49+K470*'Stock Statistics'!$C$50,"")</f>
        <v>-1.1623585334277514E-2</v>
      </c>
      <c r="M470" s="96">
        <v>384.51519999999999</v>
      </c>
      <c r="N470" s="97">
        <v>475.34179999999998</v>
      </c>
      <c r="O470" s="93">
        <f t="shared" si="21"/>
        <v>-8.9972789094606709E-3</v>
      </c>
      <c r="P470" s="93">
        <f t="shared" si="22"/>
        <v>2.1069168600571508E-3</v>
      </c>
      <c r="Q470" s="93">
        <f>B470*'Portfolio 2 &amp; 3'!$F$7+C470*'Portfolio 2 &amp; 3'!$F$8+D470*'Portfolio 2 &amp; 3'!$F$9+E470*'Portfolio 2 &amp; 3'!$F$10+F470*'Portfolio 2 &amp; 3'!$F$11+G470*'Portfolio 2 &amp; 3'!$F$12+H470*'Portfolio 2 &amp; 3'!$F$13+I470*'Portfolio 2 &amp; 3'!$F$14+J470*'Portfolio 2 &amp; 3'!$F$15+K470*'Portfolio 2 &amp; 3'!$F$16</f>
        <v>-9.2373975133903247E-3</v>
      </c>
      <c r="R470" s="93">
        <f>B470*'Portfolio 2 &amp; 3'!$B$23+C470*'Portfolio 2 &amp; 3'!$B$24+D470*'Portfolio 2 &amp; 3'!$B$25+E470*'Portfolio 2 &amp; 3'!$B$26+F470*'Portfolio 2 &amp; 3'!$B$27+G470*'Portfolio 2 &amp; 3'!$B$28+H470*'Portfolio 2 &amp; 3'!$B$29+I470*'Portfolio 2 &amp; 3'!$B$30+J470*'Portfolio 2 &amp; 3'!$B$31+K470*'Portfolio 2 &amp; 3'!$B$32</f>
        <v>-1.8278169384720048E-2</v>
      </c>
      <c r="S470" s="93">
        <f t="shared" si="23"/>
        <v>-3.44518102470176E-3</v>
      </c>
    </row>
    <row r="471" spans="1:19" ht="12.75" customHeight="1">
      <c r="A471" s="82">
        <v>45392</v>
      </c>
      <c r="B471" s="53">
        <v>2.2800000000000001E-2</v>
      </c>
      <c r="C471" s="53">
        <v>3.9549160773171303E-3</v>
      </c>
      <c r="D471" s="53">
        <v>-1.82203580931765E-2</v>
      </c>
      <c r="E471" s="53">
        <v>-5.3499999999999997E-3</v>
      </c>
      <c r="F471" s="53">
        <v>5.1053935196887501E-3</v>
      </c>
      <c r="G471" s="53">
        <v>-4.8469338296597302E-4</v>
      </c>
      <c r="H471" s="87">
        <v>-1.1998980908470701E-2</v>
      </c>
      <c r="I471" s="53">
        <v>-1.62332391805464E-3</v>
      </c>
      <c r="J471" s="53">
        <v>-2.0287958115183399E-2</v>
      </c>
      <c r="K471" s="53">
        <v>1.2821030256555E-2</v>
      </c>
      <c r="L471" s="95">
        <f>IFERROR(B471*'Stock Statistics'!$C$41+C471*'Stock Statistics'!$C$42+D471*'Stock Statistics'!$C$43+E471*'Stock Statistics'!$C$44+F471*'Stock Statistics'!$C$45+G471*'Stock Statistics'!$C$46+H471*'Stock Statistics'!$C$47+I471*'Stock Statistics'!$C$48+J471*'Stock Statistics'!$C$49+K471*'Stock Statistics'!$C$50,"")</f>
        <v>-1.3283974564290328E-3</v>
      </c>
      <c r="M471" s="97">
        <v>388.00619999999998</v>
      </c>
      <c r="N471" s="96">
        <v>474.3424</v>
      </c>
      <c r="O471" s="93">
        <f t="shared" si="21"/>
        <v>2.2426111619111566E-3</v>
      </c>
      <c r="P471" s="93">
        <f t="shared" si="22"/>
        <v>-1.8641566590205105E-3</v>
      </c>
      <c r="Q471" s="93">
        <f>B471*'Portfolio 2 &amp; 3'!$F$7+C471*'Portfolio 2 &amp; 3'!$F$8+D471*'Portfolio 2 &amp; 3'!$F$9+E471*'Portfolio 2 &amp; 3'!$F$10+F471*'Portfolio 2 &amp; 3'!$F$11+G471*'Portfolio 2 &amp; 3'!$F$12+H471*'Portfolio 2 &amp; 3'!$F$13+I471*'Portfolio 2 &amp; 3'!$F$14+J471*'Portfolio 2 &amp; 3'!$F$15+K471*'Portfolio 2 &amp; 3'!$F$16</f>
        <v>-4.4574326802148739E-3</v>
      </c>
      <c r="R471" s="93">
        <f>B471*'Portfolio 2 &amp; 3'!$B$23+C471*'Portfolio 2 &amp; 3'!$B$24+D471*'Portfolio 2 &amp; 3'!$B$25+E471*'Portfolio 2 &amp; 3'!$B$26+F471*'Portfolio 2 &amp; 3'!$B$27+G471*'Portfolio 2 &amp; 3'!$B$28+H471*'Portfolio 2 &amp; 3'!$B$29+I471*'Portfolio 2 &amp; 3'!$B$30+J471*'Portfolio 2 &amp; 3'!$B$31+K471*'Portfolio 2 &amp; 3'!$B$32</f>
        <v>4.002585904692337E-3</v>
      </c>
      <c r="S471" s="93">
        <f t="shared" si="23"/>
        <v>1.8922725144532304E-4</v>
      </c>
    </row>
    <row r="472" spans="1:19" ht="12.75" customHeight="1">
      <c r="A472" s="81">
        <v>45391</v>
      </c>
      <c r="B472" s="53">
        <v>8.0000000000000004E-4</v>
      </c>
      <c r="C472" s="53">
        <v>-4.1286534887650097E-3</v>
      </c>
      <c r="D472" s="53">
        <v>-2.0583948054242698E-2</v>
      </c>
      <c r="E472" s="53">
        <v>4.4900000000000001E-3</v>
      </c>
      <c r="F472" s="53">
        <v>-1.1492529855593899E-2</v>
      </c>
      <c r="G472" s="53">
        <v>3.2970016678946E-4</v>
      </c>
      <c r="H472" s="87">
        <v>-1.2025203397261999E-2</v>
      </c>
      <c r="I472" s="53">
        <v>3.2467532467439497E-5</v>
      </c>
      <c r="J472" s="53">
        <v>-4.4882003764297202E-3</v>
      </c>
      <c r="K472" s="53">
        <v>-1.67076752123183E-2</v>
      </c>
      <c r="L472" s="95">
        <f>IFERROR(B472*'Stock Statistics'!$C$41+C472*'Stock Statistics'!$C$42+D472*'Stock Statistics'!$C$43+E472*'Stock Statistics'!$C$44+F472*'Stock Statistics'!$C$45+G472*'Stock Statistics'!$C$46+H472*'Stock Statistics'!$C$47+I472*'Stock Statistics'!$C$48+J472*'Stock Statistics'!$C$49+K472*'Stock Statistics'!$C$50,"")</f>
        <v>-6.3774042685354731E-3</v>
      </c>
      <c r="M472" s="96">
        <v>387.13799999999998</v>
      </c>
      <c r="N472" s="97">
        <v>475.22829999999999</v>
      </c>
      <c r="O472" s="93">
        <f t="shared" si="21"/>
        <v>-9.4290741770381992E-3</v>
      </c>
      <c r="P472" s="93">
        <f t="shared" si="22"/>
        <v>-2.8084211507015677E-3</v>
      </c>
      <c r="Q472" s="93">
        <f>B472*'Portfolio 2 &amp; 3'!$F$7+C472*'Portfolio 2 &amp; 3'!$F$8+D472*'Portfolio 2 &amp; 3'!$F$9+E472*'Portfolio 2 &amp; 3'!$F$10+F472*'Portfolio 2 &amp; 3'!$F$11+G472*'Portfolio 2 &amp; 3'!$F$12+H472*'Portfolio 2 &amp; 3'!$F$13+I472*'Portfolio 2 &amp; 3'!$F$14+J472*'Portfolio 2 &amp; 3'!$F$15+K472*'Portfolio 2 &amp; 3'!$F$16</f>
        <v>-7.8652942552942511E-3</v>
      </c>
      <c r="R472" s="93">
        <f>B472*'Portfolio 2 &amp; 3'!$B$23+C472*'Portfolio 2 &amp; 3'!$B$24+D472*'Portfolio 2 &amp; 3'!$B$25+E472*'Portfolio 2 &amp; 3'!$B$26+F472*'Portfolio 2 &amp; 3'!$B$27+G472*'Portfolio 2 &amp; 3'!$B$28+H472*'Portfolio 2 &amp; 3'!$B$29+I472*'Portfolio 2 &amp; 3'!$B$30+J472*'Portfolio 2 &amp; 3'!$B$31+K472*'Portfolio 2 &amp; 3'!$B$32</f>
        <v>-4.6504476153622762E-3</v>
      </c>
      <c r="S472" s="93">
        <f t="shared" si="23"/>
        <v>-6.1187476638698834E-3</v>
      </c>
    </row>
    <row r="473" spans="1:19" ht="12.75" customHeight="1">
      <c r="A473" s="82">
        <v>45390</v>
      </c>
      <c r="B473" s="53">
        <v>-8.8999999999999999E-3</v>
      </c>
      <c r="C473" s="53">
        <v>-1.8509690123328901E-2</v>
      </c>
      <c r="D473" s="53">
        <v>1.0444097299709999E-2</v>
      </c>
      <c r="E473" s="53">
        <v>-1.4189999999999999E-2</v>
      </c>
      <c r="F473" s="53">
        <v>-5.8122205663189196E-3</v>
      </c>
      <c r="G473" s="53">
        <v>-7.3922919955339301E-3</v>
      </c>
      <c r="H473" s="87">
        <v>-1.62129736214922E-3</v>
      </c>
      <c r="I473" s="53">
        <v>-3.9930176740126597E-2</v>
      </c>
      <c r="J473" s="53">
        <v>-1.102520045819E-2</v>
      </c>
      <c r="K473" s="53">
        <v>1.08582279158085E-2</v>
      </c>
      <c r="L473" s="95">
        <f>IFERROR(B473*'Stock Statistics'!$C$41+C473*'Stock Statistics'!$C$42+D473*'Stock Statistics'!$C$43+E473*'Stock Statistics'!$C$44+F473*'Stock Statistics'!$C$45+G473*'Stock Statistics'!$C$46+H473*'Stock Statistics'!$C$47+I473*'Stock Statistics'!$C$48+J473*'Stock Statistics'!$C$49+K473*'Stock Statistics'!$C$50,"")</f>
        <v>-8.6078552030129079E-3</v>
      </c>
      <c r="M473" s="97">
        <v>390.82310000000001</v>
      </c>
      <c r="N473" s="96">
        <v>476.56670000000003</v>
      </c>
      <c r="O473" s="93">
        <f t="shared" si="21"/>
        <v>-1.0864660217419719E-2</v>
      </c>
      <c r="P473" s="93">
        <f t="shared" si="22"/>
        <v>-2.1198582601289484E-3</v>
      </c>
      <c r="Q473" s="93">
        <f>B473*'Portfolio 2 &amp; 3'!$F$7+C473*'Portfolio 2 &amp; 3'!$F$8+D473*'Portfolio 2 &amp; 3'!$F$9+E473*'Portfolio 2 &amp; 3'!$F$10+F473*'Portfolio 2 &amp; 3'!$F$11+G473*'Portfolio 2 &amp; 3'!$F$12+H473*'Portfolio 2 &amp; 3'!$F$13+I473*'Portfolio 2 &amp; 3'!$F$14+J473*'Portfolio 2 &amp; 3'!$F$15+K473*'Portfolio 2 &amp; 3'!$F$16</f>
        <v>-7.4312038193801227E-3</v>
      </c>
      <c r="R473" s="93">
        <f>B473*'Portfolio 2 &amp; 3'!$B$23+C473*'Portfolio 2 &amp; 3'!$B$24+D473*'Portfolio 2 &amp; 3'!$B$25+E473*'Portfolio 2 &amp; 3'!$B$26+F473*'Portfolio 2 &amp; 3'!$B$27+G473*'Portfolio 2 &amp; 3'!$B$28+H473*'Portfolio 2 &amp; 3'!$B$29+I473*'Portfolio 2 &amp; 3'!$B$30+J473*'Portfolio 2 &amp; 3'!$B$31+K473*'Portfolio 2 &amp; 3'!$B$32</f>
        <v>-1.5763204961300906E-2</v>
      </c>
      <c r="S473" s="93">
        <f t="shared" si="23"/>
        <v>-6.4922592387743339E-3</v>
      </c>
    </row>
    <row r="474" spans="1:19" ht="12.75" customHeight="1">
      <c r="A474" s="81">
        <v>45387</v>
      </c>
      <c r="B474" s="53">
        <v>1.1000000000000001E-3</v>
      </c>
      <c r="C474" s="53">
        <v>-1.18993978617951E-2</v>
      </c>
      <c r="D474" s="53">
        <v>-3.0702144700542901E-3</v>
      </c>
      <c r="E474" s="53">
        <v>-8.7399999999999995E-3</v>
      </c>
      <c r="F474" s="53">
        <v>2.3698128559804601E-2</v>
      </c>
      <c r="G474" s="53">
        <v>7.8382678204183005E-3</v>
      </c>
      <c r="H474" s="87">
        <v>-1.07700156286705E-3</v>
      </c>
      <c r="I474" s="53">
        <v>9.3600823687256497E-4</v>
      </c>
      <c r="J474" s="53">
        <v>-1.8377314733476299E-2</v>
      </c>
      <c r="K474" s="53">
        <v>-1.7306403500703001E-2</v>
      </c>
      <c r="L474" s="95">
        <f>IFERROR(B474*'Stock Statistics'!$C$41+C474*'Stock Statistics'!$C$42+D474*'Stock Statistics'!$C$43+E474*'Stock Statistics'!$C$44+F474*'Stock Statistics'!$C$45+G474*'Stock Statistics'!$C$46+H474*'Stock Statistics'!$C$47+I474*'Stock Statistics'!$C$48+J474*'Stock Statistics'!$C$49+K474*'Stock Statistics'!$C$50,"")</f>
        <v>-2.6897927511800273E-3</v>
      </c>
      <c r="M474" s="96">
        <v>395.11590000000001</v>
      </c>
      <c r="N474" s="97">
        <v>477.57909999999998</v>
      </c>
      <c r="O474" s="93">
        <f t="shared" si="21"/>
        <v>8.2017851927629337E-4</v>
      </c>
      <c r="P474" s="93">
        <f t="shared" si="22"/>
        <v>1.1574734518850827E-2</v>
      </c>
      <c r="Q474" s="93">
        <f>B474*'Portfolio 2 &amp; 3'!$F$7+C474*'Portfolio 2 &amp; 3'!$F$8+D474*'Portfolio 2 &amp; 3'!$F$9+E474*'Portfolio 2 &amp; 3'!$F$10+F474*'Portfolio 2 &amp; 3'!$F$11+G474*'Portfolio 2 &amp; 3'!$F$12+H474*'Portfolio 2 &amp; 3'!$F$13+I474*'Portfolio 2 &amp; 3'!$F$14+J474*'Portfolio 2 &amp; 3'!$F$15+K474*'Portfolio 2 &amp; 3'!$F$16</f>
        <v>-3.3897952377165922E-3</v>
      </c>
      <c r="R474" s="93">
        <f>B474*'Portfolio 2 &amp; 3'!$B$23+C474*'Portfolio 2 &amp; 3'!$B$24+D474*'Portfolio 2 &amp; 3'!$B$25+E474*'Portfolio 2 &amp; 3'!$B$26+F474*'Portfolio 2 &amp; 3'!$B$27+G474*'Portfolio 2 &amp; 3'!$B$28+H474*'Portfolio 2 &amp; 3'!$B$29+I474*'Portfolio 2 &amp; 3'!$B$30+J474*'Portfolio 2 &amp; 3'!$B$31+K474*'Portfolio 2 &amp; 3'!$B$32</f>
        <v>5.1402168269608448E-4</v>
      </c>
      <c r="S474" s="93">
        <f t="shared" si="23"/>
        <v>6.19745651906356E-3</v>
      </c>
    </row>
    <row r="475" spans="1:19" ht="12.75" customHeight="1">
      <c r="A475" s="82">
        <v>45386</v>
      </c>
      <c r="B475" s="53">
        <v>-4.0000000000000001E-3</v>
      </c>
      <c r="C475" s="53">
        <v>-1.1762660202318E-3</v>
      </c>
      <c r="D475" s="53">
        <v>8.8999644001441794E-5</v>
      </c>
      <c r="E475" s="53">
        <v>-4.3200000000000001E-3</v>
      </c>
      <c r="F475" s="53">
        <v>-4.5560392831831597E-3</v>
      </c>
      <c r="G475" s="53">
        <v>1.55858997852258E-2</v>
      </c>
      <c r="H475" s="87">
        <v>-7.6869548330715798E-4</v>
      </c>
      <c r="I475" s="53">
        <v>1.78158404700879E-3</v>
      </c>
      <c r="J475" s="53">
        <v>-1.8858167275735999E-2</v>
      </c>
      <c r="K475" s="53">
        <v>2.35774499473118E-3</v>
      </c>
      <c r="L475" s="95">
        <f>IFERROR(B475*'Stock Statistics'!$C$41+C475*'Stock Statistics'!$C$42+D475*'Stock Statistics'!$C$43+E475*'Stock Statistics'!$C$44+F475*'Stock Statistics'!$C$45+G475*'Stock Statistics'!$C$46+H475*'Stock Statistics'!$C$47+I475*'Stock Statistics'!$C$48+J475*'Stock Statistics'!$C$49+K475*'Stock Statistics'!$C$50,"")</f>
        <v>-1.3864939591490904E-3</v>
      </c>
      <c r="M475" s="97">
        <v>394.7921</v>
      </c>
      <c r="N475" s="96">
        <v>472.11450000000002</v>
      </c>
      <c r="O475" s="93">
        <f t="shared" si="21"/>
        <v>-2.0139599503322669E-3</v>
      </c>
      <c r="P475" s="93">
        <f t="shared" si="22"/>
        <v>-5.8245188947370075E-5</v>
      </c>
      <c r="Q475" s="93">
        <f>B475*'Portfolio 2 &amp; 3'!$F$7+C475*'Portfolio 2 &amp; 3'!$F$8+D475*'Portfolio 2 &amp; 3'!$F$9+E475*'Portfolio 2 &amp; 3'!$F$10+F475*'Portfolio 2 &amp; 3'!$F$11+G475*'Portfolio 2 &amp; 3'!$F$12+H475*'Portfolio 2 &amp; 3'!$F$13+I475*'Portfolio 2 &amp; 3'!$F$14+J475*'Portfolio 2 &amp; 3'!$F$15+K475*'Portfolio 2 &amp; 3'!$F$16</f>
        <v>-2.8341803938187115E-3</v>
      </c>
      <c r="R475" s="93">
        <f>B475*'Portfolio 2 &amp; 3'!$B$23+C475*'Portfolio 2 &amp; 3'!$B$24+D475*'Portfolio 2 &amp; 3'!$B$25+E475*'Portfolio 2 &amp; 3'!$B$26+F475*'Portfolio 2 &amp; 3'!$B$27+G475*'Portfolio 2 &amp; 3'!$B$28+H475*'Portfolio 2 &amp; 3'!$B$29+I475*'Portfolio 2 &amp; 3'!$B$30+J475*'Portfolio 2 &amp; 3'!$B$31+K475*'Portfolio 2 &amp; 3'!$B$32</f>
        <v>1.8216843367897001E-4</v>
      </c>
      <c r="S475" s="93">
        <f t="shared" si="23"/>
        <v>-1.0361025696398185E-3</v>
      </c>
    </row>
    <row r="476" spans="1:19" ht="12.75" customHeight="1">
      <c r="A476" s="81">
        <v>45385</v>
      </c>
      <c r="B476" s="53">
        <v>-2.0799999999999999E-2</v>
      </c>
      <c r="C476" s="53">
        <v>-4.9464138499586401E-3</v>
      </c>
      <c r="D476" s="53">
        <v>-1.23500197776119E-2</v>
      </c>
      <c r="E476" s="53">
        <v>7.5599999999999999E-3</v>
      </c>
      <c r="F476" s="53">
        <v>-5.2872752908000899E-3</v>
      </c>
      <c r="G476" s="53">
        <v>-1.97400189287852E-2</v>
      </c>
      <c r="H476" s="87">
        <v>5.9910459910459402E-3</v>
      </c>
      <c r="I476" s="53">
        <v>-5.7799875699191504E-3</v>
      </c>
      <c r="J476" s="53">
        <v>-8.3079763410715008E-3</v>
      </c>
      <c r="K476" s="53">
        <v>1.27662980403667E-2</v>
      </c>
      <c r="L476" s="95">
        <f>IFERROR(B476*'Stock Statistics'!$C$41+C476*'Stock Statistics'!$C$42+D476*'Stock Statistics'!$C$43+E476*'Stock Statistics'!$C$44+F476*'Stock Statistics'!$C$45+G476*'Stock Statistics'!$C$46+H476*'Stock Statistics'!$C$47+I476*'Stock Statistics'!$C$48+J476*'Stock Statistics'!$C$49+K476*'Stock Statistics'!$C$50,"")</f>
        <v>-5.0894347726733839E-3</v>
      </c>
      <c r="M476" s="96">
        <v>395.58879999999999</v>
      </c>
      <c r="N476" s="97">
        <v>472.142</v>
      </c>
      <c r="O476" s="93">
        <f t="shared" si="21"/>
        <v>8.0747647737717809E-3</v>
      </c>
      <c r="P476" s="93">
        <f t="shared" si="22"/>
        <v>1.1400106507815977E-2</v>
      </c>
      <c r="Q476" s="93">
        <f>B476*'Portfolio 2 &amp; 3'!$F$7+C476*'Portfolio 2 &amp; 3'!$F$8+D476*'Portfolio 2 &amp; 3'!$F$9+E476*'Portfolio 2 &amp; 3'!$F$10+F476*'Portfolio 2 &amp; 3'!$F$11+G476*'Portfolio 2 &amp; 3'!$F$12+H476*'Portfolio 2 &amp; 3'!$F$13+I476*'Portfolio 2 &amp; 3'!$F$14+J476*'Portfolio 2 &amp; 3'!$F$15+K476*'Portfolio 2 &amp; 3'!$F$16</f>
        <v>-4.2973215084305761E-3</v>
      </c>
      <c r="R476" s="93">
        <f>B476*'Portfolio 2 &amp; 3'!$B$23+C476*'Portfolio 2 &amp; 3'!$B$24+D476*'Portfolio 2 &amp; 3'!$B$25+E476*'Portfolio 2 &amp; 3'!$B$26+F476*'Portfolio 2 &amp; 3'!$B$27+G476*'Portfolio 2 &amp; 3'!$B$28+H476*'Portfolio 2 &amp; 3'!$B$29+I476*'Portfolio 2 &amp; 3'!$B$30+J476*'Portfolio 2 &amp; 3'!$B$31+K476*'Portfolio 2 &amp; 3'!$B$32</f>
        <v>-7.2541008296528042E-3</v>
      </c>
      <c r="S476" s="93">
        <f t="shared" si="23"/>
        <v>9.7374356407938789E-3</v>
      </c>
    </row>
    <row r="477" spans="1:19" ht="12.75" customHeight="1">
      <c r="A477" s="82">
        <v>45384</v>
      </c>
      <c r="B477" s="53">
        <v>-8.6999999999999994E-3</v>
      </c>
      <c r="C477" s="53">
        <v>9.5661823636996601E-3</v>
      </c>
      <c r="D477" s="53">
        <v>3.2865767851468601E-2</v>
      </c>
      <c r="E477" s="53">
        <v>-1.3520000000000001E-2</v>
      </c>
      <c r="F477" s="53">
        <v>-6.8513702740546903E-3</v>
      </c>
      <c r="G477" s="53">
        <v>-2.9941353918794902E-2</v>
      </c>
      <c r="H477" s="87">
        <v>2.9553915485598398E-3</v>
      </c>
      <c r="I477" s="53">
        <v>-6.3914533609164001E-3</v>
      </c>
      <c r="J477" s="53">
        <v>9.0037256795916197E-3</v>
      </c>
      <c r="K477" s="53">
        <v>3.7357399175193002E-3</v>
      </c>
      <c r="L477" s="95">
        <f>IFERROR(B477*'Stock Statistics'!$C$41+C477*'Stock Statistics'!$C$42+D477*'Stock Statistics'!$C$43+E477*'Stock Statistics'!$C$44+F477*'Stock Statistics'!$C$45+G477*'Stock Statistics'!$C$46+H477*'Stock Statistics'!$C$47+I477*'Stock Statistics'!$C$48+J477*'Stock Statistics'!$C$49+K477*'Stock Statistics'!$C$50,"")</f>
        <v>-7.2773701929269722E-4</v>
      </c>
      <c r="M477" s="97">
        <v>392.42009999999999</v>
      </c>
      <c r="N477" s="96">
        <v>466.8202</v>
      </c>
      <c r="O477" s="93">
        <f t="shared" si="21"/>
        <v>6.82988216158531E-5</v>
      </c>
      <c r="P477" s="93">
        <f t="shared" si="22"/>
        <v>-4.2589264550418893E-4</v>
      </c>
      <c r="Q477" s="93">
        <f>B477*'Portfolio 2 &amp; 3'!$F$7+C477*'Portfolio 2 &amp; 3'!$F$8+D477*'Portfolio 2 &amp; 3'!$F$9+E477*'Portfolio 2 &amp; 3'!$F$10+F477*'Portfolio 2 &amp; 3'!$F$11+G477*'Portfolio 2 &amp; 3'!$F$12+H477*'Portfolio 2 &amp; 3'!$F$13+I477*'Portfolio 2 &amp; 3'!$F$14+J477*'Portfolio 2 &amp; 3'!$F$15+K477*'Portfolio 2 &amp; 3'!$F$16</f>
        <v>2.9526641855736713E-3</v>
      </c>
      <c r="R477" s="93">
        <f>B477*'Portfolio 2 &amp; 3'!$B$23+C477*'Portfolio 2 &amp; 3'!$B$24+D477*'Portfolio 2 &amp; 3'!$B$25+E477*'Portfolio 2 &amp; 3'!$B$26+F477*'Portfolio 2 &amp; 3'!$B$27+G477*'Portfolio 2 &amp; 3'!$B$28+H477*'Portfolio 2 &amp; 3'!$B$29+I477*'Portfolio 2 &amp; 3'!$B$30+J477*'Portfolio 2 &amp; 3'!$B$31+K477*'Portfolio 2 &amp; 3'!$B$32</f>
        <v>-4.0797822490956908E-3</v>
      </c>
      <c r="S477" s="93">
        <f t="shared" si="23"/>
        <v>-1.7879691194416791E-4</v>
      </c>
    </row>
    <row r="478" spans="1:19" ht="12.75" customHeight="1">
      <c r="A478" s="81">
        <v>45383</v>
      </c>
      <c r="B478" s="53">
        <v>1.4800000000000001E-2</v>
      </c>
      <c r="C478" s="53">
        <v>-5.83289918584562E-3</v>
      </c>
      <c r="D478" s="53">
        <v>-1.06884627475635E-2</v>
      </c>
      <c r="E478" s="53">
        <v>-4.0899999999999999E-3</v>
      </c>
      <c r="F478" s="53">
        <v>-7.4949123939048699E-3</v>
      </c>
      <c r="G478" s="53">
        <v>-2.5417235128113499E-3</v>
      </c>
      <c r="H478" s="87">
        <v>-1.81401351492173E-2</v>
      </c>
      <c r="I478" s="53">
        <v>-3.08670555915658E-4</v>
      </c>
      <c r="J478" s="53">
        <v>-6.9541982117775599E-3</v>
      </c>
      <c r="K478" s="53">
        <v>1.33789248012157E-2</v>
      </c>
      <c r="L478" s="95">
        <f>IFERROR(B478*'Stock Statistics'!$C$41+C478*'Stock Statistics'!$C$42+D478*'Stock Statistics'!$C$43+E478*'Stock Statistics'!$C$44+F478*'Stock Statistics'!$C$45+G478*'Stock Statistics'!$C$46+H478*'Stock Statistics'!$C$47+I478*'Stock Statistics'!$C$48+J478*'Stock Statistics'!$C$49+K478*'Stock Statistics'!$C$50,"")</f>
        <v>-2.7872076955820155E-3</v>
      </c>
      <c r="M478" s="96">
        <v>392.39330000000001</v>
      </c>
      <c r="N478" s="97">
        <v>467.01909999999998</v>
      </c>
      <c r="O478" s="93">
        <f t="shared" si="21"/>
        <v>3.2924611664983949E-3</v>
      </c>
      <c r="P478" s="93">
        <f t="shared" si="22"/>
        <v>7.6736646087849358E-4</v>
      </c>
      <c r="Q478" s="93">
        <f>B478*'Portfolio 2 &amp; 3'!$F$7+C478*'Portfolio 2 &amp; 3'!$F$8+D478*'Portfolio 2 &amp; 3'!$F$9+E478*'Portfolio 2 &amp; 3'!$F$10+F478*'Portfolio 2 &amp; 3'!$F$11+G478*'Portfolio 2 &amp; 3'!$F$12+H478*'Portfolio 2 &amp; 3'!$F$13+I478*'Portfolio 2 &amp; 3'!$F$14+J478*'Portfolio 2 &amp; 3'!$F$15+K478*'Portfolio 2 &amp; 3'!$F$16</f>
        <v>-5.1643718861221549E-3</v>
      </c>
      <c r="R478" s="93">
        <f>B478*'Portfolio 2 &amp; 3'!$B$23+C478*'Portfolio 2 &amp; 3'!$B$24+D478*'Portfolio 2 &amp; 3'!$B$25+E478*'Portfolio 2 &amp; 3'!$B$26+F478*'Portfolio 2 &amp; 3'!$B$27+G478*'Portfolio 2 &amp; 3'!$B$28+H478*'Portfolio 2 &amp; 3'!$B$29+I478*'Portfolio 2 &amp; 3'!$B$30+J478*'Portfolio 2 &amp; 3'!$B$31+K478*'Portfolio 2 &amp; 3'!$B$32</f>
        <v>-4.2034115818131946E-4</v>
      </c>
      <c r="S478" s="93">
        <f t="shared" si="23"/>
        <v>2.0299138136884443E-3</v>
      </c>
    </row>
    <row r="479" spans="1:19" ht="12.75" customHeight="1">
      <c r="A479" s="82">
        <v>45379</v>
      </c>
      <c r="B479" s="53">
        <v>1.5299999999999999E-2</v>
      </c>
      <c r="C479" s="53">
        <v>-1.22493870261436E-2</v>
      </c>
      <c r="D479" s="53">
        <v>2.2594718714121598E-2</v>
      </c>
      <c r="E479" s="53">
        <v>-3.2200000000000002E-3</v>
      </c>
      <c r="F479" s="53">
        <v>7.6522956887066203E-3</v>
      </c>
      <c r="G479" s="53">
        <v>2.8743366915327199E-2</v>
      </c>
      <c r="H479" s="87">
        <v>-2.0478853184221499E-3</v>
      </c>
      <c r="I479" s="53">
        <v>-1.4794267221451801E-3</v>
      </c>
      <c r="J479" s="53">
        <v>-8.1209650016990098E-3</v>
      </c>
      <c r="K479" s="53">
        <v>1.72256728778468E-2</v>
      </c>
      <c r="L479" s="95">
        <f>IFERROR(B479*'Stock Statistics'!$C$41+C479*'Stock Statistics'!$C$42+D479*'Stock Statistics'!$C$43+E479*'Stock Statistics'!$C$44+F479*'Stock Statistics'!$C$45+G479*'Stock Statistics'!$C$46+H479*'Stock Statistics'!$C$47+I479*'Stock Statistics'!$C$48+J479*'Stock Statistics'!$C$49+K479*'Stock Statistics'!$C$50,"")</f>
        <v>6.439839012759227E-3</v>
      </c>
      <c r="M479" s="97">
        <v>391.10559999999998</v>
      </c>
      <c r="N479" s="96">
        <v>466.661</v>
      </c>
      <c r="O479" s="93">
        <f t="shared" si="21"/>
        <v>-2.0195069028794421E-4</v>
      </c>
      <c r="P479" s="93">
        <f t="shared" si="22"/>
        <v>9.9674173340649208E-3</v>
      </c>
      <c r="Q479" s="93">
        <f>B479*'Portfolio 2 &amp; 3'!$F$7+C479*'Portfolio 2 &amp; 3'!$F$8+D479*'Portfolio 2 &amp; 3'!$F$9+E479*'Portfolio 2 &amp; 3'!$F$10+F479*'Portfolio 2 &amp; 3'!$F$11+G479*'Portfolio 2 &amp; 3'!$F$12+H479*'Portfolio 2 &amp; 3'!$F$13+I479*'Portfolio 2 &amp; 3'!$F$14+J479*'Portfolio 2 &amp; 3'!$F$15+K479*'Portfolio 2 &amp; 3'!$F$16</f>
        <v>4.6821736842553724E-3</v>
      </c>
      <c r="R479" s="93">
        <f>B479*'Portfolio 2 &amp; 3'!$B$23+C479*'Portfolio 2 &amp; 3'!$B$24+D479*'Portfolio 2 &amp; 3'!$B$25+E479*'Portfolio 2 &amp; 3'!$B$26+F479*'Portfolio 2 &amp; 3'!$B$27+G479*'Portfolio 2 &amp; 3'!$B$28+H479*'Portfolio 2 &amp; 3'!$B$29+I479*'Portfolio 2 &amp; 3'!$B$30+J479*'Portfolio 2 &amp; 3'!$B$31+K479*'Portfolio 2 &amp; 3'!$B$32</f>
        <v>5.0257566207354172E-3</v>
      </c>
      <c r="S479" s="93">
        <f t="shared" si="23"/>
        <v>4.8827333218884883E-3</v>
      </c>
    </row>
    <row r="480" spans="1:19" ht="12.75" customHeight="1">
      <c r="A480" s="81">
        <v>45378</v>
      </c>
      <c r="B480" s="53">
        <v>4.0000000000000002E-4</v>
      </c>
      <c r="C480" s="53">
        <v>-1.07205957217436E-2</v>
      </c>
      <c r="D480" s="53">
        <v>1.7190638576166699E-2</v>
      </c>
      <c r="E480" s="53">
        <v>-1.5910000000000001E-2</v>
      </c>
      <c r="F480" s="53">
        <v>-1.7059141635121101E-2</v>
      </c>
      <c r="G480" s="53">
        <v>1.0962525268231899E-2</v>
      </c>
      <c r="H480" s="87">
        <v>1.5013235031423201E-2</v>
      </c>
      <c r="I480" s="53">
        <v>-4.2964554242749297E-3</v>
      </c>
      <c r="J480" s="53">
        <v>-1.2018262387538701E-2</v>
      </c>
      <c r="K480" s="53">
        <v>1.5288891380204299E-2</v>
      </c>
      <c r="L480" s="95">
        <f>IFERROR(B480*'Stock Statistics'!$C$41+C480*'Stock Statistics'!$C$42+D480*'Stock Statistics'!$C$43+E480*'Stock Statistics'!$C$44+F480*'Stock Statistics'!$C$45+G480*'Stock Statistics'!$C$46+H480*'Stock Statistics'!$C$47+I480*'Stock Statistics'!$C$48+J480*'Stock Statistics'!$C$49+K480*'Stock Statistics'!$C$50,"")</f>
        <v>-1.1491649126522388E-4</v>
      </c>
      <c r="M480" s="96">
        <v>391.18459999999999</v>
      </c>
      <c r="N480" s="97">
        <v>462.05549999999999</v>
      </c>
      <c r="O480" s="93">
        <f t="shared" si="21"/>
        <v>4.9105788702918929E-4</v>
      </c>
      <c r="P480" s="93">
        <f t="shared" si="22"/>
        <v>1.0996217096518102E-2</v>
      </c>
      <c r="Q480" s="93">
        <f>B480*'Portfolio 2 &amp; 3'!$F$7+C480*'Portfolio 2 &amp; 3'!$F$8+D480*'Portfolio 2 &amp; 3'!$F$9+E480*'Portfolio 2 &amp; 3'!$F$10+F480*'Portfolio 2 &amp; 3'!$F$11+G480*'Portfolio 2 &amp; 3'!$F$12+H480*'Portfolio 2 &amp; 3'!$F$13+I480*'Portfolio 2 &amp; 3'!$F$14+J480*'Portfolio 2 &amp; 3'!$F$15+K480*'Portfolio 2 &amp; 3'!$F$16</f>
        <v>5.1106725633395496E-4</v>
      </c>
      <c r="R480" s="93">
        <f>B480*'Portfolio 2 &amp; 3'!$B$23+C480*'Portfolio 2 &amp; 3'!$B$24+D480*'Portfolio 2 &amp; 3'!$B$25+E480*'Portfolio 2 &amp; 3'!$B$26+F480*'Portfolio 2 &amp; 3'!$B$27+G480*'Portfolio 2 &amp; 3'!$B$28+H480*'Portfolio 2 &amp; 3'!$B$29+I480*'Portfolio 2 &amp; 3'!$B$30+J480*'Portfolio 2 &amp; 3'!$B$31+K480*'Portfolio 2 &amp; 3'!$B$32</f>
        <v>-3.0149023041417897E-3</v>
      </c>
      <c r="S480" s="93">
        <f t="shared" si="23"/>
        <v>5.7436374917736455E-3</v>
      </c>
    </row>
    <row r="481" spans="1:19" ht="12.75" customHeight="1">
      <c r="A481" s="82">
        <v>45377</v>
      </c>
      <c r="B481" s="53">
        <v>-1.35E-2</v>
      </c>
      <c r="C481" s="53">
        <v>1.3567381626871799E-2</v>
      </c>
      <c r="D481" s="53">
        <v>1.6428469683300799E-2</v>
      </c>
      <c r="E481" s="53">
        <v>3.5999999999999999E-3</v>
      </c>
      <c r="F481" s="53">
        <v>1.73043260815204E-2</v>
      </c>
      <c r="G481" s="53">
        <v>7.3915580626349197E-4</v>
      </c>
      <c r="H481" s="87">
        <v>1.8828278817359101E-2</v>
      </c>
      <c r="I481" s="53">
        <v>5.3685477152818403E-3</v>
      </c>
      <c r="J481" s="53">
        <v>-6.17222166616627E-3</v>
      </c>
      <c r="K481" s="53">
        <v>3.55992221286969E-2</v>
      </c>
      <c r="L481" s="95">
        <f>IFERROR(B481*'Stock Statistics'!$C$41+C481*'Stock Statistics'!$C$42+D481*'Stock Statistics'!$C$43+E481*'Stock Statistics'!$C$44+F481*'Stock Statistics'!$C$45+G481*'Stock Statistics'!$C$46+H481*'Stock Statistics'!$C$47+I481*'Stock Statistics'!$C$48+J481*'Stock Statistics'!$C$49+K481*'Stock Statistics'!$C$50,"")</f>
        <v>9.1763160193128052E-3</v>
      </c>
      <c r="M481" s="97">
        <v>390.99259999999998</v>
      </c>
      <c r="N481" s="96">
        <v>457.0299</v>
      </c>
      <c r="O481" s="93">
        <f t="shared" si="21"/>
        <v>9.0449299306971653E-3</v>
      </c>
      <c r="P481" s="93">
        <f t="shared" si="22"/>
        <v>-1.9067357060338352E-3</v>
      </c>
      <c r="Q481" s="93">
        <f>B481*'Portfolio 2 &amp; 3'!$F$7+C481*'Portfolio 2 &amp; 3'!$F$8+D481*'Portfolio 2 &amp; 3'!$F$9+E481*'Portfolio 2 &amp; 3'!$F$10+F481*'Portfolio 2 &amp; 3'!$F$11+G481*'Portfolio 2 &amp; 3'!$F$12+H481*'Portfolio 2 &amp; 3'!$F$13+I481*'Portfolio 2 &amp; 3'!$F$14+J481*'Portfolio 2 &amp; 3'!$F$15+K481*'Portfolio 2 &amp; 3'!$F$16</f>
        <v>1.0134606960439366E-2</v>
      </c>
      <c r="R481" s="93">
        <f>B481*'Portfolio 2 &amp; 3'!$B$23+C481*'Portfolio 2 &amp; 3'!$B$24+D481*'Portfolio 2 &amp; 3'!$B$25+E481*'Portfolio 2 &amp; 3'!$B$26+F481*'Portfolio 2 &amp; 3'!$B$27+G481*'Portfolio 2 &amp; 3'!$B$28+H481*'Portfolio 2 &amp; 3'!$B$29+I481*'Portfolio 2 &amp; 3'!$B$30+J481*'Portfolio 2 &amp; 3'!$B$31+K481*'Portfolio 2 &amp; 3'!$B$32</f>
        <v>8.5607793421911948E-3</v>
      </c>
      <c r="S481" s="93">
        <f t="shared" si="23"/>
        <v>3.569097112331665E-3</v>
      </c>
    </row>
    <row r="482" spans="1:19" ht="12.75" customHeight="1">
      <c r="A482" s="81">
        <v>45373</v>
      </c>
      <c r="B482" s="53">
        <v>-2.1899999999999999E-2</v>
      </c>
      <c r="C482" s="53">
        <v>-1.24295591702969E-2</v>
      </c>
      <c r="D482" s="53">
        <v>3.2553806932391897E-2</v>
      </c>
      <c r="E482" s="53">
        <v>-1.1310000000000001E-2</v>
      </c>
      <c r="F482" s="53">
        <v>6.6455218244978499E-3</v>
      </c>
      <c r="G482" s="53">
        <v>4.1800140635985797E-3</v>
      </c>
      <c r="H482" s="87">
        <v>-1.4792537714858601E-2</v>
      </c>
      <c r="I482" s="53">
        <v>1.02234828413801E-2</v>
      </c>
      <c r="J482" s="53">
        <v>1.1356424730284401E-3</v>
      </c>
      <c r="K482" s="53">
        <v>0</v>
      </c>
      <c r="L482" s="95">
        <f>IFERROR(B482*'Stock Statistics'!$C$41+C482*'Stock Statistics'!$C$42+D482*'Stock Statistics'!$C$43+E482*'Stock Statistics'!$C$44+F482*'Stock Statistics'!$C$45+G482*'Stock Statistics'!$C$46+H482*'Stock Statistics'!$C$47+I482*'Stock Statistics'!$C$48+J482*'Stock Statistics'!$C$49+K482*'Stock Statistics'!$C$50,"")</f>
        <v>-5.6936287502586352E-4</v>
      </c>
      <c r="M482" s="96">
        <v>387.48779999999999</v>
      </c>
      <c r="N482" s="97">
        <v>457.90300000000002</v>
      </c>
      <c r="O482" s="93">
        <f t="shared" si="21"/>
        <v>-6.8900647588687747E-5</v>
      </c>
      <c r="P482" s="93">
        <f t="shared" si="22"/>
        <v>-1.6081451333739061E-2</v>
      </c>
      <c r="Q482" s="93">
        <f>B482*'Portfolio 2 &amp; 3'!$F$7+C482*'Portfolio 2 &amp; 3'!$F$8+D482*'Portfolio 2 &amp; 3'!$F$9+E482*'Portfolio 2 &amp; 3'!$F$10+F482*'Portfolio 2 &amp; 3'!$F$11+G482*'Portfolio 2 &amp; 3'!$F$12+H482*'Portfolio 2 &amp; 3'!$F$13+I482*'Portfolio 2 &amp; 3'!$F$14+J482*'Portfolio 2 &amp; 3'!$F$15+K482*'Portfolio 2 &amp; 3'!$F$16</f>
        <v>3.7739675277299195E-4</v>
      </c>
      <c r="R482" s="93">
        <f>B482*'Portfolio 2 &amp; 3'!$B$23+C482*'Portfolio 2 &amp; 3'!$B$24+D482*'Portfolio 2 &amp; 3'!$B$25+E482*'Portfolio 2 &amp; 3'!$B$26+F482*'Portfolio 2 &amp; 3'!$B$27+G482*'Portfolio 2 &amp; 3'!$B$28+H482*'Portfolio 2 &amp; 3'!$B$29+I482*'Portfolio 2 &amp; 3'!$B$30+J482*'Portfolio 2 &amp; 3'!$B$31+K482*'Portfolio 2 &amp; 3'!$B$32</f>
        <v>-1.2617110058597246E-3</v>
      </c>
      <c r="S482" s="93">
        <f t="shared" si="23"/>
        <v>-8.0751759906638743E-3</v>
      </c>
    </row>
    <row r="483" spans="1:19" ht="12.75" customHeight="1">
      <c r="A483" s="82">
        <v>45372</v>
      </c>
      <c r="B483" s="53">
        <v>-5.9999999999999995E-4</v>
      </c>
      <c r="C483" s="53">
        <v>4.0982377577636299E-4</v>
      </c>
      <c r="D483" s="53">
        <v>-8.1692195477752801E-3</v>
      </c>
      <c r="E483" s="53">
        <v>2.14E-3</v>
      </c>
      <c r="F483" s="53">
        <v>2.2390364422482999E-2</v>
      </c>
      <c r="G483" s="53">
        <v>2.1139993736298802E-3</v>
      </c>
      <c r="H483" s="87">
        <v>-1.10185065772503E-2</v>
      </c>
      <c r="I483" s="53">
        <v>3.7857455728678201E-3</v>
      </c>
      <c r="J483" s="53">
        <v>2.29610141114567E-2</v>
      </c>
      <c r="K483" s="53">
        <v>2.29968674376828E-2</v>
      </c>
      <c r="L483" s="95">
        <f>IFERROR(B483*'Stock Statistics'!$C$41+C483*'Stock Statistics'!$C$42+D483*'Stock Statistics'!$C$43+E483*'Stock Statistics'!$C$44+F483*'Stock Statistics'!$C$45+G483*'Stock Statistics'!$C$46+H483*'Stock Statistics'!$C$47+I483*'Stock Statistics'!$C$48+J483*'Stock Statistics'!$C$49+K483*'Stock Statistics'!$C$50,"")</f>
        <v>5.7010088568870982E-3</v>
      </c>
      <c r="M483" s="97">
        <v>387.5145</v>
      </c>
      <c r="N483" s="96">
        <v>465.38709999999998</v>
      </c>
      <c r="O483" s="93">
        <f t="shared" si="21"/>
        <v>9.1131880559842671E-3</v>
      </c>
      <c r="P483" s="93">
        <f t="shared" si="22"/>
        <v>7.158729499185279E-3</v>
      </c>
      <c r="Q483" s="93">
        <f>B483*'Portfolio 2 &amp; 3'!$F$7+C483*'Portfolio 2 &amp; 3'!$F$8+D483*'Portfolio 2 &amp; 3'!$F$9+E483*'Portfolio 2 &amp; 3'!$F$10+F483*'Portfolio 2 &amp; 3'!$F$11+G483*'Portfolio 2 &amp; 3'!$F$12+H483*'Portfolio 2 &amp; 3'!$F$13+I483*'Portfolio 2 &amp; 3'!$F$14+J483*'Portfolio 2 &amp; 3'!$F$15+K483*'Portfolio 2 &amp; 3'!$F$16</f>
        <v>5.1581873679119638E-3</v>
      </c>
      <c r="R483" s="93">
        <f>B483*'Portfolio 2 &amp; 3'!$B$23+C483*'Portfolio 2 &amp; 3'!$B$24+D483*'Portfolio 2 &amp; 3'!$B$25+E483*'Portfolio 2 &amp; 3'!$B$26+F483*'Portfolio 2 &amp; 3'!$B$27+G483*'Portfolio 2 &amp; 3'!$B$28+H483*'Portfolio 2 &amp; 3'!$B$29+I483*'Portfolio 2 &amp; 3'!$B$30+J483*'Portfolio 2 &amp; 3'!$B$31+K483*'Portfolio 2 &amp; 3'!$B$32</f>
        <v>6.9989766595044143E-3</v>
      </c>
      <c r="S483" s="93">
        <f t="shared" si="23"/>
        <v>8.135958777584773E-3</v>
      </c>
    </row>
    <row r="484" spans="1:19" ht="12.75" customHeight="1">
      <c r="A484" s="81">
        <v>45371</v>
      </c>
      <c r="B484" s="53">
        <v>-2.1299999999999999E-2</v>
      </c>
      <c r="C484" s="53">
        <v>4.4344694399499E-2</v>
      </c>
      <c r="D484" s="53">
        <v>1.0813467682477399E-2</v>
      </c>
      <c r="E484" s="53">
        <v>-1.7099999999999999E-3</v>
      </c>
      <c r="F484" s="53">
        <v>1.59818528638445E-3</v>
      </c>
      <c r="G484" s="53">
        <v>1.40733242025448E-2</v>
      </c>
      <c r="H484" s="87">
        <v>1.22385039652753E-2</v>
      </c>
      <c r="I484" s="53">
        <v>-6.7126608241656598E-3</v>
      </c>
      <c r="J484" s="53">
        <v>-6.0451689590762499E-3</v>
      </c>
      <c r="K484" s="53">
        <v>-6.82689472132114E-3</v>
      </c>
      <c r="L484" s="95">
        <f>IFERROR(B484*'Stock Statistics'!$C$41+C484*'Stock Statistics'!$C$42+D484*'Stock Statistics'!$C$43+E484*'Stock Statistics'!$C$44+F484*'Stock Statistics'!$C$45+G484*'Stock Statistics'!$C$46+H484*'Stock Statistics'!$C$47+I484*'Stock Statistics'!$C$48+J484*'Stock Statistics'!$C$49+K484*'Stock Statistics'!$C$50,"")</f>
        <v>4.0473451031617898E-3</v>
      </c>
      <c r="M484" s="96">
        <v>384.01490000000001</v>
      </c>
      <c r="N484" s="97">
        <v>462.07920000000001</v>
      </c>
      <c r="O484" s="93">
        <f t="shared" si="21"/>
        <v>6.6549367955326399E-3</v>
      </c>
      <c r="P484" s="93">
        <f t="shared" si="22"/>
        <v>-4.6446264115145297E-3</v>
      </c>
      <c r="Q484" s="93">
        <f>B484*'Portfolio 2 &amp; 3'!$F$7+C484*'Portfolio 2 &amp; 3'!$F$8+D484*'Portfolio 2 &amp; 3'!$F$9+E484*'Portfolio 2 &amp; 3'!$F$10+F484*'Portfolio 2 &amp; 3'!$F$11+G484*'Portfolio 2 &amp; 3'!$F$12+H484*'Portfolio 2 &amp; 3'!$F$13+I484*'Portfolio 2 &amp; 3'!$F$14+J484*'Portfolio 2 &amp; 3'!$F$15+K484*'Portfolio 2 &amp; 3'!$F$16</f>
        <v>5.1457523407699088E-3</v>
      </c>
      <c r="R484" s="93">
        <f>B484*'Portfolio 2 &amp; 3'!$B$23+C484*'Portfolio 2 &amp; 3'!$B$24+D484*'Portfolio 2 &amp; 3'!$B$25+E484*'Portfolio 2 &amp; 3'!$B$26+F484*'Portfolio 2 &amp; 3'!$B$27+G484*'Portfolio 2 &amp; 3'!$B$28+H484*'Portfolio 2 &amp; 3'!$B$29+I484*'Portfolio 2 &amp; 3'!$B$30+J484*'Portfolio 2 &amp; 3'!$B$31+K484*'Portfolio 2 &amp; 3'!$B$32</f>
        <v>5.4131470160217639E-3</v>
      </c>
      <c r="S484" s="93">
        <f t="shared" si="23"/>
        <v>1.0051551920090551E-3</v>
      </c>
    </row>
    <row r="485" spans="1:19" ht="12.75" customHeight="1">
      <c r="A485" s="82">
        <v>45370</v>
      </c>
      <c r="B485" s="53">
        <v>-1.09E-2</v>
      </c>
      <c r="C485" s="53">
        <v>-1.29275743074886E-3</v>
      </c>
      <c r="D485" s="53">
        <v>2.7110258481421599E-2</v>
      </c>
      <c r="E485" s="53">
        <v>2.5839999999999998E-2</v>
      </c>
      <c r="F485" s="53">
        <v>-2.15889029003783E-2</v>
      </c>
      <c r="G485" s="53">
        <v>6.9758145112932598E-3</v>
      </c>
      <c r="H485" s="87">
        <v>4.0797601297657398E-3</v>
      </c>
      <c r="I485" s="53">
        <v>2.7919754663940699E-2</v>
      </c>
      <c r="J485" s="53">
        <v>-6.0759493670886596E-3</v>
      </c>
      <c r="K485" s="53">
        <v>-1.17880196418423E-2</v>
      </c>
      <c r="L485" s="95">
        <f>IFERROR(B485*'Stock Statistics'!$C$41+C485*'Stock Statistics'!$C$42+D485*'Stock Statistics'!$C$43+E485*'Stock Statistics'!$C$44+F485*'Stock Statistics'!$C$45+G485*'Stock Statistics'!$C$46+H485*'Stock Statistics'!$C$47+I485*'Stock Statistics'!$C$48+J485*'Stock Statistics'!$C$49+K485*'Stock Statistics'!$C$50,"")</f>
        <v>4.0279958446363178E-3</v>
      </c>
      <c r="M485" s="97">
        <v>381.47620000000001</v>
      </c>
      <c r="N485" s="96">
        <v>464.23540000000003</v>
      </c>
      <c r="O485" s="93">
        <f t="shared" si="21"/>
        <v>5.4307188658770933E-3</v>
      </c>
      <c r="P485" s="93">
        <f t="shared" si="22"/>
        <v>1.3545365468553339E-2</v>
      </c>
      <c r="Q485" s="93">
        <f>B485*'Portfolio 2 &amp; 3'!$F$7+C485*'Portfolio 2 &amp; 3'!$F$8+D485*'Portfolio 2 &amp; 3'!$F$9+E485*'Portfolio 2 &amp; 3'!$F$10+F485*'Portfolio 2 &amp; 3'!$F$11+G485*'Portfolio 2 &amp; 3'!$F$12+H485*'Portfolio 2 &amp; 3'!$F$13+I485*'Portfolio 2 &amp; 3'!$F$14+J485*'Portfolio 2 &amp; 3'!$F$15+K485*'Portfolio 2 &amp; 3'!$F$16</f>
        <v>4.0221551372076891E-3</v>
      </c>
      <c r="R485" s="93">
        <f>B485*'Portfolio 2 &amp; 3'!$B$23+C485*'Portfolio 2 &amp; 3'!$B$24+D485*'Portfolio 2 &amp; 3'!$B$25+E485*'Portfolio 2 &amp; 3'!$B$26+F485*'Portfolio 2 &amp; 3'!$B$27+G485*'Portfolio 2 &amp; 3'!$B$28+H485*'Portfolio 2 &amp; 3'!$B$29+I485*'Portfolio 2 &amp; 3'!$B$30+J485*'Portfolio 2 &amp; 3'!$B$31+K485*'Portfolio 2 &amp; 3'!$B$32</f>
        <v>1.8566753465868084E-3</v>
      </c>
      <c r="S485" s="93">
        <f t="shared" si="23"/>
        <v>9.488042167215216E-3</v>
      </c>
    </row>
    <row r="486" spans="1:19" ht="12.75" customHeight="1">
      <c r="A486" s="81">
        <v>45369</v>
      </c>
      <c r="B486" s="53">
        <v>7.0000000000000001E-3</v>
      </c>
      <c r="C486" s="53">
        <v>2.4664778487297799E-3</v>
      </c>
      <c r="D486" s="53">
        <v>-2.6729559748427702E-2</v>
      </c>
      <c r="E486" s="53">
        <v>-4.6499999999999996E-3</v>
      </c>
      <c r="F486" s="53">
        <v>7.4702713690415496E-3</v>
      </c>
      <c r="G486" s="53">
        <v>-2.6521121553519E-2</v>
      </c>
      <c r="H486" s="87">
        <v>-5.1508582046976299E-3</v>
      </c>
      <c r="I486" s="53">
        <v>1.0230096492077401E-2</v>
      </c>
      <c r="J486" s="53">
        <v>2.2468419962725202E-2</v>
      </c>
      <c r="K486" s="53">
        <v>-9.7682740311084704E-3</v>
      </c>
      <c r="L486" s="95">
        <f>IFERROR(B486*'Stock Statistics'!$C$41+C486*'Stock Statistics'!$C$42+D486*'Stock Statistics'!$C$43+E486*'Stock Statistics'!$C$44+F486*'Stock Statistics'!$C$45+G486*'Stock Statistics'!$C$46+H486*'Stock Statistics'!$C$47+I486*'Stock Statistics'!$C$48+J486*'Stock Statistics'!$C$49+K486*'Stock Statistics'!$C$50,"")</f>
        <v>-2.3184547865178866E-3</v>
      </c>
      <c r="M486" s="96">
        <v>379.41570000000002</v>
      </c>
      <c r="N486" s="97">
        <v>458.03120000000001</v>
      </c>
      <c r="O486" s="93">
        <f t="shared" si="21"/>
        <v>1.102461532558241E-2</v>
      </c>
      <c r="P486" s="93">
        <f t="shared" si="22"/>
        <v>-1.9132046670715441E-2</v>
      </c>
      <c r="Q486" s="93">
        <f>B486*'Portfolio 2 &amp; 3'!$F$7+C486*'Portfolio 2 &amp; 3'!$F$8+D486*'Portfolio 2 &amp; 3'!$F$9+E486*'Portfolio 2 &amp; 3'!$F$10+F486*'Portfolio 2 &amp; 3'!$F$11+G486*'Portfolio 2 &amp; 3'!$F$12+H486*'Portfolio 2 &amp; 3'!$F$13+I486*'Portfolio 2 &amp; 3'!$F$14+J486*'Portfolio 2 &amp; 3'!$F$15+K486*'Portfolio 2 &amp; 3'!$F$16</f>
        <v>-1.3495724456391224E-3</v>
      </c>
      <c r="R486" s="93">
        <f>B486*'Portfolio 2 &amp; 3'!$B$23+C486*'Portfolio 2 &amp; 3'!$B$24+D486*'Portfolio 2 &amp; 3'!$B$25+E486*'Portfolio 2 &amp; 3'!$B$26+F486*'Portfolio 2 &amp; 3'!$B$27+G486*'Portfolio 2 &amp; 3'!$B$28+H486*'Portfolio 2 &amp; 3'!$B$29+I486*'Portfolio 2 &amp; 3'!$B$30+J486*'Portfolio 2 &amp; 3'!$B$31+K486*'Portfolio 2 &amp; 3'!$B$32</f>
        <v>1.741377364090628E-3</v>
      </c>
      <c r="S486" s="93">
        <f t="shared" si="23"/>
        <v>-4.0537156725665158E-3</v>
      </c>
    </row>
    <row r="487" spans="1:19" ht="12.75" customHeight="1">
      <c r="A487" s="82">
        <v>45366</v>
      </c>
      <c r="B487" s="53">
        <v>3.3999999999999998E-3</v>
      </c>
      <c r="C487" s="53">
        <v>-1.7991296851266599E-2</v>
      </c>
      <c r="D487" s="53">
        <v>1.6228092075697899E-2</v>
      </c>
      <c r="E487" s="53">
        <v>-2.801E-2</v>
      </c>
      <c r="F487" s="53">
        <v>-1.14538330151713E-2</v>
      </c>
      <c r="G487" s="53">
        <v>-9.5588660409719993E-3</v>
      </c>
      <c r="H487" s="87">
        <v>-3.2510388658029903E-2</v>
      </c>
      <c r="I487" s="53">
        <v>5.8122638767788004E-4</v>
      </c>
      <c r="J487" s="53">
        <v>2.2082686609284499E-2</v>
      </c>
      <c r="K487" s="53">
        <v>1.07925210745852E-2</v>
      </c>
      <c r="L487" s="95">
        <f>IFERROR(B487*'Stock Statistics'!$C$41+C487*'Stock Statistics'!$C$42+D487*'Stock Statistics'!$C$43+E487*'Stock Statistics'!$C$44+F487*'Stock Statistics'!$C$45+G487*'Stock Statistics'!$C$46+H487*'Stock Statistics'!$C$47+I487*'Stock Statistics'!$C$48+J487*'Stock Statistics'!$C$49+K487*'Stock Statistics'!$C$50,"")</f>
        <v>-4.6439858418194317E-3</v>
      </c>
      <c r="M487" s="97">
        <v>375.27839999999998</v>
      </c>
      <c r="N487" s="96">
        <v>466.96519999999998</v>
      </c>
      <c r="O487" s="93">
        <f t="shared" si="21"/>
        <v>7.6876520143904781E-3</v>
      </c>
      <c r="P487" s="93">
        <f t="shared" si="22"/>
        <v>-1.1322785669082736E-2</v>
      </c>
      <c r="Q487" s="93">
        <f>B487*'Portfolio 2 &amp; 3'!$F$7+C487*'Portfolio 2 &amp; 3'!$F$8+D487*'Portfolio 2 &amp; 3'!$F$9+E487*'Portfolio 2 &amp; 3'!$F$10+F487*'Portfolio 2 &amp; 3'!$F$11+G487*'Portfolio 2 &amp; 3'!$F$12+H487*'Portfolio 2 &amp; 3'!$F$13+I487*'Portfolio 2 &amp; 3'!$F$14+J487*'Portfolio 2 &amp; 3'!$F$15+K487*'Portfolio 2 &amp; 3'!$F$16</f>
        <v>-4.3009924322936557E-3</v>
      </c>
      <c r="R487" s="93">
        <f>B487*'Portfolio 2 &amp; 3'!$B$23+C487*'Portfolio 2 &amp; 3'!$B$24+D487*'Portfolio 2 &amp; 3'!$B$25+E487*'Portfolio 2 &amp; 3'!$B$26+F487*'Portfolio 2 &amp; 3'!$B$27+G487*'Portfolio 2 &amp; 3'!$B$28+H487*'Portfolio 2 &amp; 3'!$B$29+I487*'Portfolio 2 &amp; 3'!$B$30+J487*'Portfolio 2 &amp; 3'!$B$31+K487*'Portfolio 2 &amp; 3'!$B$32</f>
        <v>-4.781615769336358E-3</v>
      </c>
      <c r="S487" s="93">
        <f t="shared" si="23"/>
        <v>-1.8175668273461287E-3</v>
      </c>
    </row>
    <row r="488" spans="1:19" ht="12.75" customHeight="1">
      <c r="A488" s="81">
        <v>45365</v>
      </c>
      <c r="B488" s="53">
        <v>3.3099999999999997E-2</v>
      </c>
      <c r="C488" s="53">
        <v>-2.0871644910715002E-2</v>
      </c>
      <c r="D488" s="53">
        <v>-9.8388213190941896E-3</v>
      </c>
      <c r="E488" s="53">
        <v>-5.9100000000000003E-3</v>
      </c>
      <c r="F488" s="53">
        <v>2.7512517421153199E-2</v>
      </c>
      <c r="G488" s="53">
        <v>-3.5663841807909699E-2</v>
      </c>
      <c r="H488" s="87">
        <v>8.9341119190442502E-3</v>
      </c>
      <c r="I488" s="53">
        <v>-1.45107398568019E-2</v>
      </c>
      <c r="J488" s="53">
        <v>-1.27463954865222E-2</v>
      </c>
      <c r="K488" s="53">
        <v>-5.4682853951815201E-3</v>
      </c>
      <c r="L488" s="95">
        <f>IFERROR(B488*'Stock Statistics'!$C$41+C488*'Stock Statistics'!$C$42+D488*'Stock Statistics'!$C$43+E488*'Stock Statistics'!$C$44+F488*'Stock Statistics'!$C$45+G488*'Stock Statistics'!$C$46+H488*'Stock Statistics'!$C$47+I488*'Stock Statistics'!$C$48+J488*'Stock Statistics'!$C$49+K488*'Stock Statistics'!$C$50,"")</f>
        <v>-3.546309943602706E-3</v>
      </c>
      <c r="M488" s="96">
        <v>372.41539999999998</v>
      </c>
      <c r="N488" s="97">
        <v>472.31310000000002</v>
      </c>
      <c r="O488" s="93">
        <f t="shared" si="21"/>
        <v>5.5939928234232106E-3</v>
      </c>
      <c r="P488" s="93">
        <f t="shared" si="22"/>
        <v>2.1287484368031073E-3</v>
      </c>
      <c r="Q488" s="93">
        <f>B488*'Portfolio 2 &amp; 3'!$F$7+C488*'Portfolio 2 &amp; 3'!$F$8+D488*'Portfolio 2 &amp; 3'!$F$9+E488*'Portfolio 2 &amp; 3'!$F$10+F488*'Portfolio 2 &amp; 3'!$F$11+G488*'Portfolio 2 &amp; 3'!$F$12+H488*'Portfolio 2 &amp; 3'!$F$13+I488*'Portfolio 2 &amp; 3'!$F$14+J488*'Portfolio 2 &amp; 3'!$F$15+K488*'Portfolio 2 &amp; 3'!$F$16</f>
        <v>-2.7237133678667848E-3</v>
      </c>
      <c r="R488" s="93">
        <f>B488*'Portfolio 2 &amp; 3'!$B$23+C488*'Portfolio 2 &amp; 3'!$B$24+D488*'Portfolio 2 &amp; 3'!$B$25+E488*'Portfolio 2 &amp; 3'!$B$26+F488*'Portfolio 2 &amp; 3'!$B$27+G488*'Portfolio 2 &amp; 3'!$B$28+H488*'Portfolio 2 &amp; 3'!$B$29+I488*'Portfolio 2 &amp; 3'!$B$30+J488*'Portfolio 2 &amp; 3'!$B$31+K488*'Portfolio 2 &amp; 3'!$B$32</f>
        <v>-3.3813996275514476E-3</v>
      </c>
      <c r="S488" s="93">
        <f t="shared" si="23"/>
        <v>3.861370630113159E-3</v>
      </c>
    </row>
    <row r="489" spans="1:19" ht="12.75" customHeight="1">
      <c r="A489" s="82">
        <v>45364</v>
      </c>
      <c r="B489" s="53">
        <v>1.5100000000000001E-2</v>
      </c>
      <c r="C489" s="53">
        <v>-1.37853801633237E-2</v>
      </c>
      <c r="D489" s="53">
        <v>5.66825775656321E-3</v>
      </c>
      <c r="E489" s="53">
        <v>-5.0200000000000002E-3</v>
      </c>
      <c r="F489" s="53">
        <v>-1.9287232965475399E-2</v>
      </c>
      <c r="G489" s="53">
        <v>9.9288650312507904E-3</v>
      </c>
      <c r="H489" s="87">
        <v>-1.5410033997396201E-3</v>
      </c>
      <c r="I489" s="53">
        <v>1.4888257331094199E-2</v>
      </c>
      <c r="J489" s="53">
        <v>-3.5439551210991301E-2</v>
      </c>
      <c r="K489" s="53">
        <v>-1.6953744367763701E-2</v>
      </c>
      <c r="L489" s="95">
        <f>IFERROR(B489*'Stock Statistics'!$C$41+C489*'Stock Statistics'!$C$42+D489*'Stock Statistics'!$C$43+E489*'Stock Statistics'!$C$44+F489*'Stock Statistics'!$C$45+G489*'Stock Statistics'!$C$46+H489*'Stock Statistics'!$C$47+I489*'Stock Statistics'!$C$48+J489*'Stock Statistics'!$C$49+K489*'Stock Statistics'!$C$50,"")</f>
        <v>-4.6441531988385531E-3</v>
      </c>
      <c r="M489" s="97">
        <v>370.34370000000001</v>
      </c>
      <c r="N489" s="96">
        <v>471.3098</v>
      </c>
      <c r="O489" s="93">
        <f t="shared" si="21"/>
        <v>-9.1220648069540999E-3</v>
      </c>
      <c r="P489" s="93">
        <f t="shared" si="22"/>
        <v>2.5931160533241293E-3</v>
      </c>
      <c r="Q489" s="93">
        <f>B489*'Portfolio 2 &amp; 3'!$F$7+C489*'Portfolio 2 &amp; 3'!$F$8+D489*'Portfolio 2 &amp; 3'!$F$9+E489*'Portfolio 2 &amp; 3'!$F$10+F489*'Portfolio 2 &amp; 3'!$F$11+G489*'Portfolio 2 &amp; 3'!$F$12+H489*'Portfolio 2 &amp; 3'!$F$13+I489*'Portfolio 2 &amp; 3'!$F$14+J489*'Portfolio 2 &amp; 3'!$F$15+K489*'Portfolio 2 &amp; 3'!$F$16</f>
        <v>-6.8645271642605058E-3</v>
      </c>
      <c r="R489" s="93">
        <f>B489*'Portfolio 2 &amp; 3'!$B$23+C489*'Portfolio 2 &amp; 3'!$B$24+D489*'Portfolio 2 &amp; 3'!$B$25+E489*'Portfolio 2 &amp; 3'!$B$26+F489*'Portfolio 2 &amp; 3'!$B$27+G489*'Portfolio 2 &amp; 3'!$B$28+H489*'Portfolio 2 &amp; 3'!$B$29+I489*'Portfolio 2 &amp; 3'!$B$30+J489*'Portfolio 2 &amp; 3'!$B$31+K489*'Portfolio 2 &amp; 3'!$B$32</f>
        <v>-1.4787031086338988E-3</v>
      </c>
      <c r="S489" s="93">
        <f t="shared" si="23"/>
        <v>-3.2644743768149853E-3</v>
      </c>
    </row>
    <row r="490" spans="1:19" ht="12.75" customHeight="1">
      <c r="A490" s="81">
        <v>45363</v>
      </c>
      <c r="B490" s="53">
        <v>-8.6999999999999994E-3</v>
      </c>
      <c r="C490" s="53">
        <v>1.20051751632282E-2</v>
      </c>
      <c r="D490" s="53">
        <v>-3.7427012539485001E-2</v>
      </c>
      <c r="E490" s="53">
        <v>3.6900000000000002E-2</v>
      </c>
      <c r="F490" s="53">
        <v>-6.7876715772537998E-3</v>
      </c>
      <c r="G490" s="53">
        <v>-3.73978571027878E-3</v>
      </c>
      <c r="H490" s="87">
        <v>-1.4594371648846099E-3</v>
      </c>
      <c r="I490" s="53">
        <v>-1.4010954018596301E-2</v>
      </c>
      <c r="J490" s="53">
        <v>2.6880817176855299E-4</v>
      </c>
      <c r="K490" s="53">
        <v>6.0825156366557404E-3</v>
      </c>
      <c r="L490" s="95">
        <f>IFERROR(B490*'Stock Statistics'!$C$41+C490*'Stock Statistics'!$C$42+D490*'Stock Statistics'!$C$43+E490*'Stock Statistics'!$C$44+F490*'Stock Statistics'!$C$45+G490*'Stock Statistics'!$C$46+H490*'Stock Statistics'!$C$47+I490*'Stock Statistics'!$C$48+J490*'Stock Statistics'!$C$49+K490*'Stock Statistics'!$C$50,"")</f>
        <v>-1.6868362038845995E-3</v>
      </c>
      <c r="M490" s="96">
        <v>373.75310000000002</v>
      </c>
      <c r="N490" s="97">
        <v>470.0908</v>
      </c>
      <c r="O490" s="93">
        <f t="shared" si="21"/>
        <v>6.8060873886968132E-3</v>
      </c>
      <c r="P490" s="93">
        <f t="shared" si="22"/>
        <v>2.0808820556905694E-4</v>
      </c>
      <c r="Q490" s="93">
        <f>B490*'Portfolio 2 &amp; 3'!$F$7+C490*'Portfolio 2 &amp; 3'!$F$8+D490*'Portfolio 2 &amp; 3'!$F$9+E490*'Portfolio 2 &amp; 3'!$F$10+F490*'Portfolio 2 &amp; 3'!$F$11+G490*'Portfolio 2 &amp; 3'!$F$12+H490*'Portfolio 2 &amp; 3'!$F$13+I490*'Portfolio 2 &amp; 3'!$F$14+J490*'Portfolio 2 &amp; 3'!$F$15+K490*'Portfolio 2 &amp; 3'!$F$16</f>
        <v>-3.5351152834915463E-3</v>
      </c>
      <c r="R490" s="93">
        <f>B490*'Portfolio 2 &amp; 3'!$B$23+C490*'Portfolio 2 &amp; 3'!$B$24+D490*'Portfolio 2 &amp; 3'!$B$25+E490*'Portfolio 2 &amp; 3'!$B$26+F490*'Portfolio 2 &amp; 3'!$B$27+G490*'Portfolio 2 &amp; 3'!$B$28+H490*'Portfolio 2 &amp; 3'!$B$29+I490*'Portfolio 2 &amp; 3'!$B$30+J490*'Portfolio 2 &amp; 3'!$B$31+K490*'Portfolio 2 &amp; 3'!$B$32</f>
        <v>-3.8155362520006127E-3</v>
      </c>
      <c r="S490" s="93">
        <f t="shared" si="23"/>
        <v>3.5070877971329351E-3</v>
      </c>
    </row>
    <row r="491" spans="1:19" ht="12.75" customHeight="1">
      <c r="A491" s="82">
        <v>45362</v>
      </c>
      <c r="B491" s="53">
        <v>-7.4999999999999997E-3</v>
      </c>
      <c r="C491" s="53">
        <v>8.0272562757171002E-3</v>
      </c>
      <c r="D491" s="53">
        <v>-1.8784634169249598E-2</v>
      </c>
      <c r="E491" s="53">
        <v>-2.9389999999999999E-2</v>
      </c>
      <c r="F491" s="53">
        <v>1.8121320706424401E-2</v>
      </c>
      <c r="G491" s="53">
        <v>-8.8405367336349405E-3</v>
      </c>
      <c r="H491" s="87">
        <v>2.6181541220071701E-4</v>
      </c>
      <c r="I491" s="53">
        <v>7.44257667137194E-3</v>
      </c>
      <c r="J491" s="53">
        <v>-5.7461664383791104E-3</v>
      </c>
      <c r="K491" s="53">
        <v>-9.2384661303618297E-3</v>
      </c>
      <c r="L491" s="95">
        <f>IFERROR(B491*'Stock Statistics'!$C$41+C491*'Stock Statistics'!$C$42+D491*'Stock Statistics'!$C$43+E491*'Stock Statistics'!$C$44+F491*'Stock Statistics'!$C$45+G491*'Stock Statistics'!$C$46+H491*'Stock Statistics'!$C$47+I491*'Stock Statistics'!$C$48+J491*'Stock Statistics'!$C$49+K491*'Stock Statistics'!$C$50,"")</f>
        <v>-4.5646834405911321E-3</v>
      </c>
      <c r="M491" s="97">
        <v>371.22649999999999</v>
      </c>
      <c r="N491" s="96">
        <v>469.99299999999999</v>
      </c>
      <c r="O491" s="93">
        <f t="shared" si="21"/>
        <v>-4.6201953293421028E-3</v>
      </c>
      <c r="P491" s="93">
        <f t="shared" si="22"/>
        <v>1.508251272360539E-3</v>
      </c>
      <c r="Q491" s="93">
        <f>B491*'Portfolio 2 &amp; 3'!$F$7+C491*'Portfolio 2 &amp; 3'!$F$8+D491*'Portfolio 2 &amp; 3'!$F$9+E491*'Portfolio 2 &amp; 3'!$F$10+F491*'Portfolio 2 &amp; 3'!$F$11+G491*'Portfolio 2 &amp; 3'!$F$12+H491*'Portfolio 2 &amp; 3'!$F$13+I491*'Portfolio 2 &amp; 3'!$F$14+J491*'Portfolio 2 &amp; 3'!$F$15+K491*'Portfolio 2 &amp; 3'!$F$16</f>
        <v>-3.8681890581375332E-3</v>
      </c>
      <c r="R491" s="93">
        <f>B491*'Portfolio 2 &amp; 3'!$B$23+C491*'Portfolio 2 &amp; 3'!$B$24+D491*'Portfolio 2 &amp; 3'!$B$25+E491*'Portfolio 2 &amp; 3'!$B$26+F491*'Portfolio 2 &amp; 3'!$B$27+G491*'Portfolio 2 &amp; 3'!$B$28+H491*'Portfolio 2 &amp; 3'!$B$29+I491*'Portfolio 2 &amp; 3'!$B$30+J491*'Portfolio 2 &amp; 3'!$B$31+K491*'Portfolio 2 &amp; 3'!$B$32</f>
        <v>3.1031147242977647E-3</v>
      </c>
      <c r="S491" s="93">
        <f t="shared" si="23"/>
        <v>-1.5559720284907819E-3</v>
      </c>
    </row>
    <row r="492" spans="1:19" ht="12.75" customHeight="1">
      <c r="A492" s="81">
        <v>45358</v>
      </c>
      <c r="B492" s="53">
        <v>4.1999999999999997E-3</v>
      </c>
      <c r="C492" s="53">
        <v>-2.1980303749406901E-2</v>
      </c>
      <c r="D492" s="53">
        <v>5.5248618784531399E-3</v>
      </c>
      <c r="E492" s="53">
        <v>-1.558E-2</v>
      </c>
      <c r="F492" s="53">
        <v>1.54909809221813E-2</v>
      </c>
      <c r="G492" s="53">
        <v>1.23836685679977E-2</v>
      </c>
      <c r="H492" s="87">
        <v>-1.33543119711309E-2</v>
      </c>
      <c r="I492" s="53">
        <v>-1.6221675187780199E-2</v>
      </c>
      <c r="J492" s="53">
        <v>1.7264231096006898E-2</v>
      </c>
      <c r="K492" s="53">
        <v>1.09489051094891E-2</v>
      </c>
      <c r="L492" s="95">
        <f>IFERROR(B492*'Stock Statistics'!$C$41+C492*'Stock Statistics'!$C$42+D492*'Stock Statistics'!$C$43+E492*'Stock Statistics'!$C$44+F492*'Stock Statistics'!$C$45+G492*'Stock Statistics'!$C$46+H492*'Stock Statistics'!$C$47+I492*'Stock Statistics'!$C$48+J492*'Stock Statistics'!$C$49+K492*'Stock Statistics'!$C$50,"")</f>
        <v>-1.3236433341898648E-4</v>
      </c>
      <c r="M492" s="96">
        <v>372.94959999999998</v>
      </c>
      <c r="N492" s="97">
        <v>469.28519999999997</v>
      </c>
      <c r="O492" s="93">
        <f t="shared" si="21"/>
        <v>1.0628752940500474E-2</v>
      </c>
      <c r="P492" s="93">
        <f t="shared" si="22"/>
        <v>9.6473604988034367E-4</v>
      </c>
      <c r="Q492" s="93">
        <f>B492*'Portfolio 2 &amp; 3'!$F$7+C492*'Portfolio 2 &amp; 3'!$F$8+D492*'Portfolio 2 &amp; 3'!$F$9+E492*'Portfolio 2 &amp; 3'!$F$10+F492*'Portfolio 2 &amp; 3'!$F$11+G492*'Portfolio 2 &amp; 3'!$F$12+H492*'Portfolio 2 &amp; 3'!$F$13+I492*'Portfolio 2 &amp; 3'!$F$14+J492*'Portfolio 2 &amp; 3'!$F$15+K492*'Portfolio 2 &amp; 3'!$F$16</f>
        <v>-1.6418647877220209E-4</v>
      </c>
      <c r="R492" s="93">
        <f>B492*'Portfolio 2 &amp; 3'!$B$23+C492*'Portfolio 2 &amp; 3'!$B$24+D492*'Portfolio 2 &amp; 3'!$B$25+E492*'Portfolio 2 &amp; 3'!$B$26+F492*'Portfolio 2 &amp; 3'!$B$27+G492*'Portfolio 2 &amp; 3'!$B$28+H492*'Portfolio 2 &amp; 3'!$B$29+I492*'Portfolio 2 &amp; 3'!$B$30+J492*'Portfolio 2 &amp; 3'!$B$31+K492*'Portfolio 2 &amp; 3'!$B$32</f>
        <v>-2.7616365003596695E-3</v>
      </c>
      <c r="S492" s="93">
        <f t="shared" si="23"/>
        <v>5.796744495190409E-3</v>
      </c>
    </row>
    <row r="493" spans="1:19" ht="12.75" customHeight="1">
      <c r="A493" s="82">
        <v>45357</v>
      </c>
      <c r="B493" s="53">
        <v>-1.8E-3</v>
      </c>
      <c r="C493" s="53">
        <v>-1.9477434679334799E-2</v>
      </c>
      <c r="D493" s="53">
        <v>-1.27334465195261E-3</v>
      </c>
      <c r="E493" s="53">
        <v>-2.5600000000000002E-3</v>
      </c>
      <c r="F493" s="53">
        <v>8.4927916120576298E-3</v>
      </c>
      <c r="G493" s="53">
        <v>-9.8097502972650501E-3</v>
      </c>
      <c r="H493" s="87">
        <v>1.00092502549749E-2</v>
      </c>
      <c r="I493" s="53">
        <v>-5.8358433734939704E-3</v>
      </c>
      <c r="J493" s="53">
        <v>3.7523452157599601E-3</v>
      </c>
      <c r="K493" s="53">
        <v>-2.73775417511005E-2</v>
      </c>
      <c r="L493" s="95">
        <f>IFERROR(B493*'Stock Statistics'!$C$41+C493*'Stock Statistics'!$C$42+D493*'Stock Statistics'!$C$43+E493*'Stock Statistics'!$C$44+F493*'Stock Statistics'!$C$45+G493*'Stock Statistics'!$C$46+H493*'Stock Statistics'!$C$47+I493*'Stock Statistics'!$C$48+J493*'Stock Statistics'!$C$49+K493*'Stock Statistics'!$C$50,"")</f>
        <v>-4.587952767035444E-3</v>
      </c>
      <c r="M493" s="97">
        <v>369.02730000000003</v>
      </c>
      <c r="N493" s="96">
        <v>468.8329</v>
      </c>
      <c r="O493" s="93">
        <f t="shared" si="21"/>
        <v>-1.9449598522215172E-2</v>
      </c>
      <c r="P493" s="93">
        <f t="shared" si="22"/>
        <v>-8.3291963736330521E-3</v>
      </c>
      <c r="Q493" s="93">
        <f>B493*'Portfolio 2 &amp; 3'!$F$7+C493*'Portfolio 2 &amp; 3'!$F$8+D493*'Portfolio 2 &amp; 3'!$F$9+E493*'Portfolio 2 &amp; 3'!$F$10+F493*'Portfolio 2 &amp; 3'!$F$11+G493*'Portfolio 2 &amp; 3'!$F$12+H493*'Portfolio 2 &amp; 3'!$F$13+I493*'Portfolio 2 &amp; 3'!$F$14+J493*'Portfolio 2 &amp; 3'!$F$15+K493*'Portfolio 2 &amp; 3'!$F$16</f>
        <v>-2.4932523661417016E-3</v>
      </c>
      <c r="R493" s="93">
        <f>B493*'Portfolio 2 &amp; 3'!$B$23+C493*'Portfolio 2 &amp; 3'!$B$24+D493*'Portfolio 2 &amp; 3'!$B$25+E493*'Portfolio 2 &amp; 3'!$B$26+F493*'Portfolio 2 &amp; 3'!$B$27+G493*'Portfolio 2 &amp; 3'!$B$28+H493*'Portfolio 2 &amp; 3'!$B$29+I493*'Portfolio 2 &amp; 3'!$B$30+J493*'Portfolio 2 &amp; 3'!$B$31+K493*'Portfolio 2 &amp; 3'!$B$32</f>
        <v>-7.0701592432663614E-3</v>
      </c>
      <c r="S493" s="93">
        <f t="shared" si="23"/>
        <v>-1.3889397447924112E-2</v>
      </c>
    </row>
    <row r="494" spans="1:19" ht="12.75" customHeight="1">
      <c r="A494" s="81">
        <v>45356</v>
      </c>
      <c r="B494" s="53">
        <v>-8.5000000000000006E-3</v>
      </c>
      <c r="C494" s="53">
        <v>2.5173492992243101E-3</v>
      </c>
      <c r="D494" s="53">
        <v>-2.1820362596300099E-2</v>
      </c>
      <c r="E494" s="53">
        <v>-2.2399999999999998E-3</v>
      </c>
      <c r="F494" s="53">
        <v>7.9260237780713894E-3</v>
      </c>
      <c r="G494" s="53">
        <v>0</v>
      </c>
      <c r="H494" s="87">
        <v>1.50443809237255E-3</v>
      </c>
      <c r="I494" s="53">
        <v>-7.5356542317992501E-3</v>
      </c>
      <c r="J494" s="53">
        <v>-2.5496974935177101E-2</v>
      </c>
      <c r="K494" s="53">
        <v>-7.4901172064636397E-3</v>
      </c>
      <c r="L494" s="95">
        <f>IFERROR(B494*'Stock Statistics'!$C$41+C494*'Stock Statistics'!$C$42+D494*'Stock Statistics'!$C$43+E494*'Stock Statistics'!$C$44+F494*'Stock Statistics'!$C$45+G494*'Stock Statistics'!$C$46+H494*'Stock Statistics'!$C$47+I494*'Stock Statistics'!$C$48+J494*'Stock Statistics'!$C$49+K494*'Stock Statistics'!$C$50,"")</f>
        <v>-6.1135297800071833E-3</v>
      </c>
      <c r="M494" s="96">
        <v>376.34710000000001</v>
      </c>
      <c r="N494" s="97">
        <v>472.77069999999998</v>
      </c>
      <c r="O494" s="93">
        <f t="shared" si="21"/>
        <v>-1.1230313781456447E-2</v>
      </c>
      <c r="P494" s="93">
        <f t="shared" si="22"/>
        <v>-1.8718174511404007E-3</v>
      </c>
      <c r="Q494" s="93">
        <f>B494*'Portfolio 2 &amp; 3'!$F$7+C494*'Portfolio 2 &amp; 3'!$F$8+D494*'Portfolio 2 &amp; 3'!$F$9+E494*'Portfolio 2 &amp; 3'!$F$10+F494*'Portfolio 2 &amp; 3'!$F$11+G494*'Portfolio 2 &amp; 3'!$F$12+H494*'Portfolio 2 &amp; 3'!$F$13+I494*'Portfolio 2 &amp; 3'!$F$14+J494*'Portfolio 2 &amp; 3'!$F$15+K494*'Portfolio 2 &amp; 3'!$F$16</f>
        <v>-7.2702196180800477E-3</v>
      </c>
      <c r="R494" s="93">
        <f>B494*'Portfolio 2 &amp; 3'!$B$23+C494*'Portfolio 2 &amp; 3'!$B$24+D494*'Portfolio 2 &amp; 3'!$B$25+E494*'Portfolio 2 &amp; 3'!$B$26+F494*'Portfolio 2 &amp; 3'!$B$27+G494*'Portfolio 2 &amp; 3'!$B$28+H494*'Portfolio 2 &amp; 3'!$B$29+I494*'Portfolio 2 &amp; 3'!$B$30+J494*'Portfolio 2 &amp; 3'!$B$31+K494*'Portfolio 2 &amp; 3'!$B$32</f>
        <v>-2.9976533189617644E-3</v>
      </c>
      <c r="S494" s="93">
        <f t="shared" si="23"/>
        <v>-6.5510656162984238E-3</v>
      </c>
    </row>
    <row r="495" spans="1:19" ht="12.75" customHeight="1">
      <c r="A495" s="82">
        <v>45355</v>
      </c>
      <c r="B495" s="53">
        <v>-2.0400000000000001E-2</v>
      </c>
      <c r="C495" s="53">
        <v>-1.30744659421193E-2</v>
      </c>
      <c r="D495" s="53">
        <v>-6.4625538546155799E-3</v>
      </c>
      <c r="E495" s="53">
        <v>-5.1399999999999996E-3</v>
      </c>
      <c r="F495" s="53">
        <v>2.66355647173699E-2</v>
      </c>
      <c r="G495" s="53">
        <v>1.09881853528429E-2</v>
      </c>
      <c r="H495" s="87">
        <v>1.8006441070550501E-3</v>
      </c>
      <c r="I495" s="53">
        <v>1.05985037406486E-3</v>
      </c>
      <c r="J495" s="53">
        <v>1.4125341334322101E-2</v>
      </c>
      <c r="K495" s="53">
        <v>8.7461128387378295E-4</v>
      </c>
      <c r="L495" s="95">
        <f>IFERROR(B495*'Stock Statistics'!$C$41+C495*'Stock Statistics'!$C$42+D495*'Stock Statistics'!$C$43+E495*'Stock Statistics'!$C$44+F495*'Stock Statistics'!$C$45+G495*'Stock Statistics'!$C$46+H495*'Stock Statistics'!$C$47+I495*'Stock Statistics'!$C$48+J495*'Stock Statistics'!$C$49+K495*'Stock Statistics'!$C$50,"")</f>
        <v>1.0407177372793724E-3</v>
      </c>
      <c r="M495" s="97">
        <v>380.6216</v>
      </c>
      <c r="N495" s="96">
        <v>473.65730000000002</v>
      </c>
      <c r="O495" s="93">
        <f t="shared" si="21"/>
        <v>-1.5736258317015084E-3</v>
      </c>
      <c r="P495" s="93">
        <f t="shared" si="22"/>
        <v>-9.4722397188713447E-3</v>
      </c>
      <c r="Q495" s="93">
        <f>B495*'Portfolio 2 &amp; 3'!$F$7+C495*'Portfolio 2 &amp; 3'!$F$8+D495*'Portfolio 2 &amp; 3'!$F$9+E495*'Portfolio 2 &amp; 3'!$F$10+F495*'Portfolio 2 &amp; 3'!$F$11+G495*'Portfolio 2 &amp; 3'!$F$12+H495*'Portfolio 2 &amp; 3'!$F$13+I495*'Portfolio 2 &amp; 3'!$F$14+J495*'Portfolio 2 &amp; 3'!$F$15+K495*'Portfolio 2 &amp; 3'!$F$16</f>
        <v>1.9883882626479201E-3</v>
      </c>
      <c r="R495" s="93">
        <f>B495*'Portfolio 2 &amp; 3'!$B$23+C495*'Portfolio 2 &amp; 3'!$B$24+D495*'Portfolio 2 &amp; 3'!$B$25+E495*'Portfolio 2 &amp; 3'!$B$26+F495*'Portfolio 2 &amp; 3'!$B$27+G495*'Portfolio 2 &amp; 3'!$B$28+H495*'Portfolio 2 &amp; 3'!$B$29+I495*'Portfolio 2 &amp; 3'!$B$30+J495*'Portfolio 2 &amp; 3'!$B$31+K495*'Portfolio 2 &amp; 3'!$B$32</f>
        <v>9.1671504038252731E-4</v>
      </c>
      <c r="S495" s="93">
        <f t="shared" si="23"/>
        <v>-5.5229327752864266E-3</v>
      </c>
    </row>
    <row r="496" spans="1:19" ht="12.75" customHeight="1">
      <c r="A496" s="81">
        <v>45353</v>
      </c>
      <c r="B496" s="53">
        <v>-1.1999999999999999E-3</v>
      </c>
      <c r="C496" s="53">
        <v>2.1978883802092002E-2</v>
      </c>
      <c r="D496" s="53">
        <v>1.29532475973815E-2</v>
      </c>
      <c r="E496" s="53">
        <v>5.3299999999999997E-3</v>
      </c>
      <c r="F496" s="53">
        <v>-3.9444534500459004E-3</v>
      </c>
      <c r="G496" s="53">
        <v>-1.0740100711671099E-2</v>
      </c>
      <c r="H496" s="87">
        <v>-5.0196524127480401E-3</v>
      </c>
      <c r="I496" s="53">
        <v>1.8930250285859498E-2</v>
      </c>
      <c r="J496" s="53">
        <v>-1.4139033832687401E-3</v>
      </c>
      <c r="K496" s="53">
        <v>1.6066466364803099E-2</v>
      </c>
      <c r="L496" s="95">
        <f>IFERROR(B496*'Stock Statistics'!$C$41+C496*'Stock Statistics'!$C$42+D496*'Stock Statistics'!$C$43+E496*'Stock Statistics'!$C$44+F496*'Stock Statistics'!$C$45+G496*'Stock Statistics'!$C$46+H496*'Stock Statistics'!$C$47+I496*'Stock Statistics'!$C$48+J496*'Stock Statistics'!$C$49+K496*'Stock Statistics'!$C$50,"")</f>
        <v>5.294073809240232E-3</v>
      </c>
      <c r="M496" s="96">
        <v>381.22149999999999</v>
      </c>
      <c r="N496" s="97">
        <v>478.18680000000001</v>
      </c>
      <c r="O496" s="93">
        <f t="shared" si="21"/>
        <v>4.5650850050764635E-3</v>
      </c>
      <c r="P496" s="93">
        <f t="shared" si="22"/>
        <v>3.4073144578996573E-3</v>
      </c>
      <c r="Q496" s="93">
        <f>B496*'Portfolio 2 &amp; 3'!$F$7+C496*'Portfolio 2 &amp; 3'!$F$8+D496*'Portfolio 2 &amp; 3'!$F$9+E496*'Portfolio 2 &amp; 3'!$F$10+F496*'Portfolio 2 &amp; 3'!$F$11+G496*'Portfolio 2 &amp; 3'!$F$12+H496*'Portfolio 2 &amp; 3'!$F$13+I496*'Portfolio 2 &amp; 3'!$F$14+J496*'Portfolio 2 &amp; 3'!$F$15+K496*'Portfolio 2 &amp; 3'!$F$16</f>
        <v>5.018789353465886E-3</v>
      </c>
      <c r="R496" s="93">
        <f>B496*'Portfolio 2 &amp; 3'!$B$23+C496*'Portfolio 2 &amp; 3'!$B$24+D496*'Portfolio 2 &amp; 3'!$B$25+E496*'Portfolio 2 &amp; 3'!$B$26+F496*'Portfolio 2 &amp; 3'!$B$27+G496*'Portfolio 2 &amp; 3'!$B$28+H496*'Portfolio 2 &amp; 3'!$B$29+I496*'Portfolio 2 &amp; 3'!$B$30+J496*'Portfolio 2 &amp; 3'!$B$31+K496*'Portfolio 2 &amp; 3'!$B$32</f>
        <v>8.3553488870252903E-3</v>
      </c>
      <c r="S496" s="93">
        <f t="shared" si="23"/>
        <v>3.9861997314880604E-3</v>
      </c>
    </row>
    <row r="497" spans="1:19" ht="12.75" customHeight="1">
      <c r="A497" s="82">
        <v>45352</v>
      </c>
      <c r="B497" s="53">
        <v>-7.7000000000000002E-3</v>
      </c>
      <c r="C497" s="53">
        <v>-4.7903373724363903E-3</v>
      </c>
      <c r="D497" s="53">
        <v>4.92498051441932E-2</v>
      </c>
      <c r="E497" s="53">
        <v>1.9480000000000001E-2</v>
      </c>
      <c r="F497" s="53">
        <v>-1.7570867395689499E-2</v>
      </c>
      <c r="G497" s="53">
        <v>-2.41501021735147E-4</v>
      </c>
      <c r="H497" s="87">
        <v>1.5419384827453799E-2</v>
      </c>
      <c r="I497" s="53">
        <v>1.4238773274917901E-2</v>
      </c>
      <c r="J497" s="53">
        <v>8.0084156231972105E-3</v>
      </c>
      <c r="K497" s="53">
        <v>1.72767581684341E-2</v>
      </c>
      <c r="L497" s="95">
        <f>IFERROR(B497*'Stock Statistics'!$C$41+C497*'Stock Statistics'!$C$42+D497*'Stock Statistics'!$C$43+E497*'Stock Statistics'!$C$44+F497*'Stock Statistics'!$C$45+G497*'Stock Statistics'!$C$46+H497*'Stock Statistics'!$C$47+I497*'Stock Statistics'!$C$48+J497*'Stock Statistics'!$C$49+K497*'Stock Statistics'!$C$50,"")</f>
        <v>9.3370431248335183E-3</v>
      </c>
      <c r="M497" s="97">
        <v>379.48910000000001</v>
      </c>
      <c r="N497" s="96">
        <v>476.56299999999999</v>
      </c>
      <c r="O497" s="93">
        <f t="shared" si="21"/>
        <v>2.6179781039910033E-3</v>
      </c>
      <c r="P497" s="93">
        <f t="shared" si="22"/>
        <v>-6.1889663813043949E-3</v>
      </c>
      <c r="Q497" s="93">
        <f>B497*'Portfolio 2 &amp; 3'!$F$7+C497*'Portfolio 2 &amp; 3'!$F$8+D497*'Portfolio 2 &amp; 3'!$F$9+E497*'Portfolio 2 &amp; 3'!$F$10+F497*'Portfolio 2 &amp; 3'!$F$11+G497*'Portfolio 2 &amp; 3'!$F$12+H497*'Portfolio 2 &amp; 3'!$F$13+I497*'Portfolio 2 &amp; 3'!$F$14+J497*'Portfolio 2 &amp; 3'!$F$15+K497*'Portfolio 2 &amp; 3'!$F$16</f>
        <v>1.1439382470469151E-2</v>
      </c>
      <c r="R497" s="93">
        <f>B497*'Portfolio 2 &amp; 3'!$B$23+C497*'Portfolio 2 &amp; 3'!$B$24+D497*'Portfolio 2 &amp; 3'!$B$25+E497*'Portfolio 2 &amp; 3'!$B$26+F497*'Portfolio 2 &amp; 3'!$B$27+G497*'Portfolio 2 &amp; 3'!$B$28+H497*'Portfolio 2 &amp; 3'!$B$29+I497*'Portfolio 2 &amp; 3'!$B$30+J497*'Portfolio 2 &amp; 3'!$B$31+K497*'Portfolio 2 &amp; 3'!$B$32</f>
        <v>1.6377771455944176E-3</v>
      </c>
      <c r="S497" s="93">
        <f t="shared" si="23"/>
        <v>-1.7854941386566958E-3</v>
      </c>
    </row>
    <row r="498" spans="1:19" ht="12.75" customHeight="1">
      <c r="A498" s="81">
        <v>45351</v>
      </c>
      <c r="B498" s="53">
        <v>-6.1000000000000004E-3</v>
      </c>
      <c r="C498" s="53">
        <v>3.59342413175234E-3</v>
      </c>
      <c r="D498" s="53">
        <v>-1.65353564828308E-3</v>
      </c>
      <c r="E498" s="53">
        <v>2.6700000000000001E-3</v>
      </c>
      <c r="F498" s="53">
        <v>9.9721209521765903E-3</v>
      </c>
      <c r="G498" s="53">
        <v>8.5623817285893598E-3</v>
      </c>
      <c r="H498" s="87">
        <v>7.3221335098610004E-3</v>
      </c>
      <c r="I498" s="53">
        <v>9.996452871561261E-4</v>
      </c>
      <c r="J498" s="53">
        <v>1.3251783893986099E-3</v>
      </c>
      <c r="K498" s="53">
        <v>6.1740803491927598E-4</v>
      </c>
      <c r="L498" s="95">
        <f>IFERROR(B498*'Stock Statistics'!$C$41+C498*'Stock Statistics'!$C$42+D498*'Stock Statistics'!$C$43+E498*'Stock Statistics'!$C$44+F498*'Stock Statistics'!$C$45+G498*'Stock Statistics'!$C$46+H498*'Stock Statistics'!$C$47+I498*'Stock Statistics'!$C$48+J498*'Stock Statistics'!$C$49+K498*'Stock Statistics'!$C$50,"")</f>
        <v>2.7308756385570226E-3</v>
      </c>
      <c r="M498" s="96">
        <v>378.4982</v>
      </c>
      <c r="N498" s="97">
        <v>479.5308</v>
      </c>
      <c r="O498" s="93">
        <f t="shared" si="21"/>
        <v>-2.1788720850500765E-3</v>
      </c>
      <c r="P498" s="93">
        <f t="shared" si="22"/>
        <v>2.1052262021041823E-3</v>
      </c>
      <c r="Q498" s="93">
        <f>B498*'Portfolio 2 &amp; 3'!$F$7+C498*'Portfolio 2 &amp; 3'!$F$8+D498*'Portfolio 2 &amp; 3'!$F$9+E498*'Portfolio 2 &amp; 3'!$F$10+F498*'Portfolio 2 &amp; 3'!$F$11+G498*'Portfolio 2 &amp; 3'!$F$12+H498*'Portfolio 2 &amp; 3'!$F$13+I498*'Portfolio 2 &amp; 3'!$F$14+J498*'Portfolio 2 &amp; 3'!$F$15+K498*'Portfolio 2 &amp; 3'!$F$16</f>
        <v>2.9343498071276721E-3</v>
      </c>
      <c r="R498" s="93">
        <f>B498*'Portfolio 2 &amp; 3'!$B$23+C498*'Portfolio 2 &amp; 3'!$B$24+D498*'Portfolio 2 &amp; 3'!$B$25+E498*'Portfolio 2 &amp; 3'!$B$26+F498*'Portfolio 2 &amp; 3'!$B$27+G498*'Portfolio 2 &amp; 3'!$B$28+H498*'Portfolio 2 &amp; 3'!$B$29+I498*'Portfolio 2 &amp; 3'!$B$30+J498*'Portfolio 2 &amp; 3'!$B$31+K498*'Portfolio 2 &amp; 3'!$B$32</f>
        <v>2.8985163119824168E-3</v>
      </c>
      <c r="S498" s="93">
        <f t="shared" si="23"/>
        <v>-3.6822941472947068E-5</v>
      </c>
    </row>
    <row r="499" spans="1:19" ht="12.75" customHeight="1">
      <c r="A499" s="82">
        <v>45350</v>
      </c>
      <c r="B499" s="53">
        <v>-2.0999999999999999E-3</v>
      </c>
      <c r="C499" s="53">
        <v>-1.24195661953086E-3</v>
      </c>
      <c r="D499" s="53">
        <v>-4.37509114773249E-4</v>
      </c>
      <c r="E499" s="53">
        <v>2.1900000000000001E-3</v>
      </c>
      <c r="F499" s="53">
        <v>-1.08712944795036E-2</v>
      </c>
      <c r="G499" s="53">
        <v>9.5645324631488105E-4</v>
      </c>
      <c r="H499" s="87">
        <v>-3.5910806708954301E-2</v>
      </c>
      <c r="I499" s="53">
        <v>-5.5796055796055698E-3</v>
      </c>
      <c r="J499" s="53">
        <v>-7.2859744990891899E-3</v>
      </c>
      <c r="K499" s="53">
        <v>-7.4675787373520404E-3</v>
      </c>
      <c r="L499" s="95">
        <f>IFERROR(B499*'Stock Statistics'!$C$41+C499*'Stock Statistics'!$C$42+D499*'Stock Statistics'!$C$43+E499*'Stock Statistics'!$C$44+F499*'Stock Statistics'!$C$45+G499*'Stock Statistics'!$C$46+H499*'Stock Statistics'!$C$47+I499*'Stock Statistics'!$C$48+J499*'Stock Statistics'!$C$49+K499*'Stock Statistics'!$C$50,"")</f>
        <v>-6.7748272492493935E-3</v>
      </c>
      <c r="M499" s="97">
        <v>379.32470000000001</v>
      </c>
      <c r="N499" s="96">
        <v>478.52339999999998</v>
      </c>
      <c r="O499" s="93">
        <f t="shared" si="21"/>
        <v>-6.5623376242436304E-3</v>
      </c>
      <c r="P499" s="93">
        <f t="shared" si="22"/>
        <v>5.5799757866736854E-5</v>
      </c>
      <c r="Q499" s="93">
        <f>B499*'Portfolio 2 &amp; 3'!$F$7+C499*'Portfolio 2 &amp; 3'!$F$8+D499*'Portfolio 2 &amp; 3'!$F$9+E499*'Portfolio 2 &amp; 3'!$F$10+F499*'Portfolio 2 &amp; 3'!$F$11+G499*'Portfolio 2 &amp; 3'!$F$12+H499*'Portfolio 2 &amp; 3'!$F$13+I499*'Portfolio 2 &amp; 3'!$F$14+J499*'Portfolio 2 &amp; 3'!$F$15+K499*'Portfolio 2 &amp; 3'!$F$16</f>
        <v>-9.2252642678314779E-3</v>
      </c>
      <c r="R499" s="93">
        <f>B499*'Portfolio 2 &amp; 3'!$B$23+C499*'Portfolio 2 &amp; 3'!$B$24+D499*'Portfolio 2 &amp; 3'!$B$25+E499*'Portfolio 2 &amp; 3'!$B$26+F499*'Portfolio 2 &amp; 3'!$B$27+G499*'Portfolio 2 &amp; 3'!$B$28+H499*'Portfolio 2 &amp; 3'!$B$29+I499*'Portfolio 2 &amp; 3'!$B$30+J499*'Portfolio 2 &amp; 3'!$B$31+K499*'Portfolio 2 &amp; 3'!$B$32</f>
        <v>-5.4900941940651616E-3</v>
      </c>
      <c r="S499" s="93">
        <f t="shared" si="23"/>
        <v>-3.2532689331884468E-3</v>
      </c>
    </row>
    <row r="500" spans="1:19" ht="12.75" customHeight="1">
      <c r="A500" s="81">
        <v>45349</v>
      </c>
      <c r="B500" s="53">
        <v>7.4000000000000003E-3</v>
      </c>
      <c r="C500" s="53">
        <v>-2.8182199381748801E-3</v>
      </c>
      <c r="D500" s="53">
        <v>-1.6306426931905101E-2</v>
      </c>
      <c r="E500" s="53">
        <v>6.8599999999999998E-3</v>
      </c>
      <c r="F500" s="53">
        <v>3.18285502095561E-4</v>
      </c>
      <c r="G500" s="53">
        <v>2.0282423175538501E-2</v>
      </c>
      <c r="H500" s="87">
        <v>-5.9115906067941403E-4</v>
      </c>
      <c r="I500" s="53">
        <v>-1.18508191007321E-2</v>
      </c>
      <c r="J500" s="53">
        <v>7.7503569243320102E-3</v>
      </c>
      <c r="K500" s="53">
        <v>7.4948311509304101E-3</v>
      </c>
      <c r="L500" s="95">
        <f>IFERROR(B500*'Stock Statistics'!$C$41+C500*'Stock Statistics'!$C$42+D500*'Stock Statistics'!$C$43+E500*'Stock Statistics'!$C$44+F500*'Stock Statistics'!$C$45+G500*'Stock Statistics'!$C$46+H500*'Stock Statistics'!$C$47+I500*'Stock Statistics'!$C$48+J500*'Stock Statistics'!$C$49+K500*'Stock Statistics'!$C$50,"")</f>
        <v>1.8539271721404989E-3</v>
      </c>
      <c r="M500" s="96">
        <v>381.8304</v>
      </c>
      <c r="N500" s="97">
        <v>478.49669999999998</v>
      </c>
      <c r="O500" s="93">
        <f t="shared" si="21"/>
        <v>-1.3646399463102532E-2</v>
      </c>
      <c r="P500" s="93">
        <f t="shared" si="22"/>
        <v>-9.0243040250859163E-4</v>
      </c>
      <c r="Q500" s="93">
        <f>B500*'Portfolio 2 &amp; 3'!$F$7+C500*'Portfolio 2 &amp; 3'!$F$8+D500*'Portfolio 2 &amp; 3'!$F$9+E500*'Portfolio 2 &amp; 3'!$F$10+F500*'Portfolio 2 &amp; 3'!$F$11+G500*'Portfolio 2 &amp; 3'!$F$12+H500*'Portfolio 2 &amp; 3'!$F$13+I500*'Portfolio 2 &amp; 3'!$F$14+J500*'Portfolio 2 &amp; 3'!$F$15+K500*'Portfolio 2 &amp; 3'!$F$16</f>
        <v>2.9944460424382246E-4</v>
      </c>
      <c r="R500" s="93">
        <f>B500*'Portfolio 2 &amp; 3'!$B$23+C500*'Portfolio 2 &amp; 3'!$B$24+D500*'Portfolio 2 &amp; 3'!$B$25+E500*'Portfolio 2 &amp; 3'!$B$26+F500*'Portfolio 2 &amp; 3'!$B$27+G500*'Portfolio 2 &amp; 3'!$B$28+H500*'Portfolio 2 &amp; 3'!$B$29+I500*'Portfolio 2 &amp; 3'!$B$30+J500*'Portfolio 2 &amp; 3'!$B$31+K500*'Portfolio 2 &amp; 3'!$B$32</f>
        <v>3.7161681046003634E-4</v>
      </c>
      <c r="S500" s="93">
        <f t="shared" si="23"/>
        <v>-7.2744149328055618E-3</v>
      </c>
    </row>
    <row r="501" spans="1:19" ht="12.75" customHeight="1">
      <c r="A501" s="82">
        <v>45348</v>
      </c>
      <c r="B501" s="53">
        <v>-8.6999999999999994E-3</v>
      </c>
      <c r="C501" s="53">
        <v>2.74735734682632E-2</v>
      </c>
      <c r="D501" s="53">
        <v>3.5512045301850899E-3</v>
      </c>
      <c r="E501" s="53">
        <v>-2.3500000000000001E-3</v>
      </c>
      <c r="F501" s="53">
        <v>2.0904413755754098E-2</v>
      </c>
      <c r="G501" s="53">
        <v>-4.8934671261828804E-3</v>
      </c>
      <c r="H501" s="87">
        <v>-3.34129248325477E-3</v>
      </c>
      <c r="I501" s="53">
        <v>2.6050767226863999E-3</v>
      </c>
      <c r="J501" s="53">
        <v>-6.3836254939708698E-3</v>
      </c>
      <c r="K501" s="53">
        <v>-1.8344416418253401E-3</v>
      </c>
      <c r="L501" s="95">
        <f>IFERROR(B501*'Stock Statistics'!$C$41+C501*'Stock Statistics'!$C$42+D501*'Stock Statistics'!$C$43+E501*'Stock Statistics'!$C$44+F501*'Stock Statistics'!$C$45+G501*'Stock Statistics'!$C$46+H501*'Stock Statistics'!$C$47+I501*'Stock Statistics'!$C$48+J501*'Stock Statistics'!$C$49+K501*'Stock Statistics'!$C$50,"")</f>
        <v>2.703144173165493E-3</v>
      </c>
      <c r="M501" s="97">
        <v>387.11309999999997</v>
      </c>
      <c r="N501" s="96">
        <v>478.9289</v>
      </c>
      <c r="O501" s="93">
        <f t="shared" si="21"/>
        <v>-1.1156111223930787E-2</v>
      </c>
      <c r="P501" s="93">
        <f t="shared" si="22"/>
        <v>-1.3588956684236209E-3</v>
      </c>
      <c r="Q501" s="93">
        <f>B501*'Portfolio 2 &amp; 3'!$F$7+C501*'Portfolio 2 &amp; 3'!$F$8+D501*'Portfolio 2 &amp; 3'!$F$9+E501*'Portfolio 2 &amp; 3'!$F$10+F501*'Portfolio 2 &amp; 3'!$F$11+G501*'Portfolio 2 &amp; 3'!$F$12+H501*'Portfolio 2 &amp; 3'!$F$13+I501*'Portfolio 2 &amp; 3'!$F$14+J501*'Portfolio 2 &amp; 3'!$F$15+K501*'Portfolio 2 &amp; 3'!$F$16</f>
        <v>2.8747813862979236E-3</v>
      </c>
      <c r="R501" s="93">
        <f>B501*'Portfolio 2 &amp; 3'!$B$23+C501*'Portfolio 2 &amp; 3'!$B$24+D501*'Portfolio 2 &amp; 3'!$B$25+E501*'Portfolio 2 &amp; 3'!$B$26+F501*'Portfolio 2 &amp; 3'!$B$27+G501*'Portfolio 2 &amp; 3'!$B$28+H501*'Portfolio 2 &amp; 3'!$B$29+I501*'Portfolio 2 &amp; 3'!$B$30+J501*'Portfolio 2 &amp; 3'!$B$31+K501*'Portfolio 2 &amp; 3'!$B$32</f>
        <v>7.0932926141775371E-3</v>
      </c>
      <c r="S501" s="93">
        <f t="shared" si="23"/>
        <v>-6.2575034461772039E-3</v>
      </c>
    </row>
    <row r="502" spans="1:19" ht="12.75" customHeight="1">
      <c r="A502" s="81">
        <v>45345</v>
      </c>
      <c r="B502" s="53">
        <v>-5.1000000000000004E-3</v>
      </c>
      <c r="C502" s="53">
        <v>-1.0666032255826199E-2</v>
      </c>
      <c r="D502" s="53">
        <v>-1.82027208277436E-3</v>
      </c>
      <c r="E502" s="53">
        <v>1.163E-2</v>
      </c>
      <c r="F502" s="53">
        <v>2.0955435143204599E-2</v>
      </c>
      <c r="G502" s="53">
        <v>7.0500362028891295E-4</v>
      </c>
      <c r="H502" s="87">
        <v>1.37406357955205E-3</v>
      </c>
      <c r="I502" s="53">
        <v>-5.6231243089559504E-3</v>
      </c>
      <c r="J502" s="53">
        <v>2.2681110358835398E-3</v>
      </c>
      <c r="K502" s="53">
        <v>-8.39882331206376E-3</v>
      </c>
      <c r="L502" s="95">
        <f>IFERROR(B502*'Stock Statistics'!$C$41+C502*'Stock Statistics'!$C$42+D502*'Stock Statistics'!$C$43+E502*'Stock Statistics'!$C$44+F502*'Stock Statistics'!$C$45+G502*'Stock Statistics'!$C$46+H502*'Stock Statistics'!$C$47+I502*'Stock Statistics'!$C$48+J502*'Stock Statistics'!$C$49+K502*'Stock Statistics'!$C$50,"")</f>
        <v>5.3243614193088291E-4</v>
      </c>
      <c r="M502" s="96">
        <v>391.48050000000001</v>
      </c>
      <c r="N502" s="97">
        <v>479.5806</v>
      </c>
      <c r="O502" s="93">
        <f t="shared" si="21"/>
        <v>-1.6250222828503302E-3</v>
      </c>
      <c r="P502" s="93">
        <f t="shared" si="22"/>
        <v>5.2315657995321008E-3</v>
      </c>
      <c r="Q502" s="93">
        <f>B502*'Portfolio 2 &amp; 3'!$F$7+C502*'Portfolio 2 &amp; 3'!$F$8+D502*'Portfolio 2 &amp; 3'!$F$9+E502*'Portfolio 2 &amp; 3'!$F$10+F502*'Portfolio 2 &amp; 3'!$F$11+G502*'Portfolio 2 &amp; 3'!$F$12+H502*'Portfolio 2 &amp; 3'!$F$13+I502*'Portfolio 2 &amp; 3'!$F$14+J502*'Portfolio 2 &amp; 3'!$F$15+K502*'Portfolio 2 &amp; 3'!$F$16</f>
        <v>8.4224767411952329E-4</v>
      </c>
      <c r="R502" s="93">
        <f>B502*'Portfolio 2 &amp; 3'!$B$23+C502*'Portfolio 2 &amp; 3'!$B$24+D502*'Portfolio 2 &amp; 3'!$B$25+E502*'Portfolio 2 &amp; 3'!$B$26+F502*'Portfolio 2 &amp; 3'!$B$27+G502*'Portfolio 2 &amp; 3'!$B$28+H502*'Portfolio 2 &amp; 3'!$B$29+I502*'Portfolio 2 &amp; 3'!$B$30+J502*'Portfolio 2 &amp; 3'!$B$31+K502*'Portfolio 2 &amp; 3'!$B$32</f>
        <v>-1.3761504738604583E-3</v>
      </c>
      <c r="S502" s="93">
        <f t="shared" si="23"/>
        <v>1.8032717583408853E-3</v>
      </c>
    </row>
    <row r="503" spans="1:19" ht="12.75" customHeight="1">
      <c r="A503" s="82">
        <v>45344</v>
      </c>
      <c r="B503" s="53">
        <v>-9.4999999999999998E-3</v>
      </c>
      <c r="C503" s="53">
        <v>-3.51650088406419E-3</v>
      </c>
      <c r="D503" s="53">
        <v>-3.0563514804202701E-3</v>
      </c>
      <c r="E503" s="53">
        <v>-6.3499999999999997E-3</v>
      </c>
      <c r="F503" s="53">
        <v>1.1747594540165499E-2</v>
      </c>
      <c r="G503" s="53">
        <v>-1.08490835379427E-3</v>
      </c>
      <c r="H503" s="87">
        <v>-2.1731875227981601E-4</v>
      </c>
      <c r="I503" s="53">
        <v>1.6570859693631802E-2</v>
      </c>
      <c r="J503" s="53">
        <v>-7.0254462334868898E-3</v>
      </c>
      <c r="K503" s="53">
        <v>-6.0596643878185804E-3</v>
      </c>
      <c r="L503" s="95">
        <f>IFERROR(B503*'Stock Statistics'!$C$41+C503*'Stock Statistics'!$C$42+D503*'Stock Statistics'!$C$43+E503*'Stock Statistics'!$C$44+F503*'Stock Statistics'!$C$45+G503*'Stock Statistics'!$C$46+H503*'Stock Statistics'!$C$47+I503*'Stock Statistics'!$C$48+J503*'Stock Statistics'!$C$49+K503*'Stock Statistics'!$C$50,"")</f>
        <v>-8.4917358580667134E-4</v>
      </c>
      <c r="M503" s="97">
        <v>392.11770000000001</v>
      </c>
      <c r="N503" s="96">
        <v>477.0847</v>
      </c>
      <c r="O503" s="93">
        <f t="shared" si="21"/>
        <v>6.8439703655622797E-3</v>
      </c>
      <c r="P503" s="93">
        <f t="shared" si="22"/>
        <v>1.1167067493910166E-2</v>
      </c>
      <c r="Q503" s="93">
        <f>B503*'Portfolio 2 &amp; 3'!$F$7+C503*'Portfolio 2 &amp; 3'!$F$8+D503*'Portfolio 2 &amp; 3'!$F$9+E503*'Portfolio 2 &amp; 3'!$F$10+F503*'Portfolio 2 &amp; 3'!$F$11+G503*'Portfolio 2 &amp; 3'!$F$12+H503*'Portfolio 2 &amp; 3'!$F$13+I503*'Portfolio 2 &amp; 3'!$F$14+J503*'Portfolio 2 &amp; 3'!$F$15+K503*'Portfolio 2 &amp; 3'!$F$16</f>
        <v>-8.2133776946451283E-4</v>
      </c>
      <c r="R503" s="93">
        <f>B503*'Portfolio 2 &amp; 3'!$B$23+C503*'Portfolio 2 &amp; 3'!$B$24+D503*'Portfolio 2 &amp; 3'!$B$25+E503*'Portfolio 2 &amp; 3'!$B$26+F503*'Portfolio 2 &amp; 3'!$B$27+G503*'Portfolio 2 &amp; 3'!$B$28+H503*'Portfolio 2 &amp; 3'!$B$29+I503*'Portfolio 2 &amp; 3'!$B$30+J503*'Portfolio 2 &amp; 3'!$B$31+K503*'Portfolio 2 &amp; 3'!$B$32</f>
        <v>3.1405576732650843E-3</v>
      </c>
      <c r="S503" s="93">
        <f t="shared" si="23"/>
        <v>9.0055189297362226E-3</v>
      </c>
    </row>
    <row r="504" spans="1:19" ht="12.75" customHeight="1">
      <c r="A504" s="81">
        <v>45343</v>
      </c>
      <c r="B504" s="53">
        <v>-2E-3</v>
      </c>
      <c r="C504" s="53">
        <v>-6.6277450356474005E-2</v>
      </c>
      <c r="D504" s="53">
        <v>5.9569561875480997E-3</v>
      </c>
      <c r="E504" s="53">
        <v>1.1209999999999999E-2</v>
      </c>
      <c r="F504" s="53">
        <v>-2.17694669271562E-3</v>
      </c>
      <c r="G504" s="53">
        <v>7.2661042944783798E-3</v>
      </c>
      <c r="H504" s="87">
        <v>1.22879658073996E-2</v>
      </c>
      <c r="I504" s="53">
        <v>-2.7542033626901702E-3</v>
      </c>
      <c r="J504" s="53">
        <v>1.19740109534987E-2</v>
      </c>
      <c r="K504" s="53">
        <v>-1.0496596642766301E-2</v>
      </c>
      <c r="L504" s="95">
        <f>IFERROR(B504*'Stock Statistics'!$C$41+C504*'Stock Statistics'!$C$42+D504*'Stock Statistics'!$C$43+E504*'Stock Statistics'!$C$44+F504*'Stock Statistics'!$C$45+G504*'Stock Statistics'!$C$46+H504*'Stock Statistics'!$C$47+I504*'Stock Statistics'!$C$48+J504*'Stock Statistics'!$C$49+K504*'Stock Statistics'!$C$50,"")</f>
        <v>-3.5010159811721311E-3</v>
      </c>
      <c r="M504" s="96">
        <v>389.45229999999998</v>
      </c>
      <c r="N504" s="97">
        <v>471.8159</v>
      </c>
      <c r="O504" s="93">
        <f t="shared" si="21"/>
        <v>-1.123697345093666E-2</v>
      </c>
      <c r="P504" s="93">
        <f t="shared" si="22"/>
        <v>-1.2267265938660232E-3</v>
      </c>
      <c r="Q504" s="93">
        <f>B504*'Portfolio 2 &amp; 3'!$F$7+C504*'Portfolio 2 &amp; 3'!$F$8+D504*'Portfolio 2 &amp; 3'!$F$9+E504*'Portfolio 2 &amp; 3'!$F$10+F504*'Portfolio 2 &amp; 3'!$F$11+G504*'Portfolio 2 &amp; 3'!$F$12+H504*'Portfolio 2 &amp; 3'!$F$13+I504*'Portfolio 2 &amp; 3'!$F$14+J504*'Portfolio 2 &amp; 3'!$F$15+K504*'Portfolio 2 &amp; 3'!$F$16</f>
        <v>-2.086924778504559E-3</v>
      </c>
      <c r="R504" s="93">
        <f>B504*'Portfolio 2 &amp; 3'!$B$23+C504*'Portfolio 2 &amp; 3'!$B$24+D504*'Portfolio 2 &amp; 3'!$B$25+E504*'Portfolio 2 &amp; 3'!$B$26+F504*'Portfolio 2 &amp; 3'!$B$27+G504*'Portfolio 2 &amp; 3'!$B$28+H504*'Portfolio 2 &amp; 3'!$B$29+I504*'Portfolio 2 &amp; 3'!$B$30+J504*'Portfolio 2 &amp; 3'!$B$31+K504*'Portfolio 2 &amp; 3'!$B$32</f>
        <v>-1.3265251026493959E-2</v>
      </c>
      <c r="S504" s="93">
        <f t="shared" si="23"/>
        <v>-6.2318500224013418E-3</v>
      </c>
    </row>
    <row r="505" spans="1:19" ht="12.75" customHeight="1">
      <c r="A505" s="82">
        <v>45342</v>
      </c>
      <c r="B505" s="53">
        <v>-1.14E-2</v>
      </c>
      <c r="C505" s="53">
        <v>-3.7800560554657198E-4</v>
      </c>
      <c r="D505" s="53">
        <v>-1.10224249334855E-2</v>
      </c>
      <c r="E505" s="53">
        <v>-8.8599999999999998E-3</v>
      </c>
      <c r="F505" s="53">
        <v>-1.30020384551814E-2</v>
      </c>
      <c r="G505" s="53">
        <v>1.9208605455243201E-3</v>
      </c>
      <c r="H505" s="87">
        <v>2.3310206878086599E-3</v>
      </c>
      <c r="I505" s="53">
        <v>2.0538493629858102E-3</v>
      </c>
      <c r="J505" s="53">
        <v>2.35270049099823E-3</v>
      </c>
      <c r="K505" s="53">
        <v>-1.9393656972122499E-2</v>
      </c>
      <c r="L505" s="95">
        <f>IFERROR(B505*'Stock Statistics'!$C$41+C505*'Stock Statistics'!$C$42+D505*'Stock Statistics'!$C$43+E505*'Stock Statistics'!$C$44+F505*'Stock Statistics'!$C$45+G505*'Stock Statistics'!$C$46+H505*'Stock Statistics'!$C$47+I505*'Stock Statistics'!$C$48+J505*'Stock Statistics'!$C$49+K505*'Stock Statistics'!$C$50,"")</f>
        <v>-5.539769487901895E-3</v>
      </c>
      <c r="M505" s="97">
        <v>393.87830000000002</v>
      </c>
      <c r="N505" s="96">
        <v>472.3954</v>
      </c>
      <c r="O505" s="93">
        <f t="shared" si="21"/>
        <v>3.2030914315013259E-3</v>
      </c>
      <c r="P505" s="93">
        <f t="shared" si="22"/>
        <v>-2.5007406356311046E-3</v>
      </c>
      <c r="Q505" s="93">
        <f>B505*'Portfolio 2 &amp; 3'!$F$7+C505*'Portfolio 2 &amp; 3'!$F$8+D505*'Portfolio 2 &amp; 3'!$F$9+E505*'Portfolio 2 &amp; 3'!$F$10+F505*'Portfolio 2 &amp; 3'!$F$11+G505*'Portfolio 2 &amp; 3'!$F$12+H505*'Portfolio 2 &amp; 3'!$F$13+I505*'Portfolio 2 &amp; 3'!$F$14+J505*'Portfolio 2 &amp; 3'!$F$15+K505*'Portfolio 2 &amp; 3'!$F$16</f>
        <v>-4.7755734924532778E-3</v>
      </c>
      <c r="R505" s="93">
        <f>B505*'Portfolio 2 &amp; 3'!$B$23+C505*'Portfolio 2 &amp; 3'!$B$24+D505*'Portfolio 2 &amp; 3'!$B$25+E505*'Portfolio 2 &amp; 3'!$B$26+F505*'Portfolio 2 &amp; 3'!$B$27+G505*'Portfolio 2 &amp; 3'!$B$28+H505*'Portfolio 2 &amp; 3'!$B$29+I505*'Portfolio 2 &amp; 3'!$B$30+J505*'Portfolio 2 &amp; 3'!$B$31+K505*'Portfolio 2 &amp; 3'!$B$32</f>
        <v>-4.585817141773918E-3</v>
      </c>
      <c r="S505" s="93">
        <f t="shared" si="23"/>
        <v>3.5117539793511066E-4</v>
      </c>
    </row>
    <row r="506" spans="1:19" ht="12.75" customHeight="1">
      <c r="A506" s="81">
        <v>45341</v>
      </c>
      <c r="B506" s="53">
        <v>-4.0000000000000002E-4</v>
      </c>
      <c r="C506" s="53">
        <v>1.4218447050133899E-3</v>
      </c>
      <c r="D506" s="53">
        <v>1.10481314247286E-2</v>
      </c>
      <c r="E506" s="53">
        <v>2.5000000000000001E-4</v>
      </c>
      <c r="F506" s="53">
        <v>1.7546810180513399E-2</v>
      </c>
      <c r="G506" s="53">
        <v>-1.5748775830450201E-2</v>
      </c>
      <c r="H506" s="87">
        <v>-4.2111041405270598E-3</v>
      </c>
      <c r="I506" s="53">
        <v>9.4920305818322302E-3</v>
      </c>
      <c r="J506" s="53">
        <v>9.01396821028011E-3</v>
      </c>
      <c r="K506" s="53">
        <v>7.4065946123869097E-4</v>
      </c>
      <c r="L506" s="95">
        <f>IFERROR(B506*'Stock Statistics'!$C$41+C506*'Stock Statistics'!$C$42+D506*'Stock Statistics'!$C$43+E506*'Stock Statistics'!$C$44+F506*'Stock Statistics'!$C$45+G506*'Stock Statistics'!$C$46+H506*'Stock Statistics'!$C$47+I506*'Stock Statistics'!$C$48+J506*'Stock Statistics'!$C$49+K506*'Stock Statistics'!$C$50,"")</f>
        <v>2.9153564592629168E-3</v>
      </c>
      <c r="M506" s="96">
        <v>392.6207</v>
      </c>
      <c r="N506" s="97">
        <v>473.5797</v>
      </c>
      <c r="O506" s="93">
        <f t="shared" si="21"/>
        <v>1.9029027113237618E-3</v>
      </c>
      <c r="P506" s="93">
        <f t="shared" si="22"/>
        <v>1.5353586109192463E-3</v>
      </c>
      <c r="Q506" s="93">
        <f>B506*'Portfolio 2 &amp; 3'!$F$7+C506*'Portfolio 2 &amp; 3'!$F$8+D506*'Portfolio 2 &amp; 3'!$F$9+E506*'Portfolio 2 &amp; 3'!$F$10+F506*'Portfolio 2 &amp; 3'!$F$11+G506*'Portfolio 2 &amp; 3'!$F$12+H506*'Portfolio 2 &amp; 3'!$F$13+I506*'Portfolio 2 &amp; 3'!$F$14+J506*'Portfolio 2 &amp; 3'!$F$15+K506*'Portfolio 2 &amp; 3'!$F$16</f>
        <v>4.0370765067464578E-3</v>
      </c>
      <c r="R506" s="93">
        <f>B506*'Portfolio 2 &amp; 3'!$B$23+C506*'Portfolio 2 &amp; 3'!$B$24+D506*'Portfolio 2 &amp; 3'!$B$25+E506*'Portfolio 2 &amp; 3'!$B$26+F506*'Portfolio 2 &amp; 3'!$B$27+G506*'Portfolio 2 &amp; 3'!$B$28+H506*'Portfolio 2 &amp; 3'!$B$29+I506*'Portfolio 2 &amp; 3'!$B$30+J506*'Portfolio 2 &amp; 3'!$B$31+K506*'Portfolio 2 &amp; 3'!$B$32</f>
        <v>4.0568022326192112E-3</v>
      </c>
      <c r="S506" s="93">
        <f t="shared" si="23"/>
        <v>1.719130661121504E-3</v>
      </c>
    </row>
    <row r="507" spans="1:19" ht="12.75" customHeight="1">
      <c r="A507" s="82">
        <v>45338</v>
      </c>
      <c r="B507" s="53">
        <v>1.2200000000000001E-2</v>
      </c>
      <c r="C507" s="53">
        <v>2.3413568764631999E-3</v>
      </c>
      <c r="D507" s="53">
        <v>6.4784374395667798E-3</v>
      </c>
      <c r="E507" s="53">
        <v>-1.5399999999999999E-3</v>
      </c>
      <c r="F507" s="53">
        <v>1.47334888218897E-2</v>
      </c>
      <c r="G507" s="53">
        <v>1.13384321223711E-2</v>
      </c>
      <c r="H507" s="87">
        <v>-6.4125039932056999E-3</v>
      </c>
      <c r="I507" s="53">
        <v>3.0545265483850098E-3</v>
      </c>
      <c r="J507" s="53">
        <v>4.1456505216610502E-3</v>
      </c>
      <c r="K507" s="53">
        <v>-1.0139486448712499E-3</v>
      </c>
      <c r="L507" s="95">
        <f>IFERROR(B507*'Stock Statistics'!$C$41+C507*'Stock Statistics'!$C$42+D507*'Stock Statistics'!$C$43+E507*'Stock Statistics'!$C$44+F507*'Stock Statistics'!$C$45+G507*'Stock Statistics'!$C$46+H507*'Stock Statistics'!$C$47+I507*'Stock Statistics'!$C$48+J507*'Stock Statistics'!$C$49+K507*'Stock Statistics'!$C$50,"")</f>
        <v>4.5325439692259894E-3</v>
      </c>
      <c r="M507" s="97">
        <v>391.875</v>
      </c>
      <c r="N507" s="96">
        <v>472.8537</v>
      </c>
      <c r="O507" s="93">
        <f t="shared" si="21"/>
        <v>-8.2356360817747998E-4</v>
      </c>
      <c r="P507" s="93">
        <f t="shared" si="22"/>
        <v>7.2527412060252594E-4</v>
      </c>
      <c r="Q507" s="93">
        <f>B507*'Portfolio 2 &amp; 3'!$F$7+C507*'Portfolio 2 &amp; 3'!$F$8+D507*'Portfolio 2 &amp; 3'!$F$9+E507*'Portfolio 2 &amp; 3'!$F$10+F507*'Portfolio 2 &amp; 3'!$F$11+G507*'Portfolio 2 &amp; 3'!$F$12+H507*'Portfolio 2 &amp; 3'!$F$13+I507*'Portfolio 2 &amp; 3'!$F$14+J507*'Portfolio 2 &amp; 3'!$F$15+K507*'Portfolio 2 &amp; 3'!$F$16</f>
        <v>3.6615913743316382E-3</v>
      </c>
      <c r="R507" s="93">
        <f>B507*'Portfolio 2 &amp; 3'!$B$23+C507*'Portfolio 2 &amp; 3'!$B$24+D507*'Portfolio 2 &amp; 3'!$B$25+E507*'Portfolio 2 &amp; 3'!$B$26+F507*'Portfolio 2 &amp; 3'!$B$27+G507*'Portfolio 2 &amp; 3'!$B$28+H507*'Portfolio 2 &amp; 3'!$B$29+I507*'Portfolio 2 &amp; 3'!$B$30+J507*'Portfolio 2 &amp; 3'!$B$31+K507*'Portfolio 2 &amp; 3'!$B$32</f>
        <v>6.3085229685064985E-3</v>
      </c>
      <c r="S507" s="93">
        <f t="shared" si="23"/>
        <v>-4.9144743787477019E-5</v>
      </c>
    </row>
    <row r="508" spans="1:19" ht="12.75" customHeight="1">
      <c r="A508" s="81">
        <v>45337</v>
      </c>
      <c r="B508" s="53">
        <v>-6.3E-3</v>
      </c>
      <c r="C508" s="53">
        <v>-1.26099947915239E-2</v>
      </c>
      <c r="D508" s="53">
        <v>1.67125442390876E-2</v>
      </c>
      <c r="E508" s="53">
        <v>-2.8570000000000002E-2</v>
      </c>
      <c r="F508" s="53">
        <v>1.28485826227243E-2</v>
      </c>
      <c r="G508" s="53">
        <v>-9.2632934891737594E-3</v>
      </c>
      <c r="H508" s="87">
        <v>1.5829923304021599E-2</v>
      </c>
      <c r="I508" s="53">
        <v>5.6205476766224604E-3</v>
      </c>
      <c r="J508" s="53">
        <v>-2.9965900871422599E-3</v>
      </c>
      <c r="K508" s="53">
        <v>-1.7143626691805299E-2</v>
      </c>
      <c r="L508" s="95">
        <f>IFERROR(B508*'Stock Statistics'!$C$41+C508*'Stock Statistics'!$C$42+D508*'Stock Statistics'!$C$43+E508*'Stock Statistics'!$C$44+F508*'Stock Statistics'!$C$45+G508*'Stock Statistics'!$C$46+H508*'Stock Statistics'!$C$47+I508*'Stock Statistics'!$C$48+J508*'Stock Statistics'!$C$49+K508*'Stock Statistics'!$C$50,"")</f>
        <v>-2.587190721718926E-3</v>
      </c>
      <c r="M508" s="96">
        <v>392.19799999999998</v>
      </c>
      <c r="N508" s="97">
        <v>472.51100000000002</v>
      </c>
      <c r="O508" s="93">
        <f t="shared" si="21"/>
        <v>4.9412723278785542E-4</v>
      </c>
      <c r="P508" s="93">
        <f t="shared" si="22"/>
        <v>5.2452368972790708E-3</v>
      </c>
      <c r="Q508" s="93">
        <f>B508*'Portfolio 2 &amp; 3'!$F$7+C508*'Portfolio 2 &amp; 3'!$F$8+D508*'Portfolio 2 &amp; 3'!$F$9+E508*'Portfolio 2 &amp; 3'!$F$10+F508*'Portfolio 2 &amp; 3'!$F$11+G508*'Portfolio 2 &amp; 3'!$F$12+H508*'Portfolio 2 &amp; 3'!$F$13+I508*'Portfolio 2 &amp; 3'!$F$14+J508*'Portfolio 2 &amp; 3'!$F$15+K508*'Portfolio 2 &amp; 3'!$F$16</f>
        <v>6.0692489318611188E-4</v>
      </c>
      <c r="R508" s="93">
        <f>B508*'Portfolio 2 &amp; 3'!$B$23+C508*'Portfolio 2 &amp; 3'!$B$24+D508*'Portfolio 2 &amp; 3'!$B$25+E508*'Portfolio 2 &amp; 3'!$B$26+F508*'Portfolio 2 &amp; 3'!$B$27+G508*'Portfolio 2 &amp; 3'!$B$28+H508*'Portfolio 2 &amp; 3'!$B$29+I508*'Portfolio 2 &amp; 3'!$B$30+J508*'Portfolio 2 &amp; 3'!$B$31+K508*'Portfolio 2 &amp; 3'!$B$32</f>
        <v>-1.6954664729381069E-3</v>
      </c>
      <c r="S508" s="93">
        <f t="shared" si="23"/>
        <v>2.8696820650334631E-3</v>
      </c>
    </row>
    <row r="509" spans="1:19" ht="12.75" customHeight="1">
      <c r="A509" s="82">
        <v>45336</v>
      </c>
      <c r="B509" s="53">
        <v>1.67E-2</v>
      </c>
      <c r="C509" s="53">
        <v>5.0049590419865E-3</v>
      </c>
      <c r="D509" s="53">
        <v>2.11826121875314E-2</v>
      </c>
      <c r="E509" s="53">
        <v>6.6100000000000004E-3</v>
      </c>
      <c r="F509" s="53">
        <v>1.16577290743762E-2</v>
      </c>
      <c r="G509" s="53">
        <v>2.38958822274376E-2</v>
      </c>
      <c r="H509" s="87">
        <v>1.03156261745021E-2</v>
      </c>
      <c r="I509" s="53">
        <v>1.3344812742143599E-2</v>
      </c>
      <c r="J509" s="53">
        <v>-1.27180603257726E-2</v>
      </c>
      <c r="K509" s="53">
        <v>-2.87367898051538E-3</v>
      </c>
      <c r="L509" s="95">
        <f>IFERROR(B509*'Stock Statistics'!$C$41+C509*'Stock Statistics'!$C$42+D509*'Stock Statistics'!$C$43+E509*'Stock Statistics'!$C$44+F509*'Stock Statistics'!$C$45+G509*'Stock Statistics'!$C$46+H509*'Stock Statistics'!$C$47+I509*'Stock Statistics'!$C$48+J509*'Stock Statistics'!$C$49+K509*'Stock Statistics'!$C$50,"")</f>
        <v>9.3119882141689432E-3</v>
      </c>
      <c r="M509" s="97">
        <v>392.0043</v>
      </c>
      <c r="N509" s="96">
        <v>470.0455</v>
      </c>
      <c r="O509" s="93">
        <f t="shared" si="21"/>
        <v>4.981010681908149E-3</v>
      </c>
      <c r="P509" s="93">
        <f t="shared" si="22"/>
        <v>-2.1070486882162065E-3</v>
      </c>
      <c r="Q509" s="93">
        <f>B509*'Portfolio 2 &amp; 3'!$F$7+C509*'Portfolio 2 &amp; 3'!$F$8+D509*'Portfolio 2 &amp; 3'!$F$9+E509*'Portfolio 2 &amp; 3'!$F$10+F509*'Portfolio 2 &amp; 3'!$F$11+G509*'Portfolio 2 &amp; 3'!$F$12+H509*'Portfolio 2 &amp; 3'!$F$13+I509*'Portfolio 2 &amp; 3'!$F$14+J509*'Portfolio 2 &amp; 3'!$F$15+K509*'Portfolio 2 &amp; 3'!$F$16</f>
        <v>8.1522373190614141E-3</v>
      </c>
      <c r="R509" s="93">
        <f>B509*'Portfolio 2 &amp; 3'!$B$23+C509*'Portfolio 2 &amp; 3'!$B$24+D509*'Portfolio 2 &amp; 3'!$B$25+E509*'Portfolio 2 &amp; 3'!$B$26+F509*'Portfolio 2 &amp; 3'!$B$27+G509*'Portfolio 2 &amp; 3'!$B$28+H509*'Portfolio 2 &amp; 3'!$B$29+I509*'Portfolio 2 &amp; 3'!$B$30+J509*'Portfolio 2 &amp; 3'!$B$31+K509*'Portfolio 2 &amp; 3'!$B$32</f>
        <v>1.0810637889162983E-2</v>
      </c>
      <c r="S509" s="93">
        <f t="shared" si="23"/>
        <v>1.4369809968459712E-3</v>
      </c>
    </row>
    <row r="510" spans="1:19" ht="12.75" customHeight="1">
      <c r="A510" s="81">
        <v>45335</v>
      </c>
      <c r="B510" s="53">
        <v>1.43E-2</v>
      </c>
      <c r="C510" s="53">
        <v>2.5242206551110698E-2</v>
      </c>
      <c r="D510" s="53">
        <v>-2.9520654715510599E-2</v>
      </c>
      <c r="E510" s="53">
        <v>-9.1999999999999998E-3</v>
      </c>
      <c r="F510" s="53">
        <v>1.34243856884364E-3</v>
      </c>
      <c r="G510" s="53">
        <v>-1.01372756071806E-2</v>
      </c>
      <c r="H510" s="87">
        <v>-9.1078319365334203E-4</v>
      </c>
      <c r="I510" s="53">
        <v>3.3114775813025701E-5</v>
      </c>
      <c r="J510" s="53">
        <v>2.0580273478170201E-2</v>
      </c>
      <c r="K510" s="53">
        <v>-1.54188565912261E-3</v>
      </c>
      <c r="L510" s="95">
        <f>IFERROR(B510*'Stock Statistics'!$C$41+C510*'Stock Statistics'!$C$42+D510*'Stock Statistics'!$C$43+E510*'Stock Statistics'!$C$44+F510*'Stock Statistics'!$C$45+G510*'Stock Statistics'!$C$46+H510*'Stock Statistics'!$C$47+I510*'Stock Statistics'!$C$48+J510*'Stock Statistics'!$C$49+K510*'Stock Statistics'!$C$50,"")</f>
        <v>1.0187434198470412E-3</v>
      </c>
      <c r="M510" s="96">
        <v>390.06139999999999</v>
      </c>
      <c r="N510" s="97">
        <v>471.03800000000001</v>
      </c>
      <c r="O510" s="93">
        <f t="shared" si="21"/>
        <v>1.028986610845295E-2</v>
      </c>
      <c r="P510" s="93">
        <f t="shared" si="22"/>
        <v>1.9198724452573757E-3</v>
      </c>
      <c r="Q510" s="93">
        <f>B510*'Portfolio 2 &amp; 3'!$F$7+C510*'Portfolio 2 &amp; 3'!$F$8+D510*'Portfolio 2 &amp; 3'!$F$9+E510*'Portfolio 2 &amp; 3'!$F$10+F510*'Portfolio 2 &amp; 3'!$F$11+G510*'Portfolio 2 &amp; 3'!$F$12+H510*'Portfolio 2 &amp; 3'!$F$13+I510*'Portfolio 2 &amp; 3'!$F$14+J510*'Portfolio 2 &amp; 3'!$F$15+K510*'Portfolio 2 &amp; 3'!$F$16</f>
        <v>1.1070387080150763E-3</v>
      </c>
      <c r="R510" s="93">
        <f>B510*'Portfolio 2 &amp; 3'!$B$23+C510*'Portfolio 2 &amp; 3'!$B$24+D510*'Portfolio 2 &amp; 3'!$B$25+E510*'Portfolio 2 &amp; 3'!$B$26+F510*'Portfolio 2 &amp; 3'!$B$27+G510*'Portfolio 2 &amp; 3'!$B$28+H510*'Portfolio 2 &amp; 3'!$B$29+I510*'Portfolio 2 &amp; 3'!$B$30+J510*'Portfolio 2 &amp; 3'!$B$31+K510*'Portfolio 2 &amp; 3'!$B$32</f>
        <v>6.0343158843809202E-3</v>
      </c>
      <c r="S510" s="93">
        <f t="shared" si="23"/>
        <v>6.1048692768551627E-3</v>
      </c>
    </row>
    <row r="511" spans="1:19" ht="12.75" customHeight="1">
      <c r="A511" s="82">
        <v>45334</v>
      </c>
      <c r="B511" s="53">
        <v>1.4E-2</v>
      </c>
      <c r="C511" s="53">
        <v>1.3889419221810599E-2</v>
      </c>
      <c r="D511" s="53">
        <v>7.6081087714132698E-3</v>
      </c>
      <c r="E511" s="53">
        <v>1.74E-3</v>
      </c>
      <c r="F511" s="53">
        <v>6.4095397801378698E-2</v>
      </c>
      <c r="G511" s="53">
        <v>-6.6749308667875002E-3</v>
      </c>
      <c r="H511" s="87">
        <v>-1.2154024639522599E-2</v>
      </c>
      <c r="I511" s="53">
        <v>-6.9060773480662504E-3</v>
      </c>
      <c r="J511" s="53">
        <v>1.2901184659190899E-2</v>
      </c>
      <c r="K511" s="53">
        <v>5.4868759858177603E-3</v>
      </c>
      <c r="L511" s="95">
        <f>IFERROR(B511*'Stock Statistics'!$C$41+C511*'Stock Statistics'!$C$42+D511*'Stock Statistics'!$C$43+E511*'Stock Statistics'!$C$44+F511*'Stock Statistics'!$C$45+G511*'Stock Statistics'!$C$46+H511*'Stock Statistics'!$C$47+I511*'Stock Statistics'!$C$48+J511*'Stock Statistics'!$C$49+K511*'Stock Statistics'!$C$50,"")</f>
        <v>9.3985953585234878E-3</v>
      </c>
      <c r="M511" s="97">
        <v>386.08859999999999</v>
      </c>
      <c r="N511" s="96">
        <v>470.1354</v>
      </c>
      <c r="O511" s="93">
        <f t="shared" si="21"/>
        <v>7.2133895855031049E-4</v>
      </c>
      <c r="P511" s="93">
        <f t="shared" si="22"/>
        <v>1.1991225334167632E-2</v>
      </c>
      <c r="Q511" s="93">
        <f>B511*'Portfolio 2 &amp; 3'!$F$7+C511*'Portfolio 2 &amp; 3'!$F$8+D511*'Portfolio 2 &amp; 3'!$F$9+E511*'Portfolio 2 &amp; 3'!$F$10+F511*'Portfolio 2 &amp; 3'!$F$11+G511*'Portfolio 2 &amp; 3'!$F$12+H511*'Portfolio 2 &amp; 3'!$F$13+I511*'Portfolio 2 &amp; 3'!$F$14+J511*'Portfolio 2 &amp; 3'!$F$15+K511*'Portfolio 2 &amp; 3'!$F$16</f>
        <v>9.3948518596277987E-3</v>
      </c>
      <c r="R511" s="93">
        <f>B511*'Portfolio 2 &amp; 3'!$B$23+C511*'Portfolio 2 &amp; 3'!$B$24+D511*'Portfolio 2 &amp; 3'!$B$25+E511*'Portfolio 2 &amp; 3'!$B$26+F511*'Portfolio 2 &amp; 3'!$B$27+G511*'Portfolio 2 &amp; 3'!$B$28+H511*'Portfolio 2 &amp; 3'!$B$29+I511*'Portfolio 2 &amp; 3'!$B$30+J511*'Portfolio 2 &amp; 3'!$B$31+K511*'Portfolio 2 &amp; 3'!$B$32</f>
        <v>1.2826795625467185E-2</v>
      </c>
      <c r="S511" s="93">
        <f t="shared" si="23"/>
        <v>6.3562821463589714E-3</v>
      </c>
    </row>
    <row r="512" spans="1:19" ht="12.75" customHeight="1">
      <c r="A512" s="81">
        <v>45331</v>
      </c>
      <c r="B512" s="53">
        <v>-6.1999999999999998E-3</v>
      </c>
      <c r="C512" s="53">
        <v>-1.05129924718284E-2</v>
      </c>
      <c r="D512" s="53">
        <v>1.5451328315805301E-2</v>
      </c>
      <c r="E512" s="53">
        <v>6.0000000000000001E-3</v>
      </c>
      <c r="F512" s="53">
        <v>3.7404151860855901E-3</v>
      </c>
      <c r="G512" s="53">
        <v>8.0163380604281198E-4</v>
      </c>
      <c r="H512" s="87">
        <v>2.9209757637960198E-4</v>
      </c>
      <c r="I512" s="53">
        <v>-1.4135650369601901E-2</v>
      </c>
      <c r="J512" s="53">
        <v>-2.10474620268708E-3</v>
      </c>
      <c r="K512" s="53">
        <v>-2.9034989851196599E-3</v>
      </c>
      <c r="L512" s="95">
        <f>IFERROR(B512*'Stock Statistics'!$C$41+C512*'Stock Statistics'!$C$42+D512*'Stock Statistics'!$C$43+E512*'Stock Statistics'!$C$44+F512*'Stock Statistics'!$C$45+G512*'Stock Statistics'!$C$46+H512*'Stock Statistics'!$C$47+I512*'Stock Statistics'!$C$48+J512*'Stock Statistics'!$C$49+K512*'Stock Statistics'!$C$50,"")</f>
        <v>-9.5714131449237366E-4</v>
      </c>
      <c r="M512" s="96">
        <v>385.81029999999998</v>
      </c>
      <c r="N512" s="97">
        <v>464.56470000000002</v>
      </c>
      <c r="O512" s="93">
        <f t="shared" si="21"/>
        <v>-3.1771909880117244E-3</v>
      </c>
      <c r="P512" s="93">
        <f t="shared" si="22"/>
        <v>1.0758454975513532E-2</v>
      </c>
      <c r="Q512" s="93">
        <f>B512*'Portfolio 2 &amp; 3'!$F$7+C512*'Portfolio 2 &amp; 3'!$F$8+D512*'Portfolio 2 &amp; 3'!$F$9+E512*'Portfolio 2 &amp; 3'!$F$10+F512*'Portfolio 2 &amp; 3'!$F$11+G512*'Portfolio 2 &amp; 3'!$F$12+H512*'Portfolio 2 &amp; 3'!$F$13+I512*'Portfolio 2 &amp; 3'!$F$14+J512*'Portfolio 2 &amp; 3'!$F$15+K512*'Portfolio 2 &amp; 3'!$F$16</f>
        <v>-1.9362885131466836E-4</v>
      </c>
      <c r="R512" s="93">
        <f>B512*'Portfolio 2 &amp; 3'!$B$23+C512*'Portfolio 2 &amp; 3'!$B$24+D512*'Portfolio 2 &amp; 3'!$B$25+E512*'Portfolio 2 &amp; 3'!$B$26+F512*'Portfolio 2 &amp; 3'!$B$27+G512*'Portfolio 2 &amp; 3'!$B$28+H512*'Portfolio 2 &amp; 3'!$B$29+I512*'Portfolio 2 &amp; 3'!$B$30+J512*'Portfolio 2 &amp; 3'!$B$31+K512*'Portfolio 2 &amp; 3'!$B$32</f>
        <v>-5.8168570824494318E-3</v>
      </c>
      <c r="S512" s="93">
        <f t="shared" si="23"/>
        <v>3.7906319937509036E-3</v>
      </c>
    </row>
    <row r="513" spans="1:19" ht="12.75" customHeight="1">
      <c r="A513" s="82">
        <v>45330</v>
      </c>
      <c r="B513" s="53">
        <v>-1.6299999999999999E-2</v>
      </c>
      <c r="C513" s="53">
        <v>2.7984114499888298E-2</v>
      </c>
      <c r="D513" s="53">
        <v>5.4857370835814699E-4</v>
      </c>
      <c r="E513" s="53">
        <v>-4.0899999999999999E-3</v>
      </c>
      <c r="F513" s="53">
        <v>1.32011116725619E-2</v>
      </c>
      <c r="G513" s="53">
        <v>-1.41870660620542E-2</v>
      </c>
      <c r="H513" s="87">
        <v>2.8858727876735199E-2</v>
      </c>
      <c r="I513" s="53">
        <v>5.0506696210368398E-3</v>
      </c>
      <c r="J513" s="53">
        <v>-2.2226033270451102E-2</v>
      </c>
      <c r="K513" s="53">
        <v>5.1885581483332999E-3</v>
      </c>
      <c r="L513" s="95">
        <f>IFERROR(B513*'Stock Statistics'!$C$41+C513*'Stock Statistics'!$C$42+D513*'Stock Statistics'!$C$43+E513*'Stock Statistics'!$C$44+F513*'Stock Statistics'!$C$45+G513*'Stock Statistics'!$C$46+H513*'Stock Statistics'!$C$47+I513*'Stock Statistics'!$C$48+J513*'Stock Statistics'!$C$49+K513*'Stock Statistics'!$C$50,"")</f>
        <v>2.4028656194408386E-3</v>
      </c>
      <c r="M513" s="97">
        <v>387.04</v>
      </c>
      <c r="N513" s="96">
        <v>459.61989999999997</v>
      </c>
      <c r="O513" s="93">
        <f t="shared" si="21"/>
        <v>4.7738700642341314E-3</v>
      </c>
      <c r="P513" s="93">
        <f t="shared" si="22"/>
        <v>5.5257768586378653E-3</v>
      </c>
      <c r="Q513" s="93">
        <f>B513*'Portfolio 2 &amp; 3'!$F$7+C513*'Portfolio 2 &amp; 3'!$F$8+D513*'Portfolio 2 &amp; 3'!$F$9+E513*'Portfolio 2 &amp; 3'!$F$10+F513*'Portfolio 2 &amp; 3'!$F$11+G513*'Portfolio 2 &amp; 3'!$F$12+H513*'Portfolio 2 &amp; 3'!$F$13+I513*'Portfolio 2 &amp; 3'!$F$14+J513*'Portfolio 2 &amp; 3'!$F$15+K513*'Portfolio 2 &amp; 3'!$F$16</f>
        <v>4.3157044985516922E-3</v>
      </c>
      <c r="R513" s="93">
        <f>B513*'Portfolio 2 &amp; 3'!$B$23+C513*'Portfolio 2 &amp; 3'!$B$24+D513*'Portfolio 2 &amp; 3'!$B$25+E513*'Portfolio 2 &amp; 3'!$B$26+F513*'Portfolio 2 &amp; 3'!$B$27+G513*'Portfolio 2 &amp; 3'!$B$28+H513*'Portfolio 2 &amp; 3'!$B$29+I513*'Portfolio 2 &amp; 3'!$B$30+J513*'Portfolio 2 &amp; 3'!$B$31+K513*'Portfolio 2 &amp; 3'!$B$32</f>
        <v>5.5944637932403944E-3</v>
      </c>
      <c r="S513" s="93">
        <f t="shared" si="23"/>
        <v>5.1498234614359983E-3</v>
      </c>
    </row>
    <row r="514" spans="1:19" ht="12.75" customHeight="1">
      <c r="A514" s="81">
        <v>45329</v>
      </c>
      <c r="B514" s="53">
        <v>1.44E-2</v>
      </c>
      <c r="C514" s="53">
        <v>-3.3512265620600799E-2</v>
      </c>
      <c r="D514" s="53">
        <v>8.3982901684687104E-3</v>
      </c>
      <c r="E514" s="53">
        <v>4.3699999999999998E-3</v>
      </c>
      <c r="F514" s="53">
        <v>-7.2736393278153297E-3</v>
      </c>
      <c r="G514" s="53">
        <v>4.3274500170074103E-3</v>
      </c>
      <c r="H514" s="87">
        <v>-6.8181264762456895E-4</v>
      </c>
      <c r="I514" s="53">
        <v>-2.28042741725276E-4</v>
      </c>
      <c r="J514" s="53">
        <v>1.60306673636521E-2</v>
      </c>
      <c r="K514" s="53">
        <v>-1.06145475448847E-2</v>
      </c>
      <c r="L514" s="95">
        <f>IFERROR(B514*'Stock Statistics'!$C$41+C514*'Stock Statistics'!$C$42+D514*'Stock Statistics'!$C$43+E514*'Stock Statistics'!$C$44+F514*'Stock Statistics'!$C$45+G514*'Stock Statistics'!$C$46+H514*'Stock Statistics'!$C$47+I514*'Stock Statistics'!$C$48+J514*'Stock Statistics'!$C$49+K514*'Stock Statistics'!$C$50,"")</f>
        <v>-4.7839003335224499E-4</v>
      </c>
      <c r="M514" s="96">
        <v>385.2011</v>
      </c>
      <c r="N514" s="97">
        <v>457.09410000000003</v>
      </c>
      <c r="O514" s="93">
        <f t="shared" ref="O514:O577" si="24">M514/M515-1</f>
        <v>3.2603262982899839E-3</v>
      </c>
      <c r="P514" s="93">
        <f t="shared" ref="P514:P577" si="25">N514/N515-1</f>
        <v>-2.1546403027760119E-3</v>
      </c>
      <c r="Q514" s="93">
        <f>B514*'Portfolio 2 &amp; 3'!$F$7+C514*'Portfolio 2 &amp; 3'!$F$8+D514*'Portfolio 2 &amp; 3'!$F$9+E514*'Portfolio 2 &amp; 3'!$F$10+F514*'Portfolio 2 &amp; 3'!$F$11+G514*'Portfolio 2 &amp; 3'!$F$12+H514*'Portfolio 2 &amp; 3'!$F$13+I514*'Portfolio 2 &amp; 3'!$F$14+J514*'Portfolio 2 &amp; 3'!$F$15+K514*'Portfolio 2 &amp; 3'!$F$16</f>
        <v>-9.2924769068533555E-7</v>
      </c>
      <c r="R514" s="93">
        <f>B514*'Portfolio 2 &amp; 3'!$B$23+C514*'Portfolio 2 &amp; 3'!$B$24+D514*'Portfolio 2 &amp; 3'!$B$25+E514*'Portfolio 2 &amp; 3'!$B$26+F514*'Portfolio 2 &amp; 3'!$B$27+G514*'Portfolio 2 &amp; 3'!$B$28+H514*'Portfolio 2 &amp; 3'!$B$29+I514*'Portfolio 2 &amp; 3'!$B$30+J514*'Portfolio 2 &amp; 3'!$B$31+K514*'Portfolio 2 &amp; 3'!$B$32</f>
        <v>-5.5260098614616504E-3</v>
      </c>
      <c r="S514" s="93">
        <f t="shared" ref="S514:S577" si="26">IFERROR(AVERAGE(O514,P514),"")</f>
        <v>5.5284299775698598E-4</v>
      </c>
    </row>
    <row r="515" spans="1:19" ht="12.75" customHeight="1">
      <c r="A515" s="82">
        <v>45328</v>
      </c>
      <c r="B515" s="53">
        <v>8.8999999999999999E-3</v>
      </c>
      <c r="C515" s="53">
        <v>3.1537425981189599E-3</v>
      </c>
      <c r="D515" s="53">
        <v>-1.98639589905363E-2</v>
      </c>
      <c r="E515" s="53">
        <v>-5.5059999999999998E-2</v>
      </c>
      <c r="F515" s="53">
        <v>4.7969509791036903E-2</v>
      </c>
      <c r="G515" s="53">
        <v>-1.3022062015211099E-3</v>
      </c>
      <c r="H515" s="87">
        <v>-3.18783122294586E-3</v>
      </c>
      <c r="I515" s="53">
        <v>2.3472926113630398E-2</v>
      </c>
      <c r="J515" s="53">
        <v>-3.4728251432540901E-3</v>
      </c>
      <c r="K515" s="53">
        <v>2.40533362538673E-2</v>
      </c>
      <c r="L515" s="95">
        <f>IFERROR(B515*'Stock Statistics'!$C$41+C515*'Stock Statistics'!$C$42+D515*'Stock Statistics'!$C$43+E515*'Stock Statistics'!$C$44+F515*'Stock Statistics'!$C$45+G515*'Stock Statistics'!$C$46+H515*'Stock Statistics'!$C$47+I515*'Stock Statistics'!$C$48+J515*'Stock Statistics'!$C$49+K515*'Stock Statistics'!$C$50,"")</f>
        <v>2.4662693198396206E-3</v>
      </c>
      <c r="M515" s="97">
        <v>383.94929999999999</v>
      </c>
      <c r="N515" s="96">
        <v>458.08109999999999</v>
      </c>
      <c r="O515" s="93">
        <f t="shared" si="24"/>
        <v>6.1100431426643897E-3</v>
      </c>
      <c r="P515" s="93">
        <f t="shared" si="25"/>
        <v>2.080536643544395E-2</v>
      </c>
      <c r="Q515" s="93">
        <f>B515*'Portfolio 2 &amp; 3'!$F$7+C515*'Portfolio 2 &amp; 3'!$F$8+D515*'Portfolio 2 &amp; 3'!$F$9+E515*'Portfolio 2 &amp; 3'!$F$10+F515*'Portfolio 2 &amp; 3'!$F$11+G515*'Portfolio 2 &amp; 3'!$F$12+H515*'Portfolio 2 &amp; 3'!$F$13+I515*'Portfolio 2 &amp; 3'!$F$14+J515*'Portfolio 2 &amp; 3'!$F$15+K515*'Portfolio 2 &amp; 3'!$F$16</f>
        <v>1.9775132414879167E-3</v>
      </c>
      <c r="R515" s="93">
        <f>B515*'Portfolio 2 &amp; 3'!$B$23+C515*'Portfolio 2 &amp; 3'!$B$24+D515*'Portfolio 2 &amp; 3'!$B$25+E515*'Portfolio 2 &amp; 3'!$B$26+F515*'Portfolio 2 &amp; 3'!$B$27+G515*'Portfolio 2 &amp; 3'!$B$28+H515*'Portfolio 2 &amp; 3'!$B$29+I515*'Portfolio 2 &amp; 3'!$B$30+J515*'Portfolio 2 &amp; 3'!$B$31+K515*'Portfolio 2 &amp; 3'!$B$32</f>
        <v>1.669852211743604E-2</v>
      </c>
      <c r="S515" s="93">
        <f t="shared" si="26"/>
        <v>1.345770478905417E-2</v>
      </c>
    </row>
    <row r="516" spans="1:19" ht="12.75" customHeight="1">
      <c r="A516" s="81">
        <v>45327</v>
      </c>
      <c r="B516" s="53">
        <v>2.0000000000000001E-4</v>
      </c>
      <c r="C516" s="53">
        <v>3.5745975408797002E-2</v>
      </c>
      <c r="D516" s="53">
        <v>-3.7809968082494999E-3</v>
      </c>
      <c r="E516" s="53">
        <v>-3.5599999999999998E-3</v>
      </c>
      <c r="F516" s="53">
        <v>-3.28450371148925E-4</v>
      </c>
      <c r="G516" s="53">
        <v>1.47850234606914E-2</v>
      </c>
      <c r="H516" s="87">
        <v>2.1324554860051598E-3</v>
      </c>
      <c r="I516" s="53">
        <v>2.2724234727977701E-3</v>
      </c>
      <c r="J516" s="53">
        <v>1.3765666807491901E-2</v>
      </c>
      <c r="K516" s="53">
        <v>-8.7124090761045991E-3</v>
      </c>
      <c r="L516" s="95">
        <f>IFERROR(B516*'Stock Statistics'!$C$41+C516*'Stock Statistics'!$C$42+D516*'Stock Statistics'!$C$43+E516*'Stock Statistics'!$C$44+F516*'Stock Statistics'!$C$45+G516*'Stock Statistics'!$C$46+H516*'Stock Statistics'!$C$47+I516*'Stock Statistics'!$C$48+J516*'Stock Statistics'!$C$49+K516*'Stock Statistics'!$C$50,"")</f>
        <v>5.2519688380280212E-3</v>
      </c>
      <c r="M516" s="96">
        <v>381.61759999999998</v>
      </c>
      <c r="N516" s="97">
        <v>448.7448</v>
      </c>
      <c r="O516" s="93">
        <f t="shared" si="24"/>
        <v>3.0879806372994256E-3</v>
      </c>
      <c r="P516" s="93">
        <f t="shared" si="25"/>
        <v>-4.3851932446946629E-3</v>
      </c>
      <c r="Q516" s="93">
        <f>B516*'Portfolio 2 &amp; 3'!$F$7+C516*'Portfolio 2 &amp; 3'!$F$8+D516*'Portfolio 2 &amp; 3'!$F$9+E516*'Portfolio 2 &amp; 3'!$F$10+F516*'Portfolio 2 &amp; 3'!$F$11+G516*'Portfolio 2 &amp; 3'!$F$12+H516*'Portfolio 2 &amp; 3'!$F$13+I516*'Portfolio 2 &amp; 3'!$F$14+J516*'Portfolio 2 &amp; 3'!$F$15+K516*'Portfolio 2 &amp; 3'!$F$16</f>
        <v>5.3467887498648966E-3</v>
      </c>
      <c r="R516" s="93">
        <f>B516*'Portfolio 2 &amp; 3'!$B$23+C516*'Portfolio 2 &amp; 3'!$B$24+D516*'Portfolio 2 &amp; 3'!$B$25+E516*'Portfolio 2 &amp; 3'!$B$26+F516*'Portfolio 2 &amp; 3'!$B$27+G516*'Portfolio 2 &amp; 3'!$B$28+H516*'Portfolio 2 &amp; 3'!$B$29+I516*'Portfolio 2 &amp; 3'!$B$30+J516*'Portfolio 2 &amp; 3'!$B$31+K516*'Portfolio 2 &amp; 3'!$B$32</f>
        <v>8.6694530368436294E-3</v>
      </c>
      <c r="S516" s="93">
        <f t="shared" si="26"/>
        <v>-6.4860630369761862E-4</v>
      </c>
    </row>
    <row r="517" spans="1:19" ht="12.75" customHeight="1">
      <c r="A517" s="82">
        <v>45324</v>
      </c>
      <c r="B517" s="53">
        <v>8.4099999999999994E-2</v>
      </c>
      <c r="C517" s="53">
        <v>1.23687119955778E-2</v>
      </c>
      <c r="D517" s="53">
        <v>-4.5465198031403802E-2</v>
      </c>
      <c r="E517" s="53">
        <v>-5.4000000000000001E-4</v>
      </c>
      <c r="F517" s="53">
        <v>2.10651043380961E-3</v>
      </c>
      <c r="G517" s="53">
        <v>-1.24635926920603E-2</v>
      </c>
      <c r="H517" s="87">
        <v>1.18386400741659E-2</v>
      </c>
      <c r="I517" s="53">
        <v>1.43041149752561E-2</v>
      </c>
      <c r="J517" s="53">
        <v>-1.2893136403127701E-2</v>
      </c>
      <c r="K517" s="53">
        <v>-1.27016453186131E-2</v>
      </c>
      <c r="L517" s="95">
        <f>IFERROR(B517*'Stock Statistics'!$C$41+C517*'Stock Statistics'!$C$42+D517*'Stock Statistics'!$C$43+E517*'Stock Statistics'!$C$44+F517*'Stock Statistics'!$C$45+G517*'Stock Statistics'!$C$46+H517*'Stock Statistics'!$C$47+I517*'Stock Statistics'!$C$48+J517*'Stock Statistics'!$C$49+K517*'Stock Statistics'!$C$50,"")</f>
        <v>4.0654405033604497E-3</v>
      </c>
      <c r="M517" s="97">
        <v>380.44279999999998</v>
      </c>
      <c r="N517" s="96">
        <v>450.72129999999999</v>
      </c>
      <c r="O517" s="93">
        <f t="shared" si="24"/>
        <v>6.100184563176958E-3</v>
      </c>
      <c r="P517" s="93">
        <f t="shared" si="25"/>
        <v>5.723225195489734E-3</v>
      </c>
      <c r="Q517" s="93">
        <f>B517*'Portfolio 2 &amp; 3'!$F$7+C517*'Portfolio 2 &amp; 3'!$F$8+D517*'Portfolio 2 &amp; 3'!$F$9+E517*'Portfolio 2 &amp; 3'!$F$10+F517*'Portfolio 2 &amp; 3'!$F$11+G517*'Portfolio 2 &amp; 3'!$F$12+H517*'Portfolio 2 &amp; 3'!$F$13+I517*'Portfolio 2 &amp; 3'!$F$14+J517*'Portfolio 2 &amp; 3'!$F$15+K517*'Portfolio 2 &amp; 3'!$F$16</f>
        <v>5.167733771127966E-4</v>
      </c>
      <c r="R517" s="93">
        <f>B517*'Portfolio 2 &amp; 3'!$B$23+C517*'Portfolio 2 &amp; 3'!$B$24+D517*'Portfolio 2 &amp; 3'!$B$25+E517*'Portfolio 2 &amp; 3'!$B$26+F517*'Portfolio 2 &amp; 3'!$B$27+G517*'Portfolio 2 &amp; 3'!$B$28+H517*'Portfolio 2 &amp; 3'!$B$29+I517*'Portfolio 2 &amp; 3'!$B$30+J517*'Portfolio 2 &amp; 3'!$B$31+K517*'Portfolio 2 &amp; 3'!$B$32</f>
        <v>1.4478204854987273E-2</v>
      </c>
      <c r="S517" s="93">
        <f t="shared" si="26"/>
        <v>5.911704879333346E-3</v>
      </c>
    </row>
    <row r="518" spans="1:19" ht="12.75" customHeight="1">
      <c r="A518" s="81">
        <v>45323</v>
      </c>
      <c r="B518" s="53">
        <v>-8.0000000000000004E-4</v>
      </c>
      <c r="C518" s="53">
        <v>2.8665427849026599E-2</v>
      </c>
      <c r="D518" s="53">
        <v>-3.7822189017556701E-3</v>
      </c>
      <c r="E518" s="53">
        <v>4.6850000000000003E-2</v>
      </c>
      <c r="F518" s="53">
        <v>-1.64300736067302E-3</v>
      </c>
      <c r="G518" s="53">
        <v>4.6740443054263101E-2</v>
      </c>
      <c r="H518" s="87">
        <v>9.0984353009355701E-3</v>
      </c>
      <c r="I518" s="53">
        <v>7.7196338297580401E-3</v>
      </c>
      <c r="J518" s="53">
        <v>9.3303868953662494E-3</v>
      </c>
      <c r="K518" s="53">
        <v>1.42224607540586E-3</v>
      </c>
      <c r="L518" s="95">
        <f>IFERROR(B518*'Stock Statistics'!$C$41+C518*'Stock Statistics'!$C$42+D518*'Stock Statistics'!$C$43+E518*'Stock Statistics'!$C$44+F518*'Stock Statistics'!$C$45+G518*'Stock Statistics'!$C$46+H518*'Stock Statistics'!$C$47+I518*'Stock Statistics'!$C$48+J518*'Stock Statistics'!$C$49+K518*'Stock Statistics'!$C$50,"")</f>
        <v>1.4360134674232673E-2</v>
      </c>
      <c r="M518" s="96">
        <v>378.1361</v>
      </c>
      <c r="N518" s="97">
        <v>448.15640000000002</v>
      </c>
      <c r="O518" s="93">
        <f t="shared" si="24"/>
        <v>1.6797745134841113E-2</v>
      </c>
      <c r="P518" s="93">
        <f t="shared" si="25"/>
        <v>-8.4318046902950305E-3</v>
      </c>
      <c r="Q518" s="93">
        <f>B518*'Portfolio 2 &amp; 3'!$F$7+C518*'Portfolio 2 &amp; 3'!$F$8+D518*'Portfolio 2 &amp; 3'!$F$9+E518*'Portfolio 2 &amp; 3'!$F$10+F518*'Portfolio 2 &amp; 3'!$F$11+G518*'Portfolio 2 &amp; 3'!$F$12+H518*'Portfolio 2 &amp; 3'!$F$13+I518*'Portfolio 2 &amp; 3'!$F$14+J518*'Portfolio 2 &amp; 3'!$F$15+K518*'Portfolio 2 &amp; 3'!$F$16</f>
        <v>1.1622557595840402E-2</v>
      </c>
      <c r="R518" s="93">
        <f>B518*'Portfolio 2 &amp; 3'!$B$23+C518*'Portfolio 2 &amp; 3'!$B$24+D518*'Portfolio 2 &amp; 3'!$B$25+E518*'Portfolio 2 &amp; 3'!$B$26+F518*'Portfolio 2 &amp; 3'!$B$27+G518*'Portfolio 2 &amp; 3'!$B$28+H518*'Portfolio 2 &amp; 3'!$B$29+I518*'Portfolio 2 &amp; 3'!$B$30+J518*'Portfolio 2 &amp; 3'!$B$31+K518*'Portfolio 2 &amp; 3'!$B$32</f>
        <v>1.2663625265139212E-2</v>
      </c>
      <c r="S518" s="93">
        <f t="shared" si="26"/>
        <v>4.1829702222730414E-3</v>
      </c>
    </row>
    <row r="519" spans="1:19" ht="12.75" customHeight="1">
      <c r="A519" s="82">
        <v>45322</v>
      </c>
      <c r="B519" s="53">
        <v>1.5599999999999999E-2</v>
      </c>
      <c r="C519" s="53">
        <v>1.29125404152353E-3</v>
      </c>
      <c r="D519" s="53">
        <v>-6.9193324061196299E-2</v>
      </c>
      <c r="E519" s="53">
        <v>-9.7199999999999995E-3</v>
      </c>
      <c r="F519" s="53">
        <v>6.4823389337214099E-3</v>
      </c>
      <c r="G519" s="53">
        <v>5.2338308457711199E-3</v>
      </c>
      <c r="H519" s="87">
        <v>7.7338294552948801E-3</v>
      </c>
      <c r="I519" s="53">
        <v>3.32827445028765E-2</v>
      </c>
      <c r="J519" s="53">
        <v>-5.8930190389846499E-3</v>
      </c>
      <c r="K519" s="53">
        <v>7.2982835518313801E-3</v>
      </c>
      <c r="L519" s="95">
        <f>IFERROR(B519*'Stock Statistics'!$C$41+C519*'Stock Statistics'!$C$42+D519*'Stock Statistics'!$C$43+E519*'Stock Statistics'!$C$44+F519*'Stock Statistics'!$C$45+G519*'Stock Statistics'!$C$46+H519*'Stock Statistics'!$C$47+I519*'Stock Statistics'!$C$48+J519*'Stock Statistics'!$C$49+K519*'Stock Statistics'!$C$50,"")</f>
        <v>-7.8840617691621287E-4</v>
      </c>
      <c r="M519" s="97">
        <v>371.88920000000002</v>
      </c>
      <c r="N519" s="96">
        <v>451.96730000000002</v>
      </c>
      <c r="O519" s="93">
        <f t="shared" si="24"/>
        <v>1.0294490787552624E-2</v>
      </c>
      <c r="P519" s="93">
        <f t="shared" si="25"/>
        <v>9.9773766576447542E-3</v>
      </c>
      <c r="Q519" s="93">
        <f>B519*'Portfolio 2 &amp; 3'!$F$7+C519*'Portfolio 2 &amp; 3'!$F$8+D519*'Portfolio 2 &amp; 3'!$F$9+E519*'Portfolio 2 &amp; 3'!$F$10+F519*'Portfolio 2 &amp; 3'!$F$11+G519*'Portfolio 2 &amp; 3'!$F$12+H519*'Portfolio 2 &amp; 3'!$F$13+I519*'Portfolio 2 &amp; 3'!$F$14+J519*'Portfolio 2 &amp; 3'!$F$15+K519*'Portfolio 2 &amp; 3'!$F$16</f>
        <v>-4.0067380462141151E-3</v>
      </c>
      <c r="R519" s="93">
        <f>B519*'Portfolio 2 &amp; 3'!$B$23+C519*'Portfolio 2 &amp; 3'!$B$24+D519*'Portfolio 2 &amp; 3'!$B$25+E519*'Portfolio 2 &amp; 3'!$B$26+F519*'Portfolio 2 &amp; 3'!$B$27+G519*'Portfolio 2 &amp; 3'!$B$28+H519*'Portfolio 2 &amp; 3'!$B$29+I519*'Portfolio 2 &amp; 3'!$B$30+J519*'Portfolio 2 &amp; 3'!$B$31+K519*'Portfolio 2 &amp; 3'!$B$32</f>
        <v>1.2040011480146917E-2</v>
      </c>
      <c r="S519" s="93">
        <f t="shared" si="26"/>
        <v>1.0135933722598689E-2</v>
      </c>
    </row>
    <row r="520" spans="1:19" ht="12.75" customHeight="1">
      <c r="A520" s="81">
        <v>45321</v>
      </c>
      <c r="B520" s="53">
        <v>-2.3E-3</v>
      </c>
      <c r="C520" s="53">
        <v>1.29666821154539E-2</v>
      </c>
      <c r="D520" s="53">
        <v>-4.8873318628085399E-3</v>
      </c>
      <c r="E520" s="53">
        <v>-2.0000000000000001E-4</v>
      </c>
      <c r="F520" s="53">
        <v>9.8864395457580693E-3</v>
      </c>
      <c r="G520" s="53">
        <v>-7.3485836197699798E-3</v>
      </c>
      <c r="H520" s="87">
        <v>-2.09111033057514E-2</v>
      </c>
      <c r="I520" s="53">
        <v>6.1791967044284597E-3</v>
      </c>
      <c r="J520" s="53">
        <v>2.96197896097368E-2</v>
      </c>
      <c r="K520" s="53">
        <v>2.70314104988678E-5</v>
      </c>
      <c r="L520" s="95">
        <f>IFERROR(B520*'Stock Statistics'!$C$41+C520*'Stock Statistics'!$C$42+D520*'Stock Statistics'!$C$43+E520*'Stock Statistics'!$C$44+F520*'Stock Statistics'!$C$45+G520*'Stock Statistics'!$C$46+H520*'Stock Statistics'!$C$47+I520*'Stock Statistics'!$C$48+J520*'Stock Statistics'!$C$49+K520*'Stock Statistics'!$C$50,"")</f>
        <v>2.3032120597546181E-3</v>
      </c>
      <c r="M520" s="96">
        <v>368.09980000000002</v>
      </c>
      <c r="N520" s="97">
        <v>447.50240000000002</v>
      </c>
      <c r="O520" s="93">
        <f t="shared" si="24"/>
        <v>2.7292447055677904E-3</v>
      </c>
      <c r="P520" s="93">
        <f t="shared" si="25"/>
        <v>6.0348923658271048E-4</v>
      </c>
      <c r="Q520" s="93">
        <f>B520*'Portfolio 2 &amp; 3'!$F$7+C520*'Portfolio 2 &amp; 3'!$F$8+D520*'Portfolio 2 &amp; 3'!$F$9+E520*'Portfolio 2 &amp; 3'!$F$10+F520*'Portfolio 2 &amp; 3'!$F$11+G520*'Portfolio 2 &amp; 3'!$F$12+H520*'Portfolio 2 &amp; 3'!$F$13+I520*'Portfolio 2 &amp; 3'!$F$14+J520*'Portfolio 2 &amp; 3'!$F$15+K520*'Portfolio 2 &amp; 3'!$F$16</f>
        <v>2.4685645826806732E-3</v>
      </c>
      <c r="R520" s="93">
        <f>B520*'Portfolio 2 &amp; 3'!$B$23+C520*'Portfolio 2 &amp; 3'!$B$24+D520*'Portfolio 2 &amp; 3'!$B$25+E520*'Portfolio 2 &amp; 3'!$B$26+F520*'Portfolio 2 &amp; 3'!$B$27+G520*'Portfolio 2 &amp; 3'!$B$28+H520*'Portfolio 2 &amp; 3'!$B$29+I520*'Portfolio 2 &amp; 3'!$B$30+J520*'Portfolio 2 &amp; 3'!$B$31+K520*'Portfolio 2 &amp; 3'!$B$32</f>
        <v>4.7838377945792019E-3</v>
      </c>
      <c r="S520" s="93">
        <f t="shared" si="26"/>
        <v>1.6663669710752504E-3</v>
      </c>
    </row>
    <row r="521" spans="1:19" ht="12.75" customHeight="1">
      <c r="A521" s="82">
        <v>45320</v>
      </c>
      <c r="B521" s="53">
        <v>2.0199999999999999E-2</v>
      </c>
      <c r="C521" s="53">
        <v>-2.8282343051010302E-2</v>
      </c>
      <c r="D521" s="53">
        <v>-4.1349011500193501E-3</v>
      </c>
      <c r="E521" s="53">
        <v>4.8039999999999999E-2</v>
      </c>
      <c r="F521" s="53">
        <v>1.6293279022403299E-2</v>
      </c>
      <c r="G521" s="53">
        <v>2.34316559852819E-2</v>
      </c>
      <c r="H521" s="87">
        <v>4.7971648447598499E-2</v>
      </c>
      <c r="I521" s="53">
        <v>-7.40244633226406E-3</v>
      </c>
      <c r="J521" s="53">
        <v>3.6032140669477498E-3</v>
      </c>
      <c r="K521" s="53">
        <v>1.20369863763199E-2</v>
      </c>
      <c r="L521" s="95">
        <f>IFERROR(B521*'Stock Statistics'!$C$41+C521*'Stock Statistics'!$C$42+D521*'Stock Statistics'!$C$43+E521*'Stock Statistics'!$C$44+F521*'Stock Statistics'!$C$45+G521*'Stock Statistics'!$C$46+H521*'Stock Statistics'!$C$47+I521*'Stock Statistics'!$C$48+J521*'Stock Statistics'!$C$49+K521*'Stock Statistics'!$C$50,"")</f>
        <v>1.3175709336525765E-2</v>
      </c>
      <c r="M521" s="97">
        <v>367.09789999999998</v>
      </c>
      <c r="N521" s="96">
        <v>447.23250000000002</v>
      </c>
      <c r="O521" s="93">
        <f t="shared" si="24"/>
        <v>1.5595060981981046E-3</v>
      </c>
      <c r="P521" s="93">
        <f t="shared" si="25"/>
        <v>4.1444893043482978E-3</v>
      </c>
      <c r="Q521" s="93">
        <f>B521*'Portfolio 2 &amp; 3'!$F$7+C521*'Portfolio 2 &amp; 3'!$F$8+D521*'Portfolio 2 &amp; 3'!$F$9+E521*'Portfolio 2 &amp; 3'!$F$10+F521*'Portfolio 2 &amp; 3'!$F$11+G521*'Portfolio 2 &amp; 3'!$F$12+H521*'Portfolio 2 &amp; 3'!$F$13+I521*'Portfolio 2 &amp; 3'!$F$14+J521*'Portfolio 2 &amp; 3'!$F$15+K521*'Portfolio 2 &amp; 3'!$F$16</f>
        <v>1.3197718503419211E-2</v>
      </c>
      <c r="R521" s="93">
        <f>B521*'Portfolio 2 &amp; 3'!$B$23+C521*'Portfolio 2 &amp; 3'!$B$24+D521*'Portfolio 2 &amp; 3'!$B$25+E521*'Portfolio 2 &amp; 3'!$B$26+F521*'Portfolio 2 &amp; 3'!$B$27+G521*'Portfolio 2 &amp; 3'!$B$28+H521*'Portfolio 2 &amp; 3'!$B$29+I521*'Portfolio 2 &amp; 3'!$B$30+J521*'Portfolio 2 &amp; 3'!$B$31+K521*'Portfolio 2 &amp; 3'!$B$32</f>
        <v>3.0428559447469288E-3</v>
      </c>
      <c r="S521" s="93">
        <f t="shared" si="26"/>
        <v>2.8519977012732012E-3</v>
      </c>
    </row>
    <row r="522" spans="1:19" ht="12.75" customHeight="1">
      <c r="A522" s="81">
        <v>45316</v>
      </c>
      <c r="B522" s="53">
        <v>-2.1000000000000001E-2</v>
      </c>
      <c r="C522" s="53">
        <v>1.00580231688332E-2</v>
      </c>
      <c r="D522" s="53">
        <v>8.6892296997871394E-3</v>
      </c>
      <c r="E522" s="53">
        <v>-1.0749999999999999E-2</v>
      </c>
      <c r="F522" s="53">
        <v>-2.11323763955342E-2</v>
      </c>
      <c r="G522" s="53">
        <v>1.44591656753763E-2</v>
      </c>
      <c r="H522" s="87">
        <v>-4.7059226175194503E-4</v>
      </c>
      <c r="I522" s="53">
        <v>3.40441042464006E-2</v>
      </c>
      <c r="J522" s="53">
        <v>2.7128053293856501E-2</v>
      </c>
      <c r="K522" s="53">
        <v>-4.1410123685500198E-3</v>
      </c>
      <c r="L522" s="95">
        <f>IFERROR(B522*'Stock Statistics'!$C$41+C522*'Stock Statistics'!$C$42+D522*'Stock Statistics'!$C$43+E522*'Stock Statistics'!$C$44+F522*'Stock Statistics'!$C$45+G522*'Stock Statistics'!$C$46+H522*'Stock Statistics'!$C$47+I522*'Stock Statistics'!$C$48+J522*'Stock Statistics'!$C$49+K522*'Stock Statistics'!$C$50,"")</f>
        <v>3.6884595058417581E-3</v>
      </c>
      <c r="M522" s="96">
        <v>366.52629999999999</v>
      </c>
      <c r="N522" s="97">
        <v>445.38659999999999</v>
      </c>
      <c r="O522" s="93">
        <f t="shared" si="24"/>
        <v>2.0549013187387111E-2</v>
      </c>
      <c r="P522" s="93">
        <f t="shared" si="25"/>
        <v>4.144078945143459E-3</v>
      </c>
      <c r="Q522" s="93">
        <f>B522*'Portfolio 2 &amp; 3'!$F$7+C522*'Portfolio 2 &amp; 3'!$F$8+D522*'Portfolio 2 &amp; 3'!$F$9+E522*'Portfolio 2 &amp; 3'!$F$10+F522*'Portfolio 2 &amp; 3'!$F$11+G522*'Portfolio 2 &amp; 3'!$F$12+H522*'Portfolio 2 &amp; 3'!$F$13+I522*'Portfolio 2 &amp; 3'!$F$14+J522*'Portfolio 2 &amp; 3'!$F$15+K522*'Portfolio 2 &amp; 3'!$F$16</f>
        <v>4.9946975945131221E-3</v>
      </c>
      <c r="R522" s="93">
        <f>B522*'Portfolio 2 &amp; 3'!$B$23+C522*'Portfolio 2 &amp; 3'!$B$24+D522*'Portfolio 2 &amp; 3'!$B$25+E522*'Portfolio 2 &amp; 3'!$B$26+F522*'Portfolio 2 &amp; 3'!$B$27+G522*'Portfolio 2 &amp; 3'!$B$28+H522*'Portfolio 2 &amp; 3'!$B$29+I522*'Portfolio 2 &amp; 3'!$B$30+J522*'Portfolio 2 &amp; 3'!$B$31+K522*'Portfolio 2 &amp; 3'!$B$32</f>
        <v>6.4577363999645124E-3</v>
      </c>
      <c r="S522" s="93">
        <f t="shared" si="26"/>
        <v>1.2346546066265285E-2</v>
      </c>
    </row>
    <row r="523" spans="1:19" ht="12.75" customHeight="1">
      <c r="A523" s="82">
        <v>45315</v>
      </c>
      <c r="B523" s="53">
        <v>4.5999999999999999E-3</v>
      </c>
      <c r="C523" s="53">
        <v>-5.83878521109071E-3</v>
      </c>
      <c r="D523" s="53">
        <v>-7.9734505646065195E-3</v>
      </c>
      <c r="E523" s="53">
        <v>2.0119999999999999E-2</v>
      </c>
      <c r="F523" s="53">
        <v>3.18864431186998E-2</v>
      </c>
      <c r="G523" s="53">
        <v>-1.43527128648824E-2</v>
      </c>
      <c r="H523" s="87">
        <v>-2.0151993851934601E-3</v>
      </c>
      <c r="I523" s="53">
        <v>-2.07731020451868E-2</v>
      </c>
      <c r="J523" s="53">
        <v>2.5738364588869599E-2</v>
      </c>
      <c r="K523" s="53">
        <v>3.3476926542219197E-2</v>
      </c>
      <c r="L523" s="95">
        <f>IFERROR(B523*'Stock Statistics'!$C$41+C523*'Stock Statistics'!$C$42+D523*'Stock Statistics'!$C$43+E523*'Stock Statistics'!$C$44+F523*'Stock Statistics'!$C$45+G523*'Stock Statistics'!$C$46+H523*'Stock Statistics'!$C$47+I523*'Stock Statistics'!$C$48+J523*'Stock Statistics'!$C$49+K523*'Stock Statistics'!$C$50,"")</f>
        <v>6.4868484178828706E-3</v>
      </c>
      <c r="M523" s="97">
        <v>359.14620000000002</v>
      </c>
      <c r="N523" s="96">
        <v>443.54849999999999</v>
      </c>
      <c r="O523" s="93">
        <f t="shared" si="24"/>
        <v>-6.4265503118937639E-3</v>
      </c>
      <c r="P523" s="93">
        <f t="shared" si="25"/>
        <v>-4.4897428767078917E-3</v>
      </c>
      <c r="Q523" s="93">
        <f>B523*'Portfolio 2 &amp; 3'!$F$7+C523*'Portfolio 2 &amp; 3'!$F$8+D523*'Portfolio 2 &amp; 3'!$F$9+E523*'Portfolio 2 &amp; 3'!$F$10+F523*'Portfolio 2 &amp; 3'!$F$11+G523*'Portfolio 2 &amp; 3'!$F$12+H523*'Portfolio 2 &amp; 3'!$F$13+I523*'Portfolio 2 &amp; 3'!$F$14+J523*'Portfolio 2 &amp; 3'!$F$15+K523*'Portfolio 2 &amp; 3'!$F$16</f>
        <v>6.9320340883881303E-3</v>
      </c>
      <c r="R523" s="93">
        <f>B523*'Portfolio 2 &amp; 3'!$B$23+C523*'Portfolio 2 &amp; 3'!$B$24+D523*'Portfolio 2 &amp; 3'!$B$25+E523*'Portfolio 2 &amp; 3'!$B$26+F523*'Portfolio 2 &amp; 3'!$B$27+G523*'Portfolio 2 &amp; 3'!$B$28+H523*'Portfolio 2 &amp; 3'!$B$29+I523*'Portfolio 2 &amp; 3'!$B$30+J523*'Portfolio 2 &amp; 3'!$B$31+K523*'Portfolio 2 &amp; 3'!$B$32</f>
        <v>1.3731961463047183E-3</v>
      </c>
      <c r="S523" s="93">
        <f t="shared" si="26"/>
        <v>-5.4581465943008278E-3</v>
      </c>
    </row>
    <row r="524" spans="1:19" ht="12.75" customHeight="1">
      <c r="A524" s="81">
        <v>45314</v>
      </c>
      <c r="B524" s="53">
        <v>1.0999999999999999E-2</v>
      </c>
      <c r="C524" s="53">
        <v>7.2409111479876398E-4</v>
      </c>
      <c r="D524" s="53">
        <v>0</v>
      </c>
      <c r="E524" s="53">
        <v>7.1700000000000002E-3</v>
      </c>
      <c r="F524" s="53">
        <v>3.6092362344582601E-2</v>
      </c>
      <c r="G524" s="53">
        <v>-1.3422149538302E-2</v>
      </c>
      <c r="H524" s="87">
        <v>-7.8954948238762999E-3</v>
      </c>
      <c r="I524" s="53">
        <v>2.3788642841482199E-2</v>
      </c>
      <c r="J524" s="53">
        <v>-1.4773534801959899E-2</v>
      </c>
      <c r="K524" s="53">
        <v>-5.2932280289027496E-3</v>
      </c>
      <c r="L524" s="95">
        <f>IFERROR(B524*'Stock Statistics'!$C$41+C524*'Stock Statistics'!$C$42+D524*'Stock Statistics'!$C$43+E524*'Stock Statistics'!$C$44+F524*'Stock Statistics'!$C$45+G524*'Stock Statistics'!$C$46+H524*'Stock Statistics'!$C$47+I524*'Stock Statistics'!$C$48+J524*'Stock Statistics'!$C$49+K524*'Stock Statistics'!$C$50,"")</f>
        <v>3.7390689107822624E-3</v>
      </c>
      <c r="M524" s="96">
        <v>361.4692</v>
      </c>
      <c r="N524" s="97">
        <v>445.5489</v>
      </c>
      <c r="O524" s="93">
        <f t="shared" si="24"/>
        <v>7.4428920729088244E-3</v>
      </c>
      <c r="P524" s="93">
        <f t="shared" si="25"/>
        <v>-7.5283686537236383E-3</v>
      </c>
      <c r="Q524" s="93">
        <f>B524*'Portfolio 2 &amp; 3'!$F$7+C524*'Portfolio 2 &amp; 3'!$F$8+D524*'Portfolio 2 &amp; 3'!$F$9+E524*'Portfolio 2 &amp; 3'!$F$10+F524*'Portfolio 2 &amp; 3'!$F$11+G524*'Portfolio 2 &amp; 3'!$F$12+H524*'Portfolio 2 &amp; 3'!$F$13+I524*'Portfolio 2 &amp; 3'!$F$14+J524*'Portfolio 2 &amp; 3'!$F$15+K524*'Portfolio 2 &amp; 3'!$F$16</f>
        <v>2.4720127985653566E-3</v>
      </c>
      <c r="R524" s="93">
        <f>B524*'Portfolio 2 &amp; 3'!$B$23+C524*'Portfolio 2 &amp; 3'!$B$24+D524*'Portfolio 2 &amp; 3'!$B$25+E524*'Portfolio 2 &amp; 3'!$B$26+F524*'Portfolio 2 &amp; 3'!$B$27+G524*'Portfolio 2 &amp; 3'!$B$28+H524*'Portfolio 2 &amp; 3'!$B$29+I524*'Portfolio 2 &amp; 3'!$B$30+J524*'Portfolio 2 &amp; 3'!$B$31+K524*'Portfolio 2 &amp; 3'!$B$32</f>
        <v>1.0646137764909561E-2</v>
      </c>
      <c r="S524" s="93">
        <f t="shared" si="26"/>
        <v>-4.2738290407406954E-5</v>
      </c>
    </row>
    <row r="525" spans="1:19" ht="12.75" customHeight="1">
      <c r="A525" s="82">
        <v>45311</v>
      </c>
      <c r="B525" s="53">
        <v>-2.5600000000000001E-2</v>
      </c>
      <c r="C525" s="53">
        <v>-5.5704456356509002E-3</v>
      </c>
      <c r="D525" s="53">
        <v>2.3376852505292901E-2</v>
      </c>
      <c r="E525" s="53">
        <v>1.5200000000000001E-3</v>
      </c>
      <c r="F525" s="53">
        <v>-2.3315522864478501E-2</v>
      </c>
      <c r="G525" s="53">
        <v>5.4946156777027104E-3</v>
      </c>
      <c r="H525" s="87">
        <v>4.01275905822642E-2</v>
      </c>
      <c r="I525" s="53">
        <v>-9.9848057304101605E-3</v>
      </c>
      <c r="J525" s="53">
        <v>-2.3947723871062001E-2</v>
      </c>
      <c r="K525" s="53">
        <v>-2.3191483416692398E-3</v>
      </c>
      <c r="L525" s="95">
        <f>IFERROR(B525*'Stock Statistics'!$C$41+C525*'Stock Statistics'!$C$42+D525*'Stock Statistics'!$C$43+E525*'Stock Statistics'!$C$44+F525*'Stock Statistics'!$C$45+G525*'Stock Statistics'!$C$46+H525*'Stock Statistics'!$C$47+I525*'Stock Statistics'!$C$48+J525*'Stock Statistics'!$C$49+K525*'Stock Statistics'!$C$50,"")</f>
        <v>-2.0218587678010988E-3</v>
      </c>
      <c r="M525" s="97">
        <v>358.7987</v>
      </c>
      <c r="N525" s="96">
        <v>448.92860000000002</v>
      </c>
      <c r="O525" s="93">
        <f t="shared" si="24"/>
        <v>-1.2043856820735721E-2</v>
      </c>
      <c r="P525" s="93">
        <f t="shared" si="25"/>
        <v>5.0245788859333285E-3</v>
      </c>
      <c r="Q525" s="93">
        <f>B525*'Portfolio 2 &amp; 3'!$F$7+C525*'Portfolio 2 &amp; 3'!$F$8+D525*'Portfolio 2 &amp; 3'!$F$9+E525*'Portfolio 2 &amp; 3'!$F$10+F525*'Portfolio 2 &amp; 3'!$F$11+G525*'Portfolio 2 &amp; 3'!$F$12+H525*'Portfolio 2 &amp; 3'!$F$13+I525*'Portfolio 2 &amp; 3'!$F$14+J525*'Portfolio 2 &amp; 3'!$F$15+K525*'Portfolio 2 &amp; 3'!$F$16</f>
        <v>9.3124025149952873E-4</v>
      </c>
      <c r="R525" s="93">
        <f>B525*'Portfolio 2 &amp; 3'!$B$23+C525*'Portfolio 2 &amp; 3'!$B$24+D525*'Portfolio 2 &amp; 3'!$B$25+E525*'Portfolio 2 &amp; 3'!$B$26+F525*'Portfolio 2 &amp; 3'!$B$27+G525*'Portfolio 2 &amp; 3'!$B$28+H525*'Portfolio 2 &amp; 3'!$B$29+I525*'Portfolio 2 &amp; 3'!$B$30+J525*'Portfolio 2 &amp; 3'!$B$31+K525*'Portfolio 2 &amp; 3'!$B$32</f>
        <v>-9.5732746782689945E-3</v>
      </c>
      <c r="S525" s="93">
        <f t="shared" si="26"/>
        <v>-3.5096389674011963E-3</v>
      </c>
    </row>
    <row r="526" spans="1:19" ht="12.75" customHeight="1">
      <c r="A526" s="81">
        <v>45310</v>
      </c>
      <c r="B526" s="53">
        <v>5.0000000000000001E-3</v>
      </c>
      <c r="C526" s="53">
        <v>0</v>
      </c>
      <c r="D526" s="53">
        <v>-9.1342161618810404E-3</v>
      </c>
      <c r="E526" s="53">
        <v>1.3559999999999999E-2</v>
      </c>
      <c r="F526" s="53">
        <v>1.6433911694174099E-2</v>
      </c>
      <c r="G526" s="53">
        <v>-1.52062720935284E-2</v>
      </c>
      <c r="H526" s="87">
        <v>6.9205380274692798E-3</v>
      </c>
      <c r="I526" s="53">
        <v>0</v>
      </c>
      <c r="J526" s="53">
        <v>-3.3654354958196499E-2</v>
      </c>
      <c r="K526" s="53">
        <v>-1.77436840444073E-2</v>
      </c>
      <c r="L526" s="95">
        <f>IFERROR(B526*'Stock Statistics'!$C$41+C526*'Stock Statistics'!$C$42+D526*'Stock Statistics'!$C$43+E526*'Stock Statistics'!$C$44+F526*'Stock Statistics'!$C$45+G526*'Stock Statistics'!$C$46+H526*'Stock Statistics'!$C$47+I526*'Stock Statistics'!$C$48+J526*'Stock Statistics'!$C$49+K526*'Stock Statistics'!$C$50,"")</f>
        <v>-3.3824077536369866E-3</v>
      </c>
      <c r="M526" s="96">
        <v>363.17270000000002</v>
      </c>
      <c r="N526" s="97">
        <v>446.68419999999998</v>
      </c>
      <c r="O526" s="93">
        <f t="shared" si="24"/>
        <v>2.8533211244068379E-3</v>
      </c>
      <c r="P526" s="93">
        <f t="shared" si="25"/>
        <v>-2.6178022161559289E-3</v>
      </c>
      <c r="Q526" s="93">
        <f>B526*'Portfolio 2 &amp; 3'!$F$7+C526*'Portfolio 2 &amp; 3'!$F$8+D526*'Portfolio 2 &amp; 3'!$F$9+E526*'Portfolio 2 &amp; 3'!$F$10+F526*'Portfolio 2 &amp; 3'!$F$11+G526*'Portfolio 2 &amp; 3'!$F$12+H526*'Portfolio 2 &amp; 3'!$F$13+I526*'Portfolio 2 &amp; 3'!$F$14+J526*'Portfolio 2 &amp; 3'!$F$15+K526*'Portfolio 2 &amp; 3'!$F$16</f>
        <v>-4.1953369117243584E-3</v>
      </c>
      <c r="R526" s="93">
        <f>B526*'Portfolio 2 &amp; 3'!$B$23+C526*'Portfolio 2 &amp; 3'!$B$24+D526*'Portfolio 2 &amp; 3'!$B$25+E526*'Portfolio 2 &amp; 3'!$B$26+F526*'Portfolio 2 &amp; 3'!$B$27+G526*'Portfolio 2 &amp; 3'!$B$28+H526*'Portfolio 2 &amp; 3'!$B$29+I526*'Portfolio 2 &amp; 3'!$B$30+J526*'Portfolio 2 &amp; 3'!$B$31+K526*'Portfolio 2 &amp; 3'!$B$32</f>
        <v>-8.9133709928395895E-4</v>
      </c>
      <c r="S526" s="93">
        <f t="shared" si="26"/>
        <v>1.1775945412545452E-4</v>
      </c>
    </row>
    <row r="527" spans="1:19" ht="12.75" customHeight="1">
      <c r="A527" s="82">
        <v>45309</v>
      </c>
      <c r="B527" s="53">
        <v>2.9999999999999997E-4</v>
      </c>
      <c r="C527" s="53">
        <v>3.8187594742197503E-2</v>
      </c>
      <c r="D527" s="53">
        <v>-4.0480543222773998E-3</v>
      </c>
      <c r="E527" s="53">
        <v>-1.7440000000000001E-2</v>
      </c>
      <c r="F527" s="53">
        <v>-1.1272368606454199E-3</v>
      </c>
      <c r="G527" s="53">
        <v>2.7599082736367901E-2</v>
      </c>
      <c r="H527" s="87">
        <v>-5.7866694894322997E-3</v>
      </c>
      <c r="I527" s="53">
        <v>2.7570195167960802E-3</v>
      </c>
      <c r="J527" s="53">
        <v>5.9261887863732996E-3</v>
      </c>
      <c r="K527" s="53">
        <v>7.8000746815660698E-3</v>
      </c>
      <c r="L527" s="95">
        <f>IFERROR(B527*'Stock Statistics'!$C$41+C527*'Stock Statistics'!$C$42+D527*'Stock Statistics'!$C$43+E527*'Stock Statistics'!$C$44+F527*'Stock Statistics'!$C$45+G527*'Stock Statistics'!$C$46+H527*'Stock Statistics'!$C$47+I527*'Stock Statistics'!$C$48+J527*'Stock Statistics'!$C$49+K527*'Stock Statistics'!$C$50,"")</f>
        <v>5.4167999790945744E-3</v>
      </c>
      <c r="M527" s="97">
        <v>362.13940000000002</v>
      </c>
      <c r="N527" s="96">
        <v>447.85660000000001</v>
      </c>
      <c r="O527" s="93">
        <f t="shared" si="24"/>
        <v>3.9975325584458155E-3</v>
      </c>
      <c r="P527" s="93">
        <f t="shared" si="25"/>
        <v>4.3623015693252665E-3</v>
      </c>
      <c r="Q527" s="93">
        <f>B527*'Portfolio 2 &amp; 3'!$F$7+C527*'Portfolio 2 &amp; 3'!$F$8+D527*'Portfolio 2 &amp; 3'!$F$9+E527*'Portfolio 2 &amp; 3'!$F$10+F527*'Portfolio 2 &amp; 3'!$F$11+G527*'Portfolio 2 &amp; 3'!$F$12+H527*'Portfolio 2 &amp; 3'!$F$13+I527*'Portfolio 2 &amp; 3'!$F$14+J527*'Portfolio 2 &amp; 3'!$F$15+K527*'Portfolio 2 &amp; 3'!$F$16</f>
        <v>4.0677620456678019E-3</v>
      </c>
      <c r="R527" s="93">
        <f>B527*'Portfolio 2 &amp; 3'!$B$23+C527*'Portfolio 2 &amp; 3'!$B$24+D527*'Portfolio 2 &amp; 3'!$B$25+E527*'Portfolio 2 &amp; 3'!$B$26+F527*'Portfolio 2 &amp; 3'!$B$27+G527*'Portfolio 2 &amp; 3'!$B$28+H527*'Portfolio 2 &amp; 3'!$B$29+I527*'Portfolio 2 &amp; 3'!$B$30+J527*'Portfolio 2 &amp; 3'!$B$31+K527*'Portfolio 2 &amp; 3'!$B$32</f>
        <v>1.142532239552467E-2</v>
      </c>
      <c r="S527" s="93">
        <f t="shared" si="26"/>
        <v>4.179917063885541E-3</v>
      </c>
    </row>
    <row r="528" spans="1:19" ht="12.75" customHeight="1">
      <c r="A528" s="81">
        <v>45308</v>
      </c>
      <c r="B528" s="53">
        <v>-2.8999999999999998E-3</v>
      </c>
      <c r="C528" s="53">
        <v>-1.2913276077643599E-2</v>
      </c>
      <c r="D528" s="53">
        <v>2.1248221906116801E-2</v>
      </c>
      <c r="E528" s="53">
        <v>-6.7400000000000003E-3</v>
      </c>
      <c r="F528" s="53">
        <v>4.03197283723555E-3</v>
      </c>
      <c r="G528" s="53">
        <v>5.2790806278024704E-4</v>
      </c>
      <c r="H528" s="87">
        <v>3.2301170806821001E-3</v>
      </c>
      <c r="I528" s="53">
        <v>3.93243599894431E-2</v>
      </c>
      <c r="J528" s="53">
        <v>7.0465337132003897E-2</v>
      </c>
      <c r="K528" s="53">
        <v>-9.3710183447275296E-3</v>
      </c>
      <c r="L528" s="95">
        <f>IFERROR(B528*'Stock Statistics'!$C$41+C528*'Stock Statistics'!$C$42+D528*'Stock Statistics'!$C$43+E528*'Stock Statistics'!$C$44+F528*'Stock Statistics'!$C$45+G528*'Stock Statistics'!$C$46+H528*'Stock Statistics'!$C$47+I528*'Stock Statistics'!$C$48+J528*'Stock Statistics'!$C$49+K528*'Stock Statistics'!$C$50,"")</f>
        <v>1.0690362258589057E-2</v>
      </c>
      <c r="M528" s="96">
        <v>360.69749999999999</v>
      </c>
      <c r="N528" s="97">
        <v>445.91140000000001</v>
      </c>
      <c r="O528" s="93">
        <f t="shared" si="24"/>
        <v>7.4130698717167487E-3</v>
      </c>
      <c r="P528" s="93">
        <f t="shared" si="25"/>
        <v>2.9918037488305682E-3</v>
      </c>
      <c r="Q528" s="93">
        <f>B528*'Portfolio 2 &amp; 3'!$F$7+C528*'Portfolio 2 &amp; 3'!$F$8+D528*'Portfolio 2 &amp; 3'!$F$9+E528*'Portfolio 2 &amp; 3'!$F$10+F528*'Portfolio 2 &amp; 3'!$F$11+G528*'Portfolio 2 &amp; 3'!$F$12+H528*'Portfolio 2 &amp; 3'!$F$13+I528*'Portfolio 2 &amp; 3'!$F$14+J528*'Portfolio 2 &amp; 3'!$F$15+K528*'Portfolio 2 &amp; 3'!$F$16</f>
        <v>1.4717952904288206E-2</v>
      </c>
      <c r="R528" s="93">
        <f>B528*'Portfolio 2 &amp; 3'!$B$23+C528*'Portfolio 2 &amp; 3'!$B$24+D528*'Portfolio 2 &amp; 3'!$B$25+E528*'Portfolio 2 &amp; 3'!$B$26+F528*'Portfolio 2 &amp; 3'!$B$27+G528*'Portfolio 2 &amp; 3'!$B$28+H528*'Portfolio 2 &amp; 3'!$B$29+I528*'Portfolio 2 &amp; 3'!$B$30+J528*'Portfolio 2 &amp; 3'!$B$31+K528*'Portfolio 2 &amp; 3'!$B$32</f>
        <v>9.5396781439017718E-3</v>
      </c>
      <c r="S528" s="93">
        <f t="shared" si="26"/>
        <v>5.2024368102736585E-3</v>
      </c>
    </row>
    <row r="529" spans="1:19" ht="12.75" customHeight="1">
      <c r="A529" s="82">
        <v>45307</v>
      </c>
      <c r="B529" s="53">
        <v>-1.54E-2</v>
      </c>
      <c r="C529" s="53">
        <v>-1.7243115847148702E-2</v>
      </c>
      <c r="D529" s="53">
        <v>3.3206264639691299E-2</v>
      </c>
      <c r="E529" s="53">
        <v>1.8319999999999999E-2</v>
      </c>
      <c r="F529" s="53">
        <v>-1.39499197879612E-2</v>
      </c>
      <c r="G529" s="53">
        <v>-3.9034058733110602E-3</v>
      </c>
      <c r="H529" s="87">
        <v>0</v>
      </c>
      <c r="I529" s="53">
        <v>-7.0754716981130698E-3</v>
      </c>
      <c r="J529" s="53">
        <v>-8.8105726872247398E-3</v>
      </c>
      <c r="K529" s="53">
        <v>-1.1979533271969199E-2</v>
      </c>
      <c r="L529" s="95">
        <f>IFERROR(B529*'Stock Statistics'!$C$41+C529*'Stock Statistics'!$C$42+D529*'Stock Statistics'!$C$43+E529*'Stock Statistics'!$C$44+F529*'Stock Statistics'!$C$45+G529*'Stock Statistics'!$C$46+H529*'Stock Statistics'!$C$47+I529*'Stock Statistics'!$C$48+J529*'Stock Statistics'!$C$49+K529*'Stock Statistics'!$C$50,"")</f>
        <v>-2.6835754526036673E-3</v>
      </c>
      <c r="M529" s="97">
        <v>358.04329999999999</v>
      </c>
      <c r="N529" s="96">
        <v>444.5813</v>
      </c>
      <c r="O529" s="93">
        <f t="shared" si="24"/>
        <v>4.6666453411272624E-3</v>
      </c>
      <c r="P529" s="93">
        <f t="shared" si="25"/>
        <v>6.9520209987543602E-3</v>
      </c>
      <c r="Q529" s="93">
        <f>B529*'Portfolio 2 &amp; 3'!$F$7+C529*'Portfolio 2 &amp; 3'!$F$8+D529*'Portfolio 2 &amp; 3'!$F$9+E529*'Portfolio 2 &amp; 3'!$F$10+F529*'Portfolio 2 &amp; 3'!$F$11+G529*'Portfolio 2 &amp; 3'!$F$12+H529*'Portfolio 2 &amp; 3'!$F$13+I529*'Portfolio 2 &amp; 3'!$F$14+J529*'Portfolio 2 &amp; 3'!$F$15+K529*'Portfolio 2 &amp; 3'!$F$16</f>
        <v>-1.414761221447799E-3</v>
      </c>
      <c r="R529" s="93">
        <f>B529*'Portfolio 2 &amp; 3'!$B$23+C529*'Portfolio 2 &amp; 3'!$B$24+D529*'Portfolio 2 &amp; 3'!$B$25+E529*'Portfolio 2 &amp; 3'!$B$26+F529*'Portfolio 2 &amp; 3'!$B$27+G529*'Portfolio 2 &amp; 3'!$B$28+H529*'Portfolio 2 &amp; 3'!$B$29+I529*'Portfolio 2 &amp; 3'!$B$30+J529*'Portfolio 2 &amp; 3'!$B$31+K529*'Portfolio 2 &amp; 3'!$B$32</f>
        <v>-1.0647867796749894E-2</v>
      </c>
      <c r="S529" s="93">
        <f t="shared" si="26"/>
        <v>5.8093331699408113E-3</v>
      </c>
    </row>
    <row r="530" spans="1:19" ht="12.75" customHeight="1">
      <c r="A530" s="81">
        <v>45306</v>
      </c>
      <c r="B530" s="53">
        <v>1.7899999999999999E-2</v>
      </c>
      <c r="C530" s="53">
        <v>6.1716509419620404E-3</v>
      </c>
      <c r="D530" s="53">
        <v>-2.6992000715019698E-2</v>
      </c>
      <c r="E530" s="53">
        <v>1.094E-2</v>
      </c>
      <c r="F530" s="53">
        <v>1.8325165139569499E-2</v>
      </c>
      <c r="G530" s="53">
        <v>9.1847981385475598E-3</v>
      </c>
      <c r="H530" s="87">
        <v>-1.8790757448138701E-2</v>
      </c>
      <c r="I530" s="53">
        <v>-1.1229646266153199E-4</v>
      </c>
      <c r="J530" s="53">
        <v>3.7794323292641399E-3</v>
      </c>
      <c r="K530" s="53">
        <v>-1.7296362358790701E-3</v>
      </c>
      <c r="L530" s="95">
        <f>IFERROR(B530*'Stock Statistics'!$C$41+C530*'Stock Statistics'!$C$42+D530*'Stock Statistics'!$C$43+E530*'Stock Statistics'!$C$44+F530*'Stock Statistics'!$C$45+G530*'Stock Statistics'!$C$46+H530*'Stock Statistics'!$C$47+I530*'Stock Statistics'!$C$48+J530*'Stock Statistics'!$C$49+K530*'Stock Statistics'!$C$50,"")</f>
        <v>1.8676355687644239E-3</v>
      </c>
      <c r="M530" s="96">
        <v>356.3802</v>
      </c>
      <c r="N530" s="97">
        <v>441.51190000000003</v>
      </c>
      <c r="O530" s="93">
        <f t="shared" si="24"/>
        <v>-3.5108342061952458E-3</v>
      </c>
      <c r="P530" s="93">
        <f t="shared" si="25"/>
        <v>-8.6749271120660776E-3</v>
      </c>
      <c r="Q530" s="93">
        <f>B530*'Portfolio 2 &amp; 3'!$F$7+C530*'Portfolio 2 &amp; 3'!$F$8+D530*'Portfolio 2 &amp; 3'!$F$9+E530*'Portfolio 2 &amp; 3'!$F$10+F530*'Portfolio 2 &amp; 3'!$F$11+G530*'Portfolio 2 &amp; 3'!$F$12+H530*'Portfolio 2 &amp; 3'!$F$13+I530*'Portfolio 2 &amp; 3'!$F$14+J530*'Portfolio 2 &amp; 3'!$F$15+K530*'Portfolio 2 &amp; 3'!$F$16</f>
        <v>-1.293382465336522E-3</v>
      </c>
      <c r="R530" s="93">
        <f>B530*'Portfolio 2 &amp; 3'!$B$23+C530*'Portfolio 2 &amp; 3'!$B$24+D530*'Portfolio 2 &amp; 3'!$B$25+E530*'Portfolio 2 &amp; 3'!$B$26+F530*'Portfolio 2 &amp; 3'!$B$27+G530*'Portfolio 2 &amp; 3'!$B$28+H530*'Portfolio 2 &amp; 3'!$B$29+I530*'Portfolio 2 &amp; 3'!$B$30+J530*'Portfolio 2 &amp; 3'!$B$31+K530*'Portfolio 2 &amp; 3'!$B$32</f>
        <v>6.4896136879219919E-3</v>
      </c>
      <c r="S530" s="93">
        <f t="shared" si="26"/>
        <v>-6.0928806591306617E-3</v>
      </c>
    </row>
    <row r="531" spans="1:19" ht="12.75" customHeight="1">
      <c r="A531" s="82">
        <v>45303</v>
      </c>
      <c r="B531" s="53">
        <v>1.6199999999999999E-2</v>
      </c>
      <c r="C531" s="53">
        <v>-2.4188364664813999E-2</v>
      </c>
      <c r="D531" s="53">
        <v>-2.6790762405949801E-2</v>
      </c>
      <c r="E531" s="53">
        <v>-1.375E-2</v>
      </c>
      <c r="F531" s="53">
        <v>-4.2598509052171901E-4</v>
      </c>
      <c r="G531" s="53">
        <v>-1.0282205118881799E-2</v>
      </c>
      <c r="H531" s="87">
        <v>-4.3401201746423599E-3</v>
      </c>
      <c r="I531" s="53">
        <v>2.8290993071593599E-2</v>
      </c>
      <c r="J531" s="53">
        <v>2.2372488408037201E-2</v>
      </c>
      <c r="K531" s="53">
        <v>-7.6700278910105703E-3</v>
      </c>
      <c r="L531" s="95">
        <f>IFERROR(B531*'Stock Statistics'!$C$41+C531*'Stock Statistics'!$C$42+D531*'Stock Statistics'!$C$43+E531*'Stock Statistics'!$C$44+F531*'Stock Statistics'!$C$45+G531*'Stock Statistics'!$C$46+H531*'Stock Statistics'!$C$47+I531*'Stock Statistics'!$C$48+J531*'Stock Statistics'!$C$49+K531*'Stock Statistics'!$C$50,"")</f>
        <v>-2.0583983866189451E-3</v>
      </c>
      <c r="M531" s="97">
        <v>357.63580000000002</v>
      </c>
      <c r="N531" s="96">
        <v>445.37549999999999</v>
      </c>
      <c r="O531" s="93">
        <f t="shared" si="24"/>
        <v>-6.9426530692145993E-3</v>
      </c>
      <c r="P531" s="93">
        <f t="shared" si="25"/>
        <v>4.3869875614399589E-4</v>
      </c>
      <c r="Q531" s="93">
        <f>B531*'Portfolio 2 &amp; 3'!$F$7+C531*'Portfolio 2 &amp; 3'!$F$8+D531*'Portfolio 2 &amp; 3'!$F$9+E531*'Portfolio 2 &amp; 3'!$F$10+F531*'Portfolio 2 &amp; 3'!$F$11+G531*'Portfolio 2 &amp; 3'!$F$12+H531*'Portfolio 2 &amp; 3'!$F$13+I531*'Portfolio 2 &amp; 3'!$F$14+J531*'Portfolio 2 &amp; 3'!$F$15+K531*'Portfolio 2 &amp; 3'!$F$16</f>
        <v>-2.1022556526060785E-3</v>
      </c>
      <c r="R531" s="93">
        <f>B531*'Portfolio 2 &amp; 3'!$B$23+C531*'Portfolio 2 &amp; 3'!$B$24+D531*'Portfolio 2 &amp; 3'!$B$25+E531*'Portfolio 2 &amp; 3'!$B$26+F531*'Portfolio 2 &amp; 3'!$B$27+G531*'Portfolio 2 &amp; 3'!$B$28+H531*'Portfolio 2 &amp; 3'!$B$29+I531*'Portfolio 2 &amp; 3'!$B$30+J531*'Portfolio 2 &amp; 3'!$B$31+K531*'Portfolio 2 &amp; 3'!$B$32</f>
        <v>3.0711353252990078E-3</v>
      </c>
      <c r="S531" s="93">
        <f t="shared" si="26"/>
        <v>-3.2519771565353017E-3</v>
      </c>
    </row>
    <row r="532" spans="1:19" ht="12.75" customHeight="1">
      <c r="A532" s="81">
        <v>45302</v>
      </c>
      <c r="B532" s="53">
        <v>2.9700000000000001E-2</v>
      </c>
      <c r="C532" s="53">
        <v>-8.7934237047004903E-4</v>
      </c>
      <c r="D532" s="53">
        <v>5.0052518609855497E-2</v>
      </c>
      <c r="E532" s="53">
        <v>-4.9300000000000004E-3</v>
      </c>
      <c r="F532" s="53">
        <v>-3.7487622011599399E-3</v>
      </c>
      <c r="G532" s="53">
        <v>2.5924050632912801E-3</v>
      </c>
      <c r="H532" s="87">
        <v>1.65938634346132E-2</v>
      </c>
      <c r="I532" s="53">
        <v>-1.10015607750581E-2</v>
      </c>
      <c r="J532" s="53">
        <v>-6.4114869274771698E-3</v>
      </c>
      <c r="K532" s="53">
        <v>-2.24669026084676E-2</v>
      </c>
      <c r="L532" s="95">
        <f>IFERROR(B532*'Stock Statistics'!$C$41+C532*'Stock Statistics'!$C$42+D532*'Stock Statistics'!$C$43+E532*'Stock Statistics'!$C$44+F532*'Stock Statistics'!$C$45+G532*'Stock Statistics'!$C$46+H532*'Stock Statistics'!$C$47+I532*'Stock Statistics'!$C$48+J532*'Stock Statistics'!$C$49+K532*'Stock Statistics'!$C$50,"")</f>
        <v>4.9500732225127115E-3</v>
      </c>
      <c r="M532" s="96">
        <v>360.1361</v>
      </c>
      <c r="N532" s="97">
        <v>445.18020000000001</v>
      </c>
      <c r="O532" s="93">
        <f t="shared" si="24"/>
        <v>-8.4960658495059072E-5</v>
      </c>
      <c r="P532" s="93">
        <f t="shared" si="25"/>
        <v>-8.0307403633361751E-4</v>
      </c>
      <c r="Q532" s="93">
        <f>B532*'Portfolio 2 &amp; 3'!$F$7+C532*'Portfolio 2 &amp; 3'!$F$8+D532*'Portfolio 2 &amp; 3'!$F$9+E532*'Portfolio 2 &amp; 3'!$F$10+F532*'Portfolio 2 &amp; 3'!$F$11+G532*'Portfolio 2 &amp; 3'!$F$12+H532*'Portfolio 2 &amp; 3'!$F$13+I532*'Portfolio 2 &amp; 3'!$F$14+J532*'Portfolio 2 &amp; 3'!$F$15+K532*'Portfolio 2 &amp; 3'!$F$16</f>
        <v>7.044216129414636E-3</v>
      </c>
      <c r="R532" s="93">
        <f>B532*'Portfolio 2 &amp; 3'!$B$23+C532*'Portfolio 2 &amp; 3'!$B$24+D532*'Portfolio 2 &amp; 3'!$B$25+E532*'Portfolio 2 &amp; 3'!$B$26+F532*'Portfolio 2 &amp; 3'!$B$27+G532*'Portfolio 2 &amp; 3'!$B$28+H532*'Portfolio 2 &amp; 3'!$B$29+I532*'Portfolio 2 &amp; 3'!$B$30+J532*'Portfolio 2 &amp; 3'!$B$31+K532*'Portfolio 2 &amp; 3'!$B$32</f>
        <v>-2.829045565805482E-4</v>
      </c>
      <c r="S532" s="93">
        <f t="shared" si="26"/>
        <v>-4.4401734741433829E-4</v>
      </c>
    </row>
    <row r="533" spans="1:19" ht="12.75" customHeight="1">
      <c r="A533" s="82">
        <v>45301</v>
      </c>
      <c r="B533" s="53">
        <v>1.5599999999999999E-2</v>
      </c>
      <c r="C533" s="53">
        <v>4.5656661902493401E-3</v>
      </c>
      <c r="D533" s="53">
        <v>-1.18682310469315E-2</v>
      </c>
      <c r="E533" s="53">
        <v>-1.9300000000000001E-3</v>
      </c>
      <c r="F533" s="53">
        <v>-8.5553997194951492E-3</v>
      </c>
      <c r="G533" s="53">
        <v>-8.1006095708602302E-5</v>
      </c>
      <c r="H533" s="87">
        <v>-6.3241662201673999E-4</v>
      </c>
      <c r="I533" s="53">
        <v>-1.1960732688908E-2</v>
      </c>
      <c r="J533" s="53">
        <v>-8.2244983436775606E-3</v>
      </c>
      <c r="K533" s="53">
        <v>-2.4324739103744601E-2</v>
      </c>
      <c r="L533" s="95">
        <f>IFERROR(B533*'Stock Statistics'!$C$41+C533*'Stock Statistics'!$C$42+D533*'Stock Statistics'!$C$43+E533*'Stock Statistics'!$C$44+F533*'Stock Statistics'!$C$45+G533*'Stock Statistics'!$C$46+H533*'Stock Statistics'!$C$47+I533*'Stock Statistics'!$C$48+J533*'Stock Statistics'!$C$49+K533*'Stock Statistics'!$C$50,"")</f>
        <v>-4.7411357430232823E-3</v>
      </c>
      <c r="M533" s="97">
        <v>360.16669999999999</v>
      </c>
      <c r="N533" s="96">
        <v>445.53800000000001</v>
      </c>
      <c r="O533" s="93">
        <f t="shared" si="24"/>
        <v>-4.4070532755051683E-3</v>
      </c>
      <c r="P533" s="93">
        <f t="shared" si="25"/>
        <v>6.5923350521135404E-3</v>
      </c>
      <c r="Q533" s="93">
        <f>B533*'Portfolio 2 &amp; 3'!$F$7+C533*'Portfolio 2 &amp; 3'!$F$8+D533*'Portfolio 2 &amp; 3'!$F$9+E533*'Portfolio 2 &amp; 3'!$F$10+F533*'Portfolio 2 &amp; 3'!$F$11+G533*'Portfolio 2 &amp; 3'!$F$12+H533*'Portfolio 2 &amp; 3'!$F$13+I533*'Portfolio 2 &amp; 3'!$F$14+J533*'Portfolio 2 &amp; 3'!$F$15+K533*'Portfolio 2 &amp; 3'!$F$16</f>
        <v>-5.3570687825297194E-3</v>
      </c>
      <c r="R533" s="93">
        <f>B533*'Portfolio 2 &amp; 3'!$B$23+C533*'Portfolio 2 &amp; 3'!$B$24+D533*'Portfolio 2 &amp; 3'!$B$25+E533*'Portfolio 2 &amp; 3'!$B$26+F533*'Portfolio 2 &amp; 3'!$B$27+G533*'Portfolio 2 &amp; 3'!$B$28+H533*'Portfolio 2 &amp; 3'!$B$29+I533*'Portfolio 2 &amp; 3'!$B$30+J533*'Portfolio 2 &amp; 3'!$B$31+K533*'Portfolio 2 &amp; 3'!$B$32</f>
        <v>-3.9139568279410704E-3</v>
      </c>
      <c r="S533" s="93">
        <f t="shared" si="26"/>
        <v>1.092640888304186E-3</v>
      </c>
    </row>
    <row r="534" spans="1:19" ht="12.75" customHeight="1">
      <c r="A534" s="81">
        <v>45300</v>
      </c>
      <c r="B534" s="53">
        <v>2.4299999999999999E-2</v>
      </c>
      <c r="C534" s="53">
        <v>-2.1985857745556699E-3</v>
      </c>
      <c r="D534" s="53">
        <v>-1.3357079252003599E-2</v>
      </c>
      <c r="E534" s="53">
        <v>-3.9500000000000004E-3</v>
      </c>
      <c r="F534" s="53">
        <v>3.2362459546924102E-3</v>
      </c>
      <c r="G534" s="53">
        <v>4.93221131369799E-2</v>
      </c>
      <c r="H534" s="87">
        <v>-1.63723389549351E-2</v>
      </c>
      <c r="I534" s="53">
        <v>2.56419925336537E-3</v>
      </c>
      <c r="J534" s="53">
        <v>3.9373088685015203E-3</v>
      </c>
      <c r="K534" s="53">
        <v>6.6041014946125499E-3</v>
      </c>
      <c r="L534" s="95">
        <f>IFERROR(B534*'Stock Statistics'!$C$41+C534*'Stock Statistics'!$C$42+D534*'Stock Statistics'!$C$43+E534*'Stock Statistics'!$C$44+F534*'Stock Statistics'!$C$45+G534*'Stock Statistics'!$C$46+H534*'Stock Statistics'!$C$47+I534*'Stock Statistics'!$C$48+J534*'Stock Statistics'!$C$49+K534*'Stock Statistics'!$C$50,"")</f>
        <v>5.4085964726657372E-3</v>
      </c>
      <c r="M534" s="96">
        <v>361.76100000000002</v>
      </c>
      <c r="N534" s="97">
        <v>442.62009999999998</v>
      </c>
      <c r="O534" s="93">
        <f t="shared" si="24"/>
        <v>6.1493533583647508E-3</v>
      </c>
      <c r="P534" s="93">
        <f t="shared" si="25"/>
        <v>2.1900602630777977E-2</v>
      </c>
      <c r="Q534" s="93">
        <f>B534*'Portfolio 2 &amp; 3'!$F$7+C534*'Portfolio 2 &amp; 3'!$F$8+D534*'Portfolio 2 &amp; 3'!$F$9+E534*'Portfolio 2 &amp; 3'!$F$10+F534*'Portfolio 2 &amp; 3'!$F$11+G534*'Portfolio 2 &amp; 3'!$F$12+H534*'Portfolio 2 &amp; 3'!$F$13+I534*'Portfolio 2 &amp; 3'!$F$14+J534*'Portfolio 2 &amp; 3'!$F$15+K534*'Portfolio 2 &amp; 3'!$F$16</f>
        <v>9.9379668826355913E-4</v>
      </c>
      <c r="R534" s="93">
        <f>B534*'Portfolio 2 &amp; 3'!$B$23+C534*'Portfolio 2 &amp; 3'!$B$24+D534*'Portfolio 2 &amp; 3'!$B$25+E534*'Portfolio 2 &amp; 3'!$B$26+F534*'Portfolio 2 &amp; 3'!$B$27+G534*'Portfolio 2 &amp; 3'!$B$28+H534*'Portfolio 2 &amp; 3'!$B$29+I534*'Portfolio 2 &amp; 3'!$B$30+J534*'Portfolio 2 &amp; 3'!$B$31+K534*'Portfolio 2 &amp; 3'!$B$32</f>
        <v>9.2604164442365751E-3</v>
      </c>
      <c r="S534" s="93">
        <f t="shared" si="26"/>
        <v>1.4024977994571364E-2</v>
      </c>
    </row>
    <row r="535" spans="1:19" ht="12.75" customHeight="1">
      <c r="A535" s="82">
        <v>45299</v>
      </c>
      <c r="B535" s="53">
        <v>-9.4999999999999998E-3</v>
      </c>
      <c r="C535" s="53">
        <v>-1.78933320152241E-3</v>
      </c>
      <c r="D535" s="53">
        <v>3.0367988567345798E-3</v>
      </c>
      <c r="E535" s="53">
        <v>-6.1900000000000002E-3</v>
      </c>
      <c r="F535" s="53">
        <v>-4.9702485124255603E-3</v>
      </c>
      <c r="G535" s="53">
        <v>6.4160143718721098E-3</v>
      </c>
      <c r="H535" s="87">
        <v>6.5045740721416702E-3</v>
      </c>
      <c r="I535" s="53">
        <v>7.3694207027541498E-3</v>
      </c>
      <c r="J535" s="53">
        <v>-1.3314223211255E-2</v>
      </c>
      <c r="K535" s="53">
        <v>-5.4414626651644298E-3</v>
      </c>
      <c r="L535" s="95">
        <f>IFERROR(B535*'Stock Statistics'!$C$41+C535*'Stock Statistics'!$C$42+D535*'Stock Statistics'!$C$43+E535*'Stock Statistics'!$C$44+F535*'Stock Statistics'!$C$45+G535*'Stock Statistics'!$C$46+H535*'Stock Statistics'!$C$47+I535*'Stock Statistics'!$C$48+J535*'Stock Statistics'!$C$49+K535*'Stock Statistics'!$C$50,"")</f>
        <v>-1.7878459586864893E-3</v>
      </c>
      <c r="M535" s="97">
        <v>359.55</v>
      </c>
      <c r="N535" s="96">
        <v>433.13420000000002</v>
      </c>
      <c r="O535" s="93">
        <f t="shared" si="24"/>
        <v>5.0011068848236917E-3</v>
      </c>
      <c r="P535" s="93">
        <f t="shared" si="25"/>
        <v>2.8311362006190333E-3</v>
      </c>
      <c r="Q535" s="93">
        <f>B535*'Portfolio 2 &amp; 3'!$F$7+C535*'Portfolio 2 &amp; 3'!$F$8+D535*'Portfolio 2 &amp; 3'!$F$9+E535*'Portfolio 2 &amp; 3'!$F$10+F535*'Portfolio 2 &amp; 3'!$F$11+G535*'Portfolio 2 &amp; 3'!$F$12+H535*'Portfolio 2 &amp; 3'!$F$13+I535*'Portfolio 2 &amp; 3'!$F$14+J535*'Portfolio 2 &amp; 3'!$F$15+K535*'Portfolio 2 &amp; 3'!$F$16</f>
        <v>-1.689908082857319E-3</v>
      </c>
      <c r="R535" s="93">
        <f>B535*'Portfolio 2 &amp; 3'!$B$23+C535*'Portfolio 2 &amp; 3'!$B$24+D535*'Portfolio 2 &amp; 3'!$B$25+E535*'Portfolio 2 &amp; 3'!$B$26+F535*'Portfolio 2 &amp; 3'!$B$27+G535*'Portfolio 2 &amp; 3'!$B$28+H535*'Portfolio 2 &amp; 3'!$B$29+I535*'Portfolio 2 &amp; 3'!$B$30+J535*'Portfolio 2 &amp; 3'!$B$31+K535*'Portfolio 2 &amp; 3'!$B$32</f>
        <v>-5.4595885515939537E-4</v>
      </c>
      <c r="S535" s="93">
        <f t="shared" si="26"/>
        <v>3.9161215427213625E-3</v>
      </c>
    </row>
    <row r="536" spans="1:19" ht="12.75" customHeight="1">
      <c r="A536" s="81">
        <v>45296</v>
      </c>
      <c r="B536" s="53">
        <v>1.34E-2</v>
      </c>
      <c r="C536" s="53">
        <v>-1.21196140474238E-2</v>
      </c>
      <c r="D536" s="53">
        <v>4.2606628694443803E-3</v>
      </c>
      <c r="E536" s="53">
        <v>3.81E-3</v>
      </c>
      <c r="F536" s="53">
        <v>7.1917083832757599E-3</v>
      </c>
      <c r="G536" s="53">
        <v>5.7214144368924504E-3</v>
      </c>
      <c r="H536" s="87">
        <v>-2.0047384727538398E-3</v>
      </c>
      <c r="I536" s="53">
        <v>-6.4913009019887998E-3</v>
      </c>
      <c r="J536" s="53">
        <v>-2.6707794161902102E-3</v>
      </c>
      <c r="K536" s="53">
        <v>6.5340217544473901E-4</v>
      </c>
      <c r="L536" s="95">
        <f>IFERROR(B536*'Stock Statistics'!$C$41+C536*'Stock Statistics'!$C$42+D536*'Stock Statistics'!$C$43+E536*'Stock Statistics'!$C$44+F536*'Stock Statistics'!$C$45+G536*'Stock Statistics'!$C$46+H536*'Stock Statistics'!$C$47+I536*'Stock Statistics'!$C$48+J536*'Stock Statistics'!$C$49+K536*'Stock Statistics'!$C$50,"")</f>
        <v>1.1750755026700677E-3</v>
      </c>
      <c r="M536" s="96">
        <v>357.76080000000002</v>
      </c>
      <c r="N536" s="97">
        <v>431.91140000000001</v>
      </c>
      <c r="O536" s="93">
        <f t="shared" si="24"/>
        <v>8.4478743321614314E-3</v>
      </c>
      <c r="P536" s="93">
        <f t="shared" si="25"/>
        <v>1.7469225912900566E-3</v>
      </c>
      <c r="Q536" s="93">
        <f>B536*'Portfolio 2 &amp; 3'!$F$7+C536*'Portfolio 2 &amp; 3'!$F$8+D536*'Portfolio 2 &amp; 3'!$F$9+E536*'Portfolio 2 &amp; 3'!$F$10+F536*'Portfolio 2 &amp; 3'!$F$11+G536*'Portfolio 2 &amp; 3'!$F$12+H536*'Portfolio 2 &amp; 3'!$F$13+I536*'Portfolio 2 &amp; 3'!$F$14+J536*'Portfolio 2 &amp; 3'!$F$15+K536*'Portfolio 2 &amp; 3'!$F$16</f>
        <v>4.0049637404081944E-4</v>
      </c>
      <c r="R536" s="93">
        <f>B536*'Portfolio 2 &amp; 3'!$B$23+C536*'Portfolio 2 &amp; 3'!$B$24+D536*'Portfolio 2 &amp; 3'!$B$25+E536*'Portfolio 2 &amp; 3'!$B$26+F536*'Portfolio 2 &amp; 3'!$B$27+G536*'Portfolio 2 &amp; 3'!$B$28+H536*'Portfolio 2 &amp; 3'!$B$29+I536*'Portfolio 2 &amp; 3'!$B$30+J536*'Portfolio 2 &amp; 3'!$B$31+K536*'Portfolio 2 &amp; 3'!$B$32</f>
        <v>-4.4448013664752421E-4</v>
      </c>
      <c r="S536" s="93">
        <f t="shared" si="26"/>
        <v>5.097398461725744E-3</v>
      </c>
    </row>
    <row r="537" spans="1:19" ht="12.75" customHeight="1">
      <c r="A537" s="82">
        <v>45295</v>
      </c>
      <c r="B537" s="53">
        <v>-1.6000000000000001E-3</v>
      </c>
      <c r="C537" s="53">
        <v>-1.13448745305153E-2</v>
      </c>
      <c r="D537" s="53">
        <v>-8.0964455714223095E-3</v>
      </c>
      <c r="E537" s="53">
        <v>-1.328E-2</v>
      </c>
      <c r="F537" s="53">
        <v>-1.75957207207211E-3</v>
      </c>
      <c r="G537" s="53">
        <v>-1.0850602102038301E-2</v>
      </c>
      <c r="H537" s="87">
        <v>-1.27320863999725E-2</v>
      </c>
      <c r="I537" s="53">
        <v>6.4199395770381295E-4</v>
      </c>
      <c r="J537" s="53">
        <v>3.0907046186062801E-2</v>
      </c>
      <c r="K537" s="53">
        <v>-2.0578971804299E-2</v>
      </c>
      <c r="L537" s="95">
        <f>IFERROR(B537*'Stock Statistics'!$C$41+C537*'Stock Statistics'!$C$42+D537*'Stock Statistics'!$C$43+E537*'Stock Statistics'!$C$44+F537*'Stock Statistics'!$C$45+G537*'Stock Statistics'!$C$46+H537*'Stock Statistics'!$C$47+I537*'Stock Statistics'!$C$48+J537*'Stock Statistics'!$C$49+K537*'Stock Statistics'!$C$50,"")</f>
        <v>-4.8693512336552922E-3</v>
      </c>
      <c r="M537" s="97">
        <v>354.7638</v>
      </c>
      <c r="N537" s="96">
        <v>431.15820000000002</v>
      </c>
      <c r="O537" s="93">
        <f t="shared" si="24"/>
        <v>-8.4222830360021206E-3</v>
      </c>
      <c r="P537" s="93">
        <f t="shared" si="25"/>
        <v>9.6854426572103858E-3</v>
      </c>
      <c r="Q537" s="93">
        <f>B537*'Portfolio 2 &amp; 3'!$F$7+C537*'Portfolio 2 &amp; 3'!$F$8+D537*'Portfolio 2 &amp; 3'!$F$9+E537*'Portfolio 2 &amp; 3'!$F$10+F537*'Portfolio 2 &amp; 3'!$F$11+G537*'Portfolio 2 &amp; 3'!$F$12+H537*'Portfolio 2 &amp; 3'!$F$13+I537*'Portfolio 2 &amp; 3'!$F$14+J537*'Portfolio 2 &amp; 3'!$F$15+K537*'Portfolio 2 &amp; 3'!$F$16</f>
        <v>-3.1800235247569091E-3</v>
      </c>
      <c r="R537" s="93">
        <f>B537*'Portfolio 2 &amp; 3'!$B$23+C537*'Portfolio 2 &amp; 3'!$B$24+D537*'Portfolio 2 &amp; 3'!$B$25+E537*'Portfolio 2 &amp; 3'!$B$26+F537*'Portfolio 2 &amp; 3'!$B$27+G537*'Portfolio 2 &amp; 3'!$B$28+H537*'Portfolio 2 &amp; 3'!$B$29+I537*'Portfolio 2 &amp; 3'!$B$30+J537*'Portfolio 2 &amp; 3'!$B$31+K537*'Portfolio 2 &amp; 3'!$B$32</f>
        <v>-4.885790355363441E-3</v>
      </c>
      <c r="S537" s="93">
        <f t="shared" si="26"/>
        <v>6.315798106041326E-4</v>
      </c>
    </row>
    <row r="538" spans="1:19" ht="12.75" customHeight="1">
      <c r="A538" s="81">
        <v>45294</v>
      </c>
      <c r="B538" s="53">
        <v>1.2E-2</v>
      </c>
      <c r="C538" s="53">
        <v>-4.8044123723227604E-3</v>
      </c>
      <c r="D538" s="53">
        <v>4.9175197818409604E-3</v>
      </c>
      <c r="E538" s="53">
        <v>-2.495E-2</v>
      </c>
      <c r="F538" s="53">
        <v>-2.5974025974026E-3</v>
      </c>
      <c r="G538" s="53">
        <v>-9.1073913226798996E-3</v>
      </c>
      <c r="H538" s="87">
        <v>-1.1211529903119E-3</v>
      </c>
      <c r="I538" s="53">
        <v>1.43262085344367E-2</v>
      </c>
      <c r="J538" s="53">
        <v>1.3839197955573E-2</v>
      </c>
      <c r="K538" s="53">
        <v>1.2836317883151401E-2</v>
      </c>
      <c r="L538" s="95">
        <f>IFERROR(B538*'Stock Statistics'!$C$41+C538*'Stock Statistics'!$C$42+D538*'Stock Statistics'!$C$43+E538*'Stock Statistics'!$C$44+F538*'Stock Statistics'!$C$45+G538*'Stock Statistics'!$C$46+H538*'Stock Statistics'!$C$47+I538*'Stock Statistics'!$C$48+J538*'Stock Statistics'!$C$49+K538*'Stock Statistics'!$C$50,"")</f>
        <v>1.5338884872284902E-3</v>
      </c>
      <c r="M538" s="96">
        <v>357.77710000000002</v>
      </c>
      <c r="N538" s="97">
        <v>427.02229999999997</v>
      </c>
      <c r="O538" s="93">
        <f t="shared" si="24"/>
        <v>-9.0728339970158611E-4</v>
      </c>
      <c r="P538" s="93">
        <f t="shared" si="25"/>
        <v>7.6523304341833409E-3</v>
      </c>
      <c r="Q538" s="93">
        <f>B538*'Portfolio 2 &amp; 3'!$F$7+C538*'Portfolio 2 &amp; 3'!$F$8+D538*'Portfolio 2 &amp; 3'!$F$9+E538*'Portfolio 2 &amp; 3'!$F$10+F538*'Portfolio 2 &amp; 3'!$F$11+G538*'Portfolio 2 &amp; 3'!$F$12+H538*'Portfolio 2 &amp; 3'!$F$13+I538*'Portfolio 2 &amp; 3'!$F$14+J538*'Portfolio 2 &amp; 3'!$F$15+K538*'Portfolio 2 &amp; 3'!$F$16</f>
        <v>2.4672796566168873E-3</v>
      </c>
      <c r="R538" s="93">
        <f>B538*'Portfolio 2 &amp; 3'!$B$23+C538*'Portfolio 2 &amp; 3'!$B$24+D538*'Portfolio 2 &amp; 3'!$B$25+E538*'Portfolio 2 &amp; 3'!$B$26+F538*'Portfolio 2 &amp; 3'!$B$27+G538*'Portfolio 2 &amp; 3'!$B$28+H538*'Portfolio 2 &amp; 3'!$B$29+I538*'Portfolio 2 &amp; 3'!$B$30+J538*'Portfolio 2 &amp; 3'!$B$31+K538*'Portfolio 2 &amp; 3'!$B$32</f>
        <v>4.4770251144285959E-3</v>
      </c>
      <c r="S538" s="93">
        <f t="shared" si="26"/>
        <v>3.3725235172408774E-3</v>
      </c>
    </row>
    <row r="539" spans="1:19" ht="12.75" customHeight="1">
      <c r="A539" s="82">
        <v>45293</v>
      </c>
      <c r="B539" s="53">
        <v>2.4899999999999999E-2</v>
      </c>
      <c r="C539" s="53">
        <v>-6.6907188943611303E-3</v>
      </c>
      <c r="D539" s="53">
        <v>2.48785851736462E-2</v>
      </c>
      <c r="E539" s="53">
        <v>-5.5799999999999999E-3</v>
      </c>
      <c r="F539" s="53">
        <v>1.87370378316527E-2</v>
      </c>
      <c r="G539" s="53">
        <v>8.6331547163391899E-3</v>
      </c>
      <c r="H539" s="87">
        <v>-1.5121630506245799E-2</v>
      </c>
      <c r="I539" s="53">
        <v>3.9224734656206897E-3</v>
      </c>
      <c r="J539" s="53">
        <v>-1.17724764939001E-2</v>
      </c>
      <c r="K539" s="53">
        <v>-2.0075969861137001E-2</v>
      </c>
      <c r="L539" s="95">
        <f>IFERROR(B539*'Stock Statistics'!$C$41+C539*'Stock Statistics'!$C$42+D539*'Stock Statistics'!$C$43+E539*'Stock Statistics'!$C$44+F539*'Stock Statistics'!$C$45+G539*'Stock Statistics'!$C$46+H539*'Stock Statistics'!$C$47+I539*'Stock Statistics'!$C$48+J539*'Stock Statistics'!$C$49+K539*'Stock Statistics'!$C$50,"")</f>
        <v>2.1830455431614752E-3</v>
      </c>
      <c r="M539" s="97">
        <v>358.10199999999998</v>
      </c>
      <c r="N539" s="96">
        <v>423.77940000000001</v>
      </c>
      <c r="O539" s="93">
        <f t="shared" si="24"/>
        <v>6.9368875391904172E-3</v>
      </c>
      <c r="P539" s="93">
        <f t="shared" si="25"/>
        <v>6.4254769591458594E-3</v>
      </c>
      <c r="Q539" s="93">
        <f>B539*'Portfolio 2 &amp; 3'!$F$7+C539*'Portfolio 2 &amp; 3'!$F$8+D539*'Portfolio 2 &amp; 3'!$F$9+E539*'Portfolio 2 &amp; 3'!$F$10+F539*'Portfolio 2 &amp; 3'!$F$11+G539*'Portfolio 2 &amp; 3'!$F$12+H539*'Portfolio 2 &amp; 3'!$F$13+I539*'Portfolio 2 &amp; 3'!$F$14+J539*'Portfolio 2 &amp; 3'!$F$15+K539*'Portfolio 2 &amp; 3'!$F$16</f>
        <v>8.8817556301367577E-4</v>
      </c>
      <c r="R539" s="93">
        <f>B539*'Portfolio 2 &amp; 3'!$B$23+C539*'Portfolio 2 &amp; 3'!$B$24+D539*'Portfolio 2 &amp; 3'!$B$25+E539*'Portfolio 2 &amp; 3'!$B$26+F539*'Portfolio 2 &amp; 3'!$B$27+G539*'Portfolio 2 &amp; 3'!$B$28+H539*'Portfolio 2 &amp; 3'!$B$29+I539*'Portfolio 2 &amp; 3'!$B$30+J539*'Portfolio 2 &amp; 3'!$B$31+K539*'Portfolio 2 &amp; 3'!$B$32</f>
        <v>4.647650063975035E-3</v>
      </c>
      <c r="S539" s="93">
        <f t="shared" si="26"/>
        <v>6.6811822491681383E-3</v>
      </c>
    </row>
    <row r="540" spans="1:19" ht="12.75" customHeight="1">
      <c r="A540" s="81">
        <v>45292</v>
      </c>
      <c r="B540" s="53">
        <v>-3.8999999999999998E-3</v>
      </c>
      <c r="C540" s="53">
        <v>-5.8545009441212104E-3</v>
      </c>
      <c r="D540" s="53">
        <v>-5.95265350977647E-4</v>
      </c>
      <c r="E540" s="53">
        <v>1.107E-2</v>
      </c>
      <c r="F540" s="53">
        <v>1.44370284387696E-2</v>
      </c>
      <c r="G540" s="53">
        <v>1.25742830074931E-2</v>
      </c>
      <c r="H540" s="87">
        <v>8.6049807653365605E-4</v>
      </c>
      <c r="I540" s="53">
        <v>-9.7109562435736506E-3</v>
      </c>
      <c r="J540" s="53">
        <v>-7.5193768557436699E-3</v>
      </c>
      <c r="K540" s="53">
        <v>-6.7785708100887004E-3</v>
      </c>
      <c r="L540" s="95">
        <f>IFERROR(B540*'Stock Statistics'!$C$41+C540*'Stock Statistics'!$C$42+D540*'Stock Statistics'!$C$43+E540*'Stock Statistics'!$C$44+F540*'Stock Statistics'!$C$45+G540*'Stock Statistics'!$C$46+H540*'Stock Statistics'!$C$47+I540*'Stock Statistics'!$C$48+J540*'Stock Statistics'!$C$49+K540*'Stock Statistics'!$C$50,"")</f>
        <v>4.583139318291475E-4</v>
      </c>
      <c r="M540" s="96">
        <v>355.63499999999999</v>
      </c>
      <c r="N540" s="97">
        <v>421.07380000000001</v>
      </c>
      <c r="O540" s="93">
        <f t="shared" si="24"/>
        <v>9.2111248616941754E-3</v>
      </c>
      <c r="P540" s="93">
        <f t="shared" si="25"/>
        <v>1.184905473576503E-2</v>
      </c>
      <c r="Q540" s="93">
        <f>B540*'Portfolio 2 &amp; 3'!$F$7+C540*'Portfolio 2 &amp; 3'!$F$8+D540*'Portfolio 2 &amp; 3'!$F$9+E540*'Portfolio 2 &amp; 3'!$F$10+F540*'Portfolio 2 &amp; 3'!$F$11+G540*'Portfolio 2 &amp; 3'!$F$12+H540*'Portfolio 2 &amp; 3'!$F$13+I540*'Portfolio 2 &amp; 3'!$F$14+J540*'Portfolio 2 &amp; 3'!$F$15+K540*'Portfolio 2 &amp; 3'!$F$16</f>
        <v>-2.396134952336365E-4</v>
      </c>
      <c r="R540" s="93">
        <f>B540*'Portfolio 2 &amp; 3'!$B$23+C540*'Portfolio 2 &amp; 3'!$B$24+D540*'Portfolio 2 &amp; 3'!$B$25+E540*'Portfolio 2 &amp; 3'!$B$26+F540*'Portfolio 2 &amp; 3'!$B$27+G540*'Portfolio 2 &amp; 3'!$B$28+H540*'Portfolio 2 &amp; 3'!$B$29+I540*'Portfolio 2 &amp; 3'!$B$30+J540*'Portfolio 2 &amp; 3'!$B$31+K540*'Portfolio 2 &amp; 3'!$B$32</f>
        <v>-1.268064480416354E-3</v>
      </c>
      <c r="S540" s="93">
        <f t="shared" si="26"/>
        <v>1.0530089798729603E-2</v>
      </c>
    </row>
    <row r="541" spans="1:19" ht="12.75" customHeight="1">
      <c r="A541" s="82">
        <v>45289</v>
      </c>
      <c r="B541" s="53">
        <v>1.01E-2</v>
      </c>
      <c r="C541" s="53">
        <v>5.5242820341570003E-3</v>
      </c>
      <c r="D541" s="53">
        <v>1.09244086469471E-2</v>
      </c>
      <c r="E541" s="53">
        <v>4.0559999999999999E-2</v>
      </c>
      <c r="F541" s="53">
        <v>4.0792540792542499E-3</v>
      </c>
      <c r="G541" s="53">
        <v>1.12790140661061E-2</v>
      </c>
      <c r="H541" s="87">
        <v>1.8061889670454301E-2</v>
      </c>
      <c r="I541" s="53">
        <v>1.1050361928230499E-2</v>
      </c>
      <c r="J541" s="53">
        <v>-2.6919970772603099E-3</v>
      </c>
      <c r="K541" s="53">
        <v>2.8655783258075798E-3</v>
      </c>
      <c r="L541" s="95">
        <f>IFERROR(B541*'Stock Statistics'!$C$41+C541*'Stock Statistics'!$C$42+D541*'Stock Statistics'!$C$43+E541*'Stock Statistics'!$C$44+F541*'Stock Statistics'!$C$45+G541*'Stock Statistics'!$C$46+H541*'Stock Statistics'!$C$47+I541*'Stock Statistics'!$C$48+J541*'Stock Statistics'!$C$49+K541*'Stock Statistics'!$C$50,"")</f>
        <v>1.1175279167369651E-2</v>
      </c>
      <c r="M541" s="97">
        <v>352.38909999999998</v>
      </c>
      <c r="N541" s="96">
        <v>416.1429</v>
      </c>
      <c r="O541" s="93">
        <f t="shared" si="24"/>
        <v>1.6418668992618235E-2</v>
      </c>
      <c r="P541" s="93">
        <f t="shared" si="25"/>
        <v>8.2436805313945705E-3</v>
      </c>
      <c r="Q541" s="93">
        <f>B541*'Portfolio 2 &amp; 3'!$F$7+C541*'Portfolio 2 &amp; 3'!$F$8+D541*'Portfolio 2 &amp; 3'!$F$9+E541*'Portfolio 2 &amp; 3'!$F$10+F541*'Portfolio 2 &amp; 3'!$F$11+G541*'Portfolio 2 &amp; 3'!$F$12+H541*'Portfolio 2 &amp; 3'!$F$13+I541*'Portfolio 2 &amp; 3'!$F$14+J541*'Portfolio 2 &amp; 3'!$F$15+K541*'Portfolio 2 &amp; 3'!$F$16</f>
        <v>1.0378331061820421E-2</v>
      </c>
      <c r="R541" s="93">
        <f>B541*'Portfolio 2 &amp; 3'!$B$23+C541*'Portfolio 2 &amp; 3'!$B$24+D541*'Portfolio 2 &amp; 3'!$B$25+E541*'Portfolio 2 &amp; 3'!$B$26+F541*'Portfolio 2 &amp; 3'!$B$27+G541*'Portfolio 2 &amp; 3'!$B$28+H541*'Portfolio 2 &amp; 3'!$B$29+I541*'Portfolio 2 &amp; 3'!$B$30+J541*'Portfolio 2 &amp; 3'!$B$31+K541*'Portfolio 2 &amp; 3'!$B$32</f>
        <v>7.8462487007880857E-3</v>
      </c>
      <c r="S541" s="93">
        <f t="shared" si="26"/>
        <v>1.2331174762006403E-2</v>
      </c>
    </row>
    <row r="542" spans="1:19" ht="12.75" customHeight="1">
      <c r="A542" s="81">
        <v>45288</v>
      </c>
      <c r="B542" s="53">
        <v>2.3999999999999998E-3</v>
      </c>
      <c r="C542" s="53">
        <v>1.0509062861550299E-2</v>
      </c>
      <c r="D542" s="53">
        <v>-3.5516605166050499E-3</v>
      </c>
      <c r="E542" s="53">
        <v>-8.4200000000000004E-3</v>
      </c>
      <c r="F542" s="53">
        <v>-3.2672620344151898E-3</v>
      </c>
      <c r="G542" s="53">
        <v>-4.0120578603803896E-3</v>
      </c>
      <c r="H542" s="87">
        <v>4.0963107331966099E-3</v>
      </c>
      <c r="I542" s="53">
        <v>1.85156611634008E-3</v>
      </c>
      <c r="J542" s="53">
        <v>1.4513674846865301E-2</v>
      </c>
      <c r="K542" s="53">
        <v>1.4888337468987899E-4</v>
      </c>
      <c r="L542" s="95">
        <f>IFERROR(B542*'Stock Statistics'!$C$41+C542*'Stock Statistics'!$C$42+D542*'Stock Statistics'!$C$43+E542*'Stock Statistics'!$C$44+F542*'Stock Statistics'!$C$45+G542*'Stock Statistics'!$C$46+H542*'Stock Statistics'!$C$47+I542*'Stock Statistics'!$C$48+J542*'Stock Statistics'!$C$49+K542*'Stock Statistics'!$C$50,"")</f>
        <v>1.426851752124154E-3</v>
      </c>
      <c r="M542" s="96">
        <v>346.6968</v>
      </c>
      <c r="N542" s="97">
        <v>412.74040000000002</v>
      </c>
      <c r="O542" s="93">
        <f t="shared" si="24"/>
        <v>2.195774261918082E-3</v>
      </c>
      <c r="P542" s="93">
        <f t="shared" si="25"/>
        <v>-1.5118961602228032E-2</v>
      </c>
      <c r="Q542" s="93">
        <f>B542*'Portfolio 2 &amp; 3'!$F$7+C542*'Portfolio 2 &amp; 3'!$F$8+D542*'Portfolio 2 &amp; 3'!$F$9+E542*'Portfolio 2 &amp; 3'!$F$10+F542*'Portfolio 2 &amp; 3'!$F$11+G542*'Portfolio 2 &amp; 3'!$F$12+H542*'Portfolio 2 &amp; 3'!$F$13+I542*'Portfolio 2 &amp; 3'!$F$14+J542*'Portfolio 2 &amp; 3'!$F$15+K542*'Portfolio 2 &amp; 3'!$F$16</f>
        <v>2.4878939073443465E-3</v>
      </c>
      <c r="R542" s="93">
        <f>B542*'Portfolio 2 &amp; 3'!$B$23+C542*'Portfolio 2 &amp; 3'!$B$24+D542*'Portfolio 2 &amp; 3'!$B$25+E542*'Portfolio 2 &amp; 3'!$B$26+F542*'Portfolio 2 &amp; 3'!$B$27+G542*'Portfolio 2 &amp; 3'!$B$28+H542*'Portfolio 2 &amp; 3'!$B$29+I542*'Portfolio 2 &amp; 3'!$B$30+J542*'Portfolio 2 &amp; 3'!$B$31+K542*'Portfolio 2 &amp; 3'!$B$32</f>
        <v>2.4211542965514887E-3</v>
      </c>
      <c r="S542" s="93">
        <f t="shared" si="26"/>
        <v>-6.4615936701549748E-3</v>
      </c>
    </row>
    <row r="543" spans="1:19" ht="12.75" customHeight="1">
      <c r="A543" s="82">
        <v>45287</v>
      </c>
      <c r="B543" s="53">
        <v>5.1999999999999998E-3</v>
      </c>
      <c r="C543" s="53">
        <v>1.2890624999999999E-2</v>
      </c>
      <c r="D543" s="53">
        <v>-5.2307974671927902E-3</v>
      </c>
      <c r="E543" s="53">
        <v>-1.7749999999999998E-2</v>
      </c>
      <c r="F543" s="53">
        <v>1.8411712511091201E-2</v>
      </c>
      <c r="G543" s="53">
        <v>2.21448838446534E-2</v>
      </c>
      <c r="H543" s="87">
        <v>-1.0352390949979201E-2</v>
      </c>
      <c r="I543" s="53">
        <v>2.85260860940291E-2</v>
      </c>
      <c r="J543" s="53">
        <v>2.4420463629096799E-2</v>
      </c>
      <c r="K543" s="53">
        <v>2.9137618427436798E-2</v>
      </c>
      <c r="L543" s="95">
        <f>IFERROR(B543*'Stock Statistics'!$C$41+C543*'Stock Statistics'!$C$42+D543*'Stock Statistics'!$C$43+E543*'Stock Statistics'!$C$44+F543*'Stock Statistics'!$C$45+G543*'Stock Statistics'!$C$46+H543*'Stock Statistics'!$C$47+I543*'Stock Statistics'!$C$48+J543*'Stock Statistics'!$C$49+K543*'Stock Statistics'!$C$50,"")</f>
        <v>1.073982010891353E-2</v>
      </c>
      <c r="M543" s="97">
        <v>345.93720000000002</v>
      </c>
      <c r="N543" s="96">
        <v>419.07639999999998</v>
      </c>
      <c r="O543" s="93">
        <f t="shared" si="24"/>
        <v>-8.7222937206410389E-4</v>
      </c>
      <c r="P543" s="93">
        <f t="shared" si="25"/>
        <v>6.0930756924211238E-3</v>
      </c>
      <c r="Q543" s="93">
        <f>B543*'Portfolio 2 &amp; 3'!$F$7+C543*'Portfolio 2 &amp; 3'!$F$8+D543*'Portfolio 2 &amp; 3'!$F$9+E543*'Portfolio 2 &amp; 3'!$F$10+F543*'Portfolio 2 &amp; 3'!$F$11+G543*'Portfolio 2 &amp; 3'!$F$12+H543*'Portfolio 2 &amp; 3'!$F$13+I543*'Portfolio 2 &amp; 3'!$F$14+J543*'Portfolio 2 &amp; 3'!$F$15+K543*'Portfolio 2 &amp; 3'!$F$16</f>
        <v>9.2873111474797588E-3</v>
      </c>
      <c r="R543" s="93">
        <f>B543*'Portfolio 2 &amp; 3'!$B$23+C543*'Portfolio 2 &amp; 3'!$B$24+D543*'Portfolio 2 &amp; 3'!$B$25+E543*'Portfolio 2 &amp; 3'!$B$26+F543*'Portfolio 2 &amp; 3'!$B$27+G543*'Portfolio 2 &amp; 3'!$B$28+H543*'Portfolio 2 &amp; 3'!$B$29+I543*'Portfolio 2 &amp; 3'!$B$30+J543*'Portfolio 2 &amp; 3'!$B$31+K543*'Portfolio 2 &amp; 3'!$B$32</f>
        <v>1.8478203810030087E-2</v>
      </c>
      <c r="S543" s="93">
        <f t="shared" si="26"/>
        <v>2.6104231601785099E-3</v>
      </c>
    </row>
    <row r="544" spans="1:19" ht="12.75" customHeight="1">
      <c r="A544" s="81">
        <v>45286</v>
      </c>
      <c r="B544" s="53">
        <v>-6.7000000000000002E-3</v>
      </c>
      <c r="C544" s="53">
        <v>-1.5876677046092399E-2</v>
      </c>
      <c r="D544" s="53">
        <v>1.8792071802543199E-2</v>
      </c>
      <c r="E544" s="53">
        <v>3.3829999999999999E-2</v>
      </c>
      <c r="F544" s="53">
        <v>-5.5151114052504101E-3</v>
      </c>
      <c r="G544" s="53">
        <v>-3.6002208724461599E-3</v>
      </c>
      <c r="H544" s="87">
        <v>2.5207804707323402E-2</v>
      </c>
      <c r="I544" s="53">
        <v>6.3519790384680697E-4</v>
      </c>
      <c r="J544" s="53">
        <v>3.7711626414187499E-3</v>
      </c>
      <c r="K544" s="53">
        <v>3.0738492276953799E-3</v>
      </c>
      <c r="L544" s="95">
        <f>IFERROR(B544*'Stock Statistics'!$C$41+C544*'Stock Statistics'!$C$42+D544*'Stock Statistics'!$C$43+E544*'Stock Statistics'!$C$44+F544*'Stock Statistics'!$C$45+G544*'Stock Statistics'!$C$46+H544*'Stock Statistics'!$C$47+I544*'Stock Statistics'!$C$48+J544*'Stock Statistics'!$C$49+K544*'Stock Statistics'!$C$50,"")</f>
        <v>5.3618076959038577E-3</v>
      </c>
      <c r="M544" s="96">
        <v>346.23919999999998</v>
      </c>
      <c r="N544" s="97">
        <v>416.53840000000002</v>
      </c>
      <c r="O544" s="93">
        <f t="shared" si="24"/>
        <v>6.3688787611031472E-3</v>
      </c>
      <c r="P544" s="93">
        <f t="shared" si="25"/>
        <v>8.1128052890426794E-3</v>
      </c>
      <c r="Q544" s="93">
        <f>B544*'Portfolio 2 &amp; 3'!$F$7+C544*'Portfolio 2 &amp; 3'!$F$8+D544*'Portfolio 2 &amp; 3'!$F$9+E544*'Portfolio 2 &amp; 3'!$F$10+F544*'Portfolio 2 &amp; 3'!$F$11+G544*'Portfolio 2 &amp; 3'!$F$12+H544*'Portfolio 2 &amp; 3'!$F$13+I544*'Portfolio 2 &amp; 3'!$F$14+J544*'Portfolio 2 &amp; 3'!$F$15+K544*'Portfolio 2 &amp; 3'!$F$16</f>
        <v>7.1846745835325845E-3</v>
      </c>
      <c r="R544" s="93">
        <f>B544*'Portfolio 2 &amp; 3'!$B$23+C544*'Portfolio 2 &amp; 3'!$B$24+D544*'Portfolio 2 &amp; 3'!$B$25+E544*'Portfolio 2 &amp; 3'!$B$26+F544*'Portfolio 2 &amp; 3'!$B$27+G544*'Portfolio 2 &amp; 3'!$B$28+H544*'Portfolio 2 &amp; 3'!$B$29+I544*'Portfolio 2 &amp; 3'!$B$30+J544*'Portfolio 2 &amp; 3'!$B$31+K544*'Portfolio 2 &amp; 3'!$B$32</f>
        <v>-3.6479869693799884E-3</v>
      </c>
      <c r="S544" s="93">
        <f t="shared" si="26"/>
        <v>7.2408420250729133E-3</v>
      </c>
    </row>
    <row r="545" spans="1:19" ht="12.75" customHeight="1">
      <c r="A545" s="82">
        <v>45282</v>
      </c>
      <c r="B545" s="53">
        <v>1.11E-2</v>
      </c>
      <c r="C545" s="53">
        <v>1.4874130716786799E-2</v>
      </c>
      <c r="D545" s="53">
        <v>5.5939453767686097E-3</v>
      </c>
      <c r="E545" s="53">
        <v>-7.7999999999999999E-4</v>
      </c>
      <c r="F545" s="53">
        <v>1.26591704520069E-2</v>
      </c>
      <c r="G545" s="53">
        <v>-8.12776585023889E-3</v>
      </c>
      <c r="H545" s="87">
        <v>1.4621414557495899E-2</v>
      </c>
      <c r="I545" s="53">
        <v>-2.1392069088460599E-3</v>
      </c>
      <c r="J545" s="53">
        <v>-1.1500634517766501E-2</v>
      </c>
      <c r="K545" s="53">
        <v>-9.1498623078972701E-3</v>
      </c>
      <c r="L545" s="95">
        <f>IFERROR(B545*'Stock Statistics'!$C$41+C545*'Stock Statistics'!$C$42+D545*'Stock Statistics'!$C$43+E545*'Stock Statistics'!$C$44+F545*'Stock Statistics'!$C$45+G545*'Stock Statistics'!$C$46+H545*'Stock Statistics'!$C$47+I545*'Stock Statistics'!$C$48+J545*'Stock Statistics'!$C$49+K545*'Stock Statistics'!$C$50,"")</f>
        <v>2.7151191518309495E-3</v>
      </c>
      <c r="M545" s="97">
        <v>344.048</v>
      </c>
      <c r="N545" s="96">
        <v>413.18630000000002</v>
      </c>
      <c r="O545" s="93">
        <f t="shared" si="24"/>
        <v>6.3935099015013375E-3</v>
      </c>
      <c r="P545" s="93">
        <f t="shared" si="25"/>
        <v>2.2624423413162287E-3</v>
      </c>
      <c r="Q545" s="93">
        <f>B545*'Portfolio 2 &amp; 3'!$F$7+C545*'Portfolio 2 &amp; 3'!$F$8+D545*'Portfolio 2 &amp; 3'!$F$9+E545*'Portfolio 2 &amp; 3'!$F$10+F545*'Portfolio 2 &amp; 3'!$F$11+G545*'Portfolio 2 &amp; 3'!$F$12+H545*'Portfolio 2 &amp; 3'!$F$13+I545*'Portfolio 2 &amp; 3'!$F$14+J545*'Portfolio 2 &amp; 3'!$F$15+K545*'Portfolio 2 &amp; 3'!$F$16</f>
        <v>3.549786379933027E-3</v>
      </c>
      <c r="R545" s="93">
        <f>B545*'Portfolio 2 &amp; 3'!$B$23+C545*'Portfolio 2 &amp; 3'!$B$24+D545*'Portfolio 2 &amp; 3'!$B$25+E545*'Portfolio 2 &amp; 3'!$B$26+F545*'Portfolio 2 &amp; 3'!$B$27+G545*'Portfolio 2 &amp; 3'!$B$28+H545*'Portfolio 2 &amp; 3'!$B$29+I545*'Portfolio 2 &amp; 3'!$B$30+J545*'Portfolio 2 &amp; 3'!$B$31+K545*'Portfolio 2 &amp; 3'!$B$32</f>
        <v>4.2711578243381544E-3</v>
      </c>
      <c r="S545" s="93">
        <f t="shared" si="26"/>
        <v>4.3279761214087831E-3</v>
      </c>
    </row>
    <row r="546" spans="1:19" ht="12.75" customHeight="1">
      <c r="A546" s="81">
        <v>45281</v>
      </c>
      <c r="B546" s="53">
        <v>9.9000000000000008E-3</v>
      </c>
      <c r="C546" s="53">
        <v>1.00585187082538E-2</v>
      </c>
      <c r="D546" s="53">
        <v>-2.5787696924231E-3</v>
      </c>
      <c r="E546" s="53">
        <v>1.0919999999999999E-2</v>
      </c>
      <c r="F546" s="53">
        <v>1.1600753295668601E-2</v>
      </c>
      <c r="G546" s="53">
        <v>2.69066366704163E-2</v>
      </c>
      <c r="H546" s="87">
        <v>7.9073155996223199E-4</v>
      </c>
      <c r="I546" s="53">
        <v>7.7448201525012203E-3</v>
      </c>
      <c r="J546" s="53">
        <v>1.6979229683403901E-2</v>
      </c>
      <c r="K546" s="53">
        <v>1.4339962669756E-2</v>
      </c>
      <c r="L546" s="95">
        <f>IFERROR(B546*'Stock Statistics'!$C$41+C546*'Stock Statistics'!$C$42+D546*'Stock Statistics'!$C$43+E546*'Stock Statistics'!$C$44+F546*'Stock Statistics'!$C$45+G546*'Stock Statistics'!$C$46+H546*'Stock Statistics'!$C$47+I546*'Stock Statistics'!$C$48+J546*'Stock Statistics'!$C$49+K546*'Stock Statistics'!$C$50,"")</f>
        <v>1.0666188304753896E-2</v>
      </c>
      <c r="M546" s="96">
        <v>341.8623</v>
      </c>
      <c r="N546" s="97">
        <v>412.25360000000001</v>
      </c>
      <c r="O546" s="93">
        <f t="shared" si="24"/>
        <v>7.9795138520326603E-3</v>
      </c>
      <c r="P546" s="93">
        <f t="shared" si="25"/>
        <v>1.8746861954175298E-3</v>
      </c>
      <c r="Q546" s="93">
        <f>B546*'Portfolio 2 &amp; 3'!$F$7+C546*'Portfolio 2 &amp; 3'!$F$8+D546*'Portfolio 2 &amp; 3'!$F$9+E546*'Portfolio 2 &amp; 3'!$F$10+F546*'Portfolio 2 &amp; 3'!$F$11+G546*'Portfolio 2 &amp; 3'!$F$12+H546*'Portfolio 2 &amp; 3'!$F$13+I546*'Portfolio 2 &amp; 3'!$F$14+J546*'Portfolio 2 &amp; 3'!$F$15+K546*'Portfolio 2 &amp; 3'!$F$16</f>
        <v>9.1346312940689955E-3</v>
      </c>
      <c r="R546" s="93">
        <f>B546*'Portfolio 2 &amp; 3'!$B$23+C546*'Portfolio 2 &amp; 3'!$B$24+D546*'Portfolio 2 &amp; 3'!$B$25+E546*'Portfolio 2 &amp; 3'!$B$26+F546*'Portfolio 2 &amp; 3'!$B$27+G546*'Portfolio 2 &amp; 3'!$B$28+H546*'Portfolio 2 &amp; 3'!$B$29+I546*'Portfolio 2 &amp; 3'!$B$30+J546*'Portfolio 2 &amp; 3'!$B$31+K546*'Portfolio 2 &amp; 3'!$B$32</f>
        <v>1.1653102076797432E-2</v>
      </c>
      <c r="S546" s="93">
        <f t="shared" si="26"/>
        <v>4.927100023725095E-3</v>
      </c>
    </row>
    <row r="547" spans="1:19" ht="12.75" customHeight="1">
      <c r="A547" s="82">
        <v>45280</v>
      </c>
      <c r="B547" s="53">
        <v>-3.3500000000000002E-2</v>
      </c>
      <c r="C547" s="53">
        <v>2.0673705379587799E-2</v>
      </c>
      <c r="D547" s="53">
        <v>-2.3577347433960599E-2</v>
      </c>
      <c r="E547" s="53">
        <v>3.6099999999999999E-3</v>
      </c>
      <c r="F547" s="53">
        <v>-3.22227892396297E-2</v>
      </c>
      <c r="G547" s="53">
        <v>1.2436224489796E-2</v>
      </c>
      <c r="H547" s="87">
        <v>1.31785039157439E-2</v>
      </c>
      <c r="I547" s="53">
        <v>3.9679358717434896E-3</v>
      </c>
      <c r="J547" s="53">
        <v>-4.1768745732760904E-3</v>
      </c>
      <c r="K547" s="53">
        <v>5.3707777921574397E-3</v>
      </c>
      <c r="L547" s="95">
        <f>IFERROR(B547*'Stock Statistics'!$C$41+C547*'Stock Statistics'!$C$42+D547*'Stock Statistics'!$C$43+E547*'Stock Statistics'!$C$44+F547*'Stock Statistics'!$C$45+G547*'Stock Statistics'!$C$46+H547*'Stock Statistics'!$C$47+I547*'Stock Statistics'!$C$48+J547*'Stock Statistics'!$C$49+K547*'Stock Statistics'!$C$50,"")</f>
        <v>-3.4239863797837773E-3</v>
      </c>
      <c r="M547" s="97">
        <v>339.15600000000001</v>
      </c>
      <c r="N547" s="96">
        <v>411.48219999999998</v>
      </c>
      <c r="O547" s="93">
        <f t="shared" si="24"/>
        <v>9.5142392120957098E-3</v>
      </c>
      <c r="P547" s="93">
        <f t="shared" si="25"/>
        <v>7.753301116487199E-3</v>
      </c>
      <c r="Q547" s="93">
        <f>B547*'Portfolio 2 &amp; 3'!$F$7+C547*'Portfolio 2 &amp; 3'!$F$8+D547*'Portfolio 2 &amp; 3'!$F$9+E547*'Portfolio 2 &amp; 3'!$F$10+F547*'Portfolio 2 &amp; 3'!$F$11+G547*'Portfolio 2 &amp; 3'!$F$12+H547*'Portfolio 2 &amp; 3'!$F$13+I547*'Portfolio 2 &amp; 3'!$F$14+J547*'Portfolio 2 &amp; 3'!$F$15+K547*'Portfolio 2 &amp; 3'!$F$16</f>
        <v>-3.4425328767900276E-3</v>
      </c>
      <c r="R547" s="93">
        <f>B547*'Portfolio 2 &amp; 3'!$B$23+C547*'Portfolio 2 &amp; 3'!$B$24+D547*'Portfolio 2 &amp; 3'!$B$25+E547*'Portfolio 2 &amp; 3'!$B$26+F547*'Portfolio 2 &amp; 3'!$B$27+G547*'Portfolio 2 &amp; 3'!$B$28+H547*'Portfolio 2 &amp; 3'!$B$29+I547*'Portfolio 2 &amp; 3'!$B$30+J547*'Portfolio 2 &amp; 3'!$B$31+K547*'Portfolio 2 &amp; 3'!$B$32</f>
        <v>-2.8713837375834638E-3</v>
      </c>
      <c r="S547" s="93">
        <f t="shared" si="26"/>
        <v>8.6337701642914544E-3</v>
      </c>
    </row>
    <row r="548" spans="1:19" ht="12.75" customHeight="1">
      <c r="A548" s="81">
        <v>45279</v>
      </c>
      <c r="B548" s="53">
        <v>5.4000000000000003E-3</v>
      </c>
      <c r="C548" s="53">
        <v>1.1822399479082001E-2</v>
      </c>
      <c r="D548" s="53">
        <v>5.74651432997677E-2</v>
      </c>
      <c r="E548" s="53">
        <v>3.2620000000000003E-2</v>
      </c>
      <c r="F548" s="53">
        <v>7.7137819570967103E-3</v>
      </c>
      <c r="G548" s="53">
        <v>2.2426119559395299E-2</v>
      </c>
      <c r="H548" s="87">
        <v>-4.4182357527580204E-3</v>
      </c>
      <c r="I548" s="53">
        <v>3.0957262895507901E-3</v>
      </c>
      <c r="J548" s="53">
        <v>7.5671738426677003E-3</v>
      </c>
      <c r="K548" s="53">
        <v>4.5616314158513797E-2</v>
      </c>
      <c r="L548" s="95">
        <f>IFERROR(B548*'Stock Statistics'!$C$41+C548*'Stock Statistics'!$C$42+D548*'Stock Statistics'!$C$43+E548*'Stock Statistics'!$C$44+F548*'Stock Statistics'!$C$45+G548*'Stock Statistics'!$C$46+H548*'Stock Statistics'!$C$47+I548*'Stock Statistics'!$C$48+J548*'Stock Statistics'!$C$49+K548*'Stock Statistics'!$C$50,"")</f>
        <v>1.8930842283331598E-2</v>
      </c>
      <c r="M548" s="96">
        <v>335.95960000000002</v>
      </c>
      <c r="N548" s="97">
        <v>408.31639999999999</v>
      </c>
      <c r="O548" s="93">
        <f t="shared" si="24"/>
        <v>1.0140200867682525E-2</v>
      </c>
      <c r="P548" s="93">
        <f t="shared" si="25"/>
        <v>-4.7127384339979983E-3</v>
      </c>
      <c r="Q548" s="93">
        <f>B548*'Portfolio 2 &amp; 3'!$F$7+C548*'Portfolio 2 &amp; 3'!$F$8+D548*'Portfolio 2 &amp; 3'!$F$9+E548*'Portfolio 2 &amp; 3'!$F$10+F548*'Portfolio 2 &amp; 3'!$F$11+G548*'Portfolio 2 &amp; 3'!$F$12+H548*'Portfolio 2 &amp; 3'!$F$13+I548*'Portfolio 2 &amp; 3'!$F$14+J548*'Portfolio 2 &amp; 3'!$F$15+K548*'Portfolio 2 &amp; 3'!$F$16</f>
        <v>1.7793169530783949E-2</v>
      </c>
      <c r="R548" s="93">
        <f>B548*'Portfolio 2 &amp; 3'!$B$23+C548*'Portfolio 2 &amp; 3'!$B$24+D548*'Portfolio 2 &amp; 3'!$B$25+E548*'Portfolio 2 &amp; 3'!$B$26+F548*'Portfolio 2 &amp; 3'!$B$27+G548*'Portfolio 2 &amp; 3'!$B$28+H548*'Portfolio 2 &amp; 3'!$B$29+I548*'Portfolio 2 &amp; 3'!$B$30+J548*'Portfolio 2 &amp; 3'!$B$31+K548*'Portfolio 2 &amp; 3'!$B$32</f>
        <v>1.2102433774604592E-2</v>
      </c>
      <c r="S548" s="93">
        <f t="shared" si="26"/>
        <v>2.7137312168422634E-3</v>
      </c>
    </row>
    <row r="549" spans="1:19" ht="12.75" customHeight="1">
      <c r="A549" s="82">
        <v>45278</v>
      </c>
      <c r="B549" s="53">
        <v>3.8E-3</v>
      </c>
      <c r="C549" s="53">
        <v>9.1651561131600499E-4</v>
      </c>
      <c r="D549" s="53">
        <v>-4.8409740039612202E-5</v>
      </c>
      <c r="E549" s="53">
        <v>-3.7100000000000001E-2</v>
      </c>
      <c r="F549" s="53">
        <v>5.3723486607833999E-2</v>
      </c>
      <c r="G549" s="53">
        <v>-1.08267489806732E-2</v>
      </c>
      <c r="H549" s="87">
        <v>-1.0341555135744101E-2</v>
      </c>
      <c r="I549" s="53">
        <v>8.22861775435757E-3</v>
      </c>
      <c r="J549" s="53">
        <v>1.12534271800957E-2</v>
      </c>
      <c r="K549" s="53">
        <v>1.7136014534643799E-2</v>
      </c>
      <c r="L549" s="95">
        <f>IFERROR(B549*'Stock Statistics'!$C$41+C549*'Stock Statistics'!$C$42+D549*'Stock Statistics'!$C$43+E549*'Stock Statistics'!$C$44+F549*'Stock Statistics'!$C$45+G549*'Stock Statistics'!$C$46+H549*'Stock Statistics'!$C$47+I549*'Stock Statistics'!$C$48+J549*'Stock Statistics'!$C$49+K549*'Stock Statistics'!$C$50,"")</f>
        <v>3.6741347831790163E-3</v>
      </c>
      <c r="M549" s="97">
        <v>332.58710000000002</v>
      </c>
      <c r="N549" s="96">
        <v>410.24979999999999</v>
      </c>
      <c r="O549" s="93">
        <f t="shared" si="24"/>
        <v>-2.0326798194220785E-2</v>
      </c>
      <c r="P549" s="93">
        <f t="shared" si="25"/>
        <v>-2.8709552756112089E-3</v>
      </c>
      <c r="Q549" s="93">
        <f>B549*'Portfolio 2 &amp; 3'!$F$7+C549*'Portfolio 2 &amp; 3'!$F$8+D549*'Portfolio 2 &amp; 3'!$F$9+E549*'Portfolio 2 &amp; 3'!$F$10+F549*'Portfolio 2 &amp; 3'!$F$11+G549*'Portfolio 2 &amp; 3'!$F$12+H549*'Portfolio 2 &amp; 3'!$F$13+I549*'Portfolio 2 &amp; 3'!$F$14+J549*'Portfolio 2 &amp; 3'!$F$15+K549*'Portfolio 2 &amp; 3'!$F$16</f>
        <v>4.5750719283386984E-3</v>
      </c>
      <c r="R549" s="93">
        <f>B549*'Portfolio 2 &amp; 3'!$B$23+C549*'Portfolio 2 &amp; 3'!$B$24+D549*'Portfolio 2 &amp; 3'!$B$25+E549*'Portfolio 2 &amp; 3'!$B$26+F549*'Portfolio 2 &amp; 3'!$B$27+G549*'Portfolio 2 &amp; 3'!$B$28+H549*'Portfolio 2 &amp; 3'!$B$29+I549*'Portfolio 2 &amp; 3'!$B$30+J549*'Portfolio 2 &amp; 3'!$B$31+K549*'Portfolio 2 &amp; 3'!$B$32</f>
        <v>1.1594599787683174E-2</v>
      </c>
      <c r="S549" s="93">
        <f t="shared" si="26"/>
        <v>-1.1598876734915997E-2</v>
      </c>
    </row>
    <row r="550" spans="1:19" ht="12.75" customHeight="1">
      <c r="A550" s="81">
        <v>45275</v>
      </c>
      <c r="B550" s="53">
        <v>-2.0999999999999999E-3</v>
      </c>
      <c r="C550" s="53">
        <v>6.6737060083854596E-3</v>
      </c>
      <c r="D550" s="53">
        <v>1.04681309005528E-2</v>
      </c>
      <c r="E550" s="53">
        <v>5.0600000000000003E-3</v>
      </c>
      <c r="F550" s="53">
        <v>3.26188257222748E-3</v>
      </c>
      <c r="G550" s="53">
        <v>1.2288965581569E-2</v>
      </c>
      <c r="H550" s="87">
        <v>8.2989778306399292E-3</v>
      </c>
      <c r="I550" s="53">
        <v>1.09564582234301E-3</v>
      </c>
      <c r="J550" s="53">
        <v>-1.1608154020385199E-2</v>
      </c>
      <c r="K550" s="53">
        <v>3.5082872928176002E-3</v>
      </c>
      <c r="L550" s="95">
        <f>IFERROR(B550*'Stock Statistics'!$C$41+C550*'Stock Statistics'!$C$42+D550*'Stock Statistics'!$C$43+E550*'Stock Statistics'!$C$44+F550*'Stock Statistics'!$C$45+G550*'Stock Statistics'!$C$46+H550*'Stock Statistics'!$C$47+I550*'Stock Statistics'!$C$48+J550*'Stock Statistics'!$C$49+K550*'Stock Statistics'!$C$50,"")</f>
        <v>3.694744198815009E-3</v>
      </c>
      <c r="M550" s="96">
        <v>339.48779999999999</v>
      </c>
      <c r="N550" s="97">
        <v>411.43099999999998</v>
      </c>
      <c r="O550" s="93">
        <f t="shared" si="24"/>
        <v>5.7261796525542863E-3</v>
      </c>
      <c r="P550" s="93">
        <f t="shared" si="25"/>
        <v>-6.304683541307754E-3</v>
      </c>
      <c r="Q550" s="93">
        <f>B550*'Portfolio 2 &amp; 3'!$F$7+C550*'Portfolio 2 &amp; 3'!$F$8+D550*'Portfolio 2 &amp; 3'!$F$9+E550*'Portfolio 2 &amp; 3'!$F$10+F550*'Portfolio 2 &amp; 3'!$F$11+G550*'Portfolio 2 &amp; 3'!$F$12+H550*'Portfolio 2 &amp; 3'!$F$13+I550*'Portfolio 2 &amp; 3'!$F$14+J550*'Portfolio 2 &amp; 3'!$F$15+K550*'Portfolio 2 &amp; 3'!$F$16</f>
        <v>3.3162081888835231E-3</v>
      </c>
      <c r="R550" s="93">
        <f>B550*'Portfolio 2 &amp; 3'!$B$23+C550*'Portfolio 2 &amp; 3'!$B$24+D550*'Portfolio 2 &amp; 3'!$B$25+E550*'Portfolio 2 &amp; 3'!$B$26+F550*'Portfolio 2 &amp; 3'!$B$27+G550*'Portfolio 2 &amp; 3'!$B$28+H550*'Portfolio 2 &amp; 3'!$B$29+I550*'Portfolio 2 &amp; 3'!$B$30+J550*'Portfolio 2 &amp; 3'!$B$31+K550*'Portfolio 2 &amp; 3'!$B$32</f>
        <v>3.3866588400603649E-3</v>
      </c>
      <c r="S550" s="93">
        <f t="shared" si="26"/>
        <v>-2.8925194437673385E-4</v>
      </c>
    </row>
    <row r="551" spans="1:19" ht="12.75" customHeight="1">
      <c r="A551" s="82">
        <v>45274</v>
      </c>
      <c r="B551" s="53">
        <v>-1.6999999999999999E-3</v>
      </c>
      <c r="C551" s="53">
        <v>-1.20121945043702E-2</v>
      </c>
      <c r="D551" s="53">
        <v>-4.1406858924396602E-3</v>
      </c>
      <c r="E551" s="53">
        <v>-5.7299999999999999E-3</v>
      </c>
      <c r="F551" s="53">
        <v>2.1793275217931699E-3</v>
      </c>
      <c r="G551" s="53">
        <v>2.4291207872548799E-2</v>
      </c>
      <c r="H551" s="87">
        <v>2.8625356698786002E-4</v>
      </c>
      <c r="I551" s="53">
        <v>-1.0281537411141E-2</v>
      </c>
      <c r="J551" s="53">
        <v>-7.2750788133524303E-4</v>
      </c>
      <c r="K551" s="53">
        <v>-2.7900856628803199E-2</v>
      </c>
      <c r="L551" s="95">
        <f>IFERROR(B551*'Stock Statistics'!$C$41+C551*'Stock Statistics'!$C$42+D551*'Stock Statistics'!$C$43+E551*'Stock Statistics'!$C$44+F551*'Stock Statistics'!$C$45+G551*'Stock Statistics'!$C$46+H551*'Stock Statistics'!$C$47+I551*'Stock Statistics'!$C$48+J551*'Stock Statistics'!$C$49+K551*'Stock Statistics'!$C$50,"")</f>
        <v>-3.5735993356759473E-3</v>
      </c>
      <c r="M551" s="97">
        <v>337.55489999999998</v>
      </c>
      <c r="N551" s="96">
        <v>414.04140000000001</v>
      </c>
      <c r="O551" s="93">
        <f t="shared" si="24"/>
        <v>7.7968397048575611E-3</v>
      </c>
      <c r="P551" s="93">
        <f t="shared" si="25"/>
        <v>2.7726069916778062E-3</v>
      </c>
      <c r="Q551" s="93">
        <f>B551*'Portfolio 2 &amp; 3'!$F$7+C551*'Portfolio 2 &amp; 3'!$F$8+D551*'Portfolio 2 &amp; 3'!$F$9+E551*'Portfolio 2 &amp; 3'!$F$10+F551*'Portfolio 2 &amp; 3'!$F$11+G551*'Portfolio 2 &amp; 3'!$F$12+H551*'Portfolio 2 &amp; 3'!$F$13+I551*'Portfolio 2 &amp; 3'!$F$14+J551*'Portfolio 2 &amp; 3'!$F$15+K551*'Portfolio 2 &amp; 3'!$F$16</f>
        <v>-3.8270591863876473E-3</v>
      </c>
      <c r="R551" s="93">
        <f>B551*'Portfolio 2 &amp; 3'!$B$23+C551*'Portfolio 2 &amp; 3'!$B$24+D551*'Portfolio 2 &amp; 3'!$B$25+E551*'Portfolio 2 &amp; 3'!$B$26+F551*'Portfolio 2 &amp; 3'!$B$27+G551*'Portfolio 2 &amp; 3'!$B$28+H551*'Portfolio 2 &amp; 3'!$B$29+I551*'Portfolio 2 &amp; 3'!$B$30+J551*'Portfolio 2 &amp; 3'!$B$31+K551*'Portfolio 2 &amp; 3'!$B$32</f>
        <v>-4.6345452075361076E-3</v>
      </c>
      <c r="S551" s="93">
        <f t="shared" si="26"/>
        <v>5.2847233482676836E-3</v>
      </c>
    </row>
    <row r="552" spans="1:19" ht="12.75" customHeight="1">
      <c r="A552" s="81">
        <v>45273</v>
      </c>
      <c r="B552" s="53">
        <v>-1.9E-3</v>
      </c>
      <c r="C552" s="53">
        <v>6.8118084943658E-3</v>
      </c>
      <c r="D552" s="53">
        <v>-1.8127899746496201E-2</v>
      </c>
      <c r="E552" s="53">
        <v>-1.103E-2</v>
      </c>
      <c r="F552" s="53">
        <v>1.10166824047844E-2</v>
      </c>
      <c r="G552" s="53">
        <v>-4.77797851098227E-3</v>
      </c>
      <c r="H552" s="87">
        <v>2.88874734226274E-3</v>
      </c>
      <c r="I552" s="53">
        <v>-6.2263021353022897E-3</v>
      </c>
      <c r="J552" s="53">
        <v>1.6683103221564601E-2</v>
      </c>
      <c r="K552" s="53">
        <v>2.9221260150011901E-3</v>
      </c>
      <c r="L552" s="95">
        <f>IFERROR(B552*'Stock Statistics'!$C$41+C552*'Stock Statistics'!$C$42+D552*'Stock Statistics'!$C$43+E552*'Stock Statistics'!$C$44+F552*'Stock Statistics'!$C$45+G552*'Stock Statistics'!$C$46+H552*'Stock Statistics'!$C$47+I552*'Stock Statistics'!$C$48+J552*'Stock Statistics'!$C$49+K552*'Stock Statistics'!$C$50,"")</f>
        <v>-1.7397129148020264E-4</v>
      </c>
      <c r="M552" s="96">
        <v>334.9434</v>
      </c>
      <c r="N552" s="97">
        <v>412.89659999999998</v>
      </c>
      <c r="O552" s="93">
        <f t="shared" si="24"/>
        <v>3.6430909520219767E-3</v>
      </c>
      <c r="P552" s="93">
        <f t="shared" si="25"/>
        <v>-4.7264433513780624E-3</v>
      </c>
      <c r="Q552" s="93">
        <f>B552*'Portfolio 2 &amp; 3'!$F$7+C552*'Portfolio 2 &amp; 3'!$F$8+D552*'Portfolio 2 &amp; 3'!$F$9+E552*'Portfolio 2 &amp; 3'!$F$10+F552*'Portfolio 2 &amp; 3'!$F$11+G552*'Portfolio 2 &amp; 3'!$F$12+H552*'Portfolio 2 &amp; 3'!$F$13+I552*'Portfolio 2 &amp; 3'!$F$14+J552*'Portfolio 2 &amp; 3'!$F$15+K552*'Portfolio 2 &amp; 3'!$F$16</f>
        <v>7.9034545229611237E-4</v>
      </c>
      <c r="R552" s="93">
        <f>B552*'Portfolio 2 &amp; 3'!$B$23+C552*'Portfolio 2 &amp; 3'!$B$24+D552*'Portfolio 2 &amp; 3'!$B$25+E552*'Portfolio 2 &amp; 3'!$B$26+F552*'Portfolio 2 &amp; 3'!$B$27+G552*'Portfolio 2 &amp; 3'!$B$28+H552*'Portfolio 2 &amp; 3'!$B$29+I552*'Portfolio 2 &amp; 3'!$B$30+J552*'Portfolio 2 &amp; 3'!$B$31+K552*'Portfolio 2 &amp; 3'!$B$32</f>
        <v>1.3832929317547584E-3</v>
      </c>
      <c r="S552" s="93">
        <f t="shared" si="26"/>
        <v>-5.4167619967804281E-4</v>
      </c>
    </row>
    <row r="553" spans="1:19" ht="12.75" customHeight="1">
      <c r="A553" s="82">
        <v>45272</v>
      </c>
      <c r="B553" s="53">
        <v>-9.5999999999999992E-3</v>
      </c>
      <c r="C553" s="53">
        <v>-3.2727901043837502E-3</v>
      </c>
      <c r="D553" s="53">
        <v>9.1712120480764697E-3</v>
      </c>
      <c r="E553" s="53">
        <v>3.47E-3</v>
      </c>
      <c r="F553" s="53">
        <v>2.84090909090895E-3</v>
      </c>
      <c r="G553" s="53">
        <v>1.16877495069983E-2</v>
      </c>
      <c r="H553" s="87">
        <v>-4.5189465317531097E-3</v>
      </c>
      <c r="I553" s="53">
        <v>1.3756827837345701E-2</v>
      </c>
      <c r="J553" s="53">
        <v>8.0357882528374596E-3</v>
      </c>
      <c r="K553" s="53">
        <v>4.32777484751346E-3</v>
      </c>
      <c r="L553" s="95">
        <f>IFERROR(B553*'Stock Statistics'!$C$41+C553*'Stock Statistics'!$C$42+D553*'Stock Statistics'!$C$43+E553*'Stock Statistics'!$C$44+F553*'Stock Statistics'!$C$45+G553*'Stock Statistics'!$C$46+H553*'Stock Statistics'!$C$47+I553*'Stock Statistics'!$C$48+J553*'Stock Statistics'!$C$49+K553*'Stock Statistics'!$C$50,"")</f>
        <v>3.5898524947543483E-3</v>
      </c>
      <c r="M553" s="97">
        <v>333.7276</v>
      </c>
      <c r="N553" s="96">
        <v>414.85739999999998</v>
      </c>
      <c r="O553" s="93">
        <f t="shared" si="24"/>
        <v>5.7404132567142607E-3</v>
      </c>
      <c r="P553" s="93">
        <f t="shared" si="25"/>
        <v>-1.3723212834971799E-3</v>
      </c>
      <c r="Q553" s="93">
        <f>B553*'Portfolio 2 &amp; 3'!$F$7+C553*'Portfolio 2 &amp; 3'!$F$8+D553*'Portfolio 2 &amp; 3'!$F$9+E553*'Portfolio 2 &amp; 3'!$F$10+F553*'Portfolio 2 &amp; 3'!$F$11+G553*'Portfolio 2 &amp; 3'!$F$12+H553*'Portfolio 2 &amp; 3'!$F$13+I553*'Portfolio 2 &amp; 3'!$F$14+J553*'Portfolio 2 &amp; 3'!$F$15+K553*'Portfolio 2 &amp; 3'!$F$16</f>
        <v>3.3856439269530848E-3</v>
      </c>
      <c r="R553" s="93">
        <f>B553*'Portfolio 2 &amp; 3'!$B$23+C553*'Portfolio 2 &amp; 3'!$B$24+D553*'Portfolio 2 &amp; 3'!$B$25+E553*'Portfolio 2 &amp; 3'!$B$26+F553*'Portfolio 2 &amp; 3'!$B$27+G553*'Portfolio 2 &amp; 3'!$B$28+H553*'Portfolio 2 &amp; 3'!$B$29+I553*'Portfolio 2 &amp; 3'!$B$30+J553*'Portfolio 2 &amp; 3'!$B$31+K553*'Portfolio 2 &amp; 3'!$B$32</f>
        <v>3.8325077790211269E-3</v>
      </c>
      <c r="S553" s="93">
        <f t="shared" si="26"/>
        <v>2.1840459866085404E-3</v>
      </c>
    </row>
    <row r="554" spans="1:19" ht="12.75" customHeight="1">
      <c r="A554" s="81">
        <v>45271</v>
      </c>
      <c r="B554" s="53">
        <v>8.2000000000000007E-3</v>
      </c>
      <c r="C554" s="53">
        <v>1.27954377007331E-2</v>
      </c>
      <c r="D554" s="53">
        <v>2.4275684762187201E-2</v>
      </c>
      <c r="E554" s="53">
        <v>5.8199999999999997E-3</v>
      </c>
      <c r="F554" s="53">
        <v>-7.7519379844960302E-3</v>
      </c>
      <c r="G554" s="53">
        <v>1.5185546875000001E-2</v>
      </c>
      <c r="H554" s="87">
        <v>1.05228009060798E-2</v>
      </c>
      <c r="I554" s="53">
        <v>3.61406643385043E-3</v>
      </c>
      <c r="J554" s="53">
        <v>2.0337857468972799E-3</v>
      </c>
      <c r="K554" s="53">
        <v>3.7603171155517999E-3</v>
      </c>
      <c r="L554" s="95">
        <f>IFERROR(B554*'Stock Statistics'!$C$41+C554*'Stock Statistics'!$C$42+D554*'Stock Statistics'!$C$43+E554*'Stock Statistics'!$C$44+F554*'Stock Statistics'!$C$45+G554*'Stock Statistics'!$C$46+H554*'Stock Statistics'!$C$47+I554*'Stock Statistics'!$C$48+J554*'Stock Statistics'!$C$49+K554*'Stock Statistics'!$C$50,"")</f>
        <v>7.8455701555803573E-3</v>
      </c>
      <c r="M554" s="96">
        <v>331.82279999999997</v>
      </c>
      <c r="N554" s="97">
        <v>415.42750000000001</v>
      </c>
      <c r="O554" s="93">
        <f t="shared" si="24"/>
        <v>9.6374500464619928E-3</v>
      </c>
      <c r="P554" s="93">
        <f t="shared" si="25"/>
        <v>-7.9925957247428681E-4</v>
      </c>
      <c r="Q554" s="93">
        <f>B554*'Portfolio 2 &amp; 3'!$F$7+C554*'Portfolio 2 &amp; 3'!$F$8+D554*'Portfolio 2 &amp; 3'!$F$9+E554*'Portfolio 2 &amp; 3'!$F$10+F554*'Portfolio 2 &amp; 3'!$F$11+G554*'Portfolio 2 &amp; 3'!$F$12+H554*'Portfolio 2 &amp; 3'!$F$13+I554*'Portfolio 2 &amp; 3'!$F$14+J554*'Portfolio 2 &amp; 3'!$F$15+K554*'Portfolio 2 &amp; 3'!$F$16</f>
        <v>8.0977368429344491E-3</v>
      </c>
      <c r="R554" s="93">
        <f>B554*'Portfolio 2 &amp; 3'!$B$23+C554*'Portfolio 2 &amp; 3'!$B$24+D554*'Portfolio 2 &amp; 3'!$B$25+E554*'Portfolio 2 &amp; 3'!$B$26+F554*'Portfolio 2 &amp; 3'!$B$27+G554*'Portfolio 2 &amp; 3'!$B$28+H554*'Portfolio 2 &amp; 3'!$B$29+I554*'Portfolio 2 &amp; 3'!$B$30+J554*'Portfolio 2 &amp; 3'!$B$31+K554*'Portfolio 2 &amp; 3'!$B$32</f>
        <v>5.8440140643450872E-3</v>
      </c>
      <c r="S554" s="93">
        <f t="shared" si="26"/>
        <v>4.419095236993853E-3</v>
      </c>
    </row>
    <row r="555" spans="1:19" ht="12.75" customHeight="1">
      <c r="A555" s="82">
        <v>45268</v>
      </c>
      <c r="B555" s="53">
        <v>-9.2999999999999992E-3</v>
      </c>
      <c r="C555" s="53">
        <v>-5.7621255386002303E-3</v>
      </c>
      <c r="D555" s="53">
        <v>6.8196525461694498E-3</v>
      </c>
      <c r="E555" s="53">
        <v>4.45E-3</v>
      </c>
      <c r="F555" s="53">
        <v>-2.948552321605E-2</v>
      </c>
      <c r="G555" s="53">
        <v>-1.460293020906E-2</v>
      </c>
      <c r="H555" s="87">
        <v>1.2213391796839499E-2</v>
      </c>
      <c r="I555" s="53">
        <v>-1.4597356256588201E-3</v>
      </c>
      <c r="J555" s="53">
        <v>-9.7410604192353905E-3</v>
      </c>
      <c r="K555" s="53">
        <v>7.4398249452953804E-3</v>
      </c>
      <c r="L555" s="95">
        <f>IFERROR(B555*'Stock Statistics'!$C$41+C555*'Stock Statistics'!$C$42+D555*'Stock Statistics'!$C$43+E555*'Stock Statistics'!$C$44+F555*'Stock Statistics'!$C$45+G555*'Stock Statistics'!$C$46+H555*'Stock Statistics'!$C$47+I555*'Stock Statistics'!$C$48+J555*'Stock Statistics'!$C$49+K555*'Stock Statistics'!$C$50,"")</f>
        <v>-3.9428505720300114E-3</v>
      </c>
      <c r="M555" s="97">
        <v>328.65539999999999</v>
      </c>
      <c r="N555" s="96">
        <v>415.75979999999998</v>
      </c>
      <c r="O555" s="93">
        <f t="shared" si="24"/>
        <v>-4.441695289949088E-3</v>
      </c>
      <c r="P555" s="93">
        <f t="shared" si="25"/>
        <v>2.9577812370862322E-3</v>
      </c>
      <c r="Q555" s="93">
        <f>B555*'Portfolio 2 &amp; 3'!$F$7+C555*'Portfolio 2 &amp; 3'!$F$8+D555*'Portfolio 2 &amp; 3'!$F$9+E555*'Portfolio 2 &amp; 3'!$F$10+F555*'Portfolio 2 &amp; 3'!$F$11+G555*'Portfolio 2 &amp; 3'!$F$12+H555*'Portfolio 2 &amp; 3'!$F$13+I555*'Portfolio 2 &amp; 3'!$F$14+J555*'Portfolio 2 &amp; 3'!$F$15+K555*'Portfolio 2 &amp; 3'!$F$16</f>
        <v>-2.7362688798401951E-3</v>
      </c>
      <c r="R555" s="93">
        <f>B555*'Portfolio 2 &amp; 3'!$B$23+C555*'Portfolio 2 &amp; 3'!$B$24+D555*'Portfolio 2 &amp; 3'!$B$25+E555*'Portfolio 2 &amp; 3'!$B$26+F555*'Portfolio 2 &amp; 3'!$B$27+G555*'Portfolio 2 &amp; 3'!$B$28+H555*'Portfolio 2 &amp; 3'!$B$29+I555*'Portfolio 2 &amp; 3'!$B$30+J555*'Portfolio 2 &amp; 3'!$B$31+K555*'Portfolio 2 &amp; 3'!$B$32</f>
        <v>-8.1421249882826091E-3</v>
      </c>
      <c r="S555" s="93">
        <f t="shared" si="26"/>
        <v>-7.4195702643142791E-4</v>
      </c>
    </row>
    <row r="556" spans="1:19" ht="12.75" customHeight="1">
      <c r="A556" s="81">
        <v>45267</v>
      </c>
      <c r="B556" s="53">
        <v>-2.0000000000000001E-4</v>
      </c>
      <c r="C556" s="53">
        <v>1.8800050050050299E-2</v>
      </c>
      <c r="D556" s="53">
        <v>-1.2728523687831599E-2</v>
      </c>
      <c r="E556" s="53">
        <v>-7.9500000000000005E-3</v>
      </c>
      <c r="F556" s="53">
        <v>3.54079785978441E-2</v>
      </c>
      <c r="G556" s="53">
        <v>1.2125934403077699E-2</v>
      </c>
      <c r="H556" s="87">
        <v>-5.03825534794149E-2</v>
      </c>
      <c r="I556" s="53">
        <v>1.2397372742200201E-2</v>
      </c>
      <c r="J556" s="53">
        <v>1.48917532223751E-2</v>
      </c>
      <c r="K556" s="53">
        <v>2.3028840881675898E-3</v>
      </c>
      <c r="L556" s="95">
        <f>IFERROR(B556*'Stock Statistics'!$C$41+C556*'Stock Statistics'!$C$42+D556*'Stock Statistics'!$C$43+E556*'Stock Statistics'!$C$44+F556*'Stock Statistics'!$C$45+G556*'Stock Statistics'!$C$46+H556*'Stock Statistics'!$C$47+I556*'Stock Statistics'!$C$48+J556*'Stock Statistics'!$C$49+K556*'Stock Statistics'!$C$50,"")</f>
        <v>2.4664895936468488E-3</v>
      </c>
      <c r="M556" s="96">
        <v>330.12169999999998</v>
      </c>
      <c r="N556" s="97">
        <v>414.53370000000001</v>
      </c>
      <c r="O556" s="93">
        <f t="shared" si="24"/>
        <v>-1.6025931826731954E-3</v>
      </c>
      <c r="P556" s="93">
        <f t="shared" si="25"/>
        <v>1.2588047693538718E-2</v>
      </c>
      <c r="Q556" s="93">
        <f>B556*'Portfolio 2 &amp; 3'!$F$7+C556*'Portfolio 2 &amp; 3'!$F$8+D556*'Portfolio 2 &amp; 3'!$F$9+E556*'Portfolio 2 &amp; 3'!$F$10+F556*'Portfolio 2 &amp; 3'!$F$11+G556*'Portfolio 2 &amp; 3'!$F$12+H556*'Portfolio 2 &amp; 3'!$F$13+I556*'Portfolio 2 &amp; 3'!$F$14+J556*'Portfolio 2 &amp; 3'!$F$15+K556*'Portfolio 2 &amp; 3'!$F$16</f>
        <v>-1.0011141188524841E-3</v>
      </c>
      <c r="R556" s="93">
        <f>B556*'Portfolio 2 &amp; 3'!$B$23+C556*'Portfolio 2 &amp; 3'!$B$24+D556*'Portfolio 2 &amp; 3'!$B$25+E556*'Portfolio 2 &amp; 3'!$B$26+F556*'Portfolio 2 &amp; 3'!$B$27+G556*'Portfolio 2 &amp; 3'!$B$28+H556*'Portfolio 2 &amp; 3'!$B$29+I556*'Portfolio 2 &amp; 3'!$B$30+J556*'Portfolio 2 &amp; 3'!$B$31+K556*'Portfolio 2 &amp; 3'!$B$32</f>
        <v>1.2557211339684713E-2</v>
      </c>
      <c r="S556" s="93">
        <f t="shared" si="26"/>
        <v>5.4927272554327611E-3</v>
      </c>
    </row>
    <row r="557" spans="1:19" ht="12.75" customHeight="1">
      <c r="A557" s="82">
        <v>45266</v>
      </c>
      <c r="B557" s="53">
        <v>-1.4E-3</v>
      </c>
      <c r="C557" s="53">
        <v>1.48034495529337E-2</v>
      </c>
      <c r="D557" s="53">
        <v>-6.3967967185898401E-3</v>
      </c>
      <c r="E557" s="53">
        <v>-9.4699999999999993E-3</v>
      </c>
      <c r="F557" s="53">
        <v>2.2080277580633898E-3</v>
      </c>
      <c r="G557" s="53">
        <v>-2.2422698816976699E-2</v>
      </c>
      <c r="H557" s="87">
        <v>-3.66458661043034E-3</v>
      </c>
      <c r="I557" s="53">
        <v>-1.8849685838569399E-2</v>
      </c>
      <c r="J557" s="53">
        <v>-3.0358479580802102E-3</v>
      </c>
      <c r="K557" s="53">
        <v>-6.2389320256096602E-3</v>
      </c>
      <c r="L557" s="95">
        <f>IFERROR(B557*'Stock Statistics'!$C$41+C557*'Stock Statistics'!$C$42+D557*'Stock Statistics'!$C$43+E557*'Stock Statistics'!$C$44+F557*'Stock Statistics'!$C$45+G557*'Stock Statistics'!$C$46+H557*'Stock Statistics'!$C$47+I557*'Stock Statistics'!$C$48+J557*'Stock Statistics'!$C$49+K557*'Stock Statistics'!$C$50,"")</f>
        <v>-5.4467070657259059E-3</v>
      </c>
      <c r="M557" s="97">
        <v>330.65159999999997</v>
      </c>
      <c r="N557" s="96">
        <v>409.38040000000001</v>
      </c>
      <c r="O557" s="93">
        <f t="shared" si="24"/>
        <v>-6.2814489437302834E-3</v>
      </c>
      <c r="P557" s="93">
        <f t="shared" si="25"/>
        <v>3.1704054972645501E-3</v>
      </c>
      <c r="Q557" s="93">
        <f>B557*'Portfolio 2 &amp; 3'!$F$7+C557*'Portfolio 2 &amp; 3'!$F$8+D557*'Portfolio 2 &amp; 3'!$F$9+E557*'Portfolio 2 &amp; 3'!$F$10+F557*'Portfolio 2 &amp; 3'!$F$11+G557*'Portfolio 2 &amp; 3'!$F$12+H557*'Portfolio 2 &amp; 3'!$F$13+I557*'Portfolio 2 &amp; 3'!$F$14+J557*'Portfolio 2 &amp; 3'!$F$15+K557*'Portfolio 2 &amp; 3'!$F$16</f>
        <v>-4.3272003634920687E-3</v>
      </c>
      <c r="R557" s="93">
        <f>B557*'Portfolio 2 &amp; 3'!$B$23+C557*'Portfolio 2 &amp; 3'!$B$24+D557*'Portfolio 2 &amp; 3'!$B$25+E557*'Portfolio 2 &amp; 3'!$B$26+F557*'Portfolio 2 &amp; 3'!$B$27+G557*'Portfolio 2 &amp; 3'!$B$28+H557*'Portfolio 2 &amp; 3'!$B$29+I557*'Portfolio 2 &amp; 3'!$B$30+J557*'Portfolio 2 &amp; 3'!$B$31+K557*'Portfolio 2 &amp; 3'!$B$32</f>
        <v>-4.9274680784818867E-3</v>
      </c>
      <c r="S557" s="93">
        <f t="shared" si="26"/>
        <v>-1.5555217232328666E-3</v>
      </c>
    </row>
    <row r="558" spans="1:19" ht="12.75" customHeight="1">
      <c r="A558" s="81">
        <v>45265</v>
      </c>
      <c r="B558" s="53">
        <v>-1.23E-2</v>
      </c>
      <c r="C558" s="53">
        <v>-1.47621480176395E-2</v>
      </c>
      <c r="D558" s="53">
        <v>7.1804455810751096E-3</v>
      </c>
      <c r="E558" s="53">
        <v>2.3700000000000001E-3</v>
      </c>
      <c r="F558" s="53">
        <v>1.02620776760332E-3</v>
      </c>
      <c r="G558" s="53">
        <v>9.9040842327942098E-3</v>
      </c>
      <c r="H558" s="87">
        <v>9.5543902204926496E-3</v>
      </c>
      <c r="I558" s="53">
        <v>4.5314775853699798E-3</v>
      </c>
      <c r="J558" s="53">
        <v>-1.37806578623575E-2</v>
      </c>
      <c r="K558" s="53">
        <v>-3.0556121409656099E-3</v>
      </c>
      <c r="L558" s="95">
        <f>IFERROR(B558*'Stock Statistics'!$C$41+C558*'Stock Statistics'!$C$42+D558*'Stock Statistics'!$C$43+E558*'Stock Statistics'!$C$44+F558*'Stock Statistics'!$C$45+G558*'Stock Statistics'!$C$46+H558*'Stock Statistics'!$C$47+I558*'Stock Statistics'!$C$48+J558*'Stock Statistics'!$C$49+K558*'Stock Statistics'!$C$50,"")</f>
        <v>-9.3318126336273477E-4</v>
      </c>
      <c r="M558" s="96">
        <v>332.74169999999998</v>
      </c>
      <c r="N558" s="97">
        <v>408.08659999999998</v>
      </c>
      <c r="O558" s="93">
        <f t="shared" si="24"/>
        <v>3.7856711036456936E-3</v>
      </c>
      <c r="P558" s="93">
        <f t="shared" si="25"/>
        <v>-1.1770392897134663E-3</v>
      </c>
      <c r="Q558" s="93">
        <f>B558*'Portfolio 2 &amp; 3'!$F$7+C558*'Portfolio 2 &amp; 3'!$F$8+D558*'Portfolio 2 &amp; 3'!$F$9+E558*'Portfolio 2 &amp; 3'!$F$10+F558*'Portfolio 2 &amp; 3'!$F$11+G558*'Portfolio 2 &amp; 3'!$F$12+H558*'Portfolio 2 &amp; 3'!$F$13+I558*'Portfolio 2 &amp; 3'!$F$14+J558*'Portfolio 2 &amp; 3'!$F$15+K558*'Portfolio 2 &amp; 3'!$F$16</f>
        <v>-7.7304121051410227E-4</v>
      </c>
      <c r="R558" s="93">
        <f>B558*'Portfolio 2 &amp; 3'!$B$23+C558*'Portfolio 2 &amp; 3'!$B$24+D558*'Portfolio 2 &amp; 3'!$B$25+E558*'Portfolio 2 &amp; 3'!$B$26+F558*'Portfolio 2 &amp; 3'!$B$27+G558*'Portfolio 2 &amp; 3'!$B$28+H558*'Portfolio 2 &amp; 3'!$B$29+I558*'Portfolio 2 &amp; 3'!$B$30+J558*'Portfolio 2 &amp; 3'!$B$31+K558*'Portfolio 2 &amp; 3'!$B$32</f>
        <v>-2.4619380889167857E-3</v>
      </c>
      <c r="S558" s="93">
        <f t="shared" si="26"/>
        <v>1.3043159069661137E-3</v>
      </c>
    </row>
    <row r="559" spans="1:19" ht="12.75" customHeight="1">
      <c r="A559" s="82">
        <v>45264</v>
      </c>
      <c r="B559" s="53">
        <v>-1.1900000000000001E-2</v>
      </c>
      <c r="C559" s="53">
        <v>-1.9112383679312801E-2</v>
      </c>
      <c r="D559" s="53">
        <v>-9.0647692382670505E-3</v>
      </c>
      <c r="E559" s="53">
        <v>-1.1679999999999999E-2</v>
      </c>
      <c r="F559" s="53">
        <v>-9.8483664217603496E-3</v>
      </c>
      <c r="G559" s="53">
        <v>-9.5476190476191398E-3</v>
      </c>
      <c r="H559" s="87">
        <v>-7.9806801755402095E-3</v>
      </c>
      <c r="I559" s="53">
        <v>-2.8241749374646702E-3</v>
      </c>
      <c r="J559" s="53">
        <v>-3.0258423290808701E-3</v>
      </c>
      <c r="K559" s="53">
        <v>-1.40854499444347E-2</v>
      </c>
      <c r="L559" s="95">
        <f>IFERROR(B559*'Stock Statistics'!$C$41+C559*'Stock Statistics'!$C$42+D559*'Stock Statistics'!$C$43+E559*'Stock Statistics'!$C$44+F559*'Stock Statistics'!$C$45+G559*'Stock Statistics'!$C$46+H559*'Stock Statistics'!$C$47+I559*'Stock Statistics'!$C$48+J559*'Stock Statistics'!$C$49+K559*'Stock Statistics'!$C$50,"")</f>
        <v>-9.9069285773479791E-3</v>
      </c>
      <c r="M559" s="97">
        <v>331.48680000000002</v>
      </c>
      <c r="N559" s="96">
        <v>408.5675</v>
      </c>
      <c r="O559" s="93">
        <f t="shared" si="24"/>
        <v>-6.9522104805913587E-3</v>
      </c>
      <c r="P559" s="93">
        <f t="shared" si="25"/>
        <v>6.2636645146607606E-3</v>
      </c>
      <c r="Q559" s="93">
        <f>B559*'Portfolio 2 &amp; 3'!$F$7+C559*'Portfolio 2 &amp; 3'!$F$8+D559*'Portfolio 2 &amp; 3'!$F$9+E559*'Portfolio 2 &amp; 3'!$F$10+F559*'Portfolio 2 &amp; 3'!$F$11+G559*'Portfolio 2 &amp; 3'!$F$12+H559*'Portfolio 2 &amp; 3'!$F$13+I559*'Portfolio 2 &amp; 3'!$F$14+J559*'Portfolio 2 &amp; 3'!$F$15+K559*'Portfolio 2 &amp; 3'!$F$16</f>
        <v>-9.3356469196912793E-3</v>
      </c>
      <c r="R559" s="93">
        <f>B559*'Portfolio 2 &amp; 3'!$B$23+C559*'Portfolio 2 &amp; 3'!$B$24+D559*'Portfolio 2 &amp; 3'!$B$25+E559*'Portfolio 2 &amp; 3'!$B$26+F559*'Portfolio 2 &amp; 3'!$B$27+G559*'Portfolio 2 &amp; 3'!$B$28+H559*'Portfolio 2 &amp; 3'!$B$29+I559*'Portfolio 2 &amp; 3'!$B$30+J559*'Portfolio 2 &amp; 3'!$B$31+K559*'Portfolio 2 &amp; 3'!$B$32</f>
        <v>-1.0180909928093954E-2</v>
      </c>
      <c r="S559" s="93">
        <f t="shared" si="26"/>
        <v>-3.4427298296529907E-4</v>
      </c>
    </row>
    <row r="560" spans="1:19" ht="12.75" customHeight="1">
      <c r="A560" s="81">
        <v>45261</v>
      </c>
      <c r="B560" s="53">
        <v>-5.3E-3</v>
      </c>
      <c r="C560" s="53">
        <v>3.4639637733293802E-2</v>
      </c>
      <c r="D560" s="53">
        <v>-1.6016880065218501E-2</v>
      </c>
      <c r="E560" s="53">
        <v>-6.0800000000000003E-3</v>
      </c>
      <c r="F560" s="53">
        <v>3.3722845267039098E-3</v>
      </c>
      <c r="G560" s="53">
        <v>-1.5748031496062999E-2</v>
      </c>
      <c r="H560" s="87">
        <v>3.5528144544822999E-3</v>
      </c>
      <c r="I560" s="53">
        <v>-8.4653525214650803E-4</v>
      </c>
      <c r="J560" s="53">
        <v>1.4603385330235599E-2</v>
      </c>
      <c r="K560" s="53">
        <v>-2.67777048829077E-5</v>
      </c>
      <c r="L560" s="95">
        <f>IFERROR(B560*'Stock Statistics'!$C$41+C560*'Stock Statistics'!$C$42+D560*'Stock Statistics'!$C$43+E560*'Stock Statistics'!$C$44+F560*'Stock Statistics'!$C$45+G560*'Stock Statistics'!$C$46+H560*'Stock Statistics'!$C$47+I560*'Stock Statistics'!$C$48+J560*'Stock Statistics'!$C$49+K560*'Stock Statistics'!$C$50,"")</f>
        <v>1.2149897526404691E-3</v>
      </c>
      <c r="M560" s="96">
        <v>333.8075</v>
      </c>
      <c r="N560" s="97">
        <v>406.02429999999998</v>
      </c>
      <c r="O560" s="93">
        <f t="shared" si="24"/>
        <v>1.6942596526436926E-3</v>
      </c>
      <c r="P560" s="93">
        <f t="shared" si="25"/>
        <v>-1.2350234674405214E-2</v>
      </c>
      <c r="Q560" s="93">
        <f>B560*'Portfolio 2 &amp; 3'!$F$7+C560*'Portfolio 2 &amp; 3'!$F$8+D560*'Portfolio 2 &amp; 3'!$F$9+E560*'Portfolio 2 &amp; 3'!$F$10+F560*'Portfolio 2 &amp; 3'!$F$11+G560*'Portfolio 2 &amp; 3'!$F$12+H560*'Portfolio 2 &amp; 3'!$F$13+I560*'Portfolio 2 &amp; 3'!$F$14+J560*'Portfolio 2 &amp; 3'!$F$15+K560*'Portfolio 2 &amp; 3'!$F$16</f>
        <v>2.5479213956996409E-3</v>
      </c>
      <c r="R560" s="93">
        <f>B560*'Portfolio 2 &amp; 3'!$B$23+C560*'Portfolio 2 &amp; 3'!$B$24+D560*'Portfolio 2 &amp; 3'!$B$25+E560*'Portfolio 2 &amp; 3'!$B$26+F560*'Portfolio 2 &amp; 3'!$B$27+G560*'Portfolio 2 &amp; 3'!$B$28+H560*'Portfolio 2 &amp; 3'!$B$29+I560*'Portfolio 2 &amp; 3'!$B$30+J560*'Portfolio 2 &amp; 3'!$B$31+K560*'Portfolio 2 &amp; 3'!$B$32</f>
        <v>4.947819539889535E-3</v>
      </c>
      <c r="S560" s="93">
        <f t="shared" si="26"/>
        <v>-5.3279875108807606E-3</v>
      </c>
    </row>
    <row r="561" spans="1:19" ht="12.75" customHeight="1">
      <c r="A561" s="82">
        <v>45260</v>
      </c>
      <c r="B561" s="53">
        <v>1.14E-2</v>
      </c>
      <c r="C561" s="53">
        <v>1.5678562601416202E-2</v>
      </c>
      <c r="D561" s="53">
        <v>8.6094316807738807E-3</v>
      </c>
      <c r="E561" s="53">
        <v>-3.6979999999999999E-2</v>
      </c>
      <c r="F561" s="53">
        <v>3.9366978978032704E-3</v>
      </c>
      <c r="G561" s="53">
        <v>-8.2045322486926607E-3</v>
      </c>
      <c r="H561" s="87">
        <v>1.1479458726129099E-3</v>
      </c>
      <c r="I561" s="53">
        <v>6.4539550643383204E-4</v>
      </c>
      <c r="J561" s="53">
        <v>-1.5721344277022299E-2</v>
      </c>
      <c r="K561" s="53">
        <v>-1.7908931745587199E-3</v>
      </c>
      <c r="L561" s="95">
        <f>IFERROR(B561*'Stock Statistics'!$C$41+C561*'Stock Statistics'!$C$42+D561*'Stock Statistics'!$C$43+E561*'Stock Statistics'!$C$44+F561*'Stock Statistics'!$C$45+G561*'Stock Statistics'!$C$46+H561*'Stock Statistics'!$C$47+I561*'Stock Statistics'!$C$48+J561*'Stock Statistics'!$C$49+K561*'Stock Statistics'!$C$50,"")</f>
        <v>-2.1278736141233578E-3</v>
      </c>
      <c r="M561" s="97">
        <v>333.24290000000002</v>
      </c>
      <c r="N561" s="96">
        <v>411.10149999999999</v>
      </c>
      <c r="O561" s="93">
        <f t="shared" si="24"/>
        <v>4.4628337818974906E-3</v>
      </c>
      <c r="P561" s="93">
        <f t="shared" si="25"/>
        <v>3.7150260547453851E-3</v>
      </c>
      <c r="Q561" s="93">
        <f>B561*'Portfolio 2 &amp; 3'!$F$7+C561*'Portfolio 2 &amp; 3'!$F$8+D561*'Portfolio 2 &amp; 3'!$F$9+E561*'Portfolio 2 &amp; 3'!$F$10+F561*'Portfolio 2 &amp; 3'!$F$11+G561*'Portfolio 2 &amp; 3'!$F$12+H561*'Portfolio 2 &amp; 3'!$F$13+I561*'Portfolio 2 &amp; 3'!$F$14+J561*'Portfolio 2 &amp; 3'!$F$15+K561*'Portfolio 2 &amp; 3'!$F$16</f>
        <v>-1.4883407614731518E-3</v>
      </c>
      <c r="R561" s="93">
        <f>B561*'Portfolio 2 &amp; 3'!$B$23+C561*'Portfolio 2 &amp; 3'!$B$24+D561*'Portfolio 2 &amp; 3'!$B$25+E561*'Portfolio 2 &amp; 3'!$B$26+F561*'Portfolio 2 &amp; 3'!$B$27+G561*'Portfolio 2 &amp; 3'!$B$28+H561*'Portfolio 2 &amp; 3'!$B$29+I561*'Portfolio 2 &amp; 3'!$B$30+J561*'Portfolio 2 &amp; 3'!$B$31+K561*'Portfolio 2 &amp; 3'!$B$32</f>
        <v>3.9040313582830062E-3</v>
      </c>
      <c r="S561" s="93">
        <f t="shared" si="26"/>
        <v>4.0889299183214378E-3</v>
      </c>
    </row>
    <row r="562" spans="1:19" ht="12.75" customHeight="1">
      <c r="A562" s="81">
        <v>45259</v>
      </c>
      <c r="B562" s="53">
        <v>-6.7000000000000002E-3</v>
      </c>
      <c r="C562" s="53">
        <v>8.6058333243013204E-3</v>
      </c>
      <c r="D562" s="53">
        <v>-7.4888387499400001E-3</v>
      </c>
      <c r="E562" s="53">
        <v>1.23E-2</v>
      </c>
      <c r="F562" s="53">
        <v>8.3359796760875699E-3</v>
      </c>
      <c r="G562" s="53">
        <v>1.1615057252357E-2</v>
      </c>
      <c r="H562" s="87">
        <v>-6.6947124728972103E-3</v>
      </c>
      <c r="I562" s="53">
        <v>6.8228891686632504E-3</v>
      </c>
      <c r="J562" s="53">
        <v>6.5351418002466098E-3</v>
      </c>
      <c r="K562" s="53">
        <v>-1.4994339274900599E-2</v>
      </c>
      <c r="L562" s="95">
        <f>IFERROR(B562*'Stock Statistics'!$C$41+C562*'Stock Statistics'!$C$42+D562*'Stock Statistics'!$C$43+E562*'Stock Statistics'!$C$44+F562*'Stock Statistics'!$C$45+G562*'Stock Statistics'!$C$46+H562*'Stock Statistics'!$C$47+I562*'Stock Statistics'!$C$48+J562*'Stock Statistics'!$C$49+K562*'Stock Statistics'!$C$50,"")</f>
        <v>1.8337010723917936E-3</v>
      </c>
      <c r="M562" s="96">
        <v>331.76229999999998</v>
      </c>
      <c r="N562" s="97">
        <v>409.57990000000001</v>
      </c>
      <c r="O562" s="93">
        <f t="shared" si="24"/>
        <v>4.0080148191232734E-3</v>
      </c>
      <c r="P562" s="93">
        <f t="shared" si="25"/>
        <v>9.2724060352327164E-3</v>
      </c>
      <c r="Q562" s="93">
        <f>B562*'Portfolio 2 &amp; 3'!$F$7+C562*'Portfolio 2 &amp; 3'!$F$8+D562*'Portfolio 2 &amp; 3'!$F$9+E562*'Portfolio 2 &amp; 3'!$F$10+F562*'Portfolio 2 &amp; 3'!$F$11+G562*'Portfolio 2 &amp; 3'!$F$12+H562*'Portfolio 2 &amp; 3'!$F$13+I562*'Portfolio 2 &amp; 3'!$F$14+J562*'Portfolio 2 &amp; 3'!$F$15+K562*'Portfolio 2 &amp; 3'!$F$16</f>
        <v>1.0288863920006935E-3</v>
      </c>
      <c r="R562" s="93">
        <f>B562*'Portfolio 2 &amp; 3'!$B$23+C562*'Portfolio 2 &amp; 3'!$B$24+D562*'Portfolio 2 &amp; 3'!$B$25+E562*'Portfolio 2 &amp; 3'!$B$26+F562*'Portfolio 2 &amp; 3'!$B$27+G562*'Portfolio 2 &amp; 3'!$B$28+H562*'Portfolio 2 &amp; 3'!$B$29+I562*'Portfolio 2 &amp; 3'!$B$30+J562*'Portfolio 2 &amp; 3'!$B$31+K562*'Portfolio 2 &amp; 3'!$B$32</f>
        <v>3.6360901457195283E-3</v>
      </c>
      <c r="S562" s="93">
        <f t="shared" si="26"/>
        <v>6.6402104271779949E-3</v>
      </c>
    </row>
    <row r="563" spans="1:19" ht="12.75" customHeight="1">
      <c r="A563" s="82">
        <v>45258</v>
      </c>
      <c r="B563" s="53">
        <v>-1.4500000000000001E-2</v>
      </c>
      <c r="C563" s="53">
        <v>-7.4764947610749298E-3</v>
      </c>
      <c r="D563" s="53">
        <v>1.96779088550589E-2</v>
      </c>
      <c r="E563" s="53">
        <v>2.308E-2</v>
      </c>
      <c r="F563" s="53">
        <v>-1.5783716205657199E-2</v>
      </c>
      <c r="G563" s="53">
        <v>1.6588187489542799E-2</v>
      </c>
      <c r="H563" s="87">
        <v>1.27376276168563E-2</v>
      </c>
      <c r="I563" s="53">
        <v>-8.1218274111560795E-5</v>
      </c>
      <c r="J563" s="53">
        <v>8.9574521025130895E-3</v>
      </c>
      <c r="K563" s="53">
        <v>1.4237878028844401E-3</v>
      </c>
      <c r="L563" s="95">
        <f>IFERROR(B563*'Stock Statistics'!$C$41+C563*'Stock Statistics'!$C$42+D563*'Stock Statistics'!$C$43+E563*'Stock Statistics'!$C$44+F563*'Stock Statistics'!$C$45+G563*'Stock Statistics'!$C$46+H563*'Stock Statistics'!$C$47+I563*'Stock Statistics'!$C$48+J563*'Stock Statistics'!$C$49+K563*'Stock Statistics'!$C$50,"")</f>
        <v>4.4623534626011844E-3</v>
      </c>
      <c r="M563" s="97">
        <v>330.43790000000001</v>
      </c>
      <c r="N563" s="96">
        <v>405.81700000000001</v>
      </c>
      <c r="O563" s="93">
        <f t="shared" si="24"/>
        <v>1.2479585739892496E-2</v>
      </c>
      <c r="P563" s="93">
        <f t="shared" si="25"/>
        <v>5.3702558136481393E-3</v>
      </c>
      <c r="Q563" s="93">
        <f>B563*'Portfolio 2 &amp; 3'!$F$7+C563*'Portfolio 2 &amp; 3'!$F$8+D563*'Portfolio 2 &amp; 3'!$F$9+E563*'Portfolio 2 &amp; 3'!$F$10+F563*'Portfolio 2 &amp; 3'!$F$11+G563*'Portfolio 2 &amp; 3'!$F$12+H563*'Portfolio 2 &amp; 3'!$F$13+I563*'Portfolio 2 &amp; 3'!$F$14+J563*'Portfolio 2 &amp; 3'!$F$15+K563*'Portfolio 2 &amp; 3'!$F$16</f>
        <v>5.3817428621768474E-3</v>
      </c>
      <c r="R563" s="93">
        <f>B563*'Portfolio 2 &amp; 3'!$B$23+C563*'Portfolio 2 &amp; 3'!$B$24+D563*'Portfolio 2 &amp; 3'!$B$25+E563*'Portfolio 2 &amp; 3'!$B$26+F563*'Portfolio 2 &amp; 3'!$B$27+G563*'Portfolio 2 &amp; 3'!$B$28+H563*'Portfolio 2 &amp; 3'!$B$29+I563*'Portfolio 2 &amp; 3'!$B$30+J563*'Portfolio 2 &amp; 3'!$B$31+K563*'Portfolio 2 &amp; 3'!$B$32</f>
        <v>-3.0741984563392387E-3</v>
      </c>
      <c r="S563" s="93">
        <f t="shared" si="26"/>
        <v>8.9249207767703176E-3</v>
      </c>
    </row>
    <row r="564" spans="1:19" ht="12.75" customHeight="1">
      <c r="A564" s="81">
        <v>45254</v>
      </c>
      <c r="B564" s="53">
        <v>6.7000000000000002E-3</v>
      </c>
      <c r="C564" s="53">
        <v>-1.6015496819129799E-2</v>
      </c>
      <c r="D564" s="53">
        <v>5.21576538896817E-3</v>
      </c>
      <c r="E564" s="53">
        <v>-2.7499999999999998E-3</v>
      </c>
      <c r="F564" s="53">
        <v>1.31412286257124E-2</v>
      </c>
      <c r="G564" s="53">
        <v>6.1808561808560699E-3</v>
      </c>
      <c r="H564" s="87">
        <v>6.9681806969943399E-3</v>
      </c>
      <c r="I564" s="53">
        <v>4.4051066606844999E-3</v>
      </c>
      <c r="J564" s="53">
        <v>-5.4441969809452297E-3</v>
      </c>
      <c r="K564" s="53">
        <v>1.0557711088237101E-3</v>
      </c>
      <c r="L564" s="95">
        <f>IFERROR(B564*'Stock Statistics'!$C$41+C564*'Stock Statistics'!$C$42+D564*'Stock Statistics'!$C$43+E564*'Stock Statistics'!$C$44+F564*'Stock Statistics'!$C$45+G564*'Stock Statistics'!$C$46+H564*'Stock Statistics'!$C$47+I564*'Stock Statistics'!$C$48+J564*'Stock Statistics'!$C$49+K564*'Stock Statistics'!$C$50,"")</f>
        <v>1.9457214861964161E-3</v>
      </c>
      <c r="M564" s="96">
        <v>326.36500000000001</v>
      </c>
      <c r="N564" s="97">
        <v>403.64929999999998</v>
      </c>
      <c r="O564" s="93">
        <f t="shared" si="24"/>
        <v>1.0904590203659748E-3</v>
      </c>
      <c r="P564" s="93">
        <f t="shared" si="25"/>
        <v>1.0139955865578587E-2</v>
      </c>
      <c r="Q564" s="93">
        <f>B564*'Portfolio 2 &amp; 3'!$F$7+C564*'Portfolio 2 &amp; 3'!$F$8+D564*'Portfolio 2 &amp; 3'!$F$9+E564*'Portfolio 2 &amp; 3'!$F$10+F564*'Portfolio 2 &amp; 3'!$F$11+G564*'Portfolio 2 &amp; 3'!$F$12+H564*'Portfolio 2 &amp; 3'!$F$13+I564*'Portfolio 2 &amp; 3'!$F$14+J564*'Portfolio 2 &amp; 3'!$F$15+K564*'Portfolio 2 &amp; 3'!$F$16</f>
        <v>1.8854797009484319E-3</v>
      </c>
      <c r="R564" s="93">
        <f>B564*'Portfolio 2 &amp; 3'!$B$23+C564*'Portfolio 2 &amp; 3'!$B$24+D564*'Portfolio 2 &amp; 3'!$B$25+E564*'Portfolio 2 &amp; 3'!$B$26+F564*'Portfolio 2 &amp; 3'!$B$27+G564*'Portfolio 2 &amp; 3'!$B$28+H564*'Portfolio 2 &amp; 3'!$B$29+I564*'Portfolio 2 &amp; 3'!$B$30+J564*'Portfolio 2 &amp; 3'!$B$31+K564*'Portfolio 2 &amp; 3'!$B$32</f>
        <v>1.8496499233431616E-3</v>
      </c>
      <c r="S564" s="93">
        <f t="shared" si="26"/>
        <v>5.6152074429722809E-3</v>
      </c>
    </row>
    <row r="565" spans="1:19" ht="12.75" customHeight="1">
      <c r="A565" s="82">
        <v>45253</v>
      </c>
      <c r="B565" s="53">
        <v>-6.9999999999999999E-4</v>
      </c>
      <c r="C565" s="53">
        <v>3.4221905960917502E-2</v>
      </c>
      <c r="D565" s="53">
        <v>-1.61212238574748E-2</v>
      </c>
      <c r="E565" s="53">
        <v>1.33E-3</v>
      </c>
      <c r="F565" s="53">
        <v>-1.6275990966435502E-2</v>
      </c>
      <c r="G565" s="53">
        <v>-5.6437727185767502E-3</v>
      </c>
      <c r="H565" s="87">
        <v>5.2513659750450499E-3</v>
      </c>
      <c r="I565" s="53">
        <v>1.9672267509565699E-2</v>
      </c>
      <c r="J565" s="53">
        <v>8.9467770796054502E-3</v>
      </c>
      <c r="K565" s="53">
        <v>1.5805348883973301E-2</v>
      </c>
      <c r="L565" s="95">
        <f>IFERROR(B565*'Stock Statistics'!$C$41+C565*'Stock Statistics'!$C$42+D565*'Stock Statistics'!$C$43+E565*'Stock Statistics'!$C$44+F565*'Stock Statistics'!$C$45+G565*'Stock Statistics'!$C$46+H565*'Stock Statistics'!$C$47+I565*'Stock Statistics'!$C$48+J565*'Stock Statistics'!$C$49+K565*'Stock Statistics'!$C$50,"")</f>
        <v>4.6486677866619946E-3</v>
      </c>
      <c r="M565" s="97">
        <v>326.0095</v>
      </c>
      <c r="N565" s="96">
        <v>399.59739999999999</v>
      </c>
      <c r="O565" s="93">
        <f t="shared" si="24"/>
        <v>-1.2780817255451105E-3</v>
      </c>
      <c r="P565" s="93">
        <f t="shared" si="25"/>
        <v>6.08995550112712E-3</v>
      </c>
      <c r="Q565" s="93">
        <f>B565*'Portfolio 2 &amp; 3'!$F$7+C565*'Portfolio 2 &amp; 3'!$F$8+D565*'Portfolio 2 &amp; 3'!$F$9+E565*'Portfolio 2 &amp; 3'!$F$10+F565*'Portfolio 2 &amp; 3'!$F$11+G565*'Portfolio 2 &amp; 3'!$F$12+H565*'Portfolio 2 &amp; 3'!$F$13+I565*'Portfolio 2 &amp; 3'!$F$14+J565*'Portfolio 2 &amp; 3'!$F$15+K565*'Portfolio 2 &amp; 3'!$F$16</f>
        <v>4.3093853422785456E-3</v>
      </c>
      <c r="R565" s="93">
        <f>B565*'Portfolio 2 &amp; 3'!$B$23+C565*'Portfolio 2 &amp; 3'!$B$24+D565*'Portfolio 2 &amp; 3'!$B$25+E565*'Portfolio 2 &amp; 3'!$B$26+F565*'Portfolio 2 &amp; 3'!$B$27+G565*'Portfolio 2 &amp; 3'!$B$28+H565*'Portfolio 2 &amp; 3'!$B$29+I565*'Portfolio 2 &amp; 3'!$B$30+J565*'Portfolio 2 &amp; 3'!$B$31+K565*'Portfolio 2 &amp; 3'!$B$32</f>
        <v>9.8112090974701131E-3</v>
      </c>
      <c r="S565" s="93">
        <f t="shared" si="26"/>
        <v>2.4059368877910048E-3</v>
      </c>
    </row>
    <row r="566" spans="1:19" ht="12.75" customHeight="1">
      <c r="A566" s="81">
        <v>45252</v>
      </c>
      <c r="B566" s="53">
        <v>-1.9E-3</v>
      </c>
      <c r="C566" s="53">
        <v>2.8654868033903798E-3</v>
      </c>
      <c r="D566" s="53">
        <v>3.9368165249087398E-3</v>
      </c>
      <c r="E566" s="53">
        <v>1.9019999999999999E-2</v>
      </c>
      <c r="F566" s="53">
        <v>4.6944683514591502E-3</v>
      </c>
      <c r="G566" s="53">
        <v>-7.4766798794236901E-3</v>
      </c>
      <c r="H566" s="87">
        <v>2.6573835401655398E-4</v>
      </c>
      <c r="I566" s="53">
        <v>9.1073152306209194E-3</v>
      </c>
      <c r="J566" s="53">
        <v>7.7581145684810799E-3</v>
      </c>
      <c r="K566" s="53">
        <v>-8.0847838517080807E-3</v>
      </c>
      <c r="L566" s="95">
        <f>IFERROR(B566*'Stock Statistics'!$C$41+C566*'Stock Statistics'!$C$42+D566*'Stock Statistics'!$C$43+E566*'Stock Statistics'!$C$44+F566*'Stock Statistics'!$C$45+G566*'Stock Statistics'!$C$46+H566*'Stock Statistics'!$C$47+I566*'Stock Statistics'!$C$48+J566*'Stock Statistics'!$C$49+K566*'Stock Statistics'!$C$50,"")</f>
        <v>3.0186476101745053E-3</v>
      </c>
      <c r="M566" s="96">
        <v>326.42669999999998</v>
      </c>
      <c r="N566" s="97">
        <v>397.17860000000002</v>
      </c>
      <c r="O566" s="93">
        <f t="shared" si="24"/>
        <v>3.8885196715607862E-3</v>
      </c>
      <c r="P566" s="93">
        <f t="shared" si="25"/>
        <v>3.6101083032491488E-3</v>
      </c>
      <c r="Q566" s="93">
        <f>B566*'Portfolio 2 &amp; 3'!$F$7+C566*'Portfolio 2 &amp; 3'!$F$8+D566*'Portfolio 2 &amp; 3'!$F$9+E566*'Portfolio 2 &amp; 3'!$F$10+F566*'Portfolio 2 &amp; 3'!$F$11+G566*'Portfolio 2 &amp; 3'!$F$12+H566*'Portfolio 2 &amp; 3'!$F$13+I566*'Portfolio 2 &amp; 3'!$F$14+J566*'Portfolio 2 &amp; 3'!$F$15+K566*'Portfolio 2 &amp; 3'!$F$16</f>
        <v>3.4429303261861301E-3</v>
      </c>
      <c r="R566" s="93">
        <f>B566*'Portfolio 2 &amp; 3'!$B$23+C566*'Portfolio 2 &amp; 3'!$B$24+D566*'Portfolio 2 &amp; 3'!$B$25+E566*'Portfolio 2 &amp; 3'!$B$26+F566*'Portfolio 2 &amp; 3'!$B$27+G566*'Portfolio 2 &amp; 3'!$B$28+H566*'Portfolio 2 &amp; 3'!$B$29+I566*'Portfolio 2 &amp; 3'!$B$30+J566*'Portfolio 2 &amp; 3'!$B$31+K566*'Portfolio 2 &amp; 3'!$B$32</f>
        <v>2.1343318522644506E-3</v>
      </c>
      <c r="S566" s="93">
        <f t="shared" si="26"/>
        <v>3.7493139874049675E-3</v>
      </c>
    </row>
    <row r="567" spans="1:19" ht="12.75" customHeight="1">
      <c r="A567" s="82">
        <v>45251</v>
      </c>
      <c r="B567" s="53">
        <v>-1.1000000000000001E-3</v>
      </c>
      <c r="C567" s="53">
        <v>-7.8985475448689602E-4</v>
      </c>
      <c r="D567" s="53">
        <v>-2.5574236324887499E-2</v>
      </c>
      <c r="E567" s="53">
        <v>-2.0320000000000001E-2</v>
      </c>
      <c r="F567" s="53">
        <v>4.7955974842766001E-3</v>
      </c>
      <c r="G567" s="53">
        <v>-2.36792877270253E-3</v>
      </c>
      <c r="H567" s="87">
        <v>-3.5130769434465999E-3</v>
      </c>
      <c r="I567" s="53">
        <v>-3.42967083525048E-3</v>
      </c>
      <c r="J567" s="53">
        <v>-5.2976264964753597E-3</v>
      </c>
      <c r="K567" s="53">
        <v>-1.2351253718657601E-3</v>
      </c>
      <c r="L567" s="95">
        <f>IFERROR(B567*'Stock Statistics'!$C$41+C567*'Stock Statistics'!$C$42+D567*'Stock Statistics'!$C$43+E567*'Stock Statistics'!$C$44+F567*'Stock Statistics'!$C$45+G567*'Stock Statistics'!$C$46+H567*'Stock Statistics'!$C$47+I567*'Stock Statistics'!$C$48+J567*'Stock Statistics'!$C$49+K567*'Stock Statistics'!$C$50,"")</f>
        <v>-5.8831922014838537E-3</v>
      </c>
      <c r="M567" s="97">
        <v>325.16230000000002</v>
      </c>
      <c r="N567" s="96">
        <v>395.74990000000003</v>
      </c>
      <c r="O567" s="93">
        <f t="shared" si="24"/>
        <v>-9.8116749186851759E-3</v>
      </c>
      <c r="P567" s="93">
        <f t="shared" si="25"/>
        <v>-1.1572192815698656E-3</v>
      </c>
      <c r="Q567" s="93">
        <f>B567*'Portfolio 2 &amp; 3'!$F$7+C567*'Portfolio 2 &amp; 3'!$F$8+D567*'Portfolio 2 &amp; 3'!$F$9+E567*'Portfolio 2 &amp; 3'!$F$10+F567*'Portfolio 2 &amp; 3'!$F$11+G567*'Portfolio 2 &amp; 3'!$F$12+H567*'Portfolio 2 &amp; 3'!$F$13+I567*'Portfolio 2 &amp; 3'!$F$14+J567*'Portfolio 2 &amp; 3'!$F$15+K567*'Portfolio 2 &amp; 3'!$F$16</f>
        <v>-6.4064558294373592E-3</v>
      </c>
      <c r="R567" s="93">
        <f>B567*'Portfolio 2 &amp; 3'!$B$23+C567*'Portfolio 2 &amp; 3'!$B$24+D567*'Portfolio 2 &amp; 3'!$B$25+E567*'Portfolio 2 &amp; 3'!$B$26+F567*'Portfolio 2 &amp; 3'!$B$27+G567*'Portfolio 2 &amp; 3'!$B$28+H567*'Portfolio 2 &amp; 3'!$B$29+I567*'Portfolio 2 &amp; 3'!$B$30+J567*'Portfolio 2 &amp; 3'!$B$31+K567*'Portfolio 2 &amp; 3'!$B$32</f>
        <v>-1.3537282701704145E-3</v>
      </c>
      <c r="S567" s="93">
        <f t="shared" si="26"/>
        <v>-5.4844471001275208E-3</v>
      </c>
    </row>
    <row r="568" spans="1:19" ht="12.75" customHeight="1">
      <c r="A568" s="81">
        <v>45250</v>
      </c>
      <c r="B568" s="53">
        <v>1.4800000000000001E-2</v>
      </c>
      <c r="C568" s="53">
        <v>8.1063446247084999E-3</v>
      </c>
      <c r="D568" s="53">
        <v>2.7743976636651201E-2</v>
      </c>
      <c r="E568" s="53">
        <v>-6.5199999999999998E-3</v>
      </c>
      <c r="F568" s="53">
        <v>-8.6403267614476597E-4</v>
      </c>
      <c r="G568" s="53">
        <v>-3.82138560611423E-3</v>
      </c>
      <c r="H568" s="87">
        <v>3.20555393211675E-3</v>
      </c>
      <c r="I568" s="53">
        <v>-2.79446112779436E-3</v>
      </c>
      <c r="J568" s="53">
        <v>2.3918335967197699E-2</v>
      </c>
      <c r="K568" s="53">
        <v>2.0685915683882301E-2</v>
      </c>
      <c r="L568" s="95">
        <f>IFERROR(B568*'Stock Statistics'!$C$41+C568*'Stock Statistics'!$C$42+D568*'Stock Statistics'!$C$43+E568*'Stock Statistics'!$C$44+F568*'Stock Statistics'!$C$45+G568*'Stock Statistics'!$C$46+H568*'Stock Statistics'!$C$47+I568*'Stock Statistics'!$C$48+J568*'Stock Statistics'!$C$49+K568*'Stock Statistics'!$C$50,"")</f>
        <v>8.4460247434503099E-3</v>
      </c>
      <c r="M568" s="96">
        <v>328.3843</v>
      </c>
      <c r="N568" s="97">
        <v>396.20839999999998</v>
      </c>
      <c r="O568" s="93">
        <f t="shared" si="24"/>
        <v>7.7617321318586008E-3</v>
      </c>
      <c r="P568" s="93">
        <f t="shared" si="25"/>
        <v>4.4364627550079749E-3</v>
      </c>
      <c r="Q568" s="93">
        <f>B568*'Portfolio 2 &amp; 3'!$F$7+C568*'Portfolio 2 &amp; 3'!$F$8+D568*'Portfolio 2 &amp; 3'!$F$9+E568*'Portfolio 2 &amp; 3'!$F$10+F568*'Portfolio 2 &amp; 3'!$F$11+G568*'Portfolio 2 &amp; 3'!$F$12+H568*'Portfolio 2 &amp; 3'!$F$13+I568*'Portfolio 2 &amp; 3'!$F$14+J568*'Portfolio 2 &amp; 3'!$F$15+K568*'Portfolio 2 &amp; 3'!$F$16</f>
        <v>1.0096560251717691E-2</v>
      </c>
      <c r="R568" s="93">
        <f>B568*'Portfolio 2 &amp; 3'!$B$23+C568*'Portfolio 2 &amp; 3'!$B$24+D568*'Portfolio 2 &amp; 3'!$B$25+E568*'Portfolio 2 &amp; 3'!$B$26+F568*'Portfolio 2 &amp; 3'!$B$27+G568*'Portfolio 2 &amp; 3'!$B$28+H568*'Portfolio 2 &amp; 3'!$B$29+I568*'Portfolio 2 &amp; 3'!$B$30+J568*'Portfolio 2 &amp; 3'!$B$31+K568*'Portfolio 2 &amp; 3'!$B$32</f>
        <v>5.293494044722586E-3</v>
      </c>
      <c r="S568" s="93">
        <f t="shared" si="26"/>
        <v>6.0990974434332879E-3</v>
      </c>
    </row>
    <row r="569" spans="1:19" ht="12.75" customHeight="1">
      <c r="A569" s="82">
        <v>45247</v>
      </c>
      <c r="B569" s="53">
        <v>1.43E-2</v>
      </c>
      <c r="C569" s="53">
        <v>-2.1629018197066902E-3</v>
      </c>
      <c r="D569" s="53">
        <v>2.9205490431820399E-2</v>
      </c>
      <c r="E569" s="53">
        <v>1.3820000000000001E-2</v>
      </c>
      <c r="F569" s="53">
        <v>7.4384743214368498E-3</v>
      </c>
      <c r="G569" s="53">
        <v>4.2165107189389203E-3</v>
      </c>
      <c r="H569" s="87">
        <v>7.5479778378524402E-3</v>
      </c>
      <c r="I569" s="53">
        <v>-4.4016277717797703E-3</v>
      </c>
      <c r="J569" s="53">
        <v>-7.9315768777035001E-2</v>
      </c>
      <c r="K569" s="53">
        <v>-3.56592916767962E-3</v>
      </c>
      <c r="L569" s="95">
        <f>IFERROR(B569*'Stock Statistics'!$C$41+C569*'Stock Statistics'!$C$42+D569*'Stock Statistics'!$C$43+E569*'Stock Statistics'!$C$44+F569*'Stock Statistics'!$C$45+G569*'Stock Statistics'!$C$46+H569*'Stock Statistics'!$C$47+I569*'Stock Statistics'!$C$48+J569*'Stock Statistics'!$C$49+K569*'Stock Statistics'!$C$50,"")</f>
        <v>-1.2917774226152475E-3</v>
      </c>
      <c r="M569" s="97">
        <v>325.85509999999999</v>
      </c>
      <c r="N569" s="96">
        <v>394.45839999999998</v>
      </c>
      <c r="O569" s="93">
        <f t="shared" si="24"/>
        <v>2.8143605323556198E-3</v>
      </c>
      <c r="P569" s="93">
        <f t="shared" si="25"/>
        <v>3.5814718050368732E-3</v>
      </c>
      <c r="Q569" s="93">
        <f>B569*'Portfolio 2 &amp; 3'!$F$7+C569*'Portfolio 2 &amp; 3'!$F$8+D569*'Portfolio 2 &amp; 3'!$F$9+E569*'Portfolio 2 &amp; 3'!$F$10+F569*'Portfolio 2 &amp; 3'!$F$11+G569*'Portfolio 2 &amp; 3'!$F$12+H569*'Portfolio 2 &amp; 3'!$F$13+I569*'Portfolio 2 &amp; 3'!$F$14+J569*'Portfolio 2 &amp; 3'!$F$15+K569*'Portfolio 2 &amp; 3'!$F$16</f>
        <v>-4.3170054344967125E-3</v>
      </c>
      <c r="R569" s="93">
        <f>B569*'Portfolio 2 &amp; 3'!$B$23+C569*'Portfolio 2 &amp; 3'!$B$24+D569*'Portfolio 2 &amp; 3'!$B$25+E569*'Portfolio 2 &amp; 3'!$B$26+F569*'Portfolio 2 &amp; 3'!$B$27+G569*'Portfolio 2 &amp; 3'!$B$28+H569*'Portfolio 2 &amp; 3'!$B$29+I569*'Portfolio 2 &amp; 3'!$B$30+J569*'Portfolio 2 &amp; 3'!$B$31+K569*'Portfolio 2 &amp; 3'!$B$32</f>
        <v>-3.0698762380894221E-4</v>
      </c>
      <c r="S569" s="93">
        <f t="shared" si="26"/>
        <v>3.1979161686962465E-3</v>
      </c>
    </row>
    <row r="570" spans="1:19" ht="12.75" customHeight="1">
      <c r="A570" s="81">
        <v>45246</v>
      </c>
      <c r="B570" s="53">
        <v>1.6E-2</v>
      </c>
      <c r="C570" s="53">
        <v>9.5024842367934497E-3</v>
      </c>
      <c r="D570" s="53">
        <v>-9.1825085620688106E-3</v>
      </c>
      <c r="E570" s="53">
        <v>1.8400000000000001E-3</v>
      </c>
      <c r="F570" s="53">
        <v>1.7226112855188099E-2</v>
      </c>
      <c r="G570" s="53">
        <v>1.36384373424257E-2</v>
      </c>
      <c r="H570" s="87">
        <v>-1.3187087346634399E-3</v>
      </c>
      <c r="I570" s="53">
        <v>2.2473780589311598E-3</v>
      </c>
      <c r="J570" s="53">
        <v>1.45621384400558E-2</v>
      </c>
      <c r="K570" s="53">
        <v>-5.3471625107480696E-3</v>
      </c>
      <c r="L570" s="95">
        <f>IFERROR(B570*'Stock Statistics'!$C$41+C570*'Stock Statistics'!$C$42+D570*'Stock Statistics'!$C$43+E570*'Stock Statistics'!$C$44+F570*'Stock Statistics'!$C$45+G570*'Stock Statistics'!$C$46+H570*'Stock Statistics'!$C$47+I570*'Stock Statistics'!$C$48+J570*'Stock Statistics'!$C$49+K570*'Stock Statistics'!$C$50,"")</f>
        <v>5.9168171125913898E-3</v>
      </c>
      <c r="M570" s="96">
        <v>324.94060000000002</v>
      </c>
      <c r="N570" s="97">
        <v>393.05070000000001</v>
      </c>
      <c r="O570" s="93">
        <f t="shared" si="24"/>
        <v>6.3797557426010787E-3</v>
      </c>
      <c r="P570" s="93">
        <f t="shared" si="25"/>
        <v>1.1083700757829051E-2</v>
      </c>
      <c r="Q570" s="93">
        <f>B570*'Portfolio 2 &amp; 3'!$F$7+C570*'Portfolio 2 &amp; 3'!$F$8+D570*'Portfolio 2 &amp; 3'!$F$9+E570*'Portfolio 2 &amp; 3'!$F$10+F570*'Portfolio 2 &amp; 3'!$F$11+G570*'Portfolio 2 &amp; 3'!$F$12+H570*'Portfolio 2 &amp; 3'!$F$13+I570*'Portfolio 2 &amp; 3'!$F$14+J570*'Portfolio 2 &amp; 3'!$F$15+K570*'Portfolio 2 &amp; 3'!$F$16</f>
        <v>5.0880653391148362E-3</v>
      </c>
      <c r="R570" s="93">
        <f>B570*'Portfolio 2 &amp; 3'!$B$23+C570*'Portfolio 2 &amp; 3'!$B$24+D570*'Portfolio 2 &amp; 3'!$B$25+E570*'Portfolio 2 &amp; 3'!$B$26+F570*'Portfolio 2 &amp; 3'!$B$27+G570*'Portfolio 2 &amp; 3'!$B$28+H570*'Portfolio 2 &amp; 3'!$B$29+I570*'Portfolio 2 &amp; 3'!$B$30+J570*'Portfolio 2 &amp; 3'!$B$31+K570*'Portfolio 2 &amp; 3'!$B$32</f>
        <v>8.5508282706314911E-3</v>
      </c>
      <c r="S570" s="93">
        <f t="shared" si="26"/>
        <v>8.731728250215065E-3</v>
      </c>
    </row>
    <row r="571" spans="1:19" ht="12.75" customHeight="1">
      <c r="A571" s="82">
        <v>45245</v>
      </c>
      <c r="B571" s="53">
        <v>-9.7999999999999997E-3</v>
      </c>
      <c r="C571" s="53">
        <v>2.2263725501360899E-2</v>
      </c>
      <c r="D571" s="53">
        <v>3.1539603706927502E-2</v>
      </c>
      <c r="E571" s="53">
        <v>-1E-3</v>
      </c>
      <c r="F571" s="53">
        <v>1.45102781136641E-3</v>
      </c>
      <c r="G571" s="53">
        <v>2.0985021205658198E-2</v>
      </c>
      <c r="H571" s="87">
        <v>1.21387022590973E-2</v>
      </c>
      <c r="I571" s="53">
        <v>1.1279461279461301E-2</v>
      </c>
      <c r="J571" s="53">
        <v>4.9314409429876997E-3</v>
      </c>
      <c r="K571" s="53">
        <v>1.32454838753591E-2</v>
      </c>
      <c r="L571" s="95">
        <f>IFERROR(B571*'Stock Statistics'!$C$41+C571*'Stock Statistics'!$C$42+D571*'Stock Statistics'!$C$43+E571*'Stock Statistics'!$C$44+F571*'Stock Statistics'!$C$45+G571*'Stock Statistics'!$C$46+H571*'Stock Statistics'!$C$47+I571*'Stock Statistics'!$C$48+J571*'Stock Statistics'!$C$49+K571*'Stock Statistics'!$C$50,"")</f>
        <v>1.070344665822184E-2</v>
      </c>
      <c r="M571" s="97">
        <v>322.88069999999999</v>
      </c>
      <c r="N571" s="96">
        <v>388.74200000000002</v>
      </c>
      <c r="O571" s="93">
        <f t="shared" si="24"/>
        <v>8.1134724669282843E-3</v>
      </c>
      <c r="P571" s="93">
        <f t="shared" si="25"/>
        <v>1.2909751596847707E-2</v>
      </c>
      <c r="Q571" s="93">
        <f>B571*'Portfolio 2 &amp; 3'!$F$7+C571*'Portfolio 2 &amp; 3'!$F$8+D571*'Portfolio 2 &amp; 3'!$F$9+E571*'Portfolio 2 &amp; 3'!$F$10+F571*'Portfolio 2 &amp; 3'!$F$11+G571*'Portfolio 2 &amp; 3'!$F$12+H571*'Portfolio 2 &amp; 3'!$F$13+I571*'Portfolio 2 &amp; 3'!$F$14+J571*'Portfolio 2 &amp; 3'!$F$15+K571*'Portfolio 2 &amp; 3'!$F$16</f>
        <v>1.163652633416843E-2</v>
      </c>
      <c r="R571" s="93">
        <f>B571*'Portfolio 2 &amp; 3'!$B$23+C571*'Portfolio 2 &amp; 3'!$B$24+D571*'Portfolio 2 &amp; 3'!$B$25+E571*'Portfolio 2 &amp; 3'!$B$26+F571*'Portfolio 2 &amp; 3'!$B$27+G571*'Portfolio 2 &amp; 3'!$B$28+H571*'Portfolio 2 &amp; 3'!$B$29+I571*'Portfolio 2 &amp; 3'!$B$30+J571*'Portfolio 2 &amp; 3'!$B$31+K571*'Portfolio 2 &amp; 3'!$B$32</f>
        <v>1.0278169599275374E-2</v>
      </c>
      <c r="S571" s="93">
        <f t="shared" si="26"/>
        <v>1.0511612031887996E-2</v>
      </c>
    </row>
    <row r="572" spans="1:19" ht="12.75" customHeight="1">
      <c r="A572" s="81">
        <v>45243</v>
      </c>
      <c r="B572" s="53">
        <v>-2.7799999999999998E-2</v>
      </c>
      <c r="C572" s="53">
        <v>-1.30157695377041E-2</v>
      </c>
      <c r="D572" s="53">
        <v>9.9803495707932992E-3</v>
      </c>
      <c r="E572" s="53">
        <v>1.4659999999999999E-2</v>
      </c>
      <c r="F572" s="53">
        <v>-4.97312906072034E-3</v>
      </c>
      <c r="G572" s="53">
        <v>-7.32502676920077E-3</v>
      </c>
      <c r="H572" s="87">
        <v>2.2933790902130099E-2</v>
      </c>
      <c r="I572" s="53">
        <v>-5.5248618784529101E-3</v>
      </c>
      <c r="J572" s="53">
        <v>-1.8408836241397E-3</v>
      </c>
      <c r="K572" s="53">
        <v>2.0023050113167701E-2</v>
      </c>
      <c r="L572" s="95">
        <f>IFERROR(B572*'Stock Statistics'!$C$41+C572*'Stock Statistics'!$C$42+D572*'Stock Statistics'!$C$43+E572*'Stock Statistics'!$C$44+F572*'Stock Statistics'!$C$45+G572*'Stock Statistics'!$C$46+H572*'Stock Statistics'!$C$47+I572*'Stock Statistics'!$C$48+J572*'Stock Statistics'!$C$49+K572*'Stock Statistics'!$C$50,"")</f>
        <v>7.1175197158732865E-4</v>
      </c>
      <c r="M572" s="96">
        <v>320.28210000000001</v>
      </c>
      <c r="N572" s="97">
        <v>383.78739999999999</v>
      </c>
      <c r="O572" s="93">
        <f t="shared" si="24"/>
        <v>5.4453417465212262E-3</v>
      </c>
      <c r="P572" s="93">
        <f t="shared" si="25"/>
        <v>9.4363567356838818E-3</v>
      </c>
      <c r="Q572" s="93">
        <f>B572*'Portfolio 2 &amp; 3'!$F$7+C572*'Portfolio 2 &amp; 3'!$F$8+D572*'Portfolio 2 &amp; 3'!$F$9+E572*'Portfolio 2 &amp; 3'!$F$10+F572*'Portfolio 2 &amp; 3'!$F$11+G572*'Portfolio 2 &amp; 3'!$F$12+H572*'Portfolio 2 &amp; 3'!$F$13+I572*'Portfolio 2 &amp; 3'!$F$14+J572*'Portfolio 2 &amp; 3'!$F$15+K572*'Portfolio 2 &amp; 3'!$F$16</f>
        <v>2.9633313669705065E-3</v>
      </c>
      <c r="R572" s="93">
        <f>B572*'Portfolio 2 &amp; 3'!$B$23+C572*'Portfolio 2 &amp; 3'!$B$24+D572*'Portfolio 2 &amp; 3'!$B$25+E572*'Portfolio 2 &amp; 3'!$B$26+F572*'Portfolio 2 &amp; 3'!$B$27+G572*'Portfolio 2 &amp; 3'!$B$28+H572*'Portfolio 2 &amp; 3'!$B$29+I572*'Portfolio 2 &amp; 3'!$B$30+J572*'Portfolio 2 &amp; 3'!$B$31+K572*'Portfolio 2 &amp; 3'!$B$32</f>
        <v>-6.6804659057583199E-3</v>
      </c>
      <c r="S572" s="93">
        <f t="shared" si="26"/>
        <v>7.440849241102554E-3</v>
      </c>
    </row>
    <row r="573" spans="1:19" ht="12.75" customHeight="1">
      <c r="A573" s="82">
        <v>45242</v>
      </c>
      <c r="B573" s="53">
        <v>4.5999999999999999E-3</v>
      </c>
      <c r="C573" s="53">
        <v>1.9994267698480998E-2</v>
      </c>
      <c r="D573" s="53">
        <v>-1.29644752960393E-2</v>
      </c>
      <c r="E573" s="53">
        <v>-1.494E-2</v>
      </c>
      <c r="F573" s="53">
        <v>5.5654137764156201E-3</v>
      </c>
      <c r="G573" s="53">
        <v>-5.5179090029041601E-3</v>
      </c>
      <c r="H573" s="87">
        <v>1.8450695129734699E-5</v>
      </c>
      <c r="I573" s="53">
        <v>4.2453028456137503E-3</v>
      </c>
      <c r="J573" s="53">
        <v>1.1823777129899699E-2</v>
      </c>
      <c r="K573" s="53">
        <v>1.48242091171704E-2</v>
      </c>
      <c r="L573" s="95">
        <f>IFERROR(B573*'Stock Statistics'!$C$41+C573*'Stock Statistics'!$C$42+D573*'Stock Statistics'!$C$43+E573*'Stock Statistics'!$C$44+F573*'Stock Statistics'!$C$45+G573*'Stock Statistics'!$C$46+H573*'Stock Statistics'!$C$47+I573*'Stock Statistics'!$C$48+J573*'Stock Statistics'!$C$49+K573*'Stock Statistics'!$C$50,"")</f>
        <v>2.7649036963766742E-3</v>
      </c>
      <c r="M573" s="97">
        <v>318.54750000000001</v>
      </c>
      <c r="N573" s="96">
        <v>380.19970000000001</v>
      </c>
      <c r="O573" s="93">
        <f t="shared" si="24"/>
        <v>6.9897117725603586E-4</v>
      </c>
      <c r="P573" s="93">
        <f t="shared" si="25"/>
        <v>7.731335751324897E-3</v>
      </c>
      <c r="Q573" s="93">
        <f>B573*'Portfolio 2 &amp; 3'!$F$7+C573*'Portfolio 2 &amp; 3'!$F$8+D573*'Portfolio 2 &amp; 3'!$F$9+E573*'Portfolio 2 &amp; 3'!$F$10+F573*'Portfolio 2 &amp; 3'!$F$11+G573*'Portfolio 2 &amp; 3'!$F$12+H573*'Portfolio 2 &amp; 3'!$F$13+I573*'Portfolio 2 &amp; 3'!$F$14+J573*'Portfolio 2 &amp; 3'!$F$15+K573*'Portfolio 2 &amp; 3'!$F$16</f>
        <v>2.9538088368706835E-3</v>
      </c>
      <c r="R573" s="93">
        <f>B573*'Portfolio 2 &amp; 3'!$B$23+C573*'Portfolio 2 &amp; 3'!$B$24+D573*'Portfolio 2 &amp; 3'!$B$25+E573*'Portfolio 2 &amp; 3'!$B$26+F573*'Portfolio 2 &amp; 3'!$B$27+G573*'Portfolio 2 &amp; 3'!$B$28+H573*'Portfolio 2 &amp; 3'!$B$29+I573*'Portfolio 2 &amp; 3'!$B$30+J573*'Portfolio 2 &amp; 3'!$B$31+K573*'Portfolio 2 &amp; 3'!$B$32</f>
        <v>7.2935693697069688E-3</v>
      </c>
      <c r="S573" s="93">
        <f t="shared" si="26"/>
        <v>4.2151534642904664E-3</v>
      </c>
    </row>
    <row r="574" spans="1:19" ht="12.75" customHeight="1">
      <c r="A574" s="81">
        <v>45240</v>
      </c>
      <c r="B574" s="53">
        <v>-7.3000000000000001E-3</v>
      </c>
      <c r="C574" s="53">
        <v>3.7514816050818701E-3</v>
      </c>
      <c r="D574" s="53">
        <v>2.5527135344871599E-4</v>
      </c>
      <c r="E574" s="53">
        <v>-4.96E-3</v>
      </c>
      <c r="F574" s="53">
        <v>1.2164258306800501E-2</v>
      </c>
      <c r="G574" s="53">
        <v>1.0174911575173699E-3</v>
      </c>
      <c r="H574" s="87">
        <v>-5.4864902059726904E-3</v>
      </c>
      <c r="I574" s="53">
        <v>7.3249216699127198E-3</v>
      </c>
      <c r="J574" s="53">
        <v>-5.5969398026978201E-3</v>
      </c>
      <c r="K574" s="53">
        <v>3.2232070910556102E-3</v>
      </c>
      <c r="L574" s="95">
        <f>IFERROR(B574*'Stock Statistics'!$C$41+C574*'Stock Statistics'!$C$42+D574*'Stock Statistics'!$C$43+E574*'Stock Statistics'!$C$44+F574*'Stock Statistics'!$C$45+G574*'Stock Statistics'!$C$46+H574*'Stock Statistics'!$C$47+I574*'Stock Statistics'!$C$48+J574*'Stock Statistics'!$C$49+K574*'Stock Statistics'!$C$50,"")</f>
        <v>4.3932011751462768E-4</v>
      </c>
      <c r="M574" s="96">
        <v>318.32499999999999</v>
      </c>
      <c r="N574" s="97">
        <v>377.28280000000001</v>
      </c>
      <c r="O574" s="93">
        <f t="shared" si="24"/>
        <v>8.5740615615725879E-4</v>
      </c>
      <c r="P574" s="93">
        <f t="shared" si="25"/>
        <v>6.1765468302794613E-3</v>
      </c>
      <c r="Q574" s="93">
        <f>B574*'Portfolio 2 &amp; 3'!$F$7+C574*'Portfolio 2 &amp; 3'!$F$8+D574*'Portfolio 2 &amp; 3'!$F$9+E574*'Portfolio 2 &amp; 3'!$F$10+F574*'Portfolio 2 &amp; 3'!$F$11+G574*'Portfolio 2 &amp; 3'!$F$12+H574*'Portfolio 2 &amp; 3'!$F$13+I574*'Portfolio 2 &amp; 3'!$F$14+J574*'Portfolio 2 &amp; 3'!$F$15+K574*'Portfolio 2 &amp; 3'!$F$16</f>
        <v>2.2777526223861932E-5</v>
      </c>
      <c r="R574" s="93">
        <f>B574*'Portfolio 2 &amp; 3'!$B$23+C574*'Portfolio 2 &amp; 3'!$B$24+D574*'Portfolio 2 &amp; 3'!$B$25+E574*'Portfolio 2 &amp; 3'!$B$26+F574*'Portfolio 2 &amp; 3'!$B$27+G574*'Portfolio 2 &amp; 3'!$B$28+H574*'Portfolio 2 &amp; 3'!$B$29+I574*'Portfolio 2 &amp; 3'!$B$30+J574*'Portfolio 2 &amp; 3'!$B$31+K574*'Portfolio 2 &amp; 3'!$B$32</f>
        <v>3.5294396244971195E-3</v>
      </c>
      <c r="S574" s="93">
        <f t="shared" si="26"/>
        <v>3.51697649321836E-3</v>
      </c>
    </row>
    <row r="575" spans="1:19" ht="12.75" customHeight="1">
      <c r="A575" s="82">
        <v>45239</v>
      </c>
      <c r="B575" s="53">
        <v>-1.5900000000000001E-2</v>
      </c>
      <c r="C575" s="53">
        <v>1.0465237967883401E-2</v>
      </c>
      <c r="D575" s="53">
        <v>-3.57252220067439E-4</v>
      </c>
      <c r="E575" s="53">
        <v>-5.0200000000000002E-3</v>
      </c>
      <c r="F575" s="53">
        <v>-2.0393474088291699E-2</v>
      </c>
      <c r="G575" s="53">
        <v>2.7694101642212802E-3</v>
      </c>
      <c r="H575" s="87">
        <v>4.5807295987023702E-3</v>
      </c>
      <c r="I575" s="53">
        <v>2.6320258108338801E-3</v>
      </c>
      <c r="J575" s="53">
        <v>9.6731288541373995E-4</v>
      </c>
      <c r="K575" s="53">
        <v>7.6495726495726703E-3</v>
      </c>
      <c r="L575" s="95">
        <f>IFERROR(B575*'Stock Statistics'!$C$41+C575*'Stock Statistics'!$C$42+D575*'Stock Statistics'!$C$43+E575*'Stock Statistics'!$C$44+F575*'Stock Statistics'!$C$45+G575*'Stock Statistics'!$C$46+H575*'Stock Statistics'!$C$47+I575*'Stock Statistics'!$C$48+J575*'Stock Statistics'!$C$49+K575*'Stock Statistics'!$C$50,"")</f>
        <v>-1.2606437231731799E-3</v>
      </c>
      <c r="M575" s="97">
        <v>318.0523</v>
      </c>
      <c r="N575" s="96">
        <v>374.96679999999998</v>
      </c>
      <c r="O575" s="93">
        <f t="shared" si="24"/>
        <v>6.0788167928065295E-3</v>
      </c>
      <c r="P575" s="93">
        <f t="shared" si="25"/>
        <v>3.6735026006813332E-3</v>
      </c>
      <c r="Q575" s="93">
        <f>B575*'Portfolio 2 &amp; 3'!$F$7+C575*'Portfolio 2 &amp; 3'!$F$8+D575*'Portfolio 2 &amp; 3'!$F$9+E575*'Portfolio 2 &amp; 3'!$F$10+F575*'Portfolio 2 &amp; 3'!$F$11+G575*'Portfolio 2 &amp; 3'!$F$12+H575*'Portfolio 2 &amp; 3'!$F$13+I575*'Portfolio 2 &amp; 3'!$F$14+J575*'Portfolio 2 &amp; 3'!$F$15+K575*'Portfolio 2 &amp; 3'!$F$16</f>
        <v>-6.917096676806293E-4</v>
      </c>
      <c r="R575" s="93">
        <f>B575*'Portfolio 2 &amp; 3'!$B$23+C575*'Portfolio 2 &amp; 3'!$B$24+D575*'Portfolio 2 &amp; 3'!$B$25+E575*'Portfolio 2 &amp; 3'!$B$26+F575*'Portfolio 2 &amp; 3'!$B$27+G575*'Portfolio 2 &amp; 3'!$B$28+H575*'Portfolio 2 &amp; 3'!$B$29+I575*'Portfolio 2 &amp; 3'!$B$30+J575*'Portfolio 2 &amp; 3'!$B$31+K575*'Portfolio 2 &amp; 3'!$B$32</f>
        <v>-1.5684847071548856E-3</v>
      </c>
      <c r="S575" s="93">
        <f t="shared" si="26"/>
        <v>4.8761596967439313E-3</v>
      </c>
    </row>
    <row r="576" spans="1:19" ht="12.75" customHeight="1">
      <c r="A576" s="81">
        <v>45238</v>
      </c>
      <c r="B576" s="53">
        <v>2.01E-2</v>
      </c>
      <c r="C576" s="53">
        <v>-3.76488577915757E-3</v>
      </c>
      <c r="D576" s="53">
        <v>3.0449645017091902E-2</v>
      </c>
      <c r="E576" s="53">
        <v>-2.188E-2</v>
      </c>
      <c r="F576" s="53">
        <v>4.6710195881466902E-2</v>
      </c>
      <c r="G576" s="53">
        <v>3.41263650546031E-3</v>
      </c>
      <c r="H576" s="87">
        <v>-6.0553870958877098E-3</v>
      </c>
      <c r="I576" s="53">
        <v>-2.3716754192783002E-3</v>
      </c>
      <c r="J576" s="53">
        <v>-2.73322882752525E-3</v>
      </c>
      <c r="K576" s="53">
        <v>-1.96195513093922E-3</v>
      </c>
      <c r="L576" s="95">
        <f>IFERROR(B576*'Stock Statistics'!$C$41+C576*'Stock Statistics'!$C$42+D576*'Stock Statistics'!$C$43+E576*'Stock Statistics'!$C$44+F576*'Stock Statistics'!$C$45+G576*'Stock Statistics'!$C$46+H576*'Stock Statistics'!$C$47+I576*'Stock Statistics'!$C$48+J576*'Stock Statistics'!$C$49+K576*'Stock Statistics'!$C$50,"")</f>
        <v>6.1905345151231066E-3</v>
      </c>
      <c r="M576" s="96">
        <v>316.13060000000002</v>
      </c>
      <c r="N576" s="97">
        <v>373.59440000000001</v>
      </c>
      <c r="O576" s="93">
        <f t="shared" si="24"/>
        <v>1.8425018982777264E-3</v>
      </c>
      <c r="P576" s="93">
        <f t="shared" si="25"/>
        <v>-4.6621195526346249E-3</v>
      </c>
      <c r="Q576" s="93">
        <f>B576*'Portfolio 2 &amp; 3'!$F$7+C576*'Portfolio 2 &amp; 3'!$F$8+D576*'Portfolio 2 &amp; 3'!$F$9+E576*'Portfolio 2 &amp; 3'!$F$10+F576*'Portfolio 2 &amp; 3'!$F$11+G576*'Portfolio 2 &amp; 3'!$F$12+H576*'Portfolio 2 &amp; 3'!$F$13+I576*'Portfolio 2 &amp; 3'!$F$14+J576*'Portfolio 2 &amp; 3'!$F$15+K576*'Portfolio 2 &amp; 3'!$F$16</f>
        <v>6.6980561237690965E-3</v>
      </c>
      <c r="R576" s="93">
        <f>B576*'Portfolio 2 &amp; 3'!$B$23+C576*'Portfolio 2 &amp; 3'!$B$24+D576*'Portfolio 2 &amp; 3'!$B$25+E576*'Portfolio 2 &amp; 3'!$B$26+F576*'Portfolio 2 &amp; 3'!$B$27+G576*'Portfolio 2 &amp; 3'!$B$28+H576*'Portfolio 2 &amp; 3'!$B$29+I576*'Portfolio 2 &amp; 3'!$B$30+J576*'Portfolio 2 &amp; 3'!$B$31+K576*'Portfolio 2 &amp; 3'!$B$32</f>
        <v>9.0426936827547599E-3</v>
      </c>
      <c r="S576" s="93">
        <f t="shared" si="26"/>
        <v>-1.4098088271784492E-3</v>
      </c>
    </row>
    <row r="577" spans="1:19" ht="12.75" customHeight="1">
      <c r="A577" s="82">
        <v>45237</v>
      </c>
      <c r="B577" s="53">
        <v>2.0299999999999999E-2</v>
      </c>
      <c r="C577" s="53">
        <v>2.3105950653119502E-3</v>
      </c>
      <c r="D577" s="53">
        <v>1.5162030857936101E-2</v>
      </c>
      <c r="E577" s="53">
        <v>-1.4279999999999999E-2</v>
      </c>
      <c r="F577" s="53">
        <v>2.12875096178506E-2</v>
      </c>
      <c r="G577" s="53">
        <v>1.13899709087322E-2</v>
      </c>
      <c r="H577" s="87">
        <v>8.0681391020531702E-4</v>
      </c>
      <c r="I577" s="53">
        <v>1.0599058803577601E-3</v>
      </c>
      <c r="J577" s="53">
        <v>3.1045883396501098E-3</v>
      </c>
      <c r="K577" s="53">
        <v>6.78461009962228E-3</v>
      </c>
      <c r="L577" s="95">
        <f>IFERROR(B577*'Stock Statistics'!$C$41+C577*'Stock Statistics'!$C$42+D577*'Stock Statistics'!$C$43+E577*'Stock Statistics'!$C$44+F577*'Stock Statistics'!$C$45+G577*'Stock Statistics'!$C$46+H577*'Stock Statistics'!$C$47+I577*'Stock Statistics'!$C$48+J577*'Stock Statistics'!$C$49+K577*'Stock Statistics'!$C$50,"")</f>
        <v>6.7926024679666316E-3</v>
      </c>
      <c r="M577" s="97">
        <v>315.54919999999998</v>
      </c>
      <c r="N577" s="96">
        <v>375.34429999999998</v>
      </c>
      <c r="O577" s="93">
        <f t="shared" si="24"/>
        <v>7.9669681151977034E-3</v>
      </c>
      <c r="P577" s="93">
        <f t="shared" si="25"/>
        <v>1.9770226508706301E-3</v>
      </c>
      <c r="Q577" s="93">
        <f>B577*'Portfolio 2 &amp; 3'!$F$7+C577*'Portfolio 2 &amp; 3'!$F$8+D577*'Portfolio 2 &amp; 3'!$F$9+E577*'Portfolio 2 &amp; 3'!$F$10+F577*'Portfolio 2 &amp; 3'!$F$11+G577*'Portfolio 2 &amp; 3'!$F$12+H577*'Portfolio 2 &amp; 3'!$F$13+I577*'Portfolio 2 &amp; 3'!$F$14+J577*'Portfolio 2 &amp; 3'!$F$15+K577*'Portfolio 2 &amp; 3'!$F$16</f>
        <v>6.5830564299932115E-3</v>
      </c>
      <c r="R577" s="93">
        <f>B577*'Portfolio 2 &amp; 3'!$B$23+C577*'Portfolio 2 &amp; 3'!$B$24+D577*'Portfolio 2 &amp; 3'!$B$25+E577*'Portfolio 2 &amp; 3'!$B$26+F577*'Portfolio 2 &amp; 3'!$B$27+G577*'Portfolio 2 &amp; 3'!$B$28+H577*'Portfolio 2 &amp; 3'!$B$29+I577*'Portfolio 2 &amp; 3'!$B$30+J577*'Portfolio 2 &amp; 3'!$B$31+K577*'Portfolio 2 &amp; 3'!$B$32</f>
        <v>8.8867099876960946E-3</v>
      </c>
      <c r="S577" s="93">
        <f t="shared" si="26"/>
        <v>4.9719953830341668E-3</v>
      </c>
    </row>
    <row r="578" spans="1:19" ht="12.75" customHeight="1">
      <c r="A578" s="81">
        <v>45236</v>
      </c>
      <c r="B578" s="53">
        <v>2.2700000000000001E-2</v>
      </c>
      <c r="C578" s="53">
        <v>5.4988675368343697E-3</v>
      </c>
      <c r="D578" s="53">
        <v>3.7671043155503903E-2</v>
      </c>
      <c r="E578" s="53">
        <v>6.8999999999999999E-3</v>
      </c>
      <c r="F578" s="53">
        <v>0</v>
      </c>
      <c r="G578" s="53">
        <v>1.48618895116093E-2</v>
      </c>
      <c r="H578" s="87">
        <v>9.1037775125593096E-3</v>
      </c>
      <c r="I578" s="53">
        <v>2.6781159666722201E-3</v>
      </c>
      <c r="J578" s="53">
        <v>1.57493033961953E-3</v>
      </c>
      <c r="K578" s="53">
        <v>-1.51493497213096E-3</v>
      </c>
      <c r="L578" s="95">
        <f>IFERROR(B578*'Stock Statistics'!$C$41+C578*'Stock Statistics'!$C$42+D578*'Stock Statistics'!$C$43+E578*'Stock Statistics'!$C$44+F578*'Stock Statistics'!$C$45+G578*'Stock Statistics'!$C$46+H578*'Stock Statistics'!$C$47+I578*'Stock Statistics'!$C$48+J578*'Stock Statistics'!$C$49+K578*'Stock Statistics'!$C$50,"")</f>
        <v>9.9473689050667679E-3</v>
      </c>
      <c r="M578" s="96">
        <v>313.05509999999998</v>
      </c>
      <c r="N578" s="97">
        <v>374.6037</v>
      </c>
      <c r="O578" s="93">
        <f t="shared" ref="O578:O641" si="27">M578/M579-1</f>
        <v>1.2554435436919364E-2</v>
      </c>
      <c r="P578" s="93">
        <f t="shared" ref="P578:P641" si="28">N578/N579-1</f>
        <v>1.3240975860975945E-2</v>
      </c>
      <c r="Q578" s="93">
        <f>B578*'Portfolio 2 &amp; 3'!$F$7+C578*'Portfolio 2 &amp; 3'!$F$8+D578*'Portfolio 2 &amp; 3'!$F$9+E578*'Portfolio 2 &amp; 3'!$F$10+F578*'Portfolio 2 &amp; 3'!$F$11+G578*'Portfolio 2 &amp; 3'!$F$12+H578*'Portfolio 2 &amp; 3'!$F$13+I578*'Portfolio 2 &amp; 3'!$F$14+J578*'Portfolio 2 &amp; 3'!$F$15+K578*'Portfolio 2 &amp; 3'!$F$16</f>
        <v>1.0208494700003623E-2</v>
      </c>
      <c r="R578" s="93">
        <f>B578*'Portfolio 2 &amp; 3'!$B$23+C578*'Portfolio 2 &amp; 3'!$B$24+D578*'Portfolio 2 &amp; 3'!$B$25+E578*'Portfolio 2 &amp; 3'!$B$26+F578*'Portfolio 2 &amp; 3'!$B$27+G578*'Portfolio 2 &amp; 3'!$B$28+H578*'Portfolio 2 &amp; 3'!$B$29+I578*'Portfolio 2 &amp; 3'!$B$30+J578*'Portfolio 2 &amp; 3'!$B$31+K578*'Portfolio 2 &amp; 3'!$B$32</f>
        <v>6.9984216854161547E-3</v>
      </c>
      <c r="S578" s="93">
        <f t="shared" ref="S578:S641" si="29">IFERROR(AVERAGE(O578,P578),"")</f>
        <v>1.2897705648947655E-2</v>
      </c>
    </row>
    <row r="579" spans="1:19" ht="12.75" customHeight="1">
      <c r="A579" s="82">
        <v>45233</v>
      </c>
      <c r="B579" s="53">
        <v>1.8499999999999999E-2</v>
      </c>
      <c r="C579" s="53">
        <v>1.1812790889975699E-2</v>
      </c>
      <c r="D579" s="53">
        <v>3.2902265964751799E-2</v>
      </c>
      <c r="E579" s="53">
        <v>-8.5800000000000008E-3</v>
      </c>
      <c r="F579" s="53">
        <v>1.22014537902389E-2</v>
      </c>
      <c r="G579" s="53">
        <v>1.6221713704551301E-2</v>
      </c>
      <c r="H579" s="87">
        <v>1.24107828628164E-2</v>
      </c>
      <c r="I579" s="53">
        <v>-4.2491714115744399E-4</v>
      </c>
      <c r="J579" s="53">
        <v>-2.2965350523770399E-3</v>
      </c>
      <c r="K579" s="53">
        <v>2.1770890028358601E-3</v>
      </c>
      <c r="L579" s="95">
        <f>IFERROR(B579*'Stock Statistics'!$C$41+C579*'Stock Statistics'!$C$42+D579*'Stock Statistics'!$C$43+E579*'Stock Statistics'!$C$44+F579*'Stock Statistics'!$C$45+G579*'Stock Statistics'!$C$46+H579*'Stock Statistics'!$C$47+I579*'Stock Statistics'!$C$48+J579*'Stock Statistics'!$C$49+K579*'Stock Statistics'!$C$50,"")</f>
        <v>9.4924644021635481E-3</v>
      </c>
      <c r="M579" s="97">
        <v>309.17360000000002</v>
      </c>
      <c r="N579" s="96">
        <v>369.70839999999998</v>
      </c>
      <c r="O579" s="93">
        <f t="shared" si="27"/>
        <v>8.989322140819489E-3</v>
      </c>
      <c r="P579" s="93">
        <f t="shared" si="28"/>
        <v>-8.5389220753970818E-3</v>
      </c>
      <c r="Q579" s="93">
        <f>B579*'Portfolio 2 &amp; 3'!$F$7+C579*'Portfolio 2 &amp; 3'!$F$8+D579*'Portfolio 2 &amp; 3'!$F$9+E579*'Portfolio 2 &amp; 3'!$F$10+F579*'Portfolio 2 &amp; 3'!$F$11+G579*'Portfolio 2 &amp; 3'!$F$12+H579*'Portfolio 2 &amp; 3'!$F$13+I579*'Portfolio 2 &amp; 3'!$F$14+J579*'Portfolio 2 &amp; 3'!$F$15+K579*'Portfolio 2 &amp; 3'!$F$16</f>
        <v>1.0116013674780787E-2</v>
      </c>
      <c r="R579" s="93">
        <f>B579*'Portfolio 2 &amp; 3'!$B$23+C579*'Portfolio 2 &amp; 3'!$B$24+D579*'Portfolio 2 &amp; 3'!$B$25+E579*'Portfolio 2 &amp; 3'!$B$26+F579*'Portfolio 2 &amp; 3'!$B$27+G579*'Portfolio 2 &amp; 3'!$B$28+H579*'Portfolio 2 &amp; 3'!$B$29+I579*'Portfolio 2 &amp; 3'!$B$30+J579*'Portfolio 2 &amp; 3'!$B$31+K579*'Portfolio 2 &amp; 3'!$B$32</f>
        <v>9.1663591169858262E-3</v>
      </c>
      <c r="S579" s="93">
        <f t="shared" si="29"/>
        <v>2.2520003271120359E-4</v>
      </c>
    </row>
    <row r="580" spans="1:19" ht="12.75" customHeight="1">
      <c r="A580" s="81">
        <v>45232</v>
      </c>
      <c r="B580" s="53">
        <v>6.6E-3</v>
      </c>
      <c r="C580" s="53">
        <v>5.0988863644828401E-2</v>
      </c>
      <c r="D580" s="53">
        <v>2.2825705255765001E-2</v>
      </c>
      <c r="E580" s="53">
        <v>4.4400000000000004E-3</v>
      </c>
      <c r="F580" s="53">
        <v>4.1710114702815399E-3</v>
      </c>
      <c r="G580" s="53">
        <v>3.11160987553549E-3</v>
      </c>
      <c r="H580" s="87">
        <v>1.4259792325742799E-2</v>
      </c>
      <c r="I580" s="53">
        <v>4.91054272172176E-3</v>
      </c>
      <c r="J580" s="53">
        <v>2.01816761889104E-2</v>
      </c>
      <c r="K580" s="53">
        <v>2.7287872694892199E-3</v>
      </c>
      <c r="L580" s="95">
        <f>IFERROR(B580*'Stock Statistics'!$C$41+C580*'Stock Statistics'!$C$42+D580*'Stock Statistics'!$C$43+E580*'Stock Statistics'!$C$44+F580*'Stock Statistics'!$C$45+G580*'Stock Statistics'!$C$46+H580*'Stock Statistics'!$C$47+I580*'Stock Statistics'!$C$48+J580*'Stock Statistics'!$C$49+K580*'Stock Statistics'!$C$50,"")</f>
        <v>1.3421798875227462E-2</v>
      </c>
      <c r="M580" s="96">
        <v>306.41910000000001</v>
      </c>
      <c r="N580" s="97">
        <v>372.89249999999998</v>
      </c>
      <c r="O580" s="93">
        <f t="shared" si="27"/>
        <v>3.3957458541284957E-3</v>
      </c>
      <c r="P580" s="93">
        <f t="shared" si="28"/>
        <v>-6.2827431624934427E-3</v>
      </c>
      <c r="Q580" s="93">
        <f>B580*'Portfolio 2 &amp; 3'!$F$7+C580*'Portfolio 2 &amp; 3'!$F$8+D580*'Portfolio 2 &amp; 3'!$F$9+E580*'Portfolio 2 &amp; 3'!$F$10+F580*'Portfolio 2 &amp; 3'!$F$11+G580*'Portfolio 2 &amp; 3'!$F$12+H580*'Portfolio 2 &amp; 3'!$F$13+I580*'Portfolio 2 &amp; 3'!$F$14+J580*'Portfolio 2 &amp; 3'!$F$15+K580*'Portfolio 2 &amp; 3'!$F$16</f>
        <v>1.5250760434879149E-2</v>
      </c>
      <c r="R580" s="93">
        <f>B580*'Portfolio 2 &amp; 3'!$B$23+C580*'Portfolio 2 &amp; 3'!$B$24+D580*'Portfolio 2 &amp; 3'!$B$25+E580*'Portfolio 2 &amp; 3'!$B$26+F580*'Portfolio 2 &amp; 3'!$B$27+G580*'Portfolio 2 &amp; 3'!$B$28+H580*'Portfolio 2 &amp; 3'!$B$29+I580*'Portfolio 2 &amp; 3'!$B$30+J580*'Portfolio 2 &amp; 3'!$B$31+K580*'Portfolio 2 &amp; 3'!$B$32</f>
        <v>1.4457220374974945E-2</v>
      </c>
      <c r="S580" s="93">
        <f t="shared" si="29"/>
        <v>-1.4434986541824735E-3</v>
      </c>
    </row>
    <row r="581" spans="1:19" ht="12.75" customHeight="1">
      <c r="A581" s="82">
        <v>45231</v>
      </c>
      <c r="B581" s="53">
        <v>-8.0000000000000002E-3</v>
      </c>
      <c r="C581" s="53">
        <v>5.2846909965492003E-2</v>
      </c>
      <c r="D581" s="53">
        <v>-1.92768269174615E-3</v>
      </c>
      <c r="E581" s="53">
        <v>9.8300000000000002E-3</v>
      </c>
      <c r="F581" s="53">
        <v>3.2255252375556999E-3</v>
      </c>
      <c r="G581" s="53">
        <v>1.7121510843623601E-2</v>
      </c>
      <c r="H581" s="87">
        <v>-1.4133183478505101E-2</v>
      </c>
      <c r="I581" s="53">
        <v>1.8217391304348001E-2</v>
      </c>
      <c r="J581" s="53">
        <v>1.0256623204052901E-2</v>
      </c>
      <c r="K581" s="53">
        <v>-7.2147603159664602E-3</v>
      </c>
      <c r="L581" s="95">
        <f>IFERROR(B581*'Stock Statistics'!$C$41+C581*'Stock Statistics'!$C$42+D581*'Stock Statistics'!$C$43+E581*'Stock Statistics'!$C$44+F581*'Stock Statistics'!$C$45+G581*'Stock Statistics'!$C$46+H581*'Stock Statistics'!$C$47+I581*'Stock Statistics'!$C$48+J581*'Stock Statistics'!$C$49+K581*'Stock Statistics'!$C$50,"")</f>
        <v>8.0222334068854508E-3</v>
      </c>
      <c r="M581" s="97">
        <v>305.38209999999998</v>
      </c>
      <c r="N581" s="96">
        <v>375.25009999999997</v>
      </c>
      <c r="O581" s="93">
        <f t="shared" si="27"/>
        <v>8.2673524431113865E-3</v>
      </c>
      <c r="P581" s="93">
        <f t="shared" si="28"/>
        <v>-1.3595424661185684E-2</v>
      </c>
      <c r="Q581" s="93">
        <f>B581*'Portfolio 2 &amp; 3'!$F$7+C581*'Portfolio 2 &amp; 3'!$F$8+D581*'Portfolio 2 &amp; 3'!$F$9+E581*'Portfolio 2 &amp; 3'!$F$10+F581*'Portfolio 2 &amp; 3'!$F$11+G581*'Portfolio 2 &amp; 3'!$F$12+H581*'Portfolio 2 &amp; 3'!$F$13+I581*'Portfolio 2 &amp; 3'!$F$14+J581*'Portfolio 2 &amp; 3'!$F$15+K581*'Portfolio 2 &amp; 3'!$F$16</f>
        <v>6.4717797817664003E-3</v>
      </c>
      <c r="R581" s="93">
        <f>B581*'Portfolio 2 &amp; 3'!$B$23+C581*'Portfolio 2 &amp; 3'!$B$24+D581*'Portfolio 2 &amp; 3'!$B$25+E581*'Portfolio 2 &amp; 3'!$B$26+F581*'Portfolio 2 &amp; 3'!$B$27+G581*'Portfolio 2 &amp; 3'!$B$28+H581*'Portfolio 2 &amp; 3'!$B$29+I581*'Portfolio 2 &amp; 3'!$B$30+J581*'Portfolio 2 &amp; 3'!$B$31+K581*'Portfolio 2 &amp; 3'!$B$32</f>
        <v>1.5185043015583448E-2</v>
      </c>
      <c r="S581" s="93">
        <f t="shared" si="29"/>
        <v>-2.6640361090371489E-3</v>
      </c>
    </row>
    <row r="582" spans="1:19" ht="12.75" customHeight="1">
      <c r="A582" s="81">
        <v>45230</v>
      </c>
      <c r="B582" s="53">
        <v>-3.0000000000000001E-3</v>
      </c>
      <c r="C582" s="53">
        <v>4.2662676065581299E-3</v>
      </c>
      <c r="D582" s="53">
        <v>-3.7825884543761798E-3</v>
      </c>
      <c r="E582" s="53">
        <v>2.579E-2</v>
      </c>
      <c r="F582" s="53">
        <v>-1.1546747091770801E-2</v>
      </c>
      <c r="G582" s="53">
        <v>3.8280253118410101E-3</v>
      </c>
      <c r="H582" s="87">
        <v>-1.48696798810422E-3</v>
      </c>
      <c r="I582" s="53">
        <v>7.7994917185173502E-3</v>
      </c>
      <c r="J582" s="53">
        <v>-1.86513035188796E-3</v>
      </c>
      <c r="K582" s="53">
        <v>4.6557435759692102E-2</v>
      </c>
      <c r="L582" s="95">
        <f>IFERROR(B582*'Stock Statistics'!$C$41+C582*'Stock Statistics'!$C$42+D582*'Stock Statistics'!$C$43+E582*'Stock Statistics'!$C$44+F582*'Stock Statistics'!$C$45+G582*'Stock Statistics'!$C$46+H582*'Stock Statistics'!$C$47+I582*'Stock Statistics'!$C$48+J582*'Stock Statistics'!$C$49+K582*'Stock Statistics'!$C$50,"")</f>
        <v>6.6559786510469428E-3</v>
      </c>
      <c r="M582" s="96">
        <v>302.87810000000002</v>
      </c>
      <c r="N582" s="97">
        <v>380.4221</v>
      </c>
      <c r="O582" s="93">
        <f t="shared" si="27"/>
        <v>8.9852752521268897E-4</v>
      </c>
      <c r="P582" s="93">
        <f t="shared" si="28"/>
        <v>-9.2144991107149243E-3</v>
      </c>
      <c r="Q582" s="93">
        <f>B582*'Portfolio 2 &amp; 3'!$F$7+C582*'Portfolio 2 &amp; 3'!$F$8+D582*'Portfolio 2 &amp; 3'!$F$9+E582*'Portfolio 2 &amp; 3'!$F$10+F582*'Portfolio 2 &amp; 3'!$F$11+G582*'Portfolio 2 &amp; 3'!$F$12+H582*'Portfolio 2 &amp; 3'!$F$13+I582*'Portfolio 2 &amp; 3'!$F$14+J582*'Portfolio 2 &amp; 3'!$F$15+K582*'Portfolio 2 &amp; 3'!$F$16</f>
        <v>4.4194493804014228E-3</v>
      </c>
      <c r="R582" s="93">
        <f>B582*'Portfolio 2 &amp; 3'!$B$23+C582*'Portfolio 2 &amp; 3'!$B$24+D582*'Portfolio 2 &amp; 3'!$B$25+E582*'Portfolio 2 &amp; 3'!$B$26+F582*'Portfolio 2 &amp; 3'!$B$27+G582*'Portfolio 2 &amp; 3'!$B$28+H582*'Portfolio 2 &amp; 3'!$B$29+I582*'Portfolio 2 &amp; 3'!$B$30+J582*'Portfolio 2 &amp; 3'!$B$31+K582*'Portfolio 2 &amp; 3'!$B$32</f>
        <v>4.7962053744515579E-3</v>
      </c>
      <c r="S582" s="93">
        <f t="shared" si="29"/>
        <v>-4.1579857927511177E-3</v>
      </c>
    </row>
    <row r="583" spans="1:19" ht="12.75" customHeight="1">
      <c r="A583" s="82">
        <v>45229</v>
      </c>
      <c r="B583" s="53">
        <v>-8.3000000000000001E-3</v>
      </c>
      <c r="C583" s="53">
        <v>4.4037181093017396E-3</v>
      </c>
      <c r="D583" s="53">
        <v>1.14184814596823E-2</v>
      </c>
      <c r="E583" s="53">
        <v>-3.7799999999999999E-3</v>
      </c>
      <c r="F583" s="53">
        <v>9.04269193983143E-3</v>
      </c>
      <c r="G583" s="53">
        <v>-2.1826685721709799E-3</v>
      </c>
      <c r="H583" s="87">
        <v>-3.9310299857477898E-3</v>
      </c>
      <c r="I583" s="53">
        <v>7.2825175442468E-3</v>
      </c>
      <c r="J583" s="53">
        <v>-1.77906495655777E-3</v>
      </c>
      <c r="K583" s="53">
        <v>2.0934892484374399E-3</v>
      </c>
      <c r="L583" s="95">
        <f>IFERROR(B583*'Stock Statistics'!$C$41+C583*'Stock Statistics'!$C$42+D583*'Stock Statistics'!$C$43+E583*'Stock Statistics'!$C$44+F583*'Stock Statistics'!$C$45+G583*'Stock Statistics'!$C$46+H583*'Stock Statistics'!$C$47+I583*'Stock Statistics'!$C$48+J583*'Stock Statistics'!$C$49+K583*'Stock Statistics'!$C$50,"")</f>
        <v>1.4268134787023168E-3</v>
      </c>
      <c r="M583" s="97">
        <v>302.6062</v>
      </c>
      <c r="N583" s="96">
        <v>383.96010000000001</v>
      </c>
      <c r="O583" s="93">
        <f t="shared" si="27"/>
        <v>-4.6451135852303427E-3</v>
      </c>
      <c r="P583" s="93">
        <f t="shared" si="28"/>
        <v>-3.454789520238144E-3</v>
      </c>
      <c r="Q583" s="93">
        <f>B583*'Portfolio 2 &amp; 3'!$F$7+C583*'Portfolio 2 &amp; 3'!$F$8+D583*'Portfolio 2 &amp; 3'!$F$9+E583*'Portfolio 2 &amp; 3'!$F$10+F583*'Portfolio 2 &amp; 3'!$F$11+G583*'Portfolio 2 &amp; 3'!$F$12+H583*'Portfolio 2 &amp; 3'!$F$13+I583*'Portfolio 2 &amp; 3'!$F$14+J583*'Portfolio 2 &amp; 3'!$F$15+K583*'Portfolio 2 &amp; 3'!$F$16</f>
        <v>1.8146852422181766E-3</v>
      </c>
      <c r="R583" s="93">
        <f>B583*'Portfolio 2 &amp; 3'!$B$23+C583*'Portfolio 2 &amp; 3'!$B$24+D583*'Portfolio 2 &amp; 3'!$B$25+E583*'Portfolio 2 &amp; 3'!$B$26+F583*'Portfolio 2 &amp; 3'!$B$27+G583*'Portfolio 2 &amp; 3'!$B$28+H583*'Portfolio 2 &amp; 3'!$B$29+I583*'Portfolio 2 &amp; 3'!$B$30+J583*'Portfolio 2 &amp; 3'!$B$31+K583*'Portfolio 2 &amp; 3'!$B$32</f>
        <v>2.8912711650047034E-3</v>
      </c>
      <c r="S583" s="93">
        <f t="shared" si="29"/>
        <v>-4.0499515527342433E-3</v>
      </c>
    </row>
    <row r="584" spans="1:19" ht="12.75" customHeight="1">
      <c r="A584" s="81">
        <v>45226</v>
      </c>
      <c r="B584" s="53">
        <v>1.9699999999999999E-2</v>
      </c>
      <c r="C584" s="53">
        <v>1.8696358776677999E-2</v>
      </c>
      <c r="D584" s="53">
        <v>-1.3757473733093399E-2</v>
      </c>
      <c r="E584" s="53">
        <v>-1.1350000000000001E-2</v>
      </c>
      <c r="F584" s="53">
        <v>6.5639768948013702E-3</v>
      </c>
      <c r="G584" s="53">
        <v>-3.1600486958323101E-3</v>
      </c>
      <c r="H584" s="87">
        <v>4.1531424509151397E-3</v>
      </c>
      <c r="I584" s="53">
        <v>1.49166815982798E-2</v>
      </c>
      <c r="J584" s="53">
        <v>6.0353798126950896E-3</v>
      </c>
      <c r="K584" s="53">
        <v>-7.0232064673281301E-4</v>
      </c>
      <c r="L584" s="95">
        <f>IFERROR(B584*'Stock Statistics'!$C$41+C584*'Stock Statistics'!$C$42+D584*'Stock Statistics'!$C$43+E584*'Stock Statistics'!$C$44+F584*'Stock Statistics'!$C$45+G584*'Stock Statistics'!$C$46+H584*'Stock Statistics'!$C$47+I584*'Stock Statistics'!$C$48+J584*'Stock Statistics'!$C$49+K584*'Stock Statistics'!$C$50,"")</f>
        <v>4.1095696457710872E-3</v>
      </c>
      <c r="M584" s="96">
        <v>304.01839999999999</v>
      </c>
      <c r="N584" s="97">
        <v>385.2912</v>
      </c>
      <c r="O584" s="93">
        <f t="shared" si="27"/>
        <v>3.9269660917771176E-3</v>
      </c>
      <c r="P584" s="93">
        <f t="shared" si="28"/>
        <v>4.1488217466125743E-3</v>
      </c>
      <c r="Q584" s="93">
        <f>B584*'Portfolio 2 &amp; 3'!$F$7+C584*'Portfolio 2 &amp; 3'!$F$8+D584*'Portfolio 2 &amp; 3'!$F$9+E584*'Portfolio 2 &amp; 3'!$F$10+F584*'Portfolio 2 &amp; 3'!$F$11+G584*'Portfolio 2 &amp; 3'!$F$12+H584*'Portfolio 2 &amp; 3'!$F$13+I584*'Portfolio 2 &amp; 3'!$F$14+J584*'Portfolio 2 &amp; 3'!$F$15+K584*'Portfolio 2 &amp; 3'!$F$16</f>
        <v>3.7382534720951958E-3</v>
      </c>
      <c r="R584" s="93">
        <f>B584*'Portfolio 2 &amp; 3'!$B$23+C584*'Portfolio 2 &amp; 3'!$B$24+D584*'Portfolio 2 &amp; 3'!$B$25+E584*'Portfolio 2 &amp; 3'!$B$26+F584*'Portfolio 2 &amp; 3'!$B$27+G584*'Portfolio 2 &amp; 3'!$B$28+H584*'Portfolio 2 &amp; 3'!$B$29+I584*'Portfolio 2 &amp; 3'!$B$30+J584*'Portfolio 2 &amp; 3'!$B$31+K584*'Portfolio 2 &amp; 3'!$B$32</f>
        <v>1.0731552434003984E-2</v>
      </c>
      <c r="S584" s="93">
        <f t="shared" si="29"/>
        <v>4.037893919194846E-3</v>
      </c>
    </row>
    <row r="585" spans="1:19" ht="12.75" customHeight="1">
      <c r="A585" s="82">
        <v>45225</v>
      </c>
      <c r="B585" s="53">
        <v>-1.24E-2</v>
      </c>
      <c r="C585" s="53">
        <v>2.14946867821197E-4</v>
      </c>
      <c r="D585" s="53">
        <v>8.0753701211304704E-3</v>
      </c>
      <c r="E585" s="53">
        <v>1.1900000000000001E-3</v>
      </c>
      <c r="F585" s="53">
        <v>-5.9161301548635902E-3</v>
      </c>
      <c r="G585" s="53">
        <v>5.0503735714471096E-3</v>
      </c>
      <c r="H585" s="87">
        <v>-9.6251829618512197E-3</v>
      </c>
      <c r="I585" s="53">
        <v>2.53536652581299E-2</v>
      </c>
      <c r="J585" s="53">
        <v>1.0416666666666101E-3</v>
      </c>
      <c r="K585" s="53">
        <v>-1.2483952366195801E-2</v>
      </c>
      <c r="L585" s="95">
        <f>IFERROR(B585*'Stock Statistics'!$C$41+C585*'Stock Statistics'!$C$42+D585*'Stock Statistics'!$C$43+E585*'Stock Statistics'!$C$44+F585*'Stock Statistics'!$C$45+G585*'Stock Statistics'!$C$46+H585*'Stock Statistics'!$C$47+I585*'Stock Statistics'!$C$48+J585*'Stock Statistics'!$C$49+K585*'Stock Statistics'!$C$50,"")</f>
        <v>5.0075700228467994E-5</v>
      </c>
      <c r="M585" s="97">
        <v>302.82920000000001</v>
      </c>
      <c r="N585" s="96">
        <v>383.69929999999999</v>
      </c>
      <c r="O585" s="93">
        <f t="shared" si="27"/>
        <v>1.3464932742269564E-2</v>
      </c>
      <c r="P585" s="93">
        <f t="shared" si="28"/>
        <v>2.263913783726812E-3</v>
      </c>
      <c r="Q585" s="93">
        <f>B585*'Portfolio 2 &amp; 3'!$F$7+C585*'Portfolio 2 &amp; 3'!$F$8+D585*'Portfolio 2 &amp; 3'!$F$9+E585*'Portfolio 2 &amp; 3'!$F$10+F585*'Portfolio 2 &amp; 3'!$F$11+G585*'Portfolio 2 &amp; 3'!$F$12+H585*'Portfolio 2 &amp; 3'!$F$13+I585*'Portfolio 2 &amp; 3'!$F$14+J585*'Portfolio 2 &amp; 3'!$F$15+K585*'Portfolio 2 &amp; 3'!$F$16</f>
        <v>-2.3250645488702155E-4</v>
      </c>
      <c r="R585" s="93">
        <f>B585*'Portfolio 2 &amp; 3'!$B$23+C585*'Portfolio 2 &amp; 3'!$B$24+D585*'Portfolio 2 &amp; 3'!$B$25+E585*'Portfolio 2 &amp; 3'!$B$26+F585*'Portfolio 2 &amp; 3'!$B$27+G585*'Portfolio 2 &amp; 3'!$B$28+H585*'Portfolio 2 &amp; 3'!$B$29+I585*'Portfolio 2 &amp; 3'!$B$30+J585*'Portfolio 2 &amp; 3'!$B$31+K585*'Portfolio 2 &amp; 3'!$B$32</f>
        <v>3.0970485292491764E-3</v>
      </c>
      <c r="S585" s="93">
        <f t="shared" si="29"/>
        <v>7.8644232629981881E-3</v>
      </c>
    </row>
    <row r="586" spans="1:19" ht="12.75" customHeight="1">
      <c r="A586" s="81">
        <v>45224</v>
      </c>
      <c r="B586" s="53">
        <v>-8.9999999999999993E-3</v>
      </c>
      <c r="C586" s="53">
        <v>8.1533148235930497E-3</v>
      </c>
      <c r="D586" s="53">
        <v>4.6835665359190598E-4</v>
      </c>
      <c r="E586" s="53">
        <v>-8.7200000000000003E-3</v>
      </c>
      <c r="F586" s="53">
        <v>7.6268957657579196E-3</v>
      </c>
      <c r="G586" s="53">
        <v>1.6405154393670698E-2</v>
      </c>
      <c r="H586" s="87">
        <v>-4.5463348057432898E-3</v>
      </c>
      <c r="I586" s="53">
        <v>-2.3852223816355898E-2</v>
      </c>
      <c r="J586" s="53">
        <v>5.48829025095299E-3</v>
      </c>
      <c r="K586" s="53">
        <v>-4.4220485396956298E-3</v>
      </c>
      <c r="L586" s="95">
        <f>IFERROR(B586*'Stock Statistics'!$C$41+C586*'Stock Statistics'!$C$42+D586*'Stock Statistics'!$C$43+E586*'Stock Statistics'!$C$44+F586*'Stock Statistics'!$C$45+G586*'Stock Statistics'!$C$46+H586*'Stock Statistics'!$C$47+I586*'Stock Statistics'!$C$48+J586*'Stock Statistics'!$C$49+K586*'Stock Statistics'!$C$50,"")</f>
        <v>-1.2398595274228253E-3</v>
      </c>
      <c r="M586" s="96">
        <v>298.80579999999998</v>
      </c>
      <c r="N586" s="97">
        <v>382.83260000000001</v>
      </c>
      <c r="O586" s="93">
        <f t="shared" si="27"/>
        <v>-7.7083755359035333E-3</v>
      </c>
      <c r="P586" s="93">
        <f t="shared" si="28"/>
        <v>-3.3751673590987075E-3</v>
      </c>
      <c r="Q586" s="93">
        <f>B586*'Portfolio 2 &amp; 3'!$F$7+C586*'Portfolio 2 &amp; 3'!$F$8+D586*'Portfolio 2 &amp; 3'!$F$9+E586*'Portfolio 2 &amp; 3'!$F$10+F586*'Portfolio 2 &amp; 3'!$F$11+G586*'Portfolio 2 &amp; 3'!$F$12+H586*'Portfolio 2 &amp; 3'!$F$13+I586*'Portfolio 2 &amp; 3'!$F$14+J586*'Portfolio 2 &amp; 3'!$F$15+K586*'Portfolio 2 &amp; 3'!$F$16</f>
        <v>-1.0183596185441893E-3</v>
      </c>
      <c r="R586" s="93">
        <f>B586*'Portfolio 2 &amp; 3'!$B$23+C586*'Portfolio 2 &amp; 3'!$B$24+D586*'Portfolio 2 &amp; 3'!$B$25+E586*'Portfolio 2 &amp; 3'!$B$26+F586*'Portfolio 2 &amp; 3'!$B$27+G586*'Portfolio 2 &amp; 3'!$B$28+H586*'Portfolio 2 &amp; 3'!$B$29+I586*'Portfolio 2 &amp; 3'!$B$30+J586*'Portfolio 2 &amp; 3'!$B$31+K586*'Portfolio 2 &amp; 3'!$B$32</f>
        <v>-2.9932249429213912E-3</v>
      </c>
      <c r="S586" s="93">
        <f t="shared" si="29"/>
        <v>-5.5417714475011204E-3</v>
      </c>
    </row>
    <row r="587" spans="1:19" ht="12.75" customHeight="1">
      <c r="A587" s="82">
        <v>45222</v>
      </c>
      <c r="B587" s="53">
        <v>3.3E-3</v>
      </c>
      <c r="C587" s="53">
        <v>4.5168224426213001E-3</v>
      </c>
      <c r="D587" s="53">
        <v>-8.1872024155150696E-3</v>
      </c>
      <c r="E587" s="53">
        <v>-1.2199999999999999E-3</v>
      </c>
      <c r="F587" s="53">
        <v>-1.47693902228363E-2</v>
      </c>
      <c r="G587" s="53">
        <v>-1.69592924957731E-2</v>
      </c>
      <c r="H587" s="87">
        <v>-1.6667120070368299E-2</v>
      </c>
      <c r="I587" s="53">
        <v>3.5094034014218102E-3</v>
      </c>
      <c r="J587" s="53">
        <v>1.6350862252501701E-2</v>
      </c>
      <c r="K587" s="53">
        <v>-2.50589838655302E-3</v>
      </c>
      <c r="L587" s="95">
        <f>IFERROR(B587*'Stock Statistics'!$C$41+C587*'Stock Statistics'!$C$42+D587*'Stock Statistics'!$C$43+E587*'Stock Statistics'!$C$44+F587*'Stock Statistics'!$C$45+G587*'Stock Statistics'!$C$46+H587*'Stock Statistics'!$C$47+I587*'Stock Statistics'!$C$48+J587*'Stock Statistics'!$C$49+K587*'Stock Statistics'!$C$50,"")</f>
        <v>-3.2631815494500987E-3</v>
      </c>
      <c r="M587" s="97">
        <v>301.12700000000001</v>
      </c>
      <c r="N587" s="96">
        <v>384.12909999999999</v>
      </c>
      <c r="O587" s="93">
        <f t="shared" si="27"/>
        <v>-7.026692462092532E-3</v>
      </c>
      <c r="P587" s="93">
        <f t="shared" si="28"/>
        <v>2.8137223395403588E-3</v>
      </c>
      <c r="Q587" s="93">
        <f>B587*'Portfolio 2 &amp; 3'!$F$7+C587*'Portfolio 2 &amp; 3'!$F$8+D587*'Portfolio 2 &amp; 3'!$F$9+E587*'Portfolio 2 &amp; 3'!$F$10+F587*'Portfolio 2 &amp; 3'!$F$11+G587*'Portfolio 2 &amp; 3'!$F$12+H587*'Portfolio 2 &amp; 3'!$F$13+I587*'Portfolio 2 &amp; 3'!$F$14+J587*'Portfolio 2 &amp; 3'!$F$15+K587*'Portfolio 2 &amp; 3'!$F$16</f>
        <v>-3.2178129669985021E-3</v>
      </c>
      <c r="R587" s="93">
        <f>B587*'Portfolio 2 &amp; 3'!$B$23+C587*'Portfolio 2 &amp; 3'!$B$24+D587*'Portfolio 2 &amp; 3'!$B$25+E587*'Portfolio 2 &amp; 3'!$B$26+F587*'Portfolio 2 &amp; 3'!$B$27+G587*'Portfolio 2 &amp; 3'!$B$28+H587*'Portfolio 2 &amp; 3'!$B$29+I587*'Portfolio 2 &amp; 3'!$B$30+J587*'Portfolio 2 &amp; 3'!$B$31+K587*'Portfolio 2 &amp; 3'!$B$32</f>
        <v>-2.2265506151687769E-3</v>
      </c>
      <c r="S587" s="93">
        <f t="shared" si="29"/>
        <v>-2.1064850612760866E-3</v>
      </c>
    </row>
    <row r="588" spans="1:19" ht="12.75" customHeight="1">
      <c r="A588" s="81">
        <v>45219</v>
      </c>
      <c r="B588" s="53">
        <v>-6.9999999999999999E-4</v>
      </c>
      <c r="C588" s="53">
        <v>3.2113569984273199E-2</v>
      </c>
      <c r="D588" s="53">
        <v>-1.56607224508458E-2</v>
      </c>
      <c r="E588" s="53">
        <v>-3.891E-2</v>
      </c>
      <c r="F588" s="53">
        <v>-1.91460521856999E-2</v>
      </c>
      <c r="G588" s="53">
        <v>2.39439620731903E-2</v>
      </c>
      <c r="H588" s="87">
        <v>-6.8624537324723E-3</v>
      </c>
      <c r="I588" s="53">
        <v>6.8859291474132603E-3</v>
      </c>
      <c r="J588" s="53">
        <v>2.03327974975018E-2</v>
      </c>
      <c r="K588" s="53">
        <v>1.62928604978863E-3</v>
      </c>
      <c r="L588" s="95">
        <f>IFERROR(B588*'Stock Statistics'!$C$41+C588*'Stock Statistics'!$C$42+D588*'Stock Statistics'!$C$43+E588*'Stock Statistics'!$C$44+F588*'Stock Statistics'!$C$45+G588*'Stock Statistics'!$C$46+H588*'Stock Statistics'!$C$47+I588*'Stock Statistics'!$C$48+J588*'Stock Statistics'!$C$49+K588*'Stock Statistics'!$C$50,"")</f>
        <v>3.6263163831491902E-4</v>
      </c>
      <c r="M588" s="96">
        <v>303.25790000000001</v>
      </c>
      <c r="N588" s="97">
        <v>383.05130000000003</v>
      </c>
      <c r="O588" s="93">
        <f t="shared" si="27"/>
        <v>-1.6526146264453256E-2</v>
      </c>
      <c r="P588" s="93">
        <f t="shared" si="28"/>
        <v>1.5277135020799193E-3</v>
      </c>
      <c r="Q588" s="93">
        <f>B588*'Portfolio 2 &amp; 3'!$F$7+C588*'Portfolio 2 &amp; 3'!$F$8+D588*'Portfolio 2 &amp; 3'!$F$9+E588*'Portfolio 2 &amp; 3'!$F$10+F588*'Portfolio 2 &amp; 3'!$F$11+G588*'Portfolio 2 &amp; 3'!$F$12+H588*'Portfolio 2 &amp; 3'!$F$13+I588*'Portfolio 2 &amp; 3'!$F$14+J588*'Portfolio 2 &amp; 3'!$F$15+K588*'Portfolio 2 &amp; 3'!$F$16</f>
        <v>3.0052201247920295E-5</v>
      </c>
      <c r="R588" s="93">
        <f>B588*'Portfolio 2 &amp; 3'!$B$23+C588*'Portfolio 2 &amp; 3'!$B$24+D588*'Portfolio 2 &amp; 3'!$B$25+E588*'Portfolio 2 &amp; 3'!$B$26+F588*'Portfolio 2 &amp; 3'!$B$27+G588*'Portfolio 2 &amp; 3'!$B$28+H588*'Portfolio 2 &amp; 3'!$B$29+I588*'Portfolio 2 &amp; 3'!$B$30+J588*'Portfolio 2 &amp; 3'!$B$31+K588*'Portfolio 2 &amp; 3'!$B$32</f>
        <v>7.700291349314283E-3</v>
      </c>
      <c r="S588" s="93">
        <f t="shared" si="29"/>
        <v>-7.4992163811866686E-3</v>
      </c>
    </row>
    <row r="589" spans="1:19" ht="12.75" customHeight="1">
      <c r="A589" s="82">
        <v>45218</v>
      </c>
      <c r="B589" s="53">
        <v>1.0200000000000001E-2</v>
      </c>
      <c r="C589" s="53">
        <v>-6.84730918878207E-3</v>
      </c>
      <c r="D589" s="53">
        <v>9.9284229969982506E-3</v>
      </c>
      <c r="E589" s="53">
        <v>-4.3499999999999997E-3</v>
      </c>
      <c r="F589" s="53">
        <v>1.0962658444672899E-2</v>
      </c>
      <c r="G589" s="53">
        <v>-7.55973778811581E-3</v>
      </c>
      <c r="H589" s="87">
        <v>-3.1152927656977799E-3</v>
      </c>
      <c r="I589" s="53">
        <v>-1.4817459609033299E-2</v>
      </c>
      <c r="J589" s="53">
        <v>-5.7021901594022104E-3</v>
      </c>
      <c r="K589" s="53">
        <v>-1.0759558001422901E-2</v>
      </c>
      <c r="L589" s="95">
        <f>IFERROR(B589*'Stock Statistics'!$C$41+C589*'Stock Statistics'!$C$42+D589*'Stock Statistics'!$C$43+E589*'Stock Statistics'!$C$44+F589*'Stock Statistics'!$C$45+G589*'Stock Statistics'!$C$46+H589*'Stock Statistics'!$C$47+I589*'Stock Statistics'!$C$48+J589*'Stock Statistics'!$C$49+K589*'Stock Statistics'!$C$50,"")</f>
        <v>-2.2060466070782923E-3</v>
      </c>
      <c r="M589" s="97">
        <v>308.35379999999998</v>
      </c>
      <c r="N589" s="96">
        <v>382.46699999999998</v>
      </c>
      <c r="O589" s="93">
        <f t="shared" si="27"/>
        <v>-9.1312403718051272E-3</v>
      </c>
      <c r="P589" s="93">
        <f t="shared" si="28"/>
        <v>3.0745247704728751E-3</v>
      </c>
      <c r="Q589" s="93">
        <f>B589*'Portfolio 2 &amp; 3'!$F$7+C589*'Portfolio 2 &amp; 3'!$F$8+D589*'Portfolio 2 &amp; 3'!$F$9+E589*'Portfolio 2 &amp; 3'!$F$10+F589*'Portfolio 2 &amp; 3'!$F$11+G589*'Portfolio 2 &amp; 3'!$F$12+H589*'Portfolio 2 &amp; 3'!$F$13+I589*'Portfolio 2 &amp; 3'!$F$14+J589*'Portfolio 2 &amp; 3'!$F$15+K589*'Portfolio 2 &amp; 3'!$F$16</f>
        <v>-1.7035651191794647E-3</v>
      </c>
      <c r="R589" s="93">
        <f>B589*'Portfolio 2 &amp; 3'!$B$23+C589*'Portfolio 2 &amp; 3'!$B$24+D589*'Portfolio 2 &amp; 3'!$B$25+E589*'Portfolio 2 &amp; 3'!$B$26+F589*'Portfolio 2 &amp; 3'!$B$27+G589*'Portfolio 2 &amp; 3'!$B$28+H589*'Portfolio 2 &amp; 3'!$B$29+I589*'Portfolio 2 &amp; 3'!$B$30+J589*'Portfolio 2 &amp; 3'!$B$31+K589*'Portfolio 2 &amp; 3'!$B$32</f>
        <v>-3.805037761901154E-3</v>
      </c>
      <c r="S589" s="93">
        <f t="shared" si="29"/>
        <v>-3.028357800666126E-3</v>
      </c>
    </row>
    <row r="590" spans="1:19" ht="12.75" customHeight="1">
      <c r="A590" s="81">
        <v>45217</v>
      </c>
      <c r="B590" s="53">
        <v>2.0000000000000001E-4</v>
      </c>
      <c r="C590" s="53">
        <v>1.4573340690747999E-2</v>
      </c>
      <c r="D590" s="53">
        <v>-1.97476376393367E-2</v>
      </c>
      <c r="E590" s="53">
        <v>-1.6920000000000001E-2</v>
      </c>
      <c r="F590" s="53">
        <v>-1.10113501609351E-2</v>
      </c>
      <c r="G590" s="53">
        <v>-1.43809920800334E-2</v>
      </c>
      <c r="H590" s="87">
        <v>-1.0939636647782599E-2</v>
      </c>
      <c r="I590" s="53">
        <v>-1.91545280413386E-3</v>
      </c>
      <c r="J590" s="53">
        <v>-2.2258827504646E-2</v>
      </c>
      <c r="K590" s="53">
        <v>-1.6424113454919301E-2</v>
      </c>
      <c r="L590" s="95">
        <f>IFERROR(B590*'Stock Statistics'!$C$41+C590*'Stock Statistics'!$C$42+D590*'Stock Statistics'!$C$43+E590*'Stock Statistics'!$C$44+F590*'Stock Statistics'!$C$45+G590*'Stock Statistics'!$C$46+H590*'Stock Statistics'!$C$47+I590*'Stock Statistics'!$C$48+J590*'Stock Statistics'!$C$49+K590*'Stock Statistics'!$C$50,"")</f>
        <v>-9.8824669601038969E-3</v>
      </c>
      <c r="M590" s="96">
        <v>311.19540000000001</v>
      </c>
      <c r="N590" s="97">
        <v>381.29469999999998</v>
      </c>
      <c r="O590" s="93">
        <f t="shared" si="27"/>
        <v>-1.1176605778453474E-3</v>
      </c>
      <c r="P590" s="93">
        <f t="shared" si="28"/>
        <v>2.9615791721993023E-3</v>
      </c>
      <c r="Q590" s="93">
        <f>B590*'Portfolio 2 &amp; 3'!$F$7+C590*'Portfolio 2 &amp; 3'!$F$8+D590*'Portfolio 2 &amp; 3'!$F$9+E590*'Portfolio 2 &amp; 3'!$F$10+F590*'Portfolio 2 &amp; 3'!$F$11+G590*'Portfolio 2 &amp; 3'!$F$12+H590*'Portfolio 2 &amp; 3'!$F$13+I590*'Portfolio 2 &amp; 3'!$F$14+J590*'Portfolio 2 &amp; 3'!$F$15+K590*'Portfolio 2 &amp; 3'!$F$16</f>
        <v>-1.0840292862079369E-2</v>
      </c>
      <c r="R590" s="93">
        <f>B590*'Portfolio 2 &amp; 3'!$B$23+C590*'Portfolio 2 &amp; 3'!$B$24+D590*'Portfolio 2 &amp; 3'!$B$25+E590*'Portfolio 2 &amp; 3'!$B$26+F590*'Portfolio 2 &amp; 3'!$B$27+G590*'Portfolio 2 &amp; 3'!$B$28+H590*'Portfolio 2 &amp; 3'!$B$29+I590*'Portfolio 2 &amp; 3'!$B$30+J590*'Portfolio 2 &amp; 3'!$B$31+K590*'Portfolio 2 &amp; 3'!$B$32</f>
        <v>-3.6456383170831346E-3</v>
      </c>
      <c r="S590" s="93">
        <f t="shared" si="29"/>
        <v>9.2195929717697744E-4</v>
      </c>
    </row>
    <row r="591" spans="1:19" ht="12.75" customHeight="1">
      <c r="A591" s="82">
        <v>45216</v>
      </c>
      <c r="B591" s="53">
        <v>-2.3999999999999998E-3</v>
      </c>
      <c r="C591" s="53">
        <v>-1.4432730923694801E-2</v>
      </c>
      <c r="D591" s="53">
        <v>-1.8057561951327902E-2</v>
      </c>
      <c r="E591" s="53">
        <v>1.257E-2</v>
      </c>
      <c r="F591" s="53">
        <v>-1.5223274695536099E-3</v>
      </c>
      <c r="G591" s="53">
        <v>1.14762649973921E-3</v>
      </c>
      <c r="H591" s="87">
        <v>-8.1991034707483701E-3</v>
      </c>
      <c r="I591" s="53">
        <v>-1.7291192435650499E-2</v>
      </c>
      <c r="J591" s="53">
        <v>-1.3664389268455399E-2</v>
      </c>
      <c r="K591" s="53">
        <v>-1.5009987901977899E-2</v>
      </c>
      <c r="L591" s="95">
        <f>IFERROR(B591*'Stock Statistics'!$C$41+C591*'Stock Statistics'!$C$42+D591*'Stock Statistics'!$C$43+E591*'Stock Statistics'!$C$44+F591*'Stock Statistics'!$C$45+G591*'Stock Statistics'!$C$46+H591*'Stock Statistics'!$C$47+I591*'Stock Statistics'!$C$48+J591*'Stock Statistics'!$C$49+K591*'Stock Statistics'!$C$50,"")</f>
        <v>-7.6859666921669269E-3</v>
      </c>
      <c r="M591" s="97">
        <v>311.54360000000003</v>
      </c>
      <c r="N591" s="96">
        <v>380.16879999999998</v>
      </c>
      <c r="O591" s="93">
        <f t="shared" si="27"/>
        <v>-3.6610678959625442E-4</v>
      </c>
      <c r="P591" s="93">
        <f t="shared" si="28"/>
        <v>-3.9152330943180713E-3</v>
      </c>
      <c r="Q591" s="93">
        <f>B591*'Portfolio 2 &amp; 3'!$F$7+C591*'Portfolio 2 &amp; 3'!$F$8+D591*'Portfolio 2 &amp; 3'!$F$9+E591*'Portfolio 2 &amp; 3'!$F$10+F591*'Portfolio 2 &amp; 3'!$F$11+G591*'Portfolio 2 &amp; 3'!$F$12+H591*'Portfolio 2 &amp; 3'!$F$13+I591*'Portfolio 2 &amp; 3'!$F$14+J591*'Portfolio 2 &amp; 3'!$F$15+K591*'Portfolio 2 &amp; 3'!$F$16</f>
        <v>-9.1262342980063301E-3</v>
      </c>
      <c r="R591" s="93">
        <f>B591*'Portfolio 2 &amp; 3'!$B$23+C591*'Portfolio 2 &amp; 3'!$B$24+D591*'Portfolio 2 &amp; 3'!$B$25+E591*'Portfolio 2 &amp; 3'!$B$26+F591*'Portfolio 2 &amp; 3'!$B$27+G591*'Portfolio 2 &amp; 3'!$B$28+H591*'Portfolio 2 &amp; 3'!$B$29+I591*'Portfolio 2 &amp; 3'!$B$30+J591*'Portfolio 2 &amp; 3'!$B$31+K591*'Portfolio 2 &amp; 3'!$B$32</f>
        <v>-9.7304526092303733E-3</v>
      </c>
      <c r="S591" s="93">
        <f t="shared" si="29"/>
        <v>-2.1406699419571629E-3</v>
      </c>
    </row>
    <row r="592" spans="1:19" ht="12.75" customHeight="1">
      <c r="A592" s="81">
        <v>45215</v>
      </c>
      <c r="B592" s="53">
        <v>3.8999999999999998E-3</v>
      </c>
      <c r="C592" s="53">
        <v>-8.3659443837548197E-3</v>
      </c>
      <c r="D592" s="53">
        <v>-9.1389561770536306E-3</v>
      </c>
      <c r="E592" s="53">
        <v>-2.1800000000000001E-3</v>
      </c>
      <c r="F592" s="53">
        <v>-1.26699890193427E-3</v>
      </c>
      <c r="G592" s="53">
        <v>-2.36788009679678E-3</v>
      </c>
      <c r="H592" s="87">
        <v>2.4052596453887801E-2</v>
      </c>
      <c r="I592" s="53">
        <v>6.1322820849762905E-4</v>
      </c>
      <c r="J592" s="53">
        <v>-1.88833483201176E-2</v>
      </c>
      <c r="K592" s="53">
        <v>-2.29400041234279E-2</v>
      </c>
      <c r="L592" s="95">
        <f>IFERROR(B592*'Stock Statistics'!$C$41+C592*'Stock Statistics'!$C$42+D592*'Stock Statistics'!$C$43+E592*'Stock Statistics'!$C$44+F592*'Stock Statistics'!$C$45+G592*'Stock Statistics'!$C$46+H592*'Stock Statistics'!$C$47+I592*'Stock Statistics'!$C$48+J592*'Stock Statistics'!$C$49+K592*'Stock Statistics'!$C$50,"")</f>
        <v>-3.6577307340699573E-3</v>
      </c>
      <c r="M592" s="96">
        <v>311.65769999999998</v>
      </c>
      <c r="N592" s="97">
        <v>381.66309999999999</v>
      </c>
      <c r="O592" s="93">
        <f t="shared" si="27"/>
        <v>2.702412111426078E-4</v>
      </c>
      <c r="P592" s="93">
        <f t="shared" si="28"/>
        <v>5.0293190419461453E-3</v>
      </c>
      <c r="Q592" s="93">
        <f>B592*'Portfolio 2 &amp; 3'!$F$7+C592*'Portfolio 2 &amp; 3'!$F$8+D592*'Portfolio 2 &amp; 3'!$F$9+E592*'Portfolio 2 &amp; 3'!$F$10+F592*'Portfolio 2 &amp; 3'!$F$11+G592*'Portfolio 2 &amp; 3'!$F$12+H592*'Portfolio 2 &amp; 3'!$F$13+I592*'Portfolio 2 &amp; 3'!$F$14+J592*'Portfolio 2 &amp; 3'!$F$15+K592*'Portfolio 2 &amp; 3'!$F$16</f>
        <v>-2.7541646203197469E-3</v>
      </c>
      <c r="R592" s="93">
        <f>B592*'Portfolio 2 &amp; 3'!$B$23+C592*'Portfolio 2 &amp; 3'!$B$24+D592*'Portfolio 2 &amp; 3'!$B$25+E592*'Portfolio 2 &amp; 3'!$B$26+F592*'Portfolio 2 &amp; 3'!$B$27+G592*'Portfolio 2 &amp; 3'!$B$28+H592*'Portfolio 2 &amp; 3'!$B$29+I592*'Portfolio 2 &amp; 3'!$B$30+J592*'Portfolio 2 &amp; 3'!$B$31+K592*'Portfolio 2 &amp; 3'!$B$32</f>
        <v>-3.3592697840775232E-3</v>
      </c>
      <c r="S592" s="93">
        <f t="shared" si="29"/>
        <v>2.6497801265443766E-3</v>
      </c>
    </row>
    <row r="593" spans="1:19" ht="12.75" customHeight="1">
      <c r="A593" s="82">
        <v>45212</v>
      </c>
      <c r="B593" s="53">
        <v>3.7000000000000002E-3</v>
      </c>
      <c r="C593" s="53">
        <v>-4.6932202923285499E-3</v>
      </c>
      <c r="D593" s="53">
        <v>-1.4293567894446699E-3</v>
      </c>
      <c r="E593" s="53">
        <v>-5.9300000000000004E-3</v>
      </c>
      <c r="F593" s="53">
        <v>-3.3672868086539499E-3</v>
      </c>
      <c r="G593" s="53">
        <v>4.8108348367192902E-3</v>
      </c>
      <c r="H593" s="87">
        <v>9.2843749431104107E-3</v>
      </c>
      <c r="I593" s="53">
        <v>-1.0317322698110001E-2</v>
      </c>
      <c r="J593" s="53">
        <v>1.0490665785561E-2</v>
      </c>
      <c r="K593" s="53">
        <v>-9.4748983851466995E-4</v>
      </c>
      <c r="L593" s="95">
        <f>IFERROR(B593*'Stock Statistics'!$C$41+C593*'Stock Statistics'!$C$42+D593*'Stock Statistics'!$C$43+E593*'Stock Statistics'!$C$44+F593*'Stock Statistics'!$C$45+G593*'Stock Statistics'!$C$46+H593*'Stock Statistics'!$C$47+I593*'Stock Statistics'!$C$48+J593*'Stock Statistics'!$C$49+K593*'Stock Statistics'!$C$50,"")</f>
        <v>1.601199138338858E-4</v>
      </c>
      <c r="M593" s="97">
        <v>311.57350000000002</v>
      </c>
      <c r="N593" s="96">
        <v>379.75319999999999</v>
      </c>
      <c r="O593" s="93">
        <f t="shared" si="27"/>
        <v>-7.0829433507937356E-3</v>
      </c>
      <c r="P593" s="93">
        <f t="shared" si="28"/>
        <v>-1.8850349462139482E-3</v>
      </c>
      <c r="Q593" s="93">
        <f>B593*'Portfolio 2 &amp; 3'!$F$7+C593*'Portfolio 2 &amp; 3'!$F$8+D593*'Portfolio 2 &amp; 3'!$F$9+E593*'Portfolio 2 &amp; 3'!$F$10+F593*'Portfolio 2 &amp; 3'!$F$11+G593*'Portfolio 2 &amp; 3'!$F$12+H593*'Portfolio 2 &amp; 3'!$F$13+I593*'Portfolio 2 &amp; 3'!$F$14+J593*'Portfolio 2 &amp; 3'!$F$15+K593*'Portfolio 2 &amp; 3'!$F$16</f>
        <v>1.1803059417062503E-3</v>
      </c>
      <c r="R593" s="93">
        <f>B593*'Portfolio 2 &amp; 3'!$B$23+C593*'Portfolio 2 &amp; 3'!$B$24+D593*'Portfolio 2 &amp; 3'!$B$25+E593*'Portfolio 2 &amp; 3'!$B$26+F593*'Portfolio 2 &amp; 3'!$B$27+G593*'Portfolio 2 &amp; 3'!$B$28+H593*'Portfolio 2 &amp; 3'!$B$29+I593*'Portfolio 2 &amp; 3'!$B$30+J593*'Portfolio 2 &amp; 3'!$B$31+K593*'Portfolio 2 &amp; 3'!$B$32</f>
        <v>-2.4771641131651127E-3</v>
      </c>
      <c r="S593" s="93">
        <f t="shared" si="29"/>
        <v>-4.4839891485038419E-3</v>
      </c>
    </row>
    <row r="594" spans="1:19" ht="12.75" customHeight="1">
      <c r="A594" s="81">
        <v>45211</v>
      </c>
      <c r="B594" s="53">
        <v>-5.4999999999999997E-3</v>
      </c>
      <c r="C594" s="53">
        <v>3.4803745545948202E-3</v>
      </c>
      <c r="D594" s="53">
        <v>-1.1413043478260901E-2</v>
      </c>
      <c r="E594" s="53">
        <v>5.5799999999999999E-3</v>
      </c>
      <c r="F594" s="53">
        <v>-9.8357922814036308E-3</v>
      </c>
      <c r="G594" s="53">
        <v>8.8362523739184996E-3</v>
      </c>
      <c r="H594" s="87">
        <v>6.0254203142742196E-3</v>
      </c>
      <c r="I594" s="53">
        <v>1.4602392681210399E-2</v>
      </c>
      <c r="J594" s="53">
        <v>3.1614827439284003E-2</v>
      </c>
      <c r="K594" s="53">
        <v>-1.48083145944167E-3</v>
      </c>
      <c r="L594" s="95">
        <f>IFERROR(B594*'Stock Statistics'!$C$41+C594*'Stock Statistics'!$C$42+D594*'Stock Statistics'!$C$43+E594*'Stock Statistics'!$C$44+F594*'Stock Statistics'!$C$45+G594*'Stock Statistics'!$C$46+H594*'Stock Statistics'!$C$47+I594*'Stock Statistics'!$C$48+J594*'Stock Statistics'!$C$49+K594*'Stock Statistics'!$C$50,"")</f>
        <v>4.1909600144175744E-3</v>
      </c>
      <c r="M594" s="96">
        <v>313.79610000000002</v>
      </c>
      <c r="N594" s="97">
        <v>380.47039999999998</v>
      </c>
      <c r="O594" s="93">
        <f t="shared" si="27"/>
        <v>4.210825450436495E-3</v>
      </c>
      <c r="P594" s="93">
        <f t="shared" si="28"/>
        <v>-1.1436272692290639E-2</v>
      </c>
      <c r="Q594" s="93">
        <f>B594*'Portfolio 2 &amp; 3'!$F$7+C594*'Portfolio 2 &amp; 3'!$F$8+D594*'Portfolio 2 &amp; 3'!$F$9+E594*'Portfolio 2 &amp; 3'!$F$10+F594*'Portfolio 2 &amp; 3'!$F$11+G594*'Portfolio 2 &amp; 3'!$F$12+H594*'Portfolio 2 &amp; 3'!$F$13+I594*'Portfolio 2 &amp; 3'!$F$14+J594*'Portfolio 2 &amp; 3'!$F$15+K594*'Portfolio 2 &amp; 3'!$F$16</f>
        <v>5.03031354257943E-3</v>
      </c>
      <c r="R594" s="93">
        <f>B594*'Portfolio 2 &amp; 3'!$B$23+C594*'Portfolio 2 &amp; 3'!$B$24+D594*'Portfolio 2 &amp; 3'!$B$25+E594*'Portfolio 2 &amp; 3'!$B$26+F594*'Portfolio 2 &amp; 3'!$B$27+G594*'Portfolio 2 &amp; 3'!$B$28+H594*'Portfolio 2 &amp; 3'!$B$29+I594*'Portfolio 2 &amp; 3'!$B$30+J594*'Portfolio 2 &amp; 3'!$B$31+K594*'Portfolio 2 &amp; 3'!$B$32</f>
        <v>3.9196166151581171E-3</v>
      </c>
      <c r="S594" s="93">
        <f t="shared" si="29"/>
        <v>-3.6127236209270719E-3</v>
      </c>
    </row>
    <row r="595" spans="1:19" ht="12.75" customHeight="1">
      <c r="A595" s="82">
        <v>45210</v>
      </c>
      <c r="B595" s="53">
        <v>-1.4E-2</v>
      </c>
      <c r="C595" s="53">
        <v>3.03378724701142E-3</v>
      </c>
      <c r="D595" s="53">
        <v>4.4764712304836696E-3</v>
      </c>
      <c r="E595" s="53">
        <v>1.3650000000000001E-2</v>
      </c>
      <c r="F595" s="53">
        <v>-2.4999999999997301E-4</v>
      </c>
      <c r="G595" s="53">
        <v>7.4940207281424297E-3</v>
      </c>
      <c r="H595" s="87">
        <v>-1.26577700625655E-2</v>
      </c>
      <c r="I595" s="53">
        <v>1.32123667753015E-3</v>
      </c>
      <c r="J595" s="53">
        <v>7.8151837856406097E-3</v>
      </c>
      <c r="K595" s="53">
        <v>-2.3528124316042299E-3</v>
      </c>
      <c r="L595" s="95">
        <f>IFERROR(B595*'Stock Statistics'!$C$41+C595*'Stock Statistics'!$C$42+D595*'Stock Statistics'!$C$43+E595*'Stock Statistics'!$C$44+F595*'Stock Statistics'!$C$45+G595*'Stock Statistics'!$C$46+H595*'Stock Statistics'!$C$47+I595*'Stock Statistics'!$C$48+J595*'Stock Statistics'!$C$49+K595*'Stock Statistics'!$C$50,"")</f>
        <v>8.5301171746385751E-4</v>
      </c>
      <c r="M595" s="97">
        <v>312.4803</v>
      </c>
      <c r="N595" s="96">
        <v>384.87189999999998</v>
      </c>
      <c r="O595" s="93">
        <f t="shared" si="27"/>
        <v>2.8891447175221074E-3</v>
      </c>
      <c r="P595" s="93">
        <f t="shared" si="28"/>
        <v>-3.4892075620210905E-3</v>
      </c>
      <c r="Q595" s="93">
        <f>B595*'Portfolio 2 &amp; 3'!$F$7+C595*'Portfolio 2 &amp; 3'!$F$8+D595*'Portfolio 2 &amp; 3'!$F$9+E595*'Portfolio 2 &amp; 3'!$F$10+F595*'Portfolio 2 &amp; 3'!$F$11+G595*'Portfolio 2 &amp; 3'!$F$12+H595*'Portfolio 2 &amp; 3'!$F$13+I595*'Portfolio 2 &amp; 3'!$F$14+J595*'Portfolio 2 &amp; 3'!$F$15+K595*'Portfolio 2 &amp; 3'!$F$16</f>
        <v>3.2566376131381203E-4</v>
      </c>
      <c r="R595" s="93">
        <f>B595*'Portfolio 2 &amp; 3'!$B$23+C595*'Portfolio 2 &amp; 3'!$B$24+D595*'Portfolio 2 &amp; 3'!$B$25+E595*'Portfolio 2 &amp; 3'!$B$26+F595*'Portfolio 2 &amp; 3'!$B$27+G595*'Portfolio 2 &amp; 3'!$B$28+H595*'Portfolio 2 &amp; 3'!$B$29+I595*'Portfolio 2 &amp; 3'!$B$30+J595*'Portfolio 2 &amp; 3'!$B$31+K595*'Portfolio 2 &amp; 3'!$B$32</f>
        <v>-4.7560260760634349E-4</v>
      </c>
      <c r="S595" s="93">
        <f t="shared" si="29"/>
        <v>-3.0003142224949153E-4</v>
      </c>
    </row>
    <row r="596" spans="1:19" ht="12.75" customHeight="1">
      <c r="A596" s="81">
        <v>45209</v>
      </c>
      <c r="B596" s="53">
        <v>-9.2999999999999992E-3</v>
      </c>
      <c r="C596" s="53">
        <v>-8.5814336530609702E-4</v>
      </c>
      <c r="D596" s="53">
        <v>1.7779753305923001E-2</v>
      </c>
      <c r="E596" s="53">
        <v>7.6499999999999997E-3</v>
      </c>
      <c r="F596" s="53">
        <v>-1.9960079840319902E-3</v>
      </c>
      <c r="G596" s="53">
        <v>-2.1214531954388801E-3</v>
      </c>
      <c r="H596" s="87">
        <v>-6.7174365974568299E-3</v>
      </c>
      <c r="I596" s="53">
        <v>-8.7313367676591404E-3</v>
      </c>
      <c r="J596" s="53">
        <v>-2.8687647184756399E-3</v>
      </c>
      <c r="K596" s="53">
        <v>-2.1457159302341201E-2</v>
      </c>
      <c r="L596" s="95">
        <f>IFERROR(B596*'Stock Statistics'!$C$41+C596*'Stock Statistics'!$C$42+D596*'Stock Statistics'!$C$43+E596*'Stock Statistics'!$C$44+F596*'Stock Statistics'!$C$45+G596*'Stock Statistics'!$C$46+H596*'Stock Statistics'!$C$47+I596*'Stock Statistics'!$C$48+J596*'Stock Statistics'!$C$49+K596*'Stock Statistics'!$C$50,"")</f>
        <v>-2.8620548624786776E-3</v>
      </c>
      <c r="M596" s="96">
        <v>311.58010000000002</v>
      </c>
      <c r="N596" s="97">
        <v>386.21949999999998</v>
      </c>
      <c r="O596" s="93">
        <f t="shared" si="27"/>
        <v>3.5807186818370695E-3</v>
      </c>
      <c r="P596" s="93">
        <f t="shared" si="28"/>
        <v>1.7418526988284944E-2</v>
      </c>
      <c r="Q596" s="93">
        <f>B596*'Portfolio 2 &amp; 3'!$F$7+C596*'Portfolio 2 &amp; 3'!$F$8+D596*'Portfolio 2 &amp; 3'!$F$9+E596*'Portfolio 2 &amp; 3'!$F$10+F596*'Portfolio 2 &amp; 3'!$F$11+G596*'Portfolio 2 &amp; 3'!$F$12+H596*'Portfolio 2 &amp; 3'!$F$13+I596*'Portfolio 2 &amp; 3'!$F$14+J596*'Portfolio 2 &amp; 3'!$F$15+K596*'Portfolio 2 &amp; 3'!$F$16</f>
        <v>-2.0454779554818095E-3</v>
      </c>
      <c r="R596" s="93">
        <f>B596*'Portfolio 2 &amp; 3'!$B$23+C596*'Portfolio 2 &amp; 3'!$B$24+D596*'Portfolio 2 &amp; 3'!$B$25+E596*'Portfolio 2 &amp; 3'!$B$26+F596*'Portfolio 2 &amp; 3'!$B$27+G596*'Portfolio 2 &amp; 3'!$B$28+H596*'Portfolio 2 &amp; 3'!$B$29+I596*'Portfolio 2 &amp; 3'!$B$30+J596*'Portfolio 2 &amp; 3'!$B$31+K596*'Portfolio 2 &amp; 3'!$B$32</f>
        <v>-6.0499264920379821E-3</v>
      </c>
      <c r="S596" s="93">
        <f t="shared" si="29"/>
        <v>1.0499622835061007E-2</v>
      </c>
    </row>
    <row r="597" spans="1:19" ht="12.75" customHeight="1">
      <c r="A597" s="82">
        <v>45208</v>
      </c>
      <c r="B597" s="53">
        <v>-3.2000000000000002E-3</v>
      </c>
      <c r="C597" s="53">
        <v>4.8679397488142796E-3</v>
      </c>
      <c r="D597" s="53">
        <v>-1.1654364837117E-3</v>
      </c>
      <c r="E597" s="53">
        <v>7.6899999999999998E-3</v>
      </c>
      <c r="F597" s="53">
        <v>-4.2236024844719599E-3</v>
      </c>
      <c r="G597" s="53">
        <v>9.2332396627861097E-3</v>
      </c>
      <c r="H597" s="87">
        <v>1.62543008642799E-2</v>
      </c>
      <c r="I597" s="53">
        <v>1.31811748053785E-2</v>
      </c>
      <c r="J597" s="53">
        <v>8.5067795146385201E-3</v>
      </c>
      <c r="K597" s="53">
        <v>-5.2992477198588999E-3</v>
      </c>
      <c r="L597" s="95">
        <f>IFERROR(B597*'Stock Statistics'!$C$41+C597*'Stock Statistics'!$C$42+D597*'Stock Statistics'!$C$43+E597*'Stock Statistics'!$C$44+F597*'Stock Statistics'!$C$45+G597*'Stock Statistics'!$C$46+H597*'Stock Statistics'!$C$47+I597*'Stock Statistics'!$C$48+J597*'Stock Statistics'!$C$49+K597*'Stock Statistics'!$C$50,"")</f>
        <v>4.5845147907854749E-3</v>
      </c>
      <c r="M597" s="97">
        <v>310.46839999999997</v>
      </c>
      <c r="N597" s="96">
        <v>379.60730000000001</v>
      </c>
      <c r="O597" s="93">
        <f t="shared" si="27"/>
        <v>-8.5024873476424734E-4</v>
      </c>
      <c r="P597" s="93">
        <f t="shared" si="28"/>
        <v>1.2256440477745878E-2</v>
      </c>
      <c r="Q597" s="93">
        <f>B597*'Portfolio 2 &amp; 3'!$F$7+C597*'Portfolio 2 &amp; 3'!$F$8+D597*'Portfolio 2 &amp; 3'!$F$9+E597*'Portfolio 2 &amp; 3'!$F$10+F597*'Portfolio 2 &amp; 3'!$F$11+G597*'Portfolio 2 &amp; 3'!$F$12+H597*'Portfolio 2 &amp; 3'!$F$13+I597*'Portfolio 2 &amp; 3'!$F$14+J597*'Portfolio 2 &amp; 3'!$F$15+K597*'Portfolio 2 &amp; 3'!$F$16</f>
        <v>5.3290933737723499E-3</v>
      </c>
      <c r="R597" s="93">
        <f>B597*'Portfolio 2 &amp; 3'!$B$23+C597*'Portfolio 2 &amp; 3'!$B$24+D597*'Portfolio 2 &amp; 3'!$B$25+E597*'Portfolio 2 &amp; 3'!$B$26+F597*'Portfolio 2 &amp; 3'!$B$27+G597*'Portfolio 2 &amp; 3'!$B$28+H597*'Portfolio 2 &amp; 3'!$B$29+I597*'Portfolio 2 &amp; 3'!$B$30+J597*'Portfolio 2 &amp; 3'!$B$31+K597*'Portfolio 2 &amp; 3'!$B$32</f>
        <v>4.4102370021306724E-3</v>
      </c>
      <c r="S597" s="93">
        <f t="shared" si="29"/>
        <v>5.7030958714908153E-3</v>
      </c>
    </row>
    <row r="598" spans="1:19" ht="12.75" customHeight="1">
      <c r="A598" s="81">
        <v>45205</v>
      </c>
      <c r="B598" s="53">
        <v>7.6E-3</v>
      </c>
      <c r="C598" s="53">
        <v>1.5594321632883599E-2</v>
      </c>
      <c r="D598" s="53">
        <v>-1.11946441310431E-2</v>
      </c>
      <c r="E598" s="53">
        <v>4.7800000000000004E-3</v>
      </c>
      <c r="F598" s="53">
        <v>-2.14858276175511E-3</v>
      </c>
      <c r="G598" s="53">
        <v>-1.18477772194748E-2</v>
      </c>
      <c r="H598" s="87">
        <v>-2.9664140058418601E-3</v>
      </c>
      <c r="I598" s="53">
        <v>1.46179401993374E-3</v>
      </c>
      <c r="J598" s="53">
        <v>-1.1988566065105099E-2</v>
      </c>
      <c r="K598" s="53">
        <v>1.2531495380676599E-3</v>
      </c>
      <c r="L598" s="95">
        <f>IFERROR(B598*'Stock Statistics'!$C$41+C598*'Stock Statistics'!$C$42+D598*'Stock Statistics'!$C$43+E598*'Stock Statistics'!$C$44+F598*'Stock Statistics'!$C$45+G598*'Stock Statistics'!$C$46+H598*'Stock Statistics'!$C$47+I598*'Stock Statistics'!$C$48+J598*'Stock Statistics'!$C$49+K598*'Stock Statistics'!$C$50,"")</f>
        <v>-9.4567189923349683E-4</v>
      </c>
      <c r="M598" s="96">
        <v>310.73259999999999</v>
      </c>
      <c r="N598" s="97">
        <v>375.01100000000002</v>
      </c>
      <c r="O598" s="93">
        <f t="shared" si="27"/>
        <v>-7.4013830396205682E-3</v>
      </c>
      <c r="P598" s="93">
        <f t="shared" si="28"/>
        <v>-2.4244365326460127E-3</v>
      </c>
      <c r="Q598" s="93">
        <f>B598*'Portfolio 2 &amp; 3'!$F$7+C598*'Portfolio 2 &amp; 3'!$F$8+D598*'Portfolio 2 &amp; 3'!$F$9+E598*'Portfolio 2 &amp; 3'!$F$10+F598*'Portfolio 2 &amp; 3'!$F$11+G598*'Portfolio 2 &amp; 3'!$F$12+H598*'Portfolio 2 &amp; 3'!$F$13+I598*'Portfolio 2 &amp; 3'!$F$14+J598*'Portfolio 2 &amp; 3'!$F$15+K598*'Portfolio 2 &amp; 3'!$F$16</f>
        <v>-2.0001916977467958E-3</v>
      </c>
      <c r="R598" s="93">
        <f>B598*'Portfolio 2 &amp; 3'!$B$23+C598*'Portfolio 2 &amp; 3'!$B$24+D598*'Portfolio 2 &amp; 3'!$B$25+E598*'Portfolio 2 &amp; 3'!$B$26+F598*'Portfolio 2 &amp; 3'!$B$27+G598*'Portfolio 2 &amp; 3'!$B$28+H598*'Portfolio 2 &amp; 3'!$B$29+I598*'Portfolio 2 &amp; 3'!$B$30+J598*'Portfolio 2 &amp; 3'!$B$31+K598*'Portfolio 2 &amp; 3'!$B$32</f>
        <v>2.2523130733316386E-3</v>
      </c>
      <c r="S598" s="93">
        <f t="shared" si="29"/>
        <v>-4.9129097861332904E-3</v>
      </c>
    </row>
    <row r="599" spans="1:19" ht="12.75" customHeight="1">
      <c r="A599" s="82">
        <v>45204</v>
      </c>
      <c r="B599" s="53">
        <v>2E-3</v>
      </c>
      <c r="C599" s="53">
        <v>-1.2828557484487199E-2</v>
      </c>
      <c r="D599" s="53">
        <v>1.1433646000998899E-2</v>
      </c>
      <c r="E599" s="53">
        <v>9.5300000000000003E-3</v>
      </c>
      <c r="F599" s="53">
        <v>2.6514209959398499E-3</v>
      </c>
      <c r="G599" s="53">
        <v>-1.79509516644216E-3</v>
      </c>
      <c r="H599" s="87">
        <v>1.28942468985605E-2</v>
      </c>
      <c r="I599" s="53">
        <v>1.9973368841543801E-3</v>
      </c>
      <c r="J599" s="53">
        <v>1.46314012380417E-2</v>
      </c>
      <c r="K599" s="53">
        <v>9.9363160233194598E-3</v>
      </c>
      <c r="L599" s="95">
        <f>IFERROR(B599*'Stock Statistics'!$C$41+C599*'Stock Statistics'!$C$42+D599*'Stock Statistics'!$C$43+E599*'Stock Statistics'!$C$44+F599*'Stock Statistics'!$C$45+G599*'Stock Statistics'!$C$46+H599*'Stock Statistics'!$C$47+I599*'Stock Statistics'!$C$48+J599*'Stock Statistics'!$C$49+K599*'Stock Statistics'!$C$50,"")</f>
        <v>5.0450715390085426E-3</v>
      </c>
      <c r="M599" s="97">
        <v>313.0496</v>
      </c>
      <c r="N599" s="96">
        <v>375.92239999999998</v>
      </c>
      <c r="O599" s="93">
        <f t="shared" si="27"/>
        <v>6.6033003639918153E-3</v>
      </c>
      <c r="P599" s="93">
        <f t="shared" si="28"/>
        <v>-9.0946637020861143E-4</v>
      </c>
      <c r="Q599" s="93">
        <f>B599*'Portfolio 2 &amp; 3'!$F$7+C599*'Portfolio 2 &amp; 3'!$F$8+D599*'Portfolio 2 &amp; 3'!$F$9+E599*'Portfolio 2 &amp; 3'!$F$10+F599*'Portfolio 2 &amp; 3'!$F$11+G599*'Portfolio 2 &amp; 3'!$F$12+H599*'Portfolio 2 &amp; 3'!$F$13+I599*'Portfolio 2 &amp; 3'!$F$14+J599*'Portfolio 2 &amp; 3'!$F$15+K599*'Portfolio 2 &amp; 3'!$F$16</f>
        <v>6.4726952324765281E-3</v>
      </c>
      <c r="R599" s="93">
        <f>B599*'Portfolio 2 &amp; 3'!$B$23+C599*'Portfolio 2 &amp; 3'!$B$24+D599*'Portfolio 2 &amp; 3'!$B$25+E599*'Portfolio 2 &amp; 3'!$B$26+F599*'Portfolio 2 &amp; 3'!$B$27+G599*'Portfolio 2 &amp; 3'!$B$28+H599*'Portfolio 2 &amp; 3'!$B$29+I599*'Portfolio 2 &amp; 3'!$B$30+J599*'Portfolio 2 &amp; 3'!$B$31+K599*'Portfolio 2 &amp; 3'!$B$32</f>
        <v>4.0511127889211453E-4</v>
      </c>
      <c r="S599" s="93">
        <f t="shared" si="29"/>
        <v>2.8469169968916019E-3</v>
      </c>
    </row>
    <row r="600" spans="1:19" ht="12.75" customHeight="1">
      <c r="A600" s="81">
        <v>45203</v>
      </c>
      <c r="B600" s="53">
        <v>-1.32E-2</v>
      </c>
      <c r="C600" s="53">
        <v>9.6295983443848206E-3</v>
      </c>
      <c r="D600" s="53">
        <v>2.6902251353662102E-2</v>
      </c>
      <c r="E600" s="53">
        <v>-3.4499999999999999E-3</v>
      </c>
      <c r="F600" s="53">
        <v>-1.2437607397103201E-2</v>
      </c>
      <c r="G600" s="53">
        <v>2.34788717172809E-2</v>
      </c>
      <c r="H600" s="87">
        <v>3.2641361135512499E-3</v>
      </c>
      <c r="I600" s="53">
        <v>3.0719914518500002E-3</v>
      </c>
      <c r="J600" s="53">
        <v>-3.83786114704621E-3</v>
      </c>
      <c r="K600" s="53">
        <v>2.2535287291176602E-3</v>
      </c>
      <c r="L600" s="95">
        <f>IFERROR(B600*'Stock Statistics'!$C$41+C600*'Stock Statistics'!$C$42+D600*'Stock Statistics'!$C$43+E600*'Stock Statistics'!$C$44+F600*'Stock Statistics'!$C$45+G600*'Stock Statistics'!$C$46+H600*'Stock Statistics'!$C$47+I600*'Stock Statistics'!$C$48+J600*'Stock Statistics'!$C$49+K600*'Stock Statistics'!$C$50,"")</f>
        <v>3.5674909165697333E-3</v>
      </c>
      <c r="M600" s="96">
        <v>310.99599999999998</v>
      </c>
      <c r="N600" s="97">
        <v>376.26459999999997</v>
      </c>
      <c r="O600" s="93">
        <f t="shared" si="27"/>
        <v>-3.1713022468360386E-3</v>
      </c>
      <c r="P600" s="93">
        <f t="shared" si="28"/>
        <v>-1.3605037353098481E-2</v>
      </c>
      <c r="Q600" s="93">
        <f>B600*'Portfolio 2 &amp; 3'!$F$7+C600*'Portfolio 2 &amp; 3'!$F$8+D600*'Portfolio 2 &amp; 3'!$F$9+E600*'Portfolio 2 &amp; 3'!$F$10+F600*'Portfolio 2 &amp; 3'!$F$11+G600*'Portfolio 2 &amp; 3'!$F$12+H600*'Portfolio 2 &amp; 3'!$F$13+I600*'Portfolio 2 &amp; 3'!$F$14+J600*'Portfolio 2 &amp; 3'!$F$15+K600*'Portfolio 2 &amp; 3'!$F$16</f>
        <v>3.8031538444648575E-3</v>
      </c>
      <c r="R600" s="93">
        <f>B600*'Portfolio 2 &amp; 3'!$B$23+C600*'Portfolio 2 &amp; 3'!$B$24+D600*'Portfolio 2 &amp; 3'!$B$25+E600*'Portfolio 2 &amp; 3'!$B$26+F600*'Portfolio 2 &amp; 3'!$B$27+G600*'Portfolio 2 &amp; 3'!$B$28+H600*'Portfolio 2 &amp; 3'!$B$29+I600*'Portfolio 2 &amp; 3'!$B$30+J600*'Portfolio 2 &amp; 3'!$B$31+K600*'Portfolio 2 &amp; 3'!$B$32</f>
        <v>1.8738870425462685E-3</v>
      </c>
      <c r="S600" s="93">
        <f t="shared" si="29"/>
        <v>-8.38816979996726E-3</v>
      </c>
    </row>
    <row r="601" spans="1:19" ht="12.75" customHeight="1">
      <c r="A601" s="82">
        <v>45202</v>
      </c>
      <c r="B601" s="53">
        <v>-2.5000000000000001E-3</v>
      </c>
      <c r="C601" s="53">
        <v>8.2469836763663408E-3</v>
      </c>
      <c r="D601" s="53">
        <v>-5.7236767539384798E-3</v>
      </c>
      <c r="E601" s="53">
        <v>-2.3400000000000001E-3</v>
      </c>
      <c r="F601" s="53">
        <v>-6.42276422764232E-3</v>
      </c>
      <c r="G601" s="53">
        <v>-7.2687283748625901E-3</v>
      </c>
      <c r="H601" s="87">
        <v>-1.9472848757798901E-3</v>
      </c>
      <c r="I601" s="53">
        <v>-3.77007007894969E-3</v>
      </c>
      <c r="J601" s="53">
        <v>-3.0094582975064301E-3</v>
      </c>
      <c r="K601" s="53">
        <v>-4.43333870707718E-3</v>
      </c>
      <c r="L601" s="95">
        <f>IFERROR(B601*'Stock Statistics'!$C$41+C601*'Stock Statistics'!$C$42+D601*'Stock Statistics'!$C$43+E601*'Stock Statistics'!$C$44+F601*'Stock Statistics'!$C$45+G601*'Stock Statistics'!$C$46+H601*'Stock Statistics'!$C$47+I601*'Stock Statistics'!$C$48+J601*'Stock Statistics'!$C$49+K601*'Stock Statistics'!$C$50,"")</f>
        <v>-2.9168337639390242E-3</v>
      </c>
      <c r="M601" s="97">
        <v>311.98540000000003</v>
      </c>
      <c r="N601" s="96">
        <v>381.45429999999999</v>
      </c>
      <c r="O601" s="93">
        <f t="shared" si="27"/>
        <v>-1.1580572467365435E-2</v>
      </c>
      <c r="P601" s="93">
        <f t="shared" si="28"/>
        <v>-7.9717652884274681E-3</v>
      </c>
      <c r="Q601" s="93">
        <f>B601*'Portfolio 2 &amp; 3'!$F$7+C601*'Portfolio 2 &amp; 3'!$F$8+D601*'Portfolio 2 &amp; 3'!$F$9+E601*'Portfolio 2 &amp; 3'!$F$10+F601*'Portfolio 2 &amp; 3'!$F$11+G601*'Portfolio 2 &amp; 3'!$F$12+H601*'Portfolio 2 &amp; 3'!$F$13+I601*'Portfolio 2 &amp; 3'!$F$14+J601*'Portfolio 2 &amp; 3'!$F$15+K601*'Portfolio 2 &amp; 3'!$F$16</f>
        <v>-2.7840774066180498E-3</v>
      </c>
      <c r="R601" s="93">
        <f>B601*'Portfolio 2 &amp; 3'!$B$23+C601*'Portfolio 2 &amp; 3'!$B$24+D601*'Portfolio 2 &amp; 3'!$B$25+E601*'Portfolio 2 &amp; 3'!$B$26+F601*'Portfolio 2 &amp; 3'!$B$27+G601*'Portfolio 2 &amp; 3'!$B$28+H601*'Portfolio 2 &amp; 3'!$B$29+I601*'Portfolio 2 &amp; 3'!$B$30+J601*'Portfolio 2 &amp; 3'!$B$31+K601*'Portfolio 2 &amp; 3'!$B$32</f>
        <v>-2.0942302238739045E-3</v>
      </c>
      <c r="S601" s="93">
        <f t="shared" si="29"/>
        <v>-9.7761688778964517E-3</v>
      </c>
    </row>
    <row r="602" spans="1:19" ht="12.75" customHeight="1">
      <c r="A602" s="81">
        <v>45198</v>
      </c>
      <c r="B602" s="53">
        <v>3.6200000000000003E-2</v>
      </c>
      <c r="C602" s="53">
        <v>1.8799710773680402E-2</v>
      </c>
      <c r="D602" s="53">
        <v>-2.8999064546304999E-2</v>
      </c>
      <c r="E602" s="53">
        <v>-1.7829999999999999E-2</v>
      </c>
      <c r="F602" s="53">
        <v>2.03235172127747E-2</v>
      </c>
      <c r="G602" s="53">
        <v>-8.5626911314984292E-3</v>
      </c>
      <c r="H602" s="87">
        <v>-8.0377904315505101E-3</v>
      </c>
      <c r="I602" s="53">
        <v>7.3273165936913499E-3</v>
      </c>
      <c r="J602" s="53">
        <v>1.63637929549565E-3</v>
      </c>
      <c r="K602" s="53">
        <v>6.6536838688737703E-3</v>
      </c>
      <c r="L602" s="95">
        <f>IFERROR(B602*'Stock Statistics'!$C$41+C602*'Stock Statistics'!$C$42+D602*'Stock Statistics'!$C$43+E602*'Stock Statistics'!$C$44+F602*'Stock Statistics'!$C$45+G602*'Stock Statistics'!$C$46+H602*'Stock Statistics'!$C$47+I602*'Stock Statistics'!$C$48+J602*'Stock Statistics'!$C$49+K602*'Stock Statistics'!$C$50,"")</f>
        <v>2.7511061635161929E-3</v>
      </c>
      <c r="M602" s="96">
        <v>315.64069999999998</v>
      </c>
      <c r="N602" s="97">
        <v>384.51960000000003</v>
      </c>
      <c r="O602" s="93">
        <f t="shared" si="27"/>
        <v>6.0960841773161079E-4</v>
      </c>
      <c r="P602" s="93">
        <f t="shared" si="28"/>
        <v>-4.2683506319399767E-3</v>
      </c>
      <c r="Q602" s="93">
        <f>B602*'Portfolio 2 &amp; 3'!$F$7+C602*'Portfolio 2 &amp; 3'!$F$8+D602*'Portfolio 2 &amp; 3'!$F$9+E602*'Portfolio 2 &amp; 3'!$F$10+F602*'Portfolio 2 &amp; 3'!$F$11+G602*'Portfolio 2 &amp; 3'!$F$12+H602*'Portfolio 2 &amp; 3'!$F$13+I602*'Portfolio 2 &amp; 3'!$F$14+J602*'Portfolio 2 &amp; 3'!$F$15+K602*'Portfolio 2 &amp; 3'!$F$16</f>
        <v>7.6863399297533489E-4</v>
      </c>
      <c r="R602" s="93">
        <f>B602*'Portfolio 2 &amp; 3'!$B$23+C602*'Portfolio 2 &amp; 3'!$B$24+D602*'Portfolio 2 &amp; 3'!$B$25+E602*'Portfolio 2 &amp; 3'!$B$26+F602*'Portfolio 2 &amp; 3'!$B$27+G602*'Portfolio 2 &amp; 3'!$B$28+H602*'Portfolio 2 &amp; 3'!$B$29+I602*'Portfolio 2 &amp; 3'!$B$30+J602*'Portfolio 2 &amp; 3'!$B$31+K602*'Portfolio 2 &amp; 3'!$B$32</f>
        <v>1.2590220924477334E-2</v>
      </c>
      <c r="S602" s="93">
        <f t="shared" si="29"/>
        <v>-1.8293711071041829E-3</v>
      </c>
    </row>
    <row r="603" spans="1:19" ht="12.75" customHeight="1">
      <c r="A603" s="82">
        <v>45197</v>
      </c>
      <c r="B603" s="53">
        <v>-1.6400000000000001E-2</v>
      </c>
      <c r="C603" s="53">
        <v>-5.3222094361334901E-3</v>
      </c>
      <c r="D603" s="53">
        <v>-6.2339366763275502E-3</v>
      </c>
      <c r="E603" s="53">
        <v>2.7299999999999998E-3</v>
      </c>
      <c r="F603" s="53">
        <v>-3.9659588531768498E-3</v>
      </c>
      <c r="G603" s="53">
        <v>-2.5322689336996398E-2</v>
      </c>
      <c r="H603" s="87">
        <v>-2.2427062824413899E-2</v>
      </c>
      <c r="I603" s="53">
        <v>-4.1822388325325503E-3</v>
      </c>
      <c r="J603" s="53">
        <v>-5.0983248361252701E-3</v>
      </c>
      <c r="K603" s="53">
        <v>-2.84539140988471E-3</v>
      </c>
      <c r="L603" s="95">
        <f>IFERROR(B603*'Stock Statistics'!$C$41+C603*'Stock Statistics'!$C$42+D603*'Stock Statistics'!$C$43+E603*'Stock Statistics'!$C$44+F603*'Stock Statistics'!$C$45+G603*'Stock Statistics'!$C$46+H603*'Stock Statistics'!$C$47+I603*'Stock Statistics'!$C$48+J603*'Stock Statistics'!$C$49+K603*'Stock Statistics'!$C$50,"")</f>
        <v>-8.9067812205590735E-3</v>
      </c>
      <c r="M603" s="97">
        <v>315.44839999999999</v>
      </c>
      <c r="N603" s="96">
        <v>386.16789999999997</v>
      </c>
      <c r="O603" s="93">
        <f t="shared" si="27"/>
        <v>1.1283668351132814E-2</v>
      </c>
      <c r="P603" s="93">
        <f t="shared" si="28"/>
        <v>-5.5428469745207876E-3</v>
      </c>
      <c r="Q603" s="93">
        <f>B603*'Portfolio 2 &amp; 3'!$F$7+C603*'Portfolio 2 &amp; 3'!$F$8+D603*'Portfolio 2 &amp; 3'!$F$9+E603*'Portfolio 2 &amp; 3'!$F$10+F603*'Portfolio 2 &amp; 3'!$F$11+G603*'Portfolio 2 &amp; 3'!$F$12+H603*'Portfolio 2 &amp; 3'!$F$13+I603*'Portfolio 2 &amp; 3'!$F$14+J603*'Portfolio 2 &amp; 3'!$F$15+K603*'Portfolio 2 &amp; 3'!$F$16</f>
        <v>-9.0224205254815434E-3</v>
      </c>
      <c r="R603" s="93">
        <f>B603*'Portfolio 2 &amp; 3'!$B$23+C603*'Portfolio 2 &amp; 3'!$B$24+D603*'Portfolio 2 &amp; 3'!$B$25+E603*'Portfolio 2 &amp; 3'!$B$26+F603*'Portfolio 2 &amp; 3'!$B$27+G603*'Portfolio 2 &amp; 3'!$B$28+H603*'Portfolio 2 &amp; 3'!$B$29+I603*'Portfolio 2 &amp; 3'!$B$30+J603*'Portfolio 2 &amp; 3'!$B$31+K603*'Portfolio 2 &amp; 3'!$B$32</f>
        <v>-8.7344541797933634E-3</v>
      </c>
      <c r="S603" s="93">
        <f t="shared" si="29"/>
        <v>2.8704106883060132E-3</v>
      </c>
    </row>
    <row r="604" spans="1:19" ht="12.75" customHeight="1">
      <c r="A604" s="81">
        <v>45196</v>
      </c>
      <c r="B604" s="53">
        <v>1.4E-3</v>
      </c>
      <c r="C604" s="53">
        <v>-2.7297785115641401E-2</v>
      </c>
      <c r="D604" s="53">
        <v>4.66460622710623E-2</v>
      </c>
      <c r="E604" s="53">
        <v>3.3669999999999999E-2</v>
      </c>
      <c r="F604" s="53">
        <v>1.1871917063790699E-2</v>
      </c>
      <c r="G604" s="53">
        <v>3.5147027259068403E-2</v>
      </c>
      <c r="H604" s="87">
        <v>2.9084010241108099E-2</v>
      </c>
      <c r="I604" s="53">
        <v>-1.54627885584127E-2</v>
      </c>
      <c r="J604" s="53">
        <v>-1.33158606695976E-2</v>
      </c>
      <c r="K604" s="53">
        <v>-4.4838835264267001E-3</v>
      </c>
      <c r="L604" s="95">
        <f>IFERROR(B604*'Stock Statistics'!$C$41+C604*'Stock Statistics'!$C$42+D604*'Stock Statistics'!$C$43+E604*'Stock Statistics'!$C$44+F604*'Stock Statistics'!$C$45+G604*'Stock Statistics'!$C$46+H604*'Stock Statistics'!$C$47+I604*'Stock Statistics'!$C$48+J604*'Stock Statistics'!$C$49+K604*'Stock Statistics'!$C$50,"")</f>
        <v>9.7258698964951124E-3</v>
      </c>
      <c r="M604" s="96">
        <v>311.92869999999999</v>
      </c>
      <c r="N604" s="97">
        <v>388.32029999999997</v>
      </c>
      <c r="O604" s="93">
        <f t="shared" si="27"/>
        <v>7.8728988558998125E-3</v>
      </c>
      <c r="P604" s="93">
        <f t="shared" si="28"/>
        <v>3.0249319900441662E-3</v>
      </c>
      <c r="Q604" s="93">
        <f>B604*'Portfolio 2 &amp; 3'!$F$7+C604*'Portfolio 2 &amp; 3'!$F$8+D604*'Portfolio 2 &amp; 3'!$F$9+E604*'Portfolio 2 &amp; 3'!$F$10+F604*'Portfolio 2 &amp; 3'!$F$11+G604*'Portfolio 2 &amp; 3'!$F$12+H604*'Portfolio 2 &amp; 3'!$F$13+I604*'Portfolio 2 &amp; 3'!$F$14+J604*'Portfolio 2 &amp; 3'!$F$15+K604*'Portfolio 2 &amp; 3'!$F$16</f>
        <v>1.0411834777620709E-2</v>
      </c>
      <c r="R604" s="93">
        <f>B604*'Portfolio 2 &amp; 3'!$B$23+C604*'Portfolio 2 &amp; 3'!$B$24+D604*'Portfolio 2 &amp; 3'!$B$25+E604*'Portfolio 2 &amp; 3'!$B$26+F604*'Portfolio 2 &amp; 3'!$B$27+G604*'Portfolio 2 &amp; 3'!$B$28+H604*'Portfolio 2 &amp; 3'!$B$29+I604*'Portfolio 2 &amp; 3'!$B$30+J604*'Portfolio 2 &amp; 3'!$B$31+K604*'Portfolio 2 &amp; 3'!$B$32</f>
        <v>-2.6652239693963514E-3</v>
      </c>
      <c r="S604" s="93">
        <f t="shared" si="29"/>
        <v>5.4489154229719894E-3</v>
      </c>
    </row>
    <row r="605" spans="1:19" ht="12.75" customHeight="1">
      <c r="A605" s="82">
        <v>45195</v>
      </c>
      <c r="B605" s="53">
        <v>2.7000000000000001E-3</v>
      </c>
      <c r="C605" s="53">
        <v>-8.9714079702709598E-3</v>
      </c>
      <c r="D605" s="53">
        <v>-7.5546719681908198E-3</v>
      </c>
      <c r="E605" s="53">
        <v>-7.9000000000000001E-4</v>
      </c>
      <c r="F605" s="53">
        <v>-8.7842877268584606E-3</v>
      </c>
      <c r="G605" s="53">
        <v>8.5507089511851504E-3</v>
      </c>
      <c r="H605" s="87">
        <v>-1.2253363534645E-2</v>
      </c>
      <c r="I605" s="53">
        <v>-1.48448625555604E-2</v>
      </c>
      <c r="J605" s="53">
        <v>-2.8242633730979402E-3</v>
      </c>
      <c r="K605" s="53">
        <v>-1.08096622976509E-2</v>
      </c>
      <c r="L605" s="95">
        <f>IFERROR(B605*'Stock Statistics'!$C$41+C605*'Stock Statistics'!$C$42+D605*'Stock Statistics'!$C$43+E605*'Stock Statistics'!$C$44+F605*'Stock Statistics'!$C$45+G605*'Stock Statistics'!$C$46+H605*'Stock Statistics'!$C$47+I605*'Stock Statistics'!$C$48+J605*'Stock Statistics'!$C$49+K605*'Stock Statistics'!$C$50,"")</f>
        <v>-5.5581810475089331E-3</v>
      </c>
      <c r="M605" s="97">
        <v>309.49209999999999</v>
      </c>
      <c r="N605" s="96">
        <v>387.14920000000001</v>
      </c>
      <c r="O605" s="93">
        <f t="shared" si="27"/>
        <v>-1.5101938894089839E-3</v>
      </c>
      <c r="P605" s="93">
        <f t="shared" si="28"/>
        <v>3.8822565421676725E-3</v>
      </c>
      <c r="Q605" s="93">
        <f>B605*'Portfolio 2 &amp; 3'!$F$7+C605*'Portfolio 2 &amp; 3'!$F$8+D605*'Portfolio 2 &amp; 3'!$F$9+E605*'Portfolio 2 &amp; 3'!$F$10+F605*'Portfolio 2 &amp; 3'!$F$11+G605*'Portfolio 2 &amp; 3'!$F$12+H605*'Portfolio 2 &amp; 3'!$F$13+I605*'Portfolio 2 &amp; 3'!$F$14+J605*'Portfolio 2 &amp; 3'!$F$15+K605*'Portfolio 2 &amp; 3'!$F$16</f>
        <v>-6.7204766282274757E-3</v>
      </c>
      <c r="R605" s="93">
        <f>B605*'Portfolio 2 &amp; 3'!$B$23+C605*'Portfolio 2 &amp; 3'!$B$24+D605*'Portfolio 2 &amp; 3'!$B$25+E605*'Portfolio 2 &amp; 3'!$B$26+F605*'Portfolio 2 &amp; 3'!$B$27+G605*'Portfolio 2 &amp; 3'!$B$28+H605*'Portfolio 2 &amp; 3'!$B$29+I605*'Portfolio 2 &amp; 3'!$B$30+J605*'Portfolio 2 &amp; 3'!$B$31+K605*'Portfolio 2 &amp; 3'!$B$32</f>
        <v>-7.0252328215036743E-3</v>
      </c>
      <c r="S605" s="93">
        <f t="shared" si="29"/>
        <v>1.1860313263793443E-3</v>
      </c>
    </row>
    <row r="606" spans="1:19" ht="12.75" customHeight="1">
      <c r="A606" s="81">
        <v>45194</v>
      </c>
      <c r="B606" s="53">
        <v>4.7999999999999996E-3</v>
      </c>
      <c r="C606" s="53">
        <v>2.30083976395823E-2</v>
      </c>
      <c r="D606" s="53">
        <v>2.6590471747623801E-2</v>
      </c>
      <c r="E606" s="53">
        <v>2.198E-2</v>
      </c>
      <c r="F606" s="53">
        <v>1.3012088650100799E-2</v>
      </c>
      <c r="G606" s="53">
        <v>8.2942267816217292E-3</v>
      </c>
      <c r="H606" s="87">
        <v>5.2489598097937903E-3</v>
      </c>
      <c r="I606" s="53">
        <v>2.32712178751215E-2</v>
      </c>
      <c r="J606" s="53">
        <v>1.8985438769812499E-2</v>
      </c>
      <c r="K606" s="53">
        <v>2.7326057298772102E-2</v>
      </c>
      <c r="L606" s="95">
        <f>IFERROR(B606*'Stock Statistics'!$C$41+C606*'Stock Statistics'!$C$42+D606*'Stock Statistics'!$C$43+E606*'Stock Statistics'!$C$44+F606*'Stock Statistics'!$C$45+G606*'Stock Statistics'!$C$46+H606*'Stock Statistics'!$C$47+I606*'Stock Statistics'!$C$48+J606*'Stock Statistics'!$C$49+K606*'Stock Statistics'!$C$50,"")</f>
        <v>1.7251685857242852E-2</v>
      </c>
      <c r="M606" s="96">
        <v>309.96019999999999</v>
      </c>
      <c r="N606" s="97">
        <v>385.65199999999999</v>
      </c>
      <c r="O606" s="93">
        <f t="shared" si="27"/>
        <v>2.8269682443693434E-4</v>
      </c>
      <c r="P606" s="93">
        <f t="shared" si="28"/>
        <v>7.6664822836873814E-3</v>
      </c>
      <c r="Q606" s="93">
        <f>B606*'Portfolio 2 &amp; 3'!$F$7+C606*'Portfolio 2 &amp; 3'!$F$8+D606*'Portfolio 2 &amp; 3'!$F$9+E606*'Portfolio 2 &amp; 3'!$F$10+F606*'Portfolio 2 &amp; 3'!$F$11+G606*'Portfolio 2 &amp; 3'!$F$12+H606*'Portfolio 2 &amp; 3'!$F$13+I606*'Portfolio 2 &amp; 3'!$F$14+J606*'Portfolio 2 &amp; 3'!$F$15+K606*'Portfolio 2 &amp; 3'!$F$16</f>
        <v>1.7236039571169814E-2</v>
      </c>
      <c r="R606" s="93">
        <f>B606*'Portfolio 2 &amp; 3'!$B$23+C606*'Portfolio 2 &amp; 3'!$B$24+D606*'Portfolio 2 &amp; 3'!$B$25+E606*'Portfolio 2 &amp; 3'!$B$26+F606*'Portfolio 2 &amp; 3'!$B$27+G606*'Portfolio 2 &amp; 3'!$B$28+H606*'Portfolio 2 &amp; 3'!$B$29+I606*'Portfolio 2 &amp; 3'!$B$30+J606*'Portfolio 2 &amp; 3'!$B$31+K606*'Portfolio 2 &amp; 3'!$B$32</f>
        <v>1.7251223263253339E-2</v>
      </c>
      <c r="S606" s="93">
        <f t="shared" si="29"/>
        <v>3.9745895540621579E-3</v>
      </c>
    </row>
    <row r="607" spans="1:19" ht="12.75" customHeight="1">
      <c r="A607" s="82">
        <v>45191</v>
      </c>
      <c r="B607" s="53">
        <v>-1.29E-2</v>
      </c>
      <c r="C607" s="53">
        <v>-9.7346500161540304E-3</v>
      </c>
      <c r="D607" s="53">
        <v>-1.8542894751902898E-2</v>
      </c>
      <c r="E607" s="53">
        <v>-2.2000000000000001E-3</v>
      </c>
      <c r="F607" s="53">
        <v>-3.2567205392674298E-2</v>
      </c>
      <c r="G607" s="53">
        <v>-7.8769997022440901E-3</v>
      </c>
      <c r="H607" s="87">
        <v>5.3321075614800604E-3</v>
      </c>
      <c r="I607" s="53">
        <v>-6.7108206500285901E-3</v>
      </c>
      <c r="J607" s="53">
        <v>-1.3934773401101301E-2</v>
      </c>
      <c r="K607" s="53">
        <v>-2.73354564755839E-2</v>
      </c>
      <c r="L607" s="95">
        <f>IFERROR(B607*'Stock Statistics'!$C$41+C607*'Stock Statistics'!$C$42+D607*'Stock Statistics'!$C$43+E607*'Stock Statistics'!$C$44+F607*'Stock Statistics'!$C$45+G607*'Stock Statistics'!$C$46+H607*'Stock Statistics'!$C$47+I607*'Stock Statistics'!$C$48+J607*'Stock Statistics'!$C$49+K607*'Stock Statistics'!$C$50,"")</f>
        <v>-1.2647069282820906E-2</v>
      </c>
      <c r="M607" s="97">
        <v>309.87259999999998</v>
      </c>
      <c r="N607" s="96">
        <v>382.71789999999999</v>
      </c>
      <c r="O607" s="93">
        <f t="shared" si="27"/>
        <v>-8.9392057251854729E-3</v>
      </c>
      <c r="P607" s="93">
        <f t="shared" si="28"/>
        <v>-5.4527406942372902E-4</v>
      </c>
      <c r="Q607" s="93">
        <f>B607*'Portfolio 2 &amp; 3'!$F$7+C607*'Portfolio 2 &amp; 3'!$F$8+D607*'Portfolio 2 &amp; 3'!$F$9+E607*'Portfolio 2 &amp; 3'!$F$10+F607*'Portfolio 2 &amp; 3'!$F$11+G607*'Portfolio 2 &amp; 3'!$F$12+H607*'Portfolio 2 &amp; 3'!$F$13+I607*'Portfolio 2 &amp; 3'!$F$14+J607*'Portfolio 2 &amp; 3'!$F$15+K607*'Portfolio 2 &amp; 3'!$F$16</f>
        <v>-1.2098870633608778E-2</v>
      </c>
      <c r="R607" s="93">
        <f>B607*'Portfolio 2 &amp; 3'!$B$23+C607*'Portfolio 2 &amp; 3'!$B$24+D607*'Portfolio 2 &amp; 3'!$B$25+E607*'Portfolio 2 &amp; 3'!$B$26+F607*'Portfolio 2 &amp; 3'!$B$27+G607*'Portfolio 2 &amp; 3'!$B$28+H607*'Portfolio 2 &amp; 3'!$B$29+I607*'Portfolio 2 &amp; 3'!$B$30+J607*'Portfolio 2 &amp; 3'!$B$31+K607*'Portfolio 2 &amp; 3'!$B$32</f>
        <v>-1.4113914328626943E-2</v>
      </c>
      <c r="S607" s="93">
        <f t="shared" si="29"/>
        <v>-4.7422398973046009E-3</v>
      </c>
    </row>
    <row r="608" spans="1:19" ht="12.75" customHeight="1">
      <c r="A608" s="81">
        <v>45190</v>
      </c>
      <c r="B608" s="53">
        <v>-1.52E-2</v>
      </c>
      <c r="C608" s="53">
        <v>8.2285293451165292E-3</v>
      </c>
      <c r="D608" s="53">
        <v>8.3679593721144307E-3</v>
      </c>
      <c r="E608" s="53">
        <v>1.051E-2</v>
      </c>
      <c r="F608" s="53">
        <v>-1.45658263305323E-2</v>
      </c>
      <c r="G608" s="53">
        <v>-1.75637699956766E-3</v>
      </c>
      <c r="H608" s="87">
        <v>-1.4192367297740699E-2</v>
      </c>
      <c r="I608" s="53">
        <v>1.2523870853133201E-2</v>
      </c>
      <c r="J608" s="53">
        <v>1.4480299058995399E-2</v>
      </c>
      <c r="K608" s="53">
        <v>3.7828333954925699E-3</v>
      </c>
      <c r="L608" s="95">
        <f>IFERROR(B608*'Stock Statistics'!$C$41+C608*'Stock Statistics'!$C$42+D608*'Stock Statistics'!$C$43+E608*'Stock Statistics'!$C$44+F608*'Stock Statistics'!$C$45+G608*'Stock Statistics'!$C$46+H608*'Stock Statistics'!$C$47+I608*'Stock Statistics'!$C$48+J608*'Stock Statistics'!$C$49+K608*'Stock Statistics'!$C$50,"")</f>
        <v>1.2178921397011471E-3</v>
      </c>
      <c r="M608" s="96">
        <v>312.66759999999999</v>
      </c>
      <c r="N608" s="97">
        <v>382.92669999999998</v>
      </c>
      <c r="O608" s="93">
        <f t="shared" si="27"/>
        <v>-6.0517281773639908E-3</v>
      </c>
      <c r="P608" s="93">
        <f t="shared" si="28"/>
        <v>4.3215073476376986E-3</v>
      </c>
      <c r="Q608" s="93">
        <f>B608*'Portfolio 2 &amp; 3'!$F$7+C608*'Portfolio 2 &amp; 3'!$F$8+D608*'Portfolio 2 &amp; 3'!$F$9+E608*'Portfolio 2 &amp; 3'!$F$10+F608*'Portfolio 2 &amp; 3'!$F$11+G608*'Portfolio 2 &amp; 3'!$F$12+H608*'Portfolio 2 &amp; 3'!$F$13+I608*'Portfolio 2 &amp; 3'!$F$14+J608*'Portfolio 2 &amp; 3'!$F$15+K608*'Portfolio 2 &amp; 3'!$F$16</f>
        <v>1.2126631609417141E-3</v>
      </c>
      <c r="R608" s="93">
        <f>B608*'Portfolio 2 &amp; 3'!$B$23+C608*'Portfolio 2 &amp; 3'!$B$24+D608*'Portfolio 2 &amp; 3'!$B$25+E608*'Portfolio 2 &amp; 3'!$B$26+F608*'Portfolio 2 &amp; 3'!$B$27+G608*'Portfolio 2 &amp; 3'!$B$28+H608*'Portfolio 2 &amp; 3'!$B$29+I608*'Portfolio 2 &amp; 3'!$B$30+J608*'Portfolio 2 &amp; 3'!$B$31+K608*'Portfolio 2 &amp; 3'!$B$32</f>
        <v>6.6628337938631006E-4</v>
      </c>
      <c r="S608" s="93">
        <f t="shared" si="29"/>
        <v>-8.651104148631461E-4</v>
      </c>
    </row>
    <row r="609" spans="1:19" ht="12.75" customHeight="1">
      <c r="A609" s="82">
        <v>45189</v>
      </c>
      <c r="B609" s="53">
        <v>-5.0000000000000001E-3</v>
      </c>
      <c r="C609" s="53">
        <v>-7.1851403984869401E-3</v>
      </c>
      <c r="D609" s="53">
        <v>-1.14667123053227E-2</v>
      </c>
      <c r="E609" s="53">
        <v>-2.6440000000000002E-2</v>
      </c>
      <c r="F609" s="53">
        <v>-2.8986633509480799E-2</v>
      </c>
      <c r="G609" s="53">
        <v>-1.28040973111395E-2</v>
      </c>
      <c r="H609" s="87">
        <v>-2.67178265855165E-2</v>
      </c>
      <c r="I609" s="53">
        <v>1.60135225301361E-3</v>
      </c>
      <c r="J609" s="53">
        <v>-1.33124178572941E-2</v>
      </c>
      <c r="K609" s="53">
        <v>6.7855706048010099E-3</v>
      </c>
      <c r="L609" s="95">
        <f>IFERROR(B609*'Stock Statistics'!$C$41+C609*'Stock Statistics'!$C$42+D609*'Stock Statistics'!$C$43+E609*'Stock Statistics'!$C$44+F609*'Stock Statistics'!$C$45+G609*'Stock Statistics'!$C$46+H609*'Stock Statistics'!$C$47+I609*'Stock Statistics'!$C$48+J609*'Stock Statistics'!$C$49+K609*'Stock Statistics'!$C$50,"")</f>
        <v>-1.2352590510942594E-2</v>
      </c>
      <c r="M609" s="97">
        <v>314.57130000000001</v>
      </c>
      <c r="N609" s="96">
        <v>381.279</v>
      </c>
      <c r="O609" s="93">
        <f t="shared" si="27"/>
        <v>-3.9349110552414635E-3</v>
      </c>
      <c r="P609" s="93">
        <f t="shared" si="28"/>
        <v>-3.0795634957987428E-3</v>
      </c>
      <c r="Q609" s="93">
        <f>B609*'Portfolio 2 &amp; 3'!$F$7+C609*'Portfolio 2 &amp; 3'!$F$8+D609*'Portfolio 2 &amp; 3'!$F$9+E609*'Portfolio 2 &amp; 3'!$F$10+F609*'Portfolio 2 &amp; 3'!$F$11+G609*'Portfolio 2 &amp; 3'!$F$12+H609*'Portfolio 2 &amp; 3'!$F$13+I609*'Portfolio 2 &amp; 3'!$F$14+J609*'Portfolio 2 &amp; 3'!$F$15+K609*'Portfolio 2 &amp; 3'!$F$16</f>
        <v>-1.3804651875961938E-2</v>
      </c>
      <c r="R609" s="93">
        <f>B609*'Portfolio 2 &amp; 3'!$B$23+C609*'Portfolio 2 &amp; 3'!$B$24+D609*'Portfolio 2 &amp; 3'!$B$25+E609*'Portfolio 2 &amp; 3'!$B$26+F609*'Portfolio 2 &amp; 3'!$B$27+G609*'Portfolio 2 &amp; 3'!$B$28+H609*'Portfolio 2 &amp; 3'!$B$29+I609*'Portfolio 2 &amp; 3'!$B$30+J609*'Portfolio 2 &amp; 3'!$B$31+K609*'Portfolio 2 &amp; 3'!$B$32</f>
        <v>-8.3722680825295027E-3</v>
      </c>
      <c r="S609" s="93">
        <f t="shared" si="29"/>
        <v>-3.5072372755201031E-3</v>
      </c>
    </row>
    <row r="610" spans="1:19" ht="12.75" customHeight="1">
      <c r="A610" s="81">
        <v>45187</v>
      </c>
      <c r="B610" s="53">
        <v>-1.8E-3</v>
      </c>
      <c r="C610" s="53">
        <v>1.4926844380605E-3</v>
      </c>
      <c r="D610" s="53">
        <v>-1.52247191011236E-2</v>
      </c>
      <c r="E610" s="53">
        <v>-1.2869999999999999E-2</v>
      </c>
      <c r="F610" s="53">
        <v>-3.0216161772682599E-3</v>
      </c>
      <c r="G610" s="53">
        <v>-5.17474723350053E-3</v>
      </c>
      <c r="H610" s="87">
        <v>9.5190603823651597E-3</v>
      </c>
      <c r="I610" s="53">
        <v>-7.3298891685432696E-3</v>
      </c>
      <c r="J610" s="53">
        <v>-5.5232313011216502E-3</v>
      </c>
      <c r="K610" s="53">
        <v>6.3291993360412597E-3</v>
      </c>
      <c r="L610" s="95">
        <f>IFERROR(B610*'Stock Statistics'!$C$41+C610*'Stock Statistics'!$C$42+D610*'Stock Statistics'!$C$43+E610*'Stock Statistics'!$C$44+F610*'Stock Statistics'!$C$45+G610*'Stock Statistics'!$C$46+H610*'Stock Statistics'!$C$47+I610*'Stock Statistics'!$C$48+J610*'Stock Statistics'!$C$49+K610*'Stock Statistics'!$C$50,"")</f>
        <v>-3.3603258825090393E-3</v>
      </c>
      <c r="M610" s="96">
        <v>315.81400000000002</v>
      </c>
      <c r="N610" s="97">
        <v>382.45679999999999</v>
      </c>
      <c r="O610" s="93">
        <f t="shared" si="27"/>
        <v>1.6019211636588704E-3</v>
      </c>
      <c r="P610" s="93">
        <f t="shared" si="28"/>
        <v>-2.5399635449118163E-3</v>
      </c>
      <c r="Q610" s="93">
        <f>B610*'Portfolio 2 &amp; 3'!$F$7+C610*'Portfolio 2 &amp; 3'!$F$8+D610*'Portfolio 2 &amp; 3'!$F$9+E610*'Portfolio 2 &amp; 3'!$F$10+F610*'Portfolio 2 &amp; 3'!$F$11+G610*'Portfolio 2 &amp; 3'!$F$12+H610*'Portfolio 2 &amp; 3'!$F$13+I610*'Portfolio 2 &amp; 3'!$F$14+J610*'Portfolio 2 &amp; 3'!$F$15+K610*'Portfolio 2 &amp; 3'!$F$16</f>
        <v>-2.9037748316663396E-3</v>
      </c>
      <c r="R610" s="93">
        <f>B610*'Portfolio 2 &amp; 3'!$B$23+C610*'Portfolio 2 &amp; 3'!$B$24+D610*'Portfolio 2 &amp; 3'!$B$25+E610*'Portfolio 2 &amp; 3'!$B$26+F610*'Portfolio 2 &amp; 3'!$B$27+G610*'Portfolio 2 &amp; 3'!$B$28+H610*'Portfolio 2 &amp; 3'!$B$29+I610*'Portfolio 2 &amp; 3'!$B$30+J610*'Portfolio 2 &amp; 3'!$B$31+K610*'Portfolio 2 &amp; 3'!$B$32</f>
        <v>-2.3552288471555462E-3</v>
      </c>
      <c r="S610" s="93">
        <f t="shared" si="29"/>
        <v>-4.6902119062647296E-4</v>
      </c>
    </row>
    <row r="611" spans="1:19" ht="12.75" customHeight="1">
      <c r="A611" s="82">
        <v>45184</v>
      </c>
      <c r="B611" s="53">
        <v>1.9199999999999998E-2</v>
      </c>
      <c r="C611" s="53">
        <v>-2.77119815983679E-2</v>
      </c>
      <c r="D611" s="53">
        <v>-5.14196288844182E-3</v>
      </c>
      <c r="E611" s="53">
        <v>1.282E-2</v>
      </c>
      <c r="F611" s="53">
        <v>8.5169557743398593E-3</v>
      </c>
      <c r="G611" s="53">
        <v>-1.5919764387484201E-4</v>
      </c>
      <c r="H611" s="87">
        <v>-1.97189245810056E-2</v>
      </c>
      <c r="I611" s="53">
        <v>-1.2040308860097E-2</v>
      </c>
      <c r="J611" s="53">
        <v>-1.69927055702918E-2</v>
      </c>
      <c r="K611" s="53">
        <v>-1.11428418917476E-2</v>
      </c>
      <c r="L611" s="95">
        <f>IFERROR(B611*'Stock Statistics'!$C$41+C611*'Stock Statistics'!$C$42+D611*'Stock Statistics'!$C$43+E611*'Stock Statistics'!$C$44+F611*'Stock Statistics'!$C$45+G611*'Stock Statistics'!$C$46+H611*'Stock Statistics'!$C$47+I611*'Stock Statistics'!$C$48+J611*'Stock Statistics'!$C$49+K611*'Stock Statistics'!$C$50,"")</f>
        <v>-5.2370967259486711E-3</v>
      </c>
      <c r="M611" s="97">
        <v>315.30889999999999</v>
      </c>
      <c r="N611" s="96">
        <v>383.4307</v>
      </c>
      <c r="O611" s="93">
        <f t="shared" si="27"/>
        <v>-1.0448655377175431E-3</v>
      </c>
      <c r="P611" s="93">
        <f t="shared" si="28"/>
        <v>6.8097321349562812E-3</v>
      </c>
      <c r="Q611" s="93">
        <f>B611*'Portfolio 2 &amp; 3'!$F$7+C611*'Portfolio 2 &amp; 3'!$F$8+D611*'Portfolio 2 &amp; 3'!$F$9+E611*'Portfolio 2 &amp; 3'!$F$10+F611*'Portfolio 2 &amp; 3'!$F$11+G611*'Portfolio 2 &amp; 3'!$F$12+H611*'Portfolio 2 &amp; 3'!$F$13+I611*'Portfolio 2 &amp; 3'!$F$14+J611*'Portfolio 2 &amp; 3'!$F$15+K611*'Portfolio 2 &amp; 3'!$F$16</f>
        <v>-7.8895550652056581E-3</v>
      </c>
      <c r="R611" s="93">
        <f>B611*'Portfolio 2 &amp; 3'!$B$23+C611*'Portfolio 2 &amp; 3'!$B$24+D611*'Portfolio 2 &amp; 3'!$B$25+E611*'Portfolio 2 &amp; 3'!$B$26+F611*'Portfolio 2 &amp; 3'!$B$27+G611*'Portfolio 2 &amp; 3'!$B$28+H611*'Portfolio 2 &amp; 3'!$B$29+I611*'Portfolio 2 &amp; 3'!$B$30+J611*'Portfolio 2 &amp; 3'!$B$31+K611*'Portfolio 2 &amp; 3'!$B$32</f>
        <v>-6.5849891698088713E-3</v>
      </c>
      <c r="S611" s="93">
        <f t="shared" si="29"/>
        <v>2.882433298619369E-3</v>
      </c>
    </row>
    <row r="612" spans="1:19" ht="12.75" customHeight="1">
      <c r="A612" s="81">
        <v>45183</v>
      </c>
      <c r="B612" s="53">
        <v>-4.1000000000000003E-3</v>
      </c>
      <c r="C612" s="53">
        <v>-9.0631571806526496E-3</v>
      </c>
      <c r="D612" s="53">
        <v>-4.7282638927518298E-3</v>
      </c>
      <c r="E612" s="53">
        <v>-5.1900000000000002E-3</v>
      </c>
      <c r="F612" s="53">
        <v>-5.2079284881462202E-3</v>
      </c>
      <c r="G612" s="53">
        <v>6.6506410256410601E-3</v>
      </c>
      <c r="H612" s="87">
        <v>-1.57230002577541E-2</v>
      </c>
      <c r="I612" s="53">
        <v>-6.0703290985560897E-3</v>
      </c>
      <c r="J612" s="53">
        <v>-2.6861337420343599E-2</v>
      </c>
      <c r="K612" s="53">
        <v>-8.6781670017990198E-3</v>
      </c>
      <c r="L612" s="95">
        <f>IFERROR(B612*'Stock Statistics'!$C$41+C612*'Stock Statistics'!$C$42+D612*'Stock Statistics'!$C$43+E612*'Stock Statistics'!$C$44+F612*'Stock Statistics'!$C$45+G612*'Stock Statistics'!$C$46+H612*'Stock Statistics'!$C$47+I612*'Stock Statistics'!$C$48+J612*'Stock Statistics'!$C$49+K612*'Stock Statistics'!$C$50,"")</f>
        <v>-7.8971542314362451E-3</v>
      </c>
      <c r="M612" s="96">
        <v>315.63869999999997</v>
      </c>
      <c r="N612" s="97">
        <v>380.83730000000003</v>
      </c>
      <c r="O612" s="93">
        <f t="shared" si="27"/>
        <v>3.2735892956585744E-3</v>
      </c>
      <c r="P612" s="93">
        <f t="shared" si="28"/>
        <v>8.9808516416192141E-3</v>
      </c>
      <c r="Q612" s="93">
        <f>B612*'Portfolio 2 &amp; 3'!$F$7+C612*'Portfolio 2 &amp; 3'!$F$8+D612*'Portfolio 2 &amp; 3'!$F$9+E612*'Portfolio 2 &amp; 3'!$F$10+F612*'Portfolio 2 &amp; 3'!$F$11+G612*'Portfolio 2 &amp; 3'!$F$12+H612*'Portfolio 2 &amp; 3'!$F$13+I612*'Portfolio 2 &amp; 3'!$F$14+J612*'Portfolio 2 &amp; 3'!$F$15+K612*'Portfolio 2 &amp; 3'!$F$16</f>
        <v>-1.0012637691208959E-2</v>
      </c>
      <c r="R612" s="93">
        <f>B612*'Portfolio 2 &amp; 3'!$B$23+C612*'Portfolio 2 &amp; 3'!$B$24+D612*'Portfolio 2 &amp; 3'!$B$25+E612*'Portfolio 2 &amp; 3'!$B$26+F612*'Portfolio 2 &amp; 3'!$B$27+G612*'Portfolio 2 &amp; 3'!$B$28+H612*'Portfolio 2 &amp; 3'!$B$29+I612*'Portfolio 2 &amp; 3'!$B$30+J612*'Portfolio 2 &amp; 3'!$B$31+K612*'Portfolio 2 &amp; 3'!$B$32</f>
        <v>-6.073543199823974E-3</v>
      </c>
      <c r="S612" s="93">
        <f t="shared" si="29"/>
        <v>6.1272204686388942E-3</v>
      </c>
    </row>
    <row r="613" spans="1:19" ht="12.75" customHeight="1">
      <c r="A613" s="82">
        <v>45182</v>
      </c>
      <c r="B613" s="53">
        <v>4.7000000000000002E-3</v>
      </c>
      <c r="C613" s="53">
        <v>6.9264187546107499E-3</v>
      </c>
      <c r="D613" s="53">
        <v>3.46078704995811E-3</v>
      </c>
      <c r="E613" s="53">
        <v>-9.9799999999999993E-3</v>
      </c>
      <c r="F613" s="53">
        <v>2.4691358024691499E-2</v>
      </c>
      <c r="G613" s="53">
        <v>1.7557210414741498E-2</v>
      </c>
      <c r="H613" s="87">
        <v>1.3029514417762801E-2</v>
      </c>
      <c r="I613" s="53">
        <v>4.7924018646801096E-3</v>
      </c>
      <c r="J613" s="53">
        <v>-6.8517996050132502E-4</v>
      </c>
      <c r="K613" s="53">
        <v>-1.5058251657729101E-3</v>
      </c>
      <c r="L613" s="95">
        <f>IFERROR(B613*'Stock Statistics'!$C$41+C613*'Stock Statistics'!$C$42+D613*'Stock Statistics'!$C$43+E613*'Stock Statistics'!$C$44+F613*'Stock Statistics'!$C$45+G613*'Stock Statistics'!$C$46+H613*'Stock Statistics'!$C$47+I613*'Stock Statistics'!$C$48+J613*'Stock Statistics'!$C$49+K613*'Stock Statistics'!$C$50,"")</f>
        <v>6.2986685400170522E-3</v>
      </c>
      <c r="M613" s="97">
        <v>314.60879999999997</v>
      </c>
      <c r="N613" s="96">
        <v>377.44749999999999</v>
      </c>
      <c r="O613" s="93">
        <f t="shared" si="27"/>
        <v>1.4008397399229988E-3</v>
      </c>
      <c r="P613" s="93">
        <f t="shared" si="28"/>
        <v>3.2624447292550762E-4</v>
      </c>
      <c r="Q613" s="93">
        <f>B613*'Portfolio 2 &amp; 3'!$F$7+C613*'Portfolio 2 &amp; 3'!$F$8+D613*'Portfolio 2 &amp; 3'!$F$9+E613*'Portfolio 2 &amp; 3'!$F$10+F613*'Portfolio 2 &amp; 3'!$F$11+G613*'Portfolio 2 &amp; 3'!$F$12+H613*'Portfolio 2 &amp; 3'!$F$13+I613*'Portfolio 2 &amp; 3'!$F$14+J613*'Portfolio 2 &amp; 3'!$F$15+K613*'Portfolio 2 &amp; 3'!$F$16</f>
        <v>6.5426573606261629E-3</v>
      </c>
      <c r="R613" s="93">
        <f>B613*'Portfolio 2 &amp; 3'!$B$23+C613*'Portfolio 2 &amp; 3'!$B$24+D613*'Portfolio 2 &amp; 3'!$B$25+E613*'Portfolio 2 &amp; 3'!$B$26+F613*'Portfolio 2 &amp; 3'!$B$27+G613*'Portfolio 2 &amp; 3'!$B$28+H613*'Portfolio 2 &amp; 3'!$B$29+I613*'Portfolio 2 &amp; 3'!$B$30+J613*'Portfolio 2 &amp; 3'!$B$31+K613*'Portfolio 2 &amp; 3'!$B$32</f>
        <v>9.1916010281029754E-3</v>
      </c>
      <c r="S613" s="93">
        <f t="shared" si="29"/>
        <v>8.6354210642425322E-4</v>
      </c>
    </row>
    <row r="614" spans="1:19" ht="12.75" customHeight="1">
      <c r="A614" s="81">
        <v>45181</v>
      </c>
      <c r="B614" s="53">
        <v>-3.8E-3</v>
      </c>
      <c r="C614" s="53">
        <v>-4.3662182565050696E-3</v>
      </c>
      <c r="D614" s="53">
        <v>-7.4792243767313202E-3</v>
      </c>
      <c r="E614" s="53">
        <v>1.107E-2</v>
      </c>
      <c r="F614" s="53">
        <v>-1.2727706626361999E-3</v>
      </c>
      <c r="G614" s="53">
        <v>-1.54397795081748E-2</v>
      </c>
      <c r="H614" s="87">
        <v>1.0019341685689701E-3</v>
      </c>
      <c r="I614" s="53">
        <v>-1.8698904157243899E-3</v>
      </c>
      <c r="J614" s="53">
        <v>4.08741400242807E-3</v>
      </c>
      <c r="K614" s="53">
        <v>-7.9150832132092192E-3</v>
      </c>
      <c r="L614" s="95">
        <f>IFERROR(B614*'Stock Statistics'!$C$41+C614*'Stock Statistics'!$C$42+D614*'Stock Statistics'!$C$43+E614*'Stock Statistics'!$C$44+F614*'Stock Statistics'!$C$45+G614*'Stock Statistics'!$C$46+H614*'Stock Statistics'!$C$47+I614*'Stock Statistics'!$C$48+J614*'Stock Statistics'!$C$49+K614*'Stock Statistics'!$C$50,"")</f>
        <v>-2.5983618261983961E-3</v>
      </c>
      <c r="M614" s="96">
        <v>314.1687</v>
      </c>
      <c r="N614" s="97">
        <v>377.32440000000003</v>
      </c>
      <c r="O614" s="93">
        <f t="shared" si="27"/>
        <v>-5.4651053466799882E-3</v>
      </c>
      <c r="P614" s="93">
        <f t="shared" si="28"/>
        <v>-5.0275425795885953E-3</v>
      </c>
      <c r="Q614" s="93">
        <f>B614*'Portfolio 2 &amp; 3'!$F$7+C614*'Portfolio 2 &amp; 3'!$F$8+D614*'Portfolio 2 &amp; 3'!$F$9+E614*'Portfolio 2 &amp; 3'!$F$10+F614*'Portfolio 2 &amp; 3'!$F$11+G614*'Portfolio 2 &amp; 3'!$F$12+H614*'Portfolio 2 &amp; 3'!$F$13+I614*'Portfolio 2 &amp; 3'!$F$14+J614*'Portfolio 2 &amp; 3'!$F$15+K614*'Portfolio 2 &amp; 3'!$F$16</f>
        <v>-1.8659511164411163E-3</v>
      </c>
      <c r="R614" s="93">
        <f>B614*'Portfolio 2 &amp; 3'!$B$23+C614*'Portfolio 2 &amp; 3'!$B$24+D614*'Portfolio 2 &amp; 3'!$B$25+E614*'Portfolio 2 &amp; 3'!$B$26+F614*'Portfolio 2 &amp; 3'!$B$27+G614*'Portfolio 2 &amp; 3'!$B$28+H614*'Portfolio 2 &amp; 3'!$B$29+I614*'Portfolio 2 &amp; 3'!$B$30+J614*'Portfolio 2 &amp; 3'!$B$31+K614*'Portfolio 2 &amp; 3'!$B$32</f>
        <v>-4.2592681363899463E-3</v>
      </c>
      <c r="S614" s="93">
        <f t="shared" si="29"/>
        <v>-5.2463239631342917E-3</v>
      </c>
    </row>
    <row r="615" spans="1:19" ht="12.75" customHeight="1">
      <c r="A615" s="82">
        <v>45180</v>
      </c>
      <c r="B615" s="53">
        <v>-6.9999999999999999E-4</v>
      </c>
      <c r="C615" s="53">
        <v>-9.0309884214640999E-3</v>
      </c>
      <c r="D615" s="53">
        <v>3.5927456382001802E-2</v>
      </c>
      <c r="E615" s="53">
        <v>2.7599999999999999E-3</v>
      </c>
      <c r="F615" s="53">
        <v>6.3679057549936901E-4</v>
      </c>
      <c r="G615" s="53">
        <v>5.9488559892328903E-3</v>
      </c>
      <c r="H615" s="87">
        <v>1.14737918150092E-2</v>
      </c>
      <c r="I615" s="53">
        <v>5.2456723203357898E-3</v>
      </c>
      <c r="J615" s="53">
        <v>1.4184397163119499E-3</v>
      </c>
      <c r="K615" s="53">
        <v>-6.2861782655387899E-4</v>
      </c>
      <c r="L615" s="95">
        <f>IFERROR(B615*'Stock Statistics'!$C$41+C615*'Stock Statistics'!$C$42+D615*'Stock Statistics'!$C$43+E615*'Stock Statistics'!$C$44+F615*'Stock Statistics'!$C$45+G615*'Stock Statistics'!$C$46+H615*'Stock Statistics'!$C$47+I615*'Stock Statistics'!$C$48+J615*'Stock Statistics'!$C$49+K615*'Stock Statistics'!$C$50,"")</f>
        <v>5.3051400550373027E-3</v>
      </c>
      <c r="M615" s="97">
        <v>315.89510000000001</v>
      </c>
      <c r="N615" s="96">
        <v>379.23099999999999</v>
      </c>
      <c r="O615" s="93">
        <f t="shared" si="27"/>
        <v>6.0677110951659063E-3</v>
      </c>
      <c r="P615" s="93">
        <f t="shared" si="28"/>
        <v>-1.2862129245964082E-3</v>
      </c>
      <c r="Q615" s="93">
        <f>B615*'Portfolio 2 &amp; 3'!$F$7+C615*'Portfolio 2 &amp; 3'!$F$8+D615*'Portfolio 2 &amp; 3'!$F$9+E615*'Portfolio 2 &amp; 3'!$F$10+F615*'Portfolio 2 &amp; 3'!$F$11+G615*'Portfolio 2 &amp; 3'!$F$12+H615*'Portfolio 2 &amp; 3'!$F$13+I615*'Portfolio 2 &amp; 3'!$F$14+J615*'Portfolio 2 &amp; 3'!$F$15+K615*'Portfolio 2 &amp; 3'!$F$16</f>
        <v>6.9381556502026379E-3</v>
      </c>
      <c r="R615" s="93">
        <f>B615*'Portfolio 2 &amp; 3'!$B$23+C615*'Portfolio 2 &amp; 3'!$B$24+D615*'Portfolio 2 &amp; 3'!$B$25+E615*'Portfolio 2 &amp; 3'!$B$26+F615*'Portfolio 2 &amp; 3'!$B$27+G615*'Portfolio 2 &amp; 3'!$B$28+H615*'Portfolio 2 &amp; 3'!$B$29+I615*'Portfolio 2 &amp; 3'!$B$30+J615*'Portfolio 2 &amp; 3'!$B$31+K615*'Portfolio 2 &amp; 3'!$B$32</f>
        <v>1.0056060826655782E-3</v>
      </c>
      <c r="S615" s="93">
        <f t="shared" si="29"/>
        <v>2.3907490852847491E-3</v>
      </c>
    </row>
    <row r="616" spans="1:19" ht="12.75" customHeight="1">
      <c r="A616" s="81">
        <v>45177</v>
      </c>
      <c r="B616" s="53">
        <v>-1.1999999999999999E-3</v>
      </c>
      <c r="C616" s="53">
        <v>-9.4265304759997299E-3</v>
      </c>
      <c r="D616" s="53">
        <v>3.9179534454944999E-3</v>
      </c>
      <c r="E616" s="53">
        <v>4.4000000000000002E-4</v>
      </c>
      <c r="F616" s="53">
        <v>-7.66192733017379E-3</v>
      </c>
      <c r="G616" s="53">
        <v>-5.2215825411702204E-3</v>
      </c>
      <c r="H616" s="87">
        <v>1.06879475578039E-2</v>
      </c>
      <c r="I616" s="53">
        <v>-4.3090315560392299E-3</v>
      </c>
      <c r="J616" s="53">
        <v>4.2735042735042601E-3</v>
      </c>
      <c r="K616" s="53">
        <v>1.78759481184265E-2</v>
      </c>
      <c r="L616" s="95">
        <f>IFERROR(B616*'Stock Statistics'!$C$41+C616*'Stock Statistics'!$C$42+D616*'Stock Statistics'!$C$43+E616*'Stock Statistics'!$C$44+F616*'Stock Statistics'!$C$45+G616*'Stock Statistics'!$C$46+H616*'Stock Statistics'!$C$47+I616*'Stock Statistics'!$C$48+J616*'Stock Statistics'!$C$49+K616*'Stock Statistics'!$C$50,"")</f>
        <v>9.376281491846189E-4</v>
      </c>
      <c r="M616" s="96">
        <v>313.98989999999998</v>
      </c>
      <c r="N616" s="97">
        <v>379.71940000000001</v>
      </c>
      <c r="O616" s="93">
        <f t="shared" si="27"/>
        <v>-1.1426786334048922E-3</v>
      </c>
      <c r="P616" s="93">
        <f t="shared" si="28"/>
        <v>-9.7398087187861027E-4</v>
      </c>
      <c r="Q616" s="93">
        <f>B616*'Portfolio 2 &amp; 3'!$F$7+C616*'Portfolio 2 &amp; 3'!$F$8+D616*'Portfolio 2 &amp; 3'!$F$9+E616*'Portfolio 2 &amp; 3'!$F$10+F616*'Portfolio 2 &amp; 3'!$F$11+G616*'Portfolio 2 &amp; 3'!$F$12+H616*'Portfolio 2 &amp; 3'!$F$13+I616*'Portfolio 2 &amp; 3'!$F$14+J616*'Portfolio 2 &amp; 3'!$F$15+K616*'Portfolio 2 &amp; 3'!$F$16</f>
        <v>1.8994124307951498E-3</v>
      </c>
      <c r="R616" s="93">
        <f>B616*'Portfolio 2 &amp; 3'!$B$23+C616*'Portfolio 2 &amp; 3'!$B$24+D616*'Portfolio 2 &amp; 3'!$B$25+E616*'Portfolio 2 &amp; 3'!$B$26+F616*'Portfolio 2 &amp; 3'!$B$27+G616*'Portfolio 2 &amp; 3'!$B$28+H616*'Portfolio 2 &amp; 3'!$B$29+I616*'Portfolio 2 &amp; 3'!$B$30+J616*'Portfolio 2 &amp; 3'!$B$31+K616*'Portfolio 2 &amp; 3'!$B$32</f>
        <v>-2.757625238432264E-3</v>
      </c>
      <c r="S616" s="93">
        <f t="shared" si="29"/>
        <v>-1.0583297526417512E-3</v>
      </c>
    </row>
    <row r="617" spans="1:19" ht="12.75" customHeight="1">
      <c r="A617" s="82">
        <v>45176</v>
      </c>
      <c r="B617" s="53">
        <v>-3.3999999999999998E-3</v>
      </c>
      <c r="C617" s="53">
        <v>3.0093388532053299E-2</v>
      </c>
      <c r="D617" s="53">
        <v>1.0832847990681399E-2</v>
      </c>
      <c r="E617" s="53">
        <v>-2.6099999999999999E-3</v>
      </c>
      <c r="F617" s="53">
        <v>-5.34255185417976E-3</v>
      </c>
      <c r="G617" s="53">
        <v>-2.9368575624082499E-3</v>
      </c>
      <c r="H617" s="87">
        <v>5.37268526809709E-3</v>
      </c>
      <c r="I617" s="53">
        <v>3.0561012879284401E-3</v>
      </c>
      <c r="J617" s="53">
        <v>-9.1143732860138292E-3</v>
      </c>
      <c r="K617" s="53">
        <v>-9.7550029040605092E-3</v>
      </c>
      <c r="L617" s="95">
        <f>IFERROR(B617*'Stock Statistics'!$C$41+C617*'Stock Statistics'!$C$42+D617*'Stock Statistics'!$C$43+E617*'Stock Statistics'!$C$44+F617*'Stock Statistics'!$C$45+G617*'Stock Statistics'!$C$46+H617*'Stock Statistics'!$C$47+I617*'Stock Statistics'!$C$48+J617*'Stock Statistics'!$C$49+K617*'Stock Statistics'!$C$50,"")</f>
        <v>1.6196237472097881E-3</v>
      </c>
      <c r="M617" s="97">
        <v>314.34910000000002</v>
      </c>
      <c r="N617" s="96">
        <v>380.08960000000002</v>
      </c>
      <c r="O617" s="93">
        <f t="shared" si="27"/>
        <v>-2.2069905067348961E-3</v>
      </c>
      <c r="P617" s="93">
        <f t="shared" si="28"/>
        <v>-2.2483495696634659E-3</v>
      </c>
      <c r="Q617" s="93">
        <f>B617*'Portfolio 2 &amp; 3'!$F$7+C617*'Portfolio 2 &amp; 3'!$F$8+D617*'Portfolio 2 &amp; 3'!$F$9+E617*'Portfolio 2 &amp; 3'!$F$10+F617*'Portfolio 2 &amp; 3'!$F$11+G617*'Portfolio 2 &amp; 3'!$F$12+H617*'Portfolio 2 &amp; 3'!$F$13+I617*'Portfolio 2 &amp; 3'!$F$14+J617*'Portfolio 2 &amp; 3'!$F$15+K617*'Portfolio 2 &amp; 3'!$F$16</f>
        <v>2.2795739174400892E-3</v>
      </c>
      <c r="R617" s="93">
        <f>B617*'Portfolio 2 &amp; 3'!$B$23+C617*'Portfolio 2 &amp; 3'!$B$24+D617*'Portfolio 2 &amp; 3'!$B$25+E617*'Portfolio 2 &amp; 3'!$B$26+F617*'Portfolio 2 &amp; 3'!$B$27+G617*'Portfolio 2 &amp; 3'!$B$28+H617*'Portfolio 2 &amp; 3'!$B$29+I617*'Portfolio 2 &amp; 3'!$B$30+J617*'Portfolio 2 &amp; 3'!$B$31+K617*'Portfolio 2 &amp; 3'!$B$32</f>
        <v>4.0662367513375052E-3</v>
      </c>
      <c r="S617" s="93">
        <f t="shared" si="29"/>
        <v>-2.227670038199181E-3</v>
      </c>
    </row>
    <row r="618" spans="1:19" ht="12.75" customHeight="1">
      <c r="A618" s="81">
        <v>45175</v>
      </c>
      <c r="B618" s="53">
        <v>1.37E-2</v>
      </c>
      <c r="C618" s="53">
        <v>1.4738292011018399E-3</v>
      </c>
      <c r="D618" s="53">
        <v>-3.7135894162701999E-3</v>
      </c>
      <c r="E618" s="53">
        <v>-1.26E-2</v>
      </c>
      <c r="F618" s="53">
        <v>3.7063323081776298E-3</v>
      </c>
      <c r="G618" s="53">
        <v>-9.9127676447263707E-3</v>
      </c>
      <c r="H618" s="87">
        <v>-5.58310997925249E-3</v>
      </c>
      <c r="I618" s="53">
        <v>7.34453338024443E-3</v>
      </c>
      <c r="J618" s="53">
        <v>-6.0528320038481E-3</v>
      </c>
      <c r="K618" s="53">
        <v>1.3797256607561001E-2</v>
      </c>
      <c r="L618" s="95">
        <f>IFERROR(B618*'Stock Statistics'!$C$41+C618*'Stock Statistics'!$C$42+D618*'Stock Statistics'!$C$43+E618*'Stock Statistics'!$C$44+F618*'Stock Statistics'!$C$45+G618*'Stock Statistics'!$C$46+H618*'Stock Statistics'!$C$47+I618*'Stock Statistics'!$C$48+J618*'Stock Statistics'!$C$49+K618*'Stock Statistics'!$C$50,"")</f>
        <v>2.1596524529877374E-4</v>
      </c>
      <c r="M618" s="96">
        <v>315.0444</v>
      </c>
      <c r="N618" s="97">
        <v>380.9461</v>
      </c>
      <c r="O618" s="93">
        <f t="shared" si="27"/>
        <v>5.6567401586415933E-3</v>
      </c>
      <c r="P618" s="93">
        <f t="shared" si="28"/>
        <v>7.8757719211588473E-3</v>
      </c>
      <c r="Q618" s="93">
        <f>B618*'Portfolio 2 &amp; 3'!$F$7+C618*'Portfolio 2 &amp; 3'!$F$8+D618*'Portfolio 2 &amp; 3'!$F$9+E618*'Portfolio 2 &amp; 3'!$F$10+F618*'Portfolio 2 &amp; 3'!$F$11+G618*'Portfolio 2 &amp; 3'!$F$12+H618*'Portfolio 2 &amp; 3'!$F$13+I618*'Portfolio 2 &amp; 3'!$F$14+J618*'Portfolio 2 &amp; 3'!$F$15+K618*'Portfolio 2 &amp; 3'!$F$16</f>
        <v>-5.9787329584417691E-4</v>
      </c>
      <c r="R618" s="93">
        <f>B618*'Portfolio 2 &amp; 3'!$B$23+C618*'Portfolio 2 &amp; 3'!$B$24+D618*'Portfolio 2 &amp; 3'!$B$25+E618*'Portfolio 2 &amp; 3'!$B$26+F618*'Portfolio 2 &amp; 3'!$B$27+G618*'Portfolio 2 &amp; 3'!$B$28+H618*'Portfolio 2 &amp; 3'!$B$29+I618*'Portfolio 2 &amp; 3'!$B$30+J618*'Portfolio 2 &amp; 3'!$B$31+K618*'Portfolio 2 &amp; 3'!$B$32</f>
        <v>4.2552465309650131E-3</v>
      </c>
      <c r="S618" s="93">
        <f t="shared" si="29"/>
        <v>6.7662560399002203E-3</v>
      </c>
    </row>
    <row r="619" spans="1:19" ht="12.75" customHeight="1">
      <c r="A619" s="82">
        <v>45174</v>
      </c>
      <c r="B619" s="53">
        <v>0.02</v>
      </c>
      <c r="C619" s="53">
        <v>2.41629271660337E-3</v>
      </c>
      <c r="D619" s="53">
        <v>-1.7955401100492299E-3</v>
      </c>
      <c r="E619" s="53">
        <v>-7.6E-3</v>
      </c>
      <c r="F619" s="53">
        <v>2.1837228041901701E-2</v>
      </c>
      <c r="G619" s="53">
        <v>-1.58944876564086E-2</v>
      </c>
      <c r="H619" s="87">
        <v>5.7045116687262096E-3</v>
      </c>
      <c r="I619" s="53">
        <v>5.7056924233711602E-3</v>
      </c>
      <c r="J619" s="53">
        <v>2.2095452354169401E-3</v>
      </c>
      <c r="K619" s="53">
        <v>1.01249053747161E-2</v>
      </c>
      <c r="L619" s="95">
        <f>IFERROR(B619*'Stock Statistics'!$C$41+C619*'Stock Statistics'!$C$42+D619*'Stock Statistics'!$C$43+E619*'Stock Statistics'!$C$44+F619*'Stock Statistics'!$C$45+G619*'Stock Statistics'!$C$46+H619*'Stock Statistics'!$C$47+I619*'Stock Statistics'!$C$48+J619*'Stock Statistics'!$C$49+K619*'Stock Statistics'!$C$50,"")</f>
        <v>4.2708147694277658E-3</v>
      </c>
      <c r="M619" s="97">
        <v>313.27229999999997</v>
      </c>
      <c r="N619" s="96">
        <v>377.96929999999998</v>
      </c>
      <c r="O619" s="93">
        <f t="shared" si="27"/>
        <v>1.0653611639835914E-2</v>
      </c>
      <c r="P619" s="93">
        <f t="shared" si="28"/>
        <v>-7.2534170460029079E-3</v>
      </c>
      <c r="Q619" s="93">
        <f>B619*'Portfolio 2 &amp; 3'!$F$7+C619*'Portfolio 2 &amp; 3'!$F$8+D619*'Portfolio 2 &amp; 3'!$F$9+E619*'Portfolio 2 &amp; 3'!$F$10+F619*'Portfolio 2 &amp; 3'!$F$11+G619*'Portfolio 2 &amp; 3'!$F$12+H619*'Portfolio 2 &amp; 3'!$F$13+I619*'Portfolio 2 &amp; 3'!$F$14+J619*'Portfolio 2 &amp; 3'!$F$15+K619*'Portfolio 2 &amp; 3'!$F$16</f>
        <v>4.6951251718384372E-3</v>
      </c>
      <c r="R619" s="93">
        <f>B619*'Portfolio 2 &amp; 3'!$B$23+C619*'Portfolio 2 &amp; 3'!$B$24+D619*'Portfolio 2 &amp; 3'!$B$25+E619*'Portfolio 2 &amp; 3'!$B$26+F619*'Portfolio 2 &amp; 3'!$B$27+G619*'Portfolio 2 &amp; 3'!$B$28+H619*'Portfolio 2 &amp; 3'!$B$29+I619*'Portfolio 2 &amp; 3'!$B$30+J619*'Portfolio 2 &amp; 3'!$B$31+K619*'Portfolio 2 &amp; 3'!$B$32</f>
        <v>7.4114486089851654E-3</v>
      </c>
      <c r="S619" s="93">
        <f t="shared" si="29"/>
        <v>1.7000972969165029E-3</v>
      </c>
    </row>
    <row r="620" spans="1:19" ht="12.75" customHeight="1">
      <c r="A620" s="81">
        <v>45173</v>
      </c>
      <c r="B620" s="53">
        <v>-1.5800000000000002E-2</v>
      </c>
      <c r="C620" s="53">
        <v>-4.3578675318247696E-3</v>
      </c>
      <c r="D620" s="53">
        <v>1.3680131517144201E-2</v>
      </c>
      <c r="E620" s="53">
        <v>1.2489999999999999E-2</v>
      </c>
      <c r="F620" s="53">
        <v>1.0668621223226499E-2</v>
      </c>
      <c r="G620" s="53">
        <v>2.5914064585001301E-2</v>
      </c>
      <c r="H620" s="87">
        <v>7.88685941673251E-4</v>
      </c>
      <c r="I620" s="53">
        <v>-2.2946913198886899E-3</v>
      </c>
      <c r="J620" s="53">
        <v>-3.7621067797967101E-3</v>
      </c>
      <c r="K620" s="53">
        <v>1.2994044396319501E-3</v>
      </c>
      <c r="L620" s="95">
        <f>IFERROR(B620*'Stock Statistics'!$C$41+C620*'Stock Statistics'!$C$42+D620*'Stock Statistics'!$C$43+E620*'Stock Statistics'!$C$44+F620*'Stock Statistics'!$C$45+G620*'Stock Statistics'!$C$46+H620*'Stock Statistics'!$C$47+I620*'Stock Statistics'!$C$48+J620*'Stock Statistics'!$C$49+K620*'Stock Statistics'!$C$50,"")</f>
        <v>3.8626242075167029E-3</v>
      </c>
      <c r="M620" s="96">
        <v>309.97000000000003</v>
      </c>
      <c r="N620" s="97">
        <v>380.73090000000002</v>
      </c>
      <c r="O620" s="93">
        <f t="shared" si="27"/>
        <v>2.3142766325319197E-3</v>
      </c>
      <c r="P620" s="93">
        <f t="shared" si="28"/>
        <v>-4.918289434720835E-3</v>
      </c>
      <c r="Q620" s="93">
        <f>B620*'Portfolio 2 &amp; 3'!$F$7+C620*'Portfolio 2 &amp; 3'!$F$8+D620*'Portfolio 2 &amp; 3'!$F$9+E620*'Portfolio 2 &amp; 3'!$F$10+F620*'Portfolio 2 &amp; 3'!$F$11+G620*'Portfolio 2 &amp; 3'!$F$12+H620*'Portfolio 2 &amp; 3'!$F$13+I620*'Portfolio 2 &amp; 3'!$F$14+J620*'Portfolio 2 &amp; 3'!$F$15+K620*'Portfolio 2 &amp; 3'!$F$16</f>
        <v>3.258670859846477E-3</v>
      </c>
      <c r="R620" s="93">
        <f>B620*'Portfolio 2 &amp; 3'!$B$23+C620*'Portfolio 2 &amp; 3'!$B$24+D620*'Portfolio 2 &amp; 3'!$B$25+E620*'Portfolio 2 &amp; 3'!$B$26+F620*'Portfolio 2 &amp; 3'!$B$27+G620*'Portfolio 2 &amp; 3'!$B$28+H620*'Portfolio 2 &amp; 3'!$B$29+I620*'Portfolio 2 &amp; 3'!$B$30+J620*'Portfolio 2 &amp; 3'!$B$31+K620*'Portfolio 2 &amp; 3'!$B$32</f>
        <v>1.0947178611447473E-3</v>
      </c>
      <c r="S620" s="93">
        <f t="shared" si="29"/>
        <v>-1.3020064010944576E-3</v>
      </c>
    </row>
    <row r="621" spans="1:19" ht="12.75" customHeight="1">
      <c r="A621" s="82">
        <v>45170</v>
      </c>
      <c r="B621" s="53">
        <v>-1.7500000000000002E-2</v>
      </c>
      <c r="C621" s="53">
        <v>-4.9246258652294603E-3</v>
      </c>
      <c r="D621" s="53">
        <v>3.9043435822352403E-2</v>
      </c>
      <c r="E621" s="53">
        <v>1.9349999999999999E-2</v>
      </c>
      <c r="F621" s="53">
        <v>-1.9014140768554701E-2</v>
      </c>
      <c r="G621" s="53">
        <v>2.54515599343186E-2</v>
      </c>
      <c r="H621" s="87">
        <v>-1.42328318122786E-2</v>
      </c>
      <c r="I621" s="53">
        <v>-8.1411126187245202E-3</v>
      </c>
      <c r="J621" s="53">
        <v>-5.92798886015522E-3</v>
      </c>
      <c r="K621" s="53">
        <v>-3.76218665300232E-3</v>
      </c>
      <c r="L621" s="95">
        <f>IFERROR(B621*'Stock Statistics'!$C$41+C621*'Stock Statistics'!$C$42+D621*'Stock Statistics'!$C$43+E621*'Stock Statistics'!$C$44+F621*'Stock Statistics'!$C$45+G621*'Stock Statistics'!$C$46+H621*'Stock Statistics'!$C$47+I621*'Stock Statistics'!$C$48+J621*'Stock Statistics'!$C$49+K621*'Stock Statistics'!$C$50,"")</f>
        <v>1.0342109178726182E-3</v>
      </c>
      <c r="M621" s="97">
        <v>309.2543</v>
      </c>
      <c r="N621" s="96">
        <v>382.61270000000002</v>
      </c>
      <c r="O621" s="93">
        <f t="shared" si="27"/>
        <v>-1.0550251190362681E-2</v>
      </c>
      <c r="P621" s="93">
        <f t="shared" si="28"/>
        <v>4.6020687868097987E-4</v>
      </c>
      <c r="Q621" s="93">
        <f>B621*'Portfolio 2 &amp; 3'!$F$7+C621*'Portfolio 2 &amp; 3'!$F$8+D621*'Portfolio 2 &amp; 3'!$F$9+E621*'Portfolio 2 &amp; 3'!$F$10+F621*'Portfolio 2 &amp; 3'!$F$11+G621*'Portfolio 2 &amp; 3'!$F$12+H621*'Portfolio 2 &amp; 3'!$F$13+I621*'Portfolio 2 &amp; 3'!$F$14+J621*'Portfolio 2 &amp; 3'!$F$15+K621*'Portfolio 2 &amp; 3'!$F$16</f>
        <v>2.1965470221271496E-4</v>
      </c>
      <c r="R621" s="93">
        <f>B621*'Portfolio 2 &amp; 3'!$B$23+C621*'Portfolio 2 &amp; 3'!$B$24+D621*'Portfolio 2 &amp; 3'!$B$25+E621*'Portfolio 2 &amp; 3'!$B$26+F621*'Portfolio 2 &amp; 3'!$B$27+G621*'Portfolio 2 &amp; 3'!$B$28+H621*'Portfolio 2 &amp; 3'!$B$29+I621*'Portfolio 2 &amp; 3'!$B$30+J621*'Portfolio 2 &amp; 3'!$B$31+K621*'Portfolio 2 &amp; 3'!$B$32</f>
        <v>-6.0749899714526391E-3</v>
      </c>
      <c r="S621" s="93">
        <f t="shared" si="29"/>
        <v>-5.0450221558408503E-3</v>
      </c>
    </row>
    <row r="622" spans="1:19" ht="12.75" customHeight="1">
      <c r="A622" s="81">
        <v>45169</v>
      </c>
      <c r="B622" s="53">
        <v>-1.09E-2</v>
      </c>
      <c r="C622" s="53">
        <v>2.4683908834097798E-3</v>
      </c>
      <c r="D622" s="53">
        <v>-7.2073163345647302E-3</v>
      </c>
      <c r="E622" s="53">
        <v>2.1900000000000001E-3</v>
      </c>
      <c r="F622" s="53">
        <v>-3.5822321286419498E-3</v>
      </c>
      <c r="G622" s="53">
        <v>2.3070892597155501E-2</v>
      </c>
      <c r="H622" s="87">
        <v>1.4501976320011401E-2</v>
      </c>
      <c r="I622" s="53">
        <v>9.2322643343050199E-3</v>
      </c>
      <c r="J622" s="53">
        <v>1.43670043181725E-2</v>
      </c>
      <c r="K622" s="53">
        <v>1.8024325288965599E-2</v>
      </c>
      <c r="L622" s="95">
        <f>IFERROR(B622*'Stock Statistics'!$C$41+C622*'Stock Statistics'!$C$42+D622*'Stock Statistics'!$C$43+E622*'Stock Statistics'!$C$44+F622*'Stock Statistics'!$C$45+G622*'Stock Statistics'!$C$46+H622*'Stock Statistics'!$C$47+I622*'Stock Statistics'!$C$48+J622*'Stock Statistics'!$C$49+K622*'Stock Statistics'!$C$50,"")</f>
        <v>6.2165305278813121E-3</v>
      </c>
      <c r="M622" s="96">
        <v>312.55180000000001</v>
      </c>
      <c r="N622" s="97">
        <v>382.43669999999997</v>
      </c>
      <c r="O622" s="93">
        <f t="shared" si="27"/>
        <v>5.3048785390918951E-3</v>
      </c>
      <c r="P622" s="93">
        <f t="shared" si="28"/>
        <v>7.0806908305054428E-4</v>
      </c>
      <c r="Q622" s="93">
        <f>B622*'Portfolio 2 &amp; 3'!$F$7+C622*'Portfolio 2 &amp; 3'!$F$8+D622*'Portfolio 2 &amp; 3'!$F$9+E622*'Portfolio 2 &amp; 3'!$F$10+F622*'Portfolio 2 &amp; 3'!$F$11+G622*'Portfolio 2 &amp; 3'!$F$12+H622*'Portfolio 2 &amp; 3'!$F$13+I622*'Portfolio 2 &amp; 3'!$F$14+J622*'Portfolio 2 &amp; 3'!$F$15+K622*'Portfolio 2 &amp; 3'!$F$16</f>
        <v>6.2665622768175132E-3</v>
      </c>
      <c r="R622" s="93">
        <f>B622*'Portfolio 2 &amp; 3'!$B$23+C622*'Portfolio 2 &amp; 3'!$B$24+D622*'Portfolio 2 &amp; 3'!$B$25+E622*'Portfolio 2 &amp; 3'!$B$26+F622*'Portfolio 2 &amp; 3'!$B$27+G622*'Portfolio 2 &amp; 3'!$B$28+H622*'Portfolio 2 &amp; 3'!$B$29+I622*'Portfolio 2 &amp; 3'!$B$30+J622*'Portfolio 2 &amp; 3'!$B$31+K622*'Portfolio 2 &amp; 3'!$B$32</f>
        <v>5.5734657590570435E-3</v>
      </c>
      <c r="S622" s="93">
        <f t="shared" si="29"/>
        <v>3.0064738110712197E-3</v>
      </c>
    </row>
    <row r="623" spans="1:19" ht="12.75" customHeight="1">
      <c r="A623" s="82">
        <v>45168</v>
      </c>
      <c r="B623" s="53">
        <v>-2.2000000000000001E-3</v>
      </c>
      <c r="C623" s="53">
        <v>-1.24635338912249E-3</v>
      </c>
      <c r="D623" s="53">
        <v>-5.3614457831325799E-3</v>
      </c>
      <c r="E623" s="53">
        <v>-1.92E-3</v>
      </c>
      <c r="F623" s="53">
        <v>-6.09225413402958E-3</v>
      </c>
      <c r="G623" s="53">
        <v>-3.0773405698778799E-2</v>
      </c>
      <c r="H623" s="87">
        <v>-5.2248187808161496E-3</v>
      </c>
      <c r="I623" s="53">
        <v>2.0741275137523801E-2</v>
      </c>
      <c r="J623" s="53">
        <v>8.0720022601621393E-5</v>
      </c>
      <c r="K623" s="53">
        <v>3.56813203466189E-3</v>
      </c>
      <c r="L623" s="95">
        <f>IFERROR(B623*'Stock Statistics'!$C$41+C623*'Stock Statistics'!$C$42+D623*'Stock Statistics'!$C$43+E623*'Stock Statistics'!$C$44+F623*'Stock Statistics'!$C$45+G623*'Stock Statistics'!$C$46+H623*'Stock Statistics'!$C$47+I623*'Stock Statistics'!$C$48+J623*'Stock Statistics'!$C$49+K623*'Stock Statistics'!$C$50,"")</f>
        <v>-2.8428150591092295E-3</v>
      </c>
      <c r="M623" s="97">
        <v>310.90249999999997</v>
      </c>
      <c r="N623" s="96">
        <v>382.16609999999997</v>
      </c>
      <c r="O623" s="93">
        <f t="shared" si="27"/>
        <v>7.3839672633391196E-4</v>
      </c>
      <c r="P623" s="93">
        <f t="shared" si="28"/>
        <v>5.4594820713986802E-3</v>
      </c>
      <c r="Q623" s="93">
        <f>B623*'Portfolio 2 &amp; 3'!$F$7+C623*'Portfolio 2 &amp; 3'!$F$8+D623*'Portfolio 2 &amp; 3'!$F$9+E623*'Portfolio 2 &amp; 3'!$F$10+F623*'Portfolio 2 &amp; 3'!$F$11+G623*'Portfolio 2 &amp; 3'!$F$12+H623*'Portfolio 2 &amp; 3'!$F$13+I623*'Portfolio 2 &amp; 3'!$F$14+J623*'Portfolio 2 &amp; 3'!$F$15+K623*'Portfolio 2 &amp; 3'!$F$16</f>
        <v>-2.2304950980972598E-3</v>
      </c>
      <c r="R623" s="93">
        <f>B623*'Portfolio 2 &amp; 3'!$B$23+C623*'Portfolio 2 &amp; 3'!$B$24+D623*'Portfolio 2 &amp; 3'!$B$25+E623*'Portfolio 2 &amp; 3'!$B$26+F623*'Portfolio 2 &amp; 3'!$B$27+G623*'Portfolio 2 &amp; 3'!$B$28+H623*'Portfolio 2 &amp; 3'!$B$29+I623*'Portfolio 2 &amp; 3'!$B$30+J623*'Portfolio 2 &amp; 3'!$B$31+K623*'Portfolio 2 &amp; 3'!$B$32</f>
        <v>5.0970359361967883E-4</v>
      </c>
      <c r="S623" s="93">
        <f t="shared" si="29"/>
        <v>3.0989393988662961E-3</v>
      </c>
    </row>
    <row r="624" spans="1:19" ht="12.75" customHeight="1">
      <c r="A624" s="81">
        <v>45167</v>
      </c>
      <c r="B624" s="53">
        <v>1.1000000000000001E-3</v>
      </c>
      <c r="C624" s="53">
        <v>9.9315305346150407E-3</v>
      </c>
      <c r="D624" s="53">
        <v>-5.9284987124977899E-3</v>
      </c>
      <c r="E624" s="53">
        <v>-5.5300000000000002E-3</v>
      </c>
      <c r="F624" s="53">
        <v>-3.7048715119027999E-3</v>
      </c>
      <c r="G624" s="53">
        <v>-5.7400112549240302E-2</v>
      </c>
      <c r="H624" s="87">
        <v>-7.4162573565201796E-3</v>
      </c>
      <c r="I624" s="53">
        <v>-9.0171325518362293E-5</v>
      </c>
      <c r="J624" s="53">
        <v>-5.2593544242814901E-3</v>
      </c>
      <c r="K624" s="53">
        <v>1.11581645446186E-2</v>
      </c>
      <c r="L624" s="95">
        <f>IFERROR(B624*'Stock Statistics'!$C$41+C624*'Stock Statistics'!$C$42+D624*'Stock Statistics'!$C$43+E624*'Stock Statistics'!$C$44+F624*'Stock Statistics'!$C$45+G624*'Stock Statistics'!$C$46+H624*'Stock Statistics'!$C$47+I624*'Stock Statistics'!$C$48+J624*'Stock Statistics'!$C$49+K624*'Stock Statistics'!$C$50,"")</f>
        <v>-6.3139570800727273E-3</v>
      </c>
      <c r="M624" s="96">
        <v>310.67309999999998</v>
      </c>
      <c r="N624" s="97">
        <v>380.09100000000001</v>
      </c>
      <c r="O624" s="93">
        <f t="shared" si="27"/>
        <v>-1.0051909139231485E-3</v>
      </c>
      <c r="P624" s="93">
        <f t="shared" si="28"/>
        <v>-4.5653322829647403E-3</v>
      </c>
      <c r="Q624" s="93">
        <f>B624*'Portfolio 2 &amp; 3'!$F$7+C624*'Portfolio 2 &amp; 3'!$F$8+D624*'Portfolio 2 &amp; 3'!$F$9+E624*'Portfolio 2 &amp; 3'!$F$10+F624*'Portfolio 2 &amp; 3'!$F$11+G624*'Portfolio 2 &amp; 3'!$F$12+H624*'Portfolio 2 &amp; 3'!$F$13+I624*'Portfolio 2 &amp; 3'!$F$14+J624*'Portfolio 2 &amp; 3'!$F$15+K624*'Portfolio 2 &amp; 3'!$F$16</f>
        <v>-4.7759759154705275E-3</v>
      </c>
      <c r="R624" s="93">
        <f>B624*'Portfolio 2 &amp; 3'!$B$23+C624*'Portfolio 2 &amp; 3'!$B$24+D624*'Portfolio 2 &amp; 3'!$B$25+E624*'Portfolio 2 &amp; 3'!$B$26+F624*'Portfolio 2 &amp; 3'!$B$27+G624*'Portfolio 2 &amp; 3'!$B$28+H624*'Portfolio 2 &amp; 3'!$B$29+I624*'Portfolio 2 &amp; 3'!$B$30+J624*'Portfolio 2 &amp; 3'!$B$31+K624*'Portfolio 2 &amp; 3'!$B$32</f>
        <v>-4.1671519142242874E-3</v>
      </c>
      <c r="S624" s="93">
        <f t="shared" si="29"/>
        <v>-2.7852615984439444E-3</v>
      </c>
    </row>
    <row r="625" spans="1:19" ht="12.75" customHeight="1">
      <c r="A625" s="82">
        <v>45166</v>
      </c>
      <c r="B625" s="53">
        <v>7.1999999999999998E-3</v>
      </c>
      <c r="C625" s="53">
        <v>-7.7137406151776E-3</v>
      </c>
      <c r="D625" s="53">
        <v>7.4203667953669497E-3</v>
      </c>
      <c r="E625" s="53">
        <v>-1.274E-2</v>
      </c>
      <c r="F625" s="53">
        <v>7.94533608771642E-3</v>
      </c>
      <c r="G625" s="53">
        <v>-2.0931182356543898E-3</v>
      </c>
      <c r="H625" s="87">
        <v>-1.2937209546105799E-2</v>
      </c>
      <c r="I625" s="53">
        <v>-2.33897085282464E-3</v>
      </c>
      <c r="J625" s="53">
        <v>-9.7010178117047392E-3</v>
      </c>
      <c r="K625" s="53">
        <v>-7.7948832159457904E-4</v>
      </c>
      <c r="L625" s="95">
        <f>IFERROR(B625*'Stock Statistics'!$C$41+C625*'Stock Statistics'!$C$42+D625*'Stock Statistics'!$C$43+E625*'Stock Statistics'!$C$44+F625*'Stock Statistics'!$C$45+G625*'Stock Statistics'!$C$46+H625*'Stock Statistics'!$C$47+I625*'Stock Statistics'!$C$48+J625*'Stock Statistics'!$C$49+K625*'Stock Statistics'!$C$50,"")</f>
        <v>-2.5737842499978379E-3</v>
      </c>
      <c r="M625" s="97">
        <v>310.98570000000001</v>
      </c>
      <c r="N625" s="96">
        <v>381.83420000000001</v>
      </c>
      <c r="O625" s="93">
        <f t="shared" si="27"/>
        <v>5.994189550312834E-3</v>
      </c>
      <c r="P625" s="93">
        <f t="shared" si="28"/>
        <v>-1.5897827174929935E-3</v>
      </c>
      <c r="Q625" s="93">
        <f>B625*'Portfolio 2 &amp; 3'!$F$7+C625*'Portfolio 2 &amp; 3'!$F$8+D625*'Portfolio 2 &amp; 3'!$F$9+E625*'Portfolio 2 &amp; 3'!$F$10+F625*'Portfolio 2 &amp; 3'!$F$11+G625*'Portfolio 2 &amp; 3'!$F$12+H625*'Portfolio 2 &amp; 3'!$F$13+I625*'Portfolio 2 &amp; 3'!$F$14+J625*'Portfolio 2 &amp; 3'!$F$15+K625*'Portfolio 2 &amp; 3'!$F$16</f>
        <v>-3.2886494322455989E-3</v>
      </c>
      <c r="R625" s="93">
        <f>B625*'Portfolio 2 &amp; 3'!$B$23+C625*'Portfolio 2 &amp; 3'!$B$24+D625*'Portfolio 2 &amp; 3'!$B$25+E625*'Portfolio 2 &amp; 3'!$B$26+F625*'Portfolio 2 &amp; 3'!$B$27+G625*'Portfolio 2 &amp; 3'!$B$28+H625*'Portfolio 2 &amp; 3'!$B$29+I625*'Portfolio 2 &amp; 3'!$B$30+J625*'Portfolio 2 &amp; 3'!$B$31+K625*'Portfolio 2 &amp; 3'!$B$32</f>
        <v>-7.4778484537241783E-4</v>
      </c>
      <c r="S625" s="93">
        <f t="shared" si="29"/>
        <v>2.2022034164099202E-3</v>
      </c>
    </row>
    <row r="626" spans="1:19" ht="12.75" customHeight="1">
      <c r="A626" s="81">
        <v>45163</v>
      </c>
      <c r="B626" s="53">
        <v>2.3999999999999998E-3</v>
      </c>
      <c r="C626" s="53">
        <v>-1.38067328126481E-2</v>
      </c>
      <c r="D626" s="53">
        <v>-1.8095180650235001E-4</v>
      </c>
      <c r="E626" s="53">
        <v>-1.282E-2</v>
      </c>
      <c r="F626" s="53">
        <v>-1.8022938285090301E-2</v>
      </c>
      <c r="G626" s="53">
        <v>3.31945969409775E-4</v>
      </c>
      <c r="H626" s="87">
        <v>-9.0202392700703404E-3</v>
      </c>
      <c r="I626" s="53">
        <v>-2.9599067180914301E-3</v>
      </c>
      <c r="J626" s="53">
        <v>1.7352263074869499E-2</v>
      </c>
      <c r="K626" s="53">
        <v>-1.0658807976203701E-2</v>
      </c>
      <c r="L626" s="95">
        <f>IFERROR(B626*'Stock Statistics'!$C$41+C626*'Stock Statistics'!$C$42+D626*'Stock Statistics'!$C$43+E626*'Stock Statistics'!$C$44+F626*'Stock Statistics'!$C$45+G626*'Stock Statistics'!$C$46+H626*'Stock Statistics'!$C$47+I626*'Stock Statistics'!$C$48+J626*'Stock Statistics'!$C$49+K626*'Stock Statistics'!$C$50,"")</f>
        <v>-4.7385367824326948E-3</v>
      </c>
      <c r="M626" s="96">
        <v>309.1327</v>
      </c>
      <c r="N626" s="97">
        <v>382.44220000000001</v>
      </c>
      <c r="O626" s="93">
        <f t="shared" si="27"/>
        <v>-7.5557119384421778E-3</v>
      </c>
      <c r="P626" s="93">
        <f t="shared" si="28"/>
        <v>4.4517727247894712E-3</v>
      </c>
      <c r="Q626" s="93">
        <f>B626*'Portfolio 2 &amp; 3'!$F$7+C626*'Portfolio 2 &amp; 3'!$F$8+D626*'Portfolio 2 &amp; 3'!$F$9+E626*'Portfolio 2 &amp; 3'!$F$10+F626*'Portfolio 2 &amp; 3'!$F$11+G626*'Portfolio 2 &amp; 3'!$F$12+H626*'Portfolio 2 &amp; 3'!$F$13+I626*'Portfolio 2 &amp; 3'!$F$14+J626*'Portfolio 2 &amp; 3'!$F$15+K626*'Portfolio 2 &amp; 3'!$F$16</f>
        <v>-4.0171299764013794E-3</v>
      </c>
      <c r="R626" s="93">
        <f>B626*'Portfolio 2 &amp; 3'!$B$23+C626*'Portfolio 2 &amp; 3'!$B$24+D626*'Portfolio 2 &amp; 3'!$B$25+E626*'Portfolio 2 &amp; 3'!$B$26+F626*'Portfolio 2 &amp; 3'!$B$27+G626*'Portfolio 2 &amp; 3'!$B$28+H626*'Portfolio 2 &amp; 3'!$B$29+I626*'Portfolio 2 &amp; 3'!$B$30+J626*'Portfolio 2 &amp; 3'!$B$31+K626*'Portfolio 2 &amp; 3'!$B$32</f>
        <v>-6.483221829404028E-3</v>
      </c>
      <c r="S626" s="93">
        <f t="shared" si="29"/>
        <v>-1.5519696068263533E-3</v>
      </c>
    </row>
    <row r="627" spans="1:19" ht="12.75" customHeight="1">
      <c r="A627" s="82">
        <v>45162</v>
      </c>
      <c r="B627" s="53">
        <v>-2.8999999999999998E-3</v>
      </c>
      <c r="C627" s="53">
        <v>-2.2554156987736299E-3</v>
      </c>
      <c r="D627" s="53">
        <v>5.4315027157514405E-4</v>
      </c>
      <c r="E627" s="53">
        <v>2.7779999999999999E-2</v>
      </c>
      <c r="F627" s="53">
        <v>-6.9729604090803497E-3</v>
      </c>
      <c r="G627" s="53">
        <v>1.05015997522966E-2</v>
      </c>
      <c r="H627" s="87">
        <v>-5.79659990483261E-4</v>
      </c>
      <c r="I627" s="53">
        <v>2.9686937747393002E-3</v>
      </c>
      <c r="J627" s="53">
        <v>5.2043098190690503E-3</v>
      </c>
      <c r="K627" s="53">
        <v>-7.1914905252795699E-3</v>
      </c>
      <c r="L627" s="95">
        <f>IFERROR(B627*'Stock Statistics'!$C$41+C627*'Stock Statistics'!$C$42+D627*'Stock Statistics'!$C$43+E627*'Stock Statistics'!$C$44+F627*'Stock Statistics'!$C$45+G627*'Stock Statistics'!$C$46+H627*'Stock Statistics'!$C$47+I627*'Stock Statistics'!$C$48+J627*'Stock Statistics'!$C$49+K627*'Stock Statistics'!$C$50,"")</f>
        <v>2.709822699406329E-3</v>
      </c>
      <c r="M627" s="97">
        <v>311.4862</v>
      </c>
      <c r="N627" s="96">
        <v>380.74720000000002</v>
      </c>
      <c r="O627" s="93">
        <f t="shared" si="27"/>
        <v>-7.5996068454766696E-3</v>
      </c>
      <c r="P627" s="93">
        <f t="shared" si="28"/>
        <v>-4.0062394268892687E-3</v>
      </c>
      <c r="Q627" s="93">
        <f>B627*'Portfolio 2 &amp; 3'!$F$7+C627*'Portfolio 2 &amp; 3'!$F$8+D627*'Portfolio 2 &amp; 3'!$F$9+E627*'Portfolio 2 &amp; 3'!$F$10+F627*'Portfolio 2 &amp; 3'!$F$11+G627*'Portfolio 2 &amp; 3'!$F$12+H627*'Portfolio 2 &amp; 3'!$F$13+I627*'Portfolio 2 &amp; 3'!$F$14+J627*'Portfolio 2 &amp; 3'!$F$15+K627*'Portfolio 2 &amp; 3'!$F$16</f>
        <v>1.8825556214721421E-3</v>
      </c>
      <c r="R627" s="93">
        <f>B627*'Portfolio 2 &amp; 3'!$B$23+C627*'Portfolio 2 &amp; 3'!$B$24+D627*'Portfolio 2 &amp; 3'!$B$25+E627*'Portfolio 2 &amp; 3'!$B$26+F627*'Portfolio 2 &amp; 3'!$B$27+G627*'Portfolio 2 &amp; 3'!$B$28+H627*'Portfolio 2 &amp; 3'!$B$29+I627*'Portfolio 2 &amp; 3'!$B$30+J627*'Portfolio 2 &amp; 3'!$B$31+K627*'Portfolio 2 &amp; 3'!$B$32</f>
        <v>-5.1862998015987465E-4</v>
      </c>
      <c r="S627" s="93">
        <f t="shared" si="29"/>
        <v>-5.8029231361829692E-3</v>
      </c>
    </row>
    <row r="628" spans="1:19" ht="12.75" customHeight="1">
      <c r="A628" s="81">
        <v>45161</v>
      </c>
      <c r="B628" s="53">
        <v>-1.0500000000000001E-2</v>
      </c>
      <c r="C628" s="53">
        <v>-2.7475487555220801E-3</v>
      </c>
      <c r="D628" s="53">
        <v>-6.1776524920530403E-3</v>
      </c>
      <c r="E628" s="53">
        <v>-1.2279999999999999E-2</v>
      </c>
      <c r="F628" s="53">
        <v>-8.5266554002150202E-3</v>
      </c>
      <c r="G628" s="53">
        <v>-1.2309182191187399E-2</v>
      </c>
      <c r="H628" s="87">
        <v>-2.16517271442235E-2</v>
      </c>
      <c r="I628" s="53">
        <v>-4.8343777976723699E-3</v>
      </c>
      <c r="J628" s="53">
        <v>6.9167548213844299E-4</v>
      </c>
      <c r="K628" s="53">
        <v>6.5643707424480899E-3</v>
      </c>
      <c r="L628" s="95">
        <f>IFERROR(B628*'Stock Statistics'!$C$41+C628*'Stock Statistics'!$C$42+D628*'Stock Statistics'!$C$43+E628*'Stock Statistics'!$C$44+F628*'Stock Statistics'!$C$45+G628*'Stock Statistics'!$C$46+H628*'Stock Statistics'!$C$47+I628*'Stock Statistics'!$C$48+J628*'Stock Statistics'!$C$49+K628*'Stock Statistics'!$C$50,"")</f>
        <v>-7.1771097556286873E-3</v>
      </c>
      <c r="M628" s="96">
        <v>313.87150000000003</v>
      </c>
      <c r="N628" s="97">
        <v>382.27870000000001</v>
      </c>
      <c r="O628" s="93">
        <f t="shared" si="27"/>
        <v>2.1346770966435002E-5</v>
      </c>
      <c r="P628" s="93">
        <f t="shared" si="28"/>
        <v>-1.1873174622827443E-2</v>
      </c>
      <c r="Q628" s="93">
        <f>B628*'Portfolio 2 &amp; 3'!$F$7+C628*'Portfolio 2 &amp; 3'!$F$8+D628*'Portfolio 2 &amp; 3'!$F$9+E628*'Portfolio 2 &amp; 3'!$F$10+F628*'Portfolio 2 &amp; 3'!$F$11+G628*'Portfolio 2 &amp; 3'!$F$12+H628*'Portfolio 2 &amp; 3'!$F$13+I628*'Portfolio 2 &amp; 3'!$F$14+J628*'Portfolio 2 &amp; 3'!$F$15+K628*'Portfolio 2 &amp; 3'!$F$16</f>
        <v>-7.5685200440979523E-3</v>
      </c>
      <c r="R628" s="93">
        <f>B628*'Portfolio 2 &amp; 3'!$B$23+C628*'Portfolio 2 &amp; 3'!$B$24+D628*'Portfolio 2 &amp; 3'!$B$25+E628*'Portfolio 2 &amp; 3'!$B$26+F628*'Portfolio 2 &amp; 3'!$B$27+G628*'Portfolio 2 &amp; 3'!$B$28+H628*'Portfolio 2 &amp; 3'!$B$29+I628*'Portfolio 2 &amp; 3'!$B$30+J628*'Portfolio 2 &amp; 3'!$B$31+K628*'Portfolio 2 &amp; 3'!$B$32</f>
        <v>-5.9302336118814414E-3</v>
      </c>
      <c r="S628" s="93">
        <f t="shared" si="29"/>
        <v>-5.9259139259305038E-3</v>
      </c>
    </row>
    <row r="629" spans="1:19" ht="12.75" customHeight="1">
      <c r="A629" s="82">
        <v>45160</v>
      </c>
      <c r="B629" s="53">
        <v>1.8E-3</v>
      </c>
      <c r="C629" s="53">
        <v>9.4215213105839392E-3</v>
      </c>
      <c r="D629" s="53">
        <v>-6.1989628658282196E-3</v>
      </c>
      <c r="E629" s="53">
        <v>-4.5199999999999997E-3</v>
      </c>
      <c r="F629" s="53">
        <v>-3.3685499923442599E-3</v>
      </c>
      <c r="G629" s="53">
        <v>1.20969822027341E-2</v>
      </c>
      <c r="H629" s="87">
        <v>-7.7603366171988802E-3</v>
      </c>
      <c r="I629" s="53">
        <v>9.67187923709667E-3</v>
      </c>
      <c r="J629" s="53">
        <v>1.61236977013395E-2</v>
      </c>
      <c r="K629" s="53">
        <v>-8.9371648563174599E-4</v>
      </c>
      <c r="L629" s="95">
        <f>IFERROR(B629*'Stock Statistics'!$C$41+C629*'Stock Statistics'!$C$42+D629*'Stock Statistics'!$C$43+E629*'Stock Statistics'!$C$44+F629*'Stock Statistics'!$C$45+G629*'Stock Statistics'!$C$46+H629*'Stock Statistics'!$C$47+I629*'Stock Statistics'!$C$48+J629*'Stock Statistics'!$C$49+K629*'Stock Statistics'!$C$50,"")</f>
        <v>2.6372514490751102E-3</v>
      </c>
      <c r="M629" s="97">
        <v>313.8648</v>
      </c>
      <c r="N629" s="96">
        <v>386.87209999999999</v>
      </c>
      <c r="O629" s="93">
        <f t="shared" si="27"/>
        <v>5.8631186920197198E-3</v>
      </c>
      <c r="P629" s="93">
        <f t="shared" si="28"/>
        <v>-4.2255899275650544E-3</v>
      </c>
      <c r="Q629" s="93">
        <f>B629*'Portfolio 2 &amp; 3'!$F$7+C629*'Portfolio 2 &amp; 3'!$F$8+D629*'Portfolio 2 &amp; 3'!$F$9+E629*'Portfolio 2 &amp; 3'!$F$10+F629*'Portfolio 2 &amp; 3'!$F$11+G629*'Portfolio 2 &amp; 3'!$F$12+H629*'Portfolio 2 &amp; 3'!$F$13+I629*'Portfolio 2 &amp; 3'!$F$14+J629*'Portfolio 2 &amp; 3'!$F$15+K629*'Portfolio 2 &amp; 3'!$F$16</f>
        <v>2.0167412063623975E-3</v>
      </c>
      <c r="R629" s="93">
        <f>B629*'Portfolio 2 &amp; 3'!$B$23+C629*'Portfolio 2 &amp; 3'!$B$24+D629*'Portfolio 2 &amp; 3'!$B$25+E629*'Portfolio 2 &amp; 3'!$B$26+F629*'Portfolio 2 &amp; 3'!$B$27+G629*'Portfolio 2 &amp; 3'!$B$28+H629*'Portfolio 2 &amp; 3'!$B$29+I629*'Portfolio 2 &amp; 3'!$B$30+J629*'Portfolio 2 &amp; 3'!$B$31+K629*'Portfolio 2 &amp; 3'!$B$32</f>
        <v>5.3577060302015542E-3</v>
      </c>
      <c r="S629" s="93">
        <f t="shared" si="29"/>
        <v>8.1876438222733272E-4</v>
      </c>
    </row>
    <row r="630" spans="1:19" ht="12.75" customHeight="1">
      <c r="A630" s="81">
        <v>45159</v>
      </c>
      <c r="B630" s="53">
        <v>1.6000000000000001E-3</v>
      </c>
      <c r="C630" s="53">
        <v>-1.00402417194924E-2</v>
      </c>
      <c r="D630" s="53">
        <v>-4.5095828635850497E-3</v>
      </c>
      <c r="E630" s="53">
        <v>1.92E-3</v>
      </c>
      <c r="F630" s="53">
        <v>8.1037277147488797E-3</v>
      </c>
      <c r="G630" s="53">
        <v>-1.9275523626429199E-2</v>
      </c>
      <c r="H630" s="87">
        <v>4.6915476200521901E-3</v>
      </c>
      <c r="I630" s="53">
        <v>-1.0730573191451299E-2</v>
      </c>
      <c r="J630" s="53">
        <v>-9.0946333469889007E-3</v>
      </c>
      <c r="K630" s="53">
        <v>-7.5731732278092601E-3</v>
      </c>
      <c r="L630" s="95">
        <f>IFERROR(B630*'Stock Statistics'!$C$41+C630*'Stock Statistics'!$C$42+D630*'Stock Statistics'!$C$43+E630*'Stock Statistics'!$C$44+F630*'Stock Statistics'!$C$45+G630*'Stock Statistics'!$C$46+H630*'Stock Statistics'!$C$47+I630*'Stock Statistics'!$C$48+J630*'Stock Statistics'!$C$49+K630*'Stock Statistics'!$C$50,"")</f>
        <v>-4.4908452640955044E-3</v>
      </c>
      <c r="M630" s="96">
        <v>312.03530000000001</v>
      </c>
      <c r="N630" s="97">
        <v>388.5138</v>
      </c>
      <c r="O630" s="93">
        <f t="shared" si="27"/>
        <v>6.0569383153741274E-3</v>
      </c>
      <c r="P630" s="93">
        <f t="shared" si="28"/>
        <v>9.8735350530638755E-3</v>
      </c>
      <c r="Q630" s="93">
        <f>B630*'Portfolio 2 &amp; 3'!$F$7+C630*'Portfolio 2 &amp; 3'!$F$8+D630*'Portfolio 2 &amp; 3'!$F$9+E630*'Portfolio 2 &amp; 3'!$F$10+F630*'Portfolio 2 &amp; 3'!$F$11+G630*'Portfolio 2 &amp; 3'!$F$12+H630*'Portfolio 2 &amp; 3'!$F$13+I630*'Portfolio 2 &amp; 3'!$F$14+J630*'Portfolio 2 &amp; 3'!$F$15+K630*'Portfolio 2 &amp; 3'!$F$16</f>
        <v>-3.6073316559154206E-3</v>
      </c>
      <c r="R630" s="93">
        <f>B630*'Portfolio 2 &amp; 3'!$B$23+C630*'Portfolio 2 &amp; 3'!$B$24+D630*'Portfolio 2 &amp; 3'!$B$25+E630*'Portfolio 2 &amp; 3'!$B$26+F630*'Portfolio 2 &amp; 3'!$B$27+G630*'Portfolio 2 &amp; 3'!$B$28+H630*'Portfolio 2 &amp; 3'!$B$29+I630*'Portfolio 2 &amp; 3'!$B$30+J630*'Portfolio 2 &amp; 3'!$B$31+K630*'Portfolio 2 &amp; 3'!$B$32</f>
        <v>-6.0222816794322934E-3</v>
      </c>
      <c r="S630" s="93">
        <f t="shared" si="29"/>
        <v>7.9652366842190014E-3</v>
      </c>
    </row>
    <row r="631" spans="1:19" ht="12.75" customHeight="1">
      <c r="A631" s="82">
        <v>45156</v>
      </c>
      <c r="B631" s="53">
        <v>-1.0999999999999999E-2</v>
      </c>
      <c r="C631" s="53">
        <v>-1.20073400351044E-2</v>
      </c>
      <c r="D631" s="53">
        <v>-1.25966721349895E-2</v>
      </c>
      <c r="E631" s="53">
        <v>-2.3000000000000001E-4</v>
      </c>
      <c r="F631" s="53">
        <v>4.6522447080716801E-3</v>
      </c>
      <c r="G631" s="53">
        <v>4.3021637352902398E-4</v>
      </c>
      <c r="H631" s="87">
        <v>2.4869519612238399E-3</v>
      </c>
      <c r="I631" s="53">
        <v>-4.80555308356334E-3</v>
      </c>
      <c r="J631" s="53">
        <v>-8.2476739934181902E-3</v>
      </c>
      <c r="K631" s="53">
        <v>-1.07717020099079E-2</v>
      </c>
      <c r="L631" s="95">
        <f>IFERROR(B631*'Stock Statistics'!$C$41+C631*'Stock Statistics'!$C$42+D631*'Stock Statistics'!$C$43+E631*'Stock Statistics'!$C$44+F631*'Stock Statistics'!$C$45+G631*'Stock Statistics'!$C$46+H631*'Stock Statistics'!$C$47+I631*'Stock Statistics'!$C$48+J631*'Stock Statistics'!$C$49+K631*'Stock Statistics'!$C$50,"")</f>
        <v>-5.2089528214158791E-3</v>
      </c>
      <c r="M631" s="97">
        <v>310.1567</v>
      </c>
      <c r="N631" s="96">
        <v>384.71530000000001</v>
      </c>
      <c r="O631" s="93">
        <f t="shared" si="27"/>
        <v>-3.5753571823269326E-3</v>
      </c>
      <c r="P631" s="93">
        <f t="shared" si="28"/>
        <v>4.1623969058306454E-3</v>
      </c>
      <c r="Q631" s="93">
        <f>B631*'Portfolio 2 &amp; 3'!$F$7+C631*'Portfolio 2 &amp; 3'!$F$8+D631*'Portfolio 2 &amp; 3'!$F$9+E631*'Portfolio 2 &amp; 3'!$F$10+F631*'Portfolio 2 &amp; 3'!$F$11+G631*'Portfolio 2 &amp; 3'!$F$12+H631*'Portfolio 2 &amp; 3'!$F$13+I631*'Portfolio 2 &amp; 3'!$F$14+J631*'Portfolio 2 &amp; 3'!$F$15+K631*'Portfolio 2 &amp; 3'!$F$16</f>
        <v>-5.1403058322432851E-3</v>
      </c>
      <c r="R631" s="93">
        <f>B631*'Portfolio 2 &amp; 3'!$B$23+C631*'Portfolio 2 &amp; 3'!$B$24+D631*'Portfolio 2 &amp; 3'!$B$25+E631*'Portfolio 2 &amp; 3'!$B$26+F631*'Portfolio 2 &amp; 3'!$B$27+G631*'Portfolio 2 &amp; 3'!$B$28+H631*'Portfolio 2 &amp; 3'!$B$29+I631*'Portfolio 2 &amp; 3'!$B$30+J631*'Portfolio 2 &amp; 3'!$B$31+K631*'Portfolio 2 &amp; 3'!$B$32</f>
        <v>-5.4678715689428113E-3</v>
      </c>
      <c r="S631" s="93">
        <f t="shared" si="29"/>
        <v>2.935198617518564E-4</v>
      </c>
    </row>
    <row r="632" spans="1:19" ht="12.75" customHeight="1">
      <c r="A632" s="81">
        <v>45155</v>
      </c>
      <c r="B632" s="53">
        <v>-1.03E-2</v>
      </c>
      <c r="C632" s="53">
        <v>-2.0038484506669199E-3</v>
      </c>
      <c r="D632" s="53">
        <v>-5.1294007927254999E-3</v>
      </c>
      <c r="E632" s="53">
        <v>1.9089999999999999E-2</v>
      </c>
      <c r="F632" s="53">
        <v>-1.90903559476726E-2</v>
      </c>
      <c r="G632" s="53">
        <v>-2.4487529031605999E-3</v>
      </c>
      <c r="H632" s="87">
        <v>6.1963247623182402E-3</v>
      </c>
      <c r="I632" s="53">
        <v>-1.21752889982857E-2</v>
      </c>
      <c r="J632" s="53">
        <v>7.90335790335806E-3</v>
      </c>
      <c r="K632" s="53">
        <v>1.3932799562033801E-2</v>
      </c>
      <c r="L632" s="95">
        <f>IFERROR(B632*'Stock Statistics'!$C$41+C632*'Stock Statistics'!$C$42+D632*'Stock Statistics'!$C$43+E632*'Stock Statistics'!$C$44+F632*'Stock Statistics'!$C$45+G632*'Stock Statistics'!$C$46+H632*'Stock Statistics'!$C$47+I632*'Stock Statistics'!$C$48+J632*'Stock Statistics'!$C$49+K632*'Stock Statistics'!$C$50,"")</f>
        <v>-4.0251648648012171E-4</v>
      </c>
      <c r="M632" s="96">
        <v>311.26960000000003</v>
      </c>
      <c r="N632" s="97">
        <v>383.12060000000002</v>
      </c>
      <c r="O632" s="93">
        <f t="shared" si="27"/>
        <v>9.4139480009580723E-5</v>
      </c>
      <c r="P632" s="93">
        <f t="shared" si="28"/>
        <v>7.2491220893289299E-3</v>
      </c>
      <c r="Q632" s="93">
        <f>B632*'Portfolio 2 &amp; 3'!$F$7+C632*'Portfolio 2 &amp; 3'!$F$8+D632*'Portfolio 2 &amp; 3'!$F$9+E632*'Portfolio 2 &amp; 3'!$F$10+F632*'Portfolio 2 &amp; 3'!$F$11+G632*'Portfolio 2 &amp; 3'!$F$12+H632*'Portfolio 2 &amp; 3'!$F$13+I632*'Portfolio 2 &amp; 3'!$F$14+J632*'Portfolio 2 &amp; 3'!$F$15+K632*'Portfolio 2 &amp; 3'!$F$16</f>
        <v>-4.8784929065974827E-5</v>
      </c>
      <c r="R632" s="93">
        <f>B632*'Portfolio 2 &amp; 3'!$B$23+C632*'Portfolio 2 &amp; 3'!$B$24+D632*'Portfolio 2 &amp; 3'!$B$25+E632*'Portfolio 2 &amp; 3'!$B$26+F632*'Portfolio 2 &amp; 3'!$B$27+G632*'Portfolio 2 &amp; 3'!$B$28+H632*'Portfolio 2 &amp; 3'!$B$29+I632*'Portfolio 2 &amp; 3'!$B$30+J632*'Portfolio 2 &amp; 3'!$B$31+K632*'Portfolio 2 &amp; 3'!$B$32</f>
        <v>-6.4965716341636309E-3</v>
      </c>
      <c r="S632" s="93">
        <f t="shared" si="29"/>
        <v>3.6716307846692553E-3</v>
      </c>
    </row>
    <row r="633" spans="1:19" ht="12.75" customHeight="1">
      <c r="A633" s="82">
        <v>45154</v>
      </c>
      <c r="B633" s="53">
        <v>1.1299999999999999E-2</v>
      </c>
      <c r="C633" s="53">
        <v>-1.44777798121942E-2</v>
      </c>
      <c r="D633" s="53">
        <v>-1.0040392383150701E-2</v>
      </c>
      <c r="E633" s="53">
        <v>-2.6710000000000001E-2</v>
      </c>
      <c r="F633" s="53">
        <v>2.4546092106288601E-2</v>
      </c>
      <c r="G633" s="53">
        <v>-1.33619059624357E-3</v>
      </c>
      <c r="H633" s="87">
        <v>-1.05430522136152E-3</v>
      </c>
      <c r="I633" s="53">
        <v>1.3187972568995401E-4</v>
      </c>
      <c r="J633" s="53">
        <v>-1.03744529097098E-2</v>
      </c>
      <c r="K633" s="53">
        <v>-3.2739922242684999E-3</v>
      </c>
      <c r="L633" s="95">
        <f>IFERROR(B633*'Stock Statistics'!$C$41+C633*'Stock Statistics'!$C$42+D633*'Stock Statistics'!$C$43+E633*'Stock Statistics'!$C$44+F633*'Stock Statistics'!$C$45+G633*'Stock Statistics'!$C$46+H633*'Stock Statistics'!$C$47+I633*'Stock Statistics'!$C$48+J633*'Stock Statistics'!$C$49+K633*'Stock Statistics'!$C$50,"")</f>
        <v>-3.1289141314949738E-3</v>
      </c>
      <c r="M633" s="97">
        <v>311.24029999999999</v>
      </c>
      <c r="N633" s="96">
        <v>380.36329999999998</v>
      </c>
      <c r="O633" s="93">
        <f t="shared" si="27"/>
        <v>1.8324851691982058E-3</v>
      </c>
      <c r="P633" s="93">
        <f t="shared" si="28"/>
        <v>8.5400080871289585E-3</v>
      </c>
      <c r="Q633" s="93">
        <f>B633*'Portfolio 2 &amp; 3'!$F$7+C633*'Portfolio 2 &amp; 3'!$F$8+D633*'Portfolio 2 &amp; 3'!$F$9+E633*'Portfolio 2 &amp; 3'!$F$10+F633*'Portfolio 2 &amp; 3'!$F$11+G633*'Portfolio 2 &amp; 3'!$F$12+H633*'Portfolio 2 &amp; 3'!$F$13+I633*'Portfolio 2 &amp; 3'!$F$14+J633*'Portfolio 2 &amp; 3'!$F$15+K633*'Portfolio 2 &amp; 3'!$F$16</f>
        <v>-3.4040239548444604E-3</v>
      </c>
      <c r="R633" s="93">
        <f>B633*'Portfolio 2 &amp; 3'!$B$23+C633*'Portfolio 2 &amp; 3'!$B$24+D633*'Portfolio 2 &amp; 3'!$B$25+E633*'Portfolio 2 &amp; 3'!$B$26+F633*'Portfolio 2 &amp; 3'!$B$27+G633*'Portfolio 2 &amp; 3'!$B$28+H633*'Portfolio 2 &amp; 3'!$B$29+I633*'Portfolio 2 &amp; 3'!$B$30+J633*'Portfolio 2 &amp; 3'!$B$31+K633*'Portfolio 2 &amp; 3'!$B$32</f>
        <v>1.7270882601855722E-3</v>
      </c>
      <c r="S633" s="93">
        <f t="shared" si="29"/>
        <v>5.1862466281635822E-3</v>
      </c>
    </row>
    <row r="634" spans="1:19" ht="12.75" customHeight="1">
      <c r="A634" s="81">
        <v>45152</v>
      </c>
      <c r="B634" s="53">
        <v>-4.0000000000000001E-3</v>
      </c>
      <c r="C634" s="53">
        <v>5.7348801725725096E-3</v>
      </c>
      <c r="D634" s="53">
        <v>-8.2975679542203196E-3</v>
      </c>
      <c r="E634" s="53">
        <v>-2.9239999999999999E-2</v>
      </c>
      <c r="F634" s="53">
        <v>-1.4286811583070999E-2</v>
      </c>
      <c r="G634" s="53">
        <v>-1.53551830035748E-3</v>
      </c>
      <c r="H634" s="87">
        <v>3.89221301330678E-3</v>
      </c>
      <c r="I634" s="53">
        <v>2.20283725438364E-3</v>
      </c>
      <c r="J634" s="53">
        <v>-2.1028793270787601E-3</v>
      </c>
      <c r="K634" s="53">
        <v>2.8318148239350198E-3</v>
      </c>
      <c r="L634" s="95">
        <f>IFERROR(B634*'Stock Statistics'!$C$41+C634*'Stock Statistics'!$C$42+D634*'Stock Statistics'!$C$43+E634*'Stock Statistics'!$C$44+F634*'Stock Statistics'!$C$45+G634*'Stock Statistics'!$C$46+H634*'Stock Statistics'!$C$47+I634*'Stock Statistics'!$C$48+J634*'Stock Statistics'!$C$49+K634*'Stock Statistics'!$C$50,"")</f>
        <v>-4.4801031900529613E-3</v>
      </c>
      <c r="M634" s="96">
        <v>310.67099999999999</v>
      </c>
      <c r="N634" s="97">
        <v>377.14249999999998</v>
      </c>
      <c r="O634" s="93">
        <f t="shared" si="27"/>
        <v>-9.5797361086602528E-4</v>
      </c>
      <c r="P634" s="93">
        <f t="shared" si="28"/>
        <v>1.2931075001362924E-2</v>
      </c>
      <c r="Q634" s="93">
        <f>B634*'Portfolio 2 &amp; 3'!$F$7+C634*'Portfolio 2 &amp; 3'!$F$8+D634*'Portfolio 2 &amp; 3'!$F$9+E634*'Portfolio 2 &amp; 3'!$F$10+F634*'Portfolio 2 &amp; 3'!$F$11+G634*'Portfolio 2 &amp; 3'!$F$12+H634*'Portfolio 2 &amp; 3'!$F$13+I634*'Portfolio 2 &amp; 3'!$F$14+J634*'Portfolio 2 &amp; 3'!$F$15+K634*'Portfolio 2 &amp; 3'!$F$16</f>
        <v>-3.7581206791829826E-3</v>
      </c>
      <c r="R634" s="93">
        <f>B634*'Portfolio 2 &amp; 3'!$B$23+C634*'Portfolio 2 &amp; 3'!$B$24+D634*'Portfolio 2 &amp; 3'!$B$25+E634*'Portfolio 2 &amp; 3'!$B$26+F634*'Portfolio 2 &amp; 3'!$B$27+G634*'Portfolio 2 &amp; 3'!$B$28+H634*'Portfolio 2 &amp; 3'!$B$29+I634*'Portfolio 2 &amp; 3'!$B$30+J634*'Portfolio 2 &amp; 3'!$B$31+K634*'Portfolio 2 &amp; 3'!$B$32</f>
        <v>-1.1161391162744893E-3</v>
      </c>
      <c r="S634" s="93">
        <f t="shared" si="29"/>
        <v>5.9865506952484493E-3</v>
      </c>
    </row>
    <row r="635" spans="1:19" ht="12.75" customHeight="1">
      <c r="A635" s="82">
        <v>45149</v>
      </c>
      <c r="B635" s="53">
        <v>-6.4999999999999997E-3</v>
      </c>
      <c r="C635" s="53">
        <v>3.0741625216048601E-3</v>
      </c>
      <c r="D635" s="53">
        <v>2.4092238857340601E-3</v>
      </c>
      <c r="E635" s="53">
        <v>2.2929999999999999E-2</v>
      </c>
      <c r="F635" s="53">
        <v>-1.0488713232499801E-2</v>
      </c>
      <c r="G635" s="53">
        <v>7.30260155180273E-3</v>
      </c>
      <c r="H635" s="87">
        <v>5.9244249444048202E-3</v>
      </c>
      <c r="I635" s="53">
        <v>-8.6477987421382796E-3</v>
      </c>
      <c r="J635" s="53">
        <v>-3.7066881547138698E-3</v>
      </c>
      <c r="K635" s="53">
        <v>4.1042478965858102E-5</v>
      </c>
      <c r="L635" s="95">
        <f>IFERROR(B635*'Stock Statistics'!$C$41+C635*'Stock Statistics'!$C$42+D635*'Stock Statistics'!$C$43+E635*'Stock Statistics'!$C$44+F635*'Stock Statistics'!$C$45+G635*'Stock Statistics'!$C$46+H635*'Stock Statistics'!$C$47+I635*'Stock Statistics'!$C$48+J635*'Stock Statistics'!$C$49+K635*'Stock Statistics'!$C$50,"")</f>
        <v>1.2338255253160377E-3</v>
      </c>
      <c r="M635" s="97">
        <v>310.96890000000002</v>
      </c>
      <c r="N635" s="96">
        <v>372.3279</v>
      </c>
      <c r="O635" s="93">
        <f t="shared" si="27"/>
        <v>-1.0236640757311455E-2</v>
      </c>
      <c r="P635" s="93">
        <f t="shared" si="28"/>
        <v>-5.4951424361860957E-3</v>
      </c>
      <c r="Q635" s="93">
        <f>B635*'Portfolio 2 &amp; 3'!$F$7+C635*'Portfolio 2 &amp; 3'!$F$8+D635*'Portfolio 2 &amp; 3'!$F$9+E635*'Portfolio 2 &amp; 3'!$F$10+F635*'Portfolio 2 &amp; 3'!$F$11+G635*'Portfolio 2 &amp; 3'!$F$12+H635*'Portfolio 2 &amp; 3'!$F$13+I635*'Portfolio 2 &amp; 3'!$F$14+J635*'Portfolio 2 &amp; 3'!$F$15+K635*'Portfolio 2 &amp; 3'!$F$16</f>
        <v>8.7107965132104601E-4</v>
      </c>
      <c r="R635" s="93">
        <f>B635*'Portfolio 2 &amp; 3'!$B$23+C635*'Portfolio 2 &amp; 3'!$B$24+D635*'Portfolio 2 &amp; 3'!$B$25+E635*'Portfolio 2 &amp; 3'!$B$26+F635*'Portfolio 2 &amp; 3'!$B$27+G635*'Portfolio 2 &amp; 3'!$B$28+H635*'Portfolio 2 &amp; 3'!$B$29+I635*'Portfolio 2 &amp; 3'!$B$30+J635*'Portfolio 2 &amp; 3'!$B$31+K635*'Portfolio 2 &amp; 3'!$B$32</f>
        <v>-3.2332209701991612E-3</v>
      </c>
      <c r="S635" s="93">
        <f t="shared" si="29"/>
        <v>-7.8658915967487752E-3</v>
      </c>
    </row>
    <row r="636" spans="1:19" ht="12.75" customHeight="1">
      <c r="A636" s="81">
        <v>45148</v>
      </c>
      <c r="B636" s="53">
        <v>5.7999999999999996E-3</v>
      </c>
      <c r="C636" s="53">
        <v>-1.3308034890767699E-3</v>
      </c>
      <c r="D636" s="53">
        <v>9.8476510455889291E-3</v>
      </c>
      <c r="E636" s="53">
        <v>1.8500000000000001E-3</v>
      </c>
      <c r="F636" s="53">
        <v>-5.5929257047840899E-3</v>
      </c>
      <c r="G636" s="53">
        <v>-1.17027941360731E-2</v>
      </c>
      <c r="H636" s="87">
        <v>6.0106474325971597E-5</v>
      </c>
      <c r="I636" s="53">
        <v>1.00555239802369E-3</v>
      </c>
      <c r="J636" s="53">
        <v>-2.0505809979494099E-3</v>
      </c>
      <c r="K636" s="53">
        <v>-1.54494760378222E-2</v>
      </c>
      <c r="L636" s="95">
        <f>IFERROR(B636*'Stock Statistics'!$C$41+C636*'Stock Statistics'!$C$42+D636*'Stock Statistics'!$C$43+E636*'Stock Statistics'!$C$44+F636*'Stock Statistics'!$C$45+G636*'Stock Statistics'!$C$46+H636*'Stock Statistics'!$C$47+I636*'Stock Statistics'!$C$48+J636*'Stock Statistics'!$C$49+K636*'Stock Statistics'!$C$50,"")</f>
        <v>-1.7563270447766978E-3</v>
      </c>
      <c r="M636" s="96">
        <v>314.18509999999998</v>
      </c>
      <c r="N636" s="97">
        <v>374.3852</v>
      </c>
      <c r="O636" s="93">
        <f t="shared" si="27"/>
        <v>-6.0968819951384701E-3</v>
      </c>
      <c r="P636" s="93">
        <f t="shared" si="28"/>
        <v>-2.2031272657152545E-4</v>
      </c>
      <c r="Q636" s="93">
        <f>B636*'Portfolio 2 &amp; 3'!$F$7+C636*'Portfolio 2 &amp; 3'!$F$8+D636*'Portfolio 2 &amp; 3'!$F$9+E636*'Portfolio 2 &amp; 3'!$F$10+F636*'Portfolio 2 &amp; 3'!$F$11+G636*'Portfolio 2 &amp; 3'!$F$12+H636*'Portfolio 2 &amp; 3'!$F$13+I636*'Portfolio 2 &amp; 3'!$F$14+J636*'Portfolio 2 &amp; 3'!$F$15+K636*'Portfolio 2 &amp; 3'!$F$16</f>
        <v>-9.2973297631273244E-4</v>
      </c>
      <c r="R636" s="93">
        <f>B636*'Portfolio 2 &amp; 3'!$B$23+C636*'Portfolio 2 &amp; 3'!$B$24+D636*'Portfolio 2 &amp; 3'!$B$25+E636*'Portfolio 2 &amp; 3'!$B$26+F636*'Portfolio 2 &amp; 3'!$B$27+G636*'Portfolio 2 &amp; 3'!$B$28+H636*'Portfolio 2 &amp; 3'!$B$29+I636*'Portfolio 2 &amp; 3'!$B$30+J636*'Portfolio 2 &amp; 3'!$B$31+K636*'Portfolio 2 &amp; 3'!$B$32</f>
        <v>-2.6225226877873509E-3</v>
      </c>
      <c r="S636" s="93">
        <f t="shared" si="29"/>
        <v>-3.1585973608549978E-3</v>
      </c>
    </row>
    <row r="637" spans="1:19" ht="12.75" customHeight="1">
      <c r="A637" s="82">
        <v>45147</v>
      </c>
      <c r="B637" s="53">
        <v>-1.1000000000000001E-3</v>
      </c>
      <c r="C637" s="53">
        <v>-1.9760502707189001E-4</v>
      </c>
      <c r="D637" s="53">
        <v>-1.2131616595136001E-2</v>
      </c>
      <c r="E637" s="53">
        <v>-1.0160000000000001E-2</v>
      </c>
      <c r="F637" s="53">
        <v>9.4605935759517496E-3</v>
      </c>
      <c r="G637" s="53">
        <v>-1.7336058509197502E-2</v>
      </c>
      <c r="H637" s="87">
        <v>-4.8110200558864101E-3</v>
      </c>
      <c r="I637" s="53">
        <v>8.2874145911395799E-3</v>
      </c>
      <c r="J637" s="53">
        <v>6.4341210747815899E-3</v>
      </c>
      <c r="K637" s="53">
        <v>-4.9456514454974104E-3</v>
      </c>
      <c r="L637" s="95">
        <f>IFERROR(B637*'Stock Statistics'!$C$41+C637*'Stock Statistics'!$C$42+D637*'Stock Statistics'!$C$43+E637*'Stock Statistics'!$C$44+F637*'Stock Statistics'!$C$45+G637*'Stock Statistics'!$C$46+H637*'Stock Statistics'!$C$47+I637*'Stock Statistics'!$C$48+J637*'Stock Statistics'!$C$49+K637*'Stock Statistics'!$C$50,"")</f>
        <v>-2.6499822390916297E-3</v>
      </c>
      <c r="M637" s="97">
        <v>316.11239999999998</v>
      </c>
      <c r="N637" s="96">
        <v>374.46769999999998</v>
      </c>
      <c r="O637" s="93">
        <f t="shared" si="27"/>
        <v>5.6439193060469073E-3</v>
      </c>
      <c r="P637" s="93">
        <f t="shared" si="28"/>
        <v>2.9918069899825817E-4</v>
      </c>
      <c r="Q637" s="93">
        <f>B637*'Portfolio 2 &amp; 3'!$F$7+C637*'Portfolio 2 &amp; 3'!$F$8+D637*'Portfolio 2 &amp; 3'!$F$9+E637*'Portfolio 2 &amp; 3'!$F$10+F637*'Portfolio 2 &amp; 3'!$F$11+G637*'Portfolio 2 &amp; 3'!$F$12+H637*'Portfolio 2 &amp; 3'!$F$13+I637*'Portfolio 2 &amp; 3'!$F$14+J637*'Portfolio 2 &amp; 3'!$F$15+K637*'Portfolio 2 &amp; 3'!$F$16</f>
        <v>-1.9576968578631955E-3</v>
      </c>
      <c r="R637" s="93">
        <f>B637*'Portfolio 2 &amp; 3'!$B$23+C637*'Portfolio 2 &amp; 3'!$B$24+D637*'Portfolio 2 &amp; 3'!$B$25+E637*'Portfolio 2 &amp; 3'!$B$26+F637*'Portfolio 2 &amp; 3'!$B$27+G637*'Portfolio 2 &amp; 3'!$B$28+H637*'Portfolio 2 &amp; 3'!$B$29+I637*'Portfolio 2 &amp; 3'!$B$30+J637*'Portfolio 2 &amp; 3'!$B$31+K637*'Portfolio 2 &amp; 3'!$B$32</f>
        <v>1.0298262365953739E-3</v>
      </c>
      <c r="S637" s="93">
        <f t="shared" si="29"/>
        <v>2.9715500025225827E-3</v>
      </c>
    </row>
    <row r="638" spans="1:19" ht="12.75" customHeight="1">
      <c r="A638" s="81">
        <v>45146</v>
      </c>
      <c r="B638" s="53">
        <v>-7.9000000000000008E-3</v>
      </c>
      <c r="C638" s="53">
        <v>-6.9726066821904596E-3</v>
      </c>
      <c r="D638" s="53">
        <v>-6.2553312482228601E-3</v>
      </c>
      <c r="E638" s="53">
        <v>-1.511E-2</v>
      </c>
      <c r="F638" s="53">
        <v>2.2893772893772799E-4</v>
      </c>
      <c r="G638" s="53">
        <v>-2.0927260891578401E-2</v>
      </c>
      <c r="H638" s="87">
        <v>-3.3810253789815499E-3</v>
      </c>
      <c r="I638" s="53">
        <v>1.67792643617259E-3</v>
      </c>
      <c r="J638" s="53">
        <v>-1.1678131498960201E-2</v>
      </c>
      <c r="K638" s="53">
        <v>1.3970618213445999E-2</v>
      </c>
      <c r="L638" s="95">
        <f>IFERROR(B638*'Stock Statistics'!$C$41+C638*'Stock Statistics'!$C$42+D638*'Stock Statistics'!$C$43+E638*'Stock Statistics'!$C$44+F638*'Stock Statistics'!$C$45+G638*'Stock Statistics'!$C$46+H638*'Stock Statistics'!$C$47+I638*'Stock Statistics'!$C$48+J638*'Stock Statistics'!$C$49+K638*'Stock Statistics'!$C$50,"")</f>
        <v>-5.634687332137716E-3</v>
      </c>
      <c r="M638" s="96">
        <v>314.3383</v>
      </c>
      <c r="N638" s="97">
        <v>374.35570000000001</v>
      </c>
      <c r="O638" s="93">
        <f t="shared" si="27"/>
        <v>5.8423263069478093E-3</v>
      </c>
      <c r="P638" s="93">
        <f t="shared" si="28"/>
        <v>4.6187337407745943E-3</v>
      </c>
      <c r="Q638" s="93">
        <f>B638*'Portfolio 2 &amp; 3'!$F$7+C638*'Portfolio 2 &amp; 3'!$F$8+D638*'Portfolio 2 &amp; 3'!$F$9+E638*'Portfolio 2 &amp; 3'!$F$10+F638*'Portfolio 2 &amp; 3'!$F$11+G638*'Portfolio 2 &amp; 3'!$F$12+H638*'Portfolio 2 &amp; 3'!$F$13+I638*'Portfolio 2 &amp; 3'!$F$14+J638*'Portfolio 2 &amp; 3'!$F$15+K638*'Portfolio 2 &amp; 3'!$F$16</f>
        <v>-5.2624620323305877E-3</v>
      </c>
      <c r="R638" s="93">
        <f>B638*'Portfolio 2 &amp; 3'!$B$23+C638*'Portfolio 2 &amp; 3'!$B$24+D638*'Portfolio 2 &amp; 3'!$B$25+E638*'Portfolio 2 &amp; 3'!$B$26+F638*'Portfolio 2 &amp; 3'!$B$27+G638*'Portfolio 2 &amp; 3'!$B$28+H638*'Portfolio 2 &amp; 3'!$B$29+I638*'Portfolio 2 &amp; 3'!$B$30+J638*'Portfolio 2 &amp; 3'!$B$31+K638*'Portfolio 2 &amp; 3'!$B$32</f>
        <v>-3.5202037060520037E-3</v>
      </c>
      <c r="S638" s="93">
        <f t="shared" si="29"/>
        <v>5.2305300238612018E-3</v>
      </c>
    </row>
    <row r="639" spans="1:19" ht="12.75" customHeight="1">
      <c r="A639" s="82">
        <v>45145</v>
      </c>
      <c r="B639" s="53">
        <v>4.1999999999999997E-3</v>
      </c>
      <c r="C639" s="53">
        <v>-7.7099531559376003E-2</v>
      </c>
      <c r="D639" s="53">
        <v>1.31942843973267E-2</v>
      </c>
      <c r="E639" s="53">
        <v>5.0299999999999997E-3</v>
      </c>
      <c r="F639" s="53">
        <v>8.3878414774913902E-3</v>
      </c>
      <c r="G639" s="53">
        <v>1.6418751684760001E-2</v>
      </c>
      <c r="H639" s="87">
        <v>3.7654981044371198E-2</v>
      </c>
      <c r="I639" s="53">
        <v>-1.5604624880466E-2</v>
      </c>
      <c r="J639" s="53">
        <v>-6.9502363080344897E-3</v>
      </c>
      <c r="K639" s="53">
        <v>-1.77145908423442E-2</v>
      </c>
      <c r="L639" s="95">
        <f>IFERROR(B639*'Stock Statistics'!$C$41+C639*'Stock Statistics'!$C$42+D639*'Stock Statistics'!$C$43+E639*'Stock Statistics'!$C$44+F639*'Stock Statistics'!$C$45+G639*'Stock Statistics'!$C$46+H639*'Stock Statistics'!$C$47+I639*'Stock Statistics'!$C$48+J639*'Stock Statistics'!$C$49+K639*'Stock Statistics'!$C$50,"")</f>
        <v>-3.2483124986271402E-3</v>
      </c>
      <c r="M639" s="97">
        <v>312.51249999999999</v>
      </c>
      <c r="N639" s="96">
        <v>372.63459999999998</v>
      </c>
      <c r="O639" s="93">
        <f t="shared" si="27"/>
        <v>9.7970631429120658E-3</v>
      </c>
      <c r="P639" s="93">
        <f t="shared" si="28"/>
        <v>2.3303954293371953E-2</v>
      </c>
      <c r="Q639" s="93">
        <f>B639*'Portfolio 2 &amp; 3'!$F$7+C639*'Portfolio 2 &amp; 3'!$F$8+D639*'Portfolio 2 &amp; 3'!$F$9+E639*'Portfolio 2 &amp; 3'!$F$10+F639*'Portfolio 2 &amp; 3'!$F$11+G639*'Portfolio 2 &amp; 3'!$F$12+H639*'Portfolio 2 &amp; 3'!$F$13+I639*'Portfolio 2 &amp; 3'!$F$14+J639*'Portfolio 2 &amp; 3'!$F$15+K639*'Portfolio 2 &amp; 3'!$F$16</f>
        <v>-8.8043509333599426E-4</v>
      </c>
      <c r="R639" s="93">
        <f>B639*'Portfolio 2 &amp; 3'!$B$23+C639*'Portfolio 2 &amp; 3'!$B$24+D639*'Portfolio 2 &amp; 3'!$B$25+E639*'Portfolio 2 &amp; 3'!$B$26+F639*'Portfolio 2 &amp; 3'!$B$27+G639*'Portfolio 2 &amp; 3'!$B$28+H639*'Portfolio 2 &amp; 3'!$B$29+I639*'Portfolio 2 &amp; 3'!$B$30+J639*'Portfolio 2 &amp; 3'!$B$31+K639*'Portfolio 2 &amp; 3'!$B$32</f>
        <v>-1.5471280194381003E-2</v>
      </c>
      <c r="S639" s="93">
        <f t="shared" si="29"/>
        <v>1.655050871814201E-2</v>
      </c>
    </row>
    <row r="640" spans="1:19" ht="12.75" customHeight="1">
      <c r="A640" s="81">
        <v>45142</v>
      </c>
      <c r="B640" s="53">
        <v>-2.8199999999999999E-2</v>
      </c>
      <c r="C640" s="53">
        <v>-2.0308711337157798E-2</v>
      </c>
      <c r="D640" s="53">
        <v>-5.1828390440544802E-4</v>
      </c>
      <c r="E640" s="53">
        <v>-2.99E-3</v>
      </c>
      <c r="F640" s="53">
        <v>1.5234374999999901E-2</v>
      </c>
      <c r="G640" s="53">
        <v>-5.3865652724969203E-3</v>
      </c>
      <c r="H640" s="87">
        <v>4.8395403768626303E-3</v>
      </c>
      <c r="I640" s="53">
        <v>-2.16863289382374E-3</v>
      </c>
      <c r="J640" s="53">
        <v>-5.60799336519091E-3</v>
      </c>
      <c r="K640" s="53">
        <v>2.0868448511117701E-3</v>
      </c>
      <c r="L640" s="95">
        <f>IFERROR(B640*'Stock Statistics'!$C$41+C640*'Stock Statistics'!$C$42+D640*'Stock Statistics'!$C$43+E640*'Stock Statistics'!$C$44+F640*'Stock Statistics'!$C$45+G640*'Stock Statistics'!$C$46+H640*'Stock Statistics'!$C$47+I640*'Stock Statistics'!$C$48+J640*'Stock Statistics'!$C$49+K640*'Stock Statistics'!$C$50,"")</f>
        <v>-4.3019426545100516E-3</v>
      </c>
      <c r="M640" s="96">
        <v>309.48050000000001</v>
      </c>
      <c r="N640" s="97">
        <v>364.14850000000001</v>
      </c>
      <c r="O640" s="93">
        <f t="shared" si="27"/>
        <v>5.6550947844966615E-3</v>
      </c>
      <c r="P640" s="93">
        <f t="shared" si="28"/>
        <v>-1.6646758364570191E-3</v>
      </c>
      <c r="Q640" s="93">
        <f>B640*'Portfolio 2 &amp; 3'!$F$7+C640*'Portfolio 2 &amp; 3'!$F$8+D640*'Portfolio 2 &amp; 3'!$F$9+E640*'Portfolio 2 &amp; 3'!$F$10+F640*'Portfolio 2 &amp; 3'!$F$11+G640*'Portfolio 2 &amp; 3'!$F$12+H640*'Portfolio 2 &amp; 3'!$F$13+I640*'Portfolio 2 &amp; 3'!$F$14+J640*'Portfolio 2 &amp; 3'!$F$15+K640*'Portfolio 2 &amp; 3'!$F$16</f>
        <v>-2.9034695017108414E-3</v>
      </c>
      <c r="R640" s="93">
        <f>B640*'Portfolio 2 &amp; 3'!$B$23+C640*'Portfolio 2 &amp; 3'!$B$24+D640*'Portfolio 2 &amp; 3'!$B$25+E640*'Portfolio 2 &amp; 3'!$B$26+F640*'Portfolio 2 &amp; 3'!$B$27+G640*'Portfolio 2 &amp; 3'!$B$28+H640*'Portfolio 2 &amp; 3'!$B$29+I640*'Portfolio 2 &amp; 3'!$B$30+J640*'Portfolio 2 &amp; 3'!$B$31+K640*'Portfolio 2 &amp; 3'!$B$32</f>
        <v>-6.2344196436727234E-3</v>
      </c>
      <c r="S640" s="93">
        <f t="shared" si="29"/>
        <v>1.9952094740198212E-3</v>
      </c>
    </row>
    <row r="641" spans="1:19" ht="12.75" customHeight="1">
      <c r="A641" s="82">
        <v>45141</v>
      </c>
      <c r="B641" s="53">
        <v>1.9599999999999999E-2</v>
      </c>
      <c r="C641" s="53">
        <v>2.3088931108341301E-2</v>
      </c>
      <c r="D641" s="53">
        <v>3.1727170102786598E-2</v>
      </c>
      <c r="E641" s="53">
        <v>1.3169999999999999E-2</v>
      </c>
      <c r="F641" s="53">
        <v>1.8135539293668401E-2</v>
      </c>
      <c r="G641" s="53">
        <v>-5.2130058434158898E-3</v>
      </c>
      <c r="H641" s="87">
        <v>-3.3365489286758501E-3</v>
      </c>
      <c r="I641" s="53">
        <v>3.6129369259565499E-3</v>
      </c>
      <c r="J641" s="53">
        <v>-3.15843499546054E-4</v>
      </c>
      <c r="K641" s="53">
        <v>-2.8260191347753798E-2</v>
      </c>
      <c r="L641" s="95">
        <f>IFERROR(B641*'Stock Statistics'!$C$41+C641*'Stock Statistics'!$C$42+D641*'Stock Statistics'!$C$43+E641*'Stock Statistics'!$C$44+F641*'Stock Statistics'!$C$45+G641*'Stock Statistics'!$C$46+H641*'Stock Statistics'!$C$47+I641*'Stock Statistics'!$C$48+J641*'Stock Statistics'!$C$49+K641*'Stock Statistics'!$C$50,"")</f>
        <v>7.2208987811361253E-3</v>
      </c>
      <c r="M641" s="97">
        <v>307.74020000000002</v>
      </c>
      <c r="N641" s="96">
        <v>364.75569999999999</v>
      </c>
      <c r="O641" s="93">
        <f t="shared" si="27"/>
        <v>8.4849795674928341E-3</v>
      </c>
      <c r="P641" s="93">
        <f t="shared" si="28"/>
        <v>6.9006467527512605E-3</v>
      </c>
      <c r="Q641" s="93">
        <f>B641*'Portfolio 2 &amp; 3'!$F$7+C641*'Portfolio 2 &amp; 3'!$F$8+D641*'Portfolio 2 &amp; 3'!$F$9+E641*'Portfolio 2 &amp; 3'!$F$10+F641*'Portfolio 2 &amp; 3'!$F$11+G641*'Portfolio 2 &amp; 3'!$F$12+H641*'Portfolio 2 &amp; 3'!$F$13+I641*'Portfolio 2 &amp; 3'!$F$14+J641*'Portfolio 2 &amp; 3'!$F$15+K641*'Portfolio 2 &amp; 3'!$F$16</f>
        <v>7.8059352713674233E-3</v>
      </c>
      <c r="R641" s="93">
        <f>B641*'Portfolio 2 &amp; 3'!$B$23+C641*'Portfolio 2 &amp; 3'!$B$24+D641*'Portfolio 2 &amp; 3'!$B$25+E641*'Portfolio 2 &amp; 3'!$B$26+F641*'Portfolio 2 &amp; 3'!$B$27+G641*'Portfolio 2 &amp; 3'!$B$28+H641*'Portfolio 2 &amp; 3'!$B$29+I641*'Portfolio 2 &amp; 3'!$B$30+J641*'Portfolio 2 &amp; 3'!$B$31+K641*'Portfolio 2 &amp; 3'!$B$32</f>
        <v>8.1020499389518972E-3</v>
      </c>
      <c r="S641" s="93">
        <f t="shared" si="29"/>
        <v>7.6928131601220473E-3</v>
      </c>
    </row>
    <row r="642" spans="1:19" ht="12.75" customHeight="1">
      <c r="A642" s="81">
        <v>45140</v>
      </c>
      <c r="B642" s="53">
        <v>5.8999999999999999E-3</v>
      </c>
      <c r="C642" s="53">
        <v>0</v>
      </c>
      <c r="D642" s="53">
        <v>1.4279764383886601E-3</v>
      </c>
      <c r="E642" s="53">
        <v>2.9010000000000001E-2</v>
      </c>
      <c r="F642" s="53">
        <v>-8.3609402113897797E-3</v>
      </c>
      <c r="G642" s="53">
        <v>3.3244814109630198E-2</v>
      </c>
      <c r="H642" s="87">
        <v>-1.75810583973846E-3</v>
      </c>
      <c r="I642" s="53">
        <v>-1.0466919365954499E-2</v>
      </c>
      <c r="J642" s="53">
        <v>3.4977321946634901E-2</v>
      </c>
      <c r="K642" s="53">
        <v>-1.6404342100216102E-2</v>
      </c>
      <c r="L642" s="95">
        <f>IFERROR(B642*'Stock Statistics'!$C$41+C642*'Stock Statistics'!$C$42+D642*'Stock Statistics'!$C$43+E642*'Stock Statistics'!$C$44+F642*'Stock Statistics'!$C$45+G642*'Stock Statistics'!$C$46+H642*'Stock Statistics'!$C$47+I642*'Stock Statistics'!$C$48+J642*'Stock Statistics'!$C$49+K642*'Stock Statistics'!$C$50,"")</f>
        <v>6.7569804977354918E-3</v>
      </c>
      <c r="M642" s="96">
        <v>305.15100000000001</v>
      </c>
      <c r="N642" s="97">
        <v>362.2559</v>
      </c>
      <c r="O642" s="93">
        <f t="shared" ref="O642:O705" si="30">M642/M643-1</f>
        <v>-1.0765648345927081E-2</v>
      </c>
      <c r="P642" s="93">
        <f t="shared" ref="P642:P705" si="31">N642/N643-1</f>
        <v>1.3262346517639578E-3</v>
      </c>
      <c r="Q642" s="93">
        <f>B642*'Portfolio 2 &amp; 3'!$F$7+C642*'Portfolio 2 &amp; 3'!$F$8+D642*'Portfolio 2 &amp; 3'!$F$9+E642*'Portfolio 2 &amp; 3'!$F$10+F642*'Portfolio 2 &amp; 3'!$F$11+G642*'Portfolio 2 &amp; 3'!$F$12+H642*'Portfolio 2 &amp; 3'!$F$13+I642*'Portfolio 2 &amp; 3'!$F$14+J642*'Portfolio 2 &amp; 3'!$F$15+K642*'Portfolio 2 &amp; 3'!$F$16</f>
        <v>6.264826519137714E-3</v>
      </c>
      <c r="R642" s="93">
        <f>B642*'Portfolio 2 &amp; 3'!$B$23+C642*'Portfolio 2 &amp; 3'!$B$24+D642*'Portfolio 2 &amp; 3'!$B$25+E642*'Portfolio 2 &amp; 3'!$B$26+F642*'Portfolio 2 &amp; 3'!$B$27+G642*'Portfolio 2 &amp; 3'!$B$28+H642*'Portfolio 2 &amp; 3'!$B$29+I642*'Portfolio 2 &amp; 3'!$B$30+J642*'Portfolio 2 &amp; 3'!$B$31+K642*'Portfolio 2 &amp; 3'!$B$32</f>
        <v>9.1353783897524547E-5</v>
      </c>
      <c r="S642" s="93">
        <f t="shared" ref="S642:S705" si="32">IFERROR(AVERAGE(O642,P642),"")</f>
        <v>-4.7197068470815617E-3</v>
      </c>
    </row>
    <row r="643" spans="1:19" ht="12.75" customHeight="1">
      <c r="A643" s="82">
        <v>45139</v>
      </c>
      <c r="B643" s="53">
        <v>-5.1999999999999998E-3</v>
      </c>
      <c r="C643" s="53">
        <v>8.0141497926324908E-3</v>
      </c>
      <c r="D643" s="53">
        <v>2.9588336192109699E-2</v>
      </c>
      <c r="E643" s="53">
        <v>4.165E-2</v>
      </c>
      <c r="F643" s="53">
        <v>2.6097271648872801E-3</v>
      </c>
      <c r="G643" s="53">
        <v>1.52609624580324E-2</v>
      </c>
      <c r="H643" s="87">
        <v>-1.67831179499811E-4</v>
      </c>
      <c r="I643" s="53">
        <v>1.9184336450239099E-2</v>
      </c>
      <c r="J643" s="53">
        <v>1.14899772680306E-2</v>
      </c>
      <c r="K643" s="53">
        <v>4.4094088748865203E-2</v>
      </c>
      <c r="L643" s="95">
        <f>IFERROR(B643*'Stock Statistics'!$C$41+C643*'Stock Statistics'!$C$42+D643*'Stock Statistics'!$C$43+E643*'Stock Statistics'!$C$44+F643*'Stock Statistics'!$C$45+G643*'Stock Statistics'!$C$46+H643*'Stock Statistics'!$C$47+I643*'Stock Statistics'!$C$48+J643*'Stock Statistics'!$C$49+K643*'Stock Statistics'!$C$50,"")</f>
        <v>1.6652374689529695E-2</v>
      </c>
      <c r="M643" s="97">
        <v>308.47190000000001</v>
      </c>
      <c r="N643" s="96">
        <v>361.77609999999999</v>
      </c>
      <c r="O643" s="93">
        <f t="shared" si="30"/>
        <v>2.0524719479286802E-4</v>
      </c>
      <c r="P643" s="93">
        <f t="shared" si="31"/>
        <v>-6.7040717222421886E-4</v>
      </c>
      <c r="Q643" s="93">
        <f>B643*'Portfolio 2 &amp; 3'!$F$7+C643*'Portfolio 2 &amp; 3'!$F$8+D643*'Portfolio 2 &amp; 3'!$F$9+E643*'Portfolio 2 &amp; 3'!$F$10+F643*'Portfolio 2 &amp; 3'!$F$11+G643*'Portfolio 2 &amp; 3'!$F$12+H643*'Portfolio 2 &amp; 3'!$F$13+I643*'Portfolio 2 &amp; 3'!$F$14+J643*'Portfolio 2 &amp; 3'!$F$15+K643*'Portfolio 2 &amp; 3'!$F$16</f>
        <v>1.525161026338632E-2</v>
      </c>
      <c r="R643" s="93">
        <f>B643*'Portfolio 2 &amp; 3'!$B$23+C643*'Portfolio 2 &amp; 3'!$B$24+D643*'Portfolio 2 &amp; 3'!$B$25+E643*'Portfolio 2 &amp; 3'!$B$26+F643*'Portfolio 2 &amp; 3'!$B$27+G643*'Portfolio 2 &amp; 3'!$B$28+H643*'Portfolio 2 &amp; 3'!$B$29+I643*'Portfolio 2 &amp; 3'!$B$30+J643*'Portfolio 2 &amp; 3'!$B$31+K643*'Portfolio 2 &amp; 3'!$B$32</f>
        <v>1.2192460648899766E-2</v>
      </c>
      <c r="S643" s="93">
        <f t="shared" si="32"/>
        <v>-2.3257998871567542E-4</v>
      </c>
    </row>
    <row r="644" spans="1:19" ht="12.75" customHeight="1">
      <c r="A644" s="81">
        <v>45138</v>
      </c>
      <c r="B644" s="53">
        <v>4.0000000000000002E-4</v>
      </c>
      <c r="C644" s="53">
        <v>1.8790078043445801E-2</v>
      </c>
      <c r="D644" s="53">
        <v>-2.81001832620642E-3</v>
      </c>
      <c r="E644" s="53">
        <v>7.6499999999999997E-3</v>
      </c>
      <c r="F644" s="53">
        <v>-1.2880562060889901E-2</v>
      </c>
      <c r="G644" s="53">
        <v>-8.9236198638770192E-3</v>
      </c>
      <c r="H644" s="87">
        <v>-1.1646270987552001E-3</v>
      </c>
      <c r="I644" s="53">
        <v>-1.79666958808056E-3</v>
      </c>
      <c r="J644" s="53">
        <v>3.7654929879487001E-2</v>
      </c>
      <c r="K644" s="53">
        <v>5.1257279338754501E-3</v>
      </c>
      <c r="L644" s="95">
        <f>IFERROR(B644*'Stock Statistics'!$C$41+C644*'Stock Statistics'!$C$42+D644*'Stock Statistics'!$C$43+E644*'Stock Statistics'!$C$44+F644*'Stock Statistics'!$C$45+G644*'Stock Statistics'!$C$46+H644*'Stock Statistics'!$C$47+I644*'Stock Statistics'!$C$48+J644*'Stock Statistics'!$C$49+K644*'Stock Statistics'!$C$50,"")</f>
        <v>4.204523891899915E-3</v>
      </c>
      <c r="M644" s="96">
        <v>308.40859999999998</v>
      </c>
      <c r="N644" s="97">
        <v>362.0188</v>
      </c>
      <c r="O644" s="93">
        <f t="shared" si="30"/>
        <v>-4.9682089720082256E-4</v>
      </c>
      <c r="P644" s="93">
        <f t="shared" si="31"/>
        <v>9.088572748999324E-3</v>
      </c>
      <c r="Q644" s="93">
        <f>B644*'Portfolio 2 &amp; 3'!$F$7+C644*'Portfolio 2 &amp; 3'!$F$8+D644*'Portfolio 2 &amp; 3'!$F$9+E644*'Portfolio 2 &amp; 3'!$F$10+F644*'Portfolio 2 &amp; 3'!$F$11+G644*'Portfolio 2 &amp; 3'!$F$12+H644*'Portfolio 2 &amp; 3'!$F$13+I644*'Portfolio 2 &amp; 3'!$F$14+J644*'Portfolio 2 &amp; 3'!$F$15+K644*'Portfolio 2 &amp; 3'!$F$16</f>
        <v>5.7545041579219434E-3</v>
      </c>
      <c r="R644" s="93">
        <f>B644*'Portfolio 2 &amp; 3'!$B$23+C644*'Portfolio 2 &amp; 3'!$B$24+D644*'Portfolio 2 &amp; 3'!$B$25+E644*'Portfolio 2 &amp; 3'!$B$26+F644*'Portfolio 2 &amp; 3'!$B$27+G644*'Portfolio 2 &amp; 3'!$B$28+H644*'Portfolio 2 &amp; 3'!$B$29+I644*'Portfolio 2 &amp; 3'!$B$30+J644*'Portfolio 2 &amp; 3'!$B$31+K644*'Portfolio 2 &amp; 3'!$B$32</f>
        <v>1.8274266406880287E-3</v>
      </c>
      <c r="S644" s="93">
        <f t="shared" si="32"/>
        <v>4.2958759258992507E-3</v>
      </c>
    </row>
    <row r="645" spans="1:19" ht="12.75" customHeight="1">
      <c r="A645" s="82">
        <v>45135</v>
      </c>
      <c r="B645" s="53">
        <v>1.49E-2</v>
      </c>
      <c r="C645" s="53">
        <v>2.23351543641215E-2</v>
      </c>
      <c r="D645" s="53">
        <v>-4.5606567345697398E-3</v>
      </c>
      <c r="E645" s="53">
        <v>3.4499999999999999E-3</v>
      </c>
      <c r="F645" s="53">
        <v>-1.38568129330254E-2</v>
      </c>
      <c r="G645" s="53">
        <v>-9.6612327433407402E-3</v>
      </c>
      <c r="H645" s="87">
        <v>4.7159357852655202E-3</v>
      </c>
      <c r="I645" s="53">
        <v>5.0649636643911302E-3</v>
      </c>
      <c r="J645" s="53">
        <v>-2.0970641102456798E-3</v>
      </c>
      <c r="K645" s="53">
        <v>9.6732238660381907E-3</v>
      </c>
      <c r="L645" s="95">
        <f>IFERROR(B645*'Stock Statistics'!$C$41+C645*'Stock Statistics'!$C$42+D645*'Stock Statistics'!$C$43+E645*'Stock Statistics'!$C$44+F645*'Stock Statistics'!$C$45+G645*'Stock Statistics'!$C$46+H645*'Stock Statistics'!$C$47+I645*'Stock Statistics'!$C$48+J645*'Stock Statistics'!$C$49+K645*'Stock Statistics'!$C$50,"")</f>
        <v>2.9963511158634781E-3</v>
      </c>
      <c r="M645" s="97">
        <v>308.56189999999998</v>
      </c>
      <c r="N645" s="96">
        <v>358.75819999999999</v>
      </c>
      <c r="O645" s="93">
        <f t="shared" si="30"/>
        <v>1.1394802321917918E-3</v>
      </c>
      <c r="P645" s="93">
        <f t="shared" si="31"/>
        <v>5.6175948643617524E-3</v>
      </c>
      <c r="Q645" s="93">
        <f>B645*'Portfolio 2 &amp; 3'!$F$7+C645*'Portfolio 2 &amp; 3'!$F$8+D645*'Portfolio 2 &amp; 3'!$F$9+E645*'Portfolio 2 &amp; 3'!$F$10+F645*'Portfolio 2 &amp; 3'!$F$11+G645*'Portfolio 2 &amp; 3'!$F$12+H645*'Portfolio 2 &amp; 3'!$F$13+I645*'Portfolio 2 &amp; 3'!$F$14+J645*'Portfolio 2 &amp; 3'!$F$15+K645*'Portfolio 2 &amp; 3'!$F$16</f>
        <v>2.505898401394886E-3</v>
      </c>
      <c r="R645" s="93">
        <f>B645*'Portfolio 2 &amp; 3'!$B$23+C645*'Portfolio 2 &amp; 3'!$B$24+D645*'Portfolio 2 &amp; 3'!$B$25+E645*'Portfolio 2 &amp; 3'!$B$26+F645*'Portfolio 2 &amp; 3'!$B$27+G645*'Portfolio 2 &amp; 3'!$B$28+H645*'Portfolio 2 &amp; 3'!$B$29+I645*'Portfolio 2 &amp; 3'!$B$30+J645*'Portfolio 2 &amp; 3'!$B$31+K645*'Portfolio 2 &amp; 3'!$B$32</f>
        <v>5.1659625645518216E-3</v>
      </c>
      <c r="S645" s="93">
        <f t="shared" si="32"/>
        <v>3.3785375482767721E-3</v>
      </c>
    </row>
    <row r="646" spans="1:19" ht="12.75" customHeight="1">
      <c r="A646" s="81">
        <v>45134</v>
      </c>
      <c r="B646" s="53">
        <v>3.3099999999999997E-2</v>
      </c>
      <c r="C646" s="53">
        <v>-1.2793176972281399E-2</v>
      </c>
      <c r="D646" s="53">
        <v>-1.76224611708483E-2</v>
      </c>
      <c r="E646" s="53">
        <v>1.379E-2</v>
      </c>
      <c r="F646" s="53">
        <v>4.2954636692091402E-2</v>
      </c>
      <c r="G646" s="53">
        <v>6.3055820730542099E-3</v>
      </c>
      <c r="H646" s="87">
        <v>1.02901665771091E-2</v>
      </c>
      <c r="I646" s="53">
        <v>-7.1712798985527097E-3</v>
      </c>
      <c r="J646" s="53">
        <v>-8.5288751219926295E-3</v>
      </c>
      <c r="K646" s="53">
        <v>1.4040390163484E-2</v>
      </c>
      <c r="L646" s="95">
        <f>IFERROR(B646*'Stock Statistics'!$C$41+C646*'Stock Statistics'!$C$42+D646*'Stock Statistics'!$C$43+E646*'Stock Statistics'!$C$44+F646*'Stock Statistics'!$C$45+G646*'Stock Statistics'!$C$46+H646*'Stock Statistics'!$C$47+I646*'Stock Statistics'!$C$48+J646*'Stock Statistics'!$C$49+K646*'Stock Statistics'!$C$50,"")</f>
        <v>7.4364982342063676E-3</v>
      </c>
      <c r="M646" s="96">
        <v>308.21069999999997</v>
      </c>
      <c r="N646" s="97">
        <v>356.75409999999999</v>
      </c>
      <c r="O646" s="93">
        <f t="shared" si="30"/>
        <v>1.9341347111051288E-2</v>
      </c>
      <c r="P646" s="93">
        <f t="shared" si="31"/>
        <v>-1.5756312810105699E-3</v>
      </c>
      <c r="Q646" s="93">
        <f>B646*'Portfolio 2 &amp; 3'!$F$7+C646*'Portfolio 2 &amp; 3'!$F$8+D646*'Portfolio 2 &amp; 3'!$F$9+E646*'Portfolio 2 &amp; 3'!$F$10+F646*'Portfolio 2 &amp; 3'!$F$11+G646*'Portfolio 2 &amp; 3'!$F$12+H646*'Portfolio 2 &amp; 3'!$F$13+I646*'Portfolio 2 &amp; 3'!$F$14+J646*'Portfolio 2 &amp; 3'!$F$15+K646*'Portfolio 2 &amp; 3'!$F$16</f>
        <v>5.3299559594397194E-3</v>
      </c>
      <c r="R646" s="93">
        <f>B646*'Portfolio 2 &amp; 3'!$B$23+C646*'Portfolio 2 &amp; 3'!$B$24+D646*'Portfolio 2 &amp; 3'!$B$25+E646*'Portfolio 2 &amp; 3'!$B$26+F646*'Portfolio 2 &amp; 3'!$B$27+G646*'Portfolio 2 &amp; 3'!$B$28+H646*'Portfolio 2 &amp; 3'!$B$29+I646*'Portfolio 2 &amp; 3'!$B$30+J646*'Portfolio 2 &amp; 3'!$B$31+K646*'Portfolio 2 &amp; 3'!$B$32</f>
        <v>8.6491596130872633E-3</v>
      </c>
      <c r="S646" s="93">
        <f t="shared" si="32"/>
        <v>8.882857915020359E-3</v>
      </c>
    </row>
    <row r="647" spans="1:19" ht="12.75" customHeight="1">
      <c r="A647" s="82">
        <v>45133</v>
      </c>
      <c r="B647" s="53">
        <v>-1.8E-3</v>
      </c>
      <c r="C647" s="53">
        <v>1.94784794219283E-3</v>
      </c>
      <c r="D647" s="53">
        <v>1.73538387888228E-3</v>
      </c>
      <c r="E647" s="53">
        <v>-1.1169999999999999E-2</v>
      </c>
      <c r="F647" s="53">
        <v>1.6083634901487001E-3</v>
      </c>
      <c r="G647" s="53">
        <v>-8.5341365461855101E-4</v>
      </c>
      <c r="H647" s="87">
        <v>1.38006173960414E-2</v>
      </c>
      <c r="I647" s="53">
        <v>4.3729228616395903E-5</v>
      </c>
      <c r="J647" s="53">
        <v>2.85106382978717E-3</v>
      </c>
      <c r="K647" s="53">
        <v>-1.21597046928861E-2</v>
      </c>
      <c r="L647" s="95">
        <f>IFERROR(B647*'Stock Statistics'!$C$41+C647*'Stock Statistics'!$C$42+D647*'Stock Statistics'!$C$43+E647*'Stock Statistics'!$C$44+F647*'Stock Statistics'!$C$45+G647*'Stock Statistics'!$C$46+H647*'Stock Statistics'!$C$47+I647*'Stock Statistics'!$C$48+J647*'Stock Statistics'!$C$49+K647*'Stock Statistics'!$C$50,"")</f>
        <v>-3.9961125818358705E-4</v>
      </c>
      <c r="M647" s="97">
        <v>302.36259999999999</v>
      </c>
      <c r="N647" s="96">
        <v>357.31709999999998</v>
      </c>
      <c r="O647" s="93">
        <f t="shared" si="30"/>
        <v>-7.0986124916796456E-3</v>
      </c>
      <c r="P647" s="93">
        <f t="shared" si="31"/>
        <v>7.6874440200431771E-3</v>
      </c>
      <c r="Q647" s="93">
        <f>B647*'Portfolio 2 &amp; 3'!$F$7+C647*'Portfolio 2 &amp; 3'!$F$8+D647*'Portfolio 2 &amp; 3'!$F$9+E647*'Portfolio 2 &amp; 3'!$F$10+F647*'Portfolio 2 &amp; 3'!$F$11+G647*'Portfolio 2 &amp; 3'!$F$12+H647*'Portfolio 2 &amp; 3'!$F$13+I647*'Portfolio 2 &amp; 3'!$F$14+J647*'Portfolio 2 &amp; 3'!$F$15+K647*'Portfolio 2 &amp; 3'!$F$16</f>
        <v>1.3257195069853122E-3</v>
      </c>
      <c r="R647" s="93">
        <f>B647*'Portfolio 2 &amp; 3'!$B$23+C647*'Portfolio 2 &amp; 3'!$B$24+D647*'Portfolio 2 &amp; 3'!$B$25+E647*'Portfolio 2 &amp; 3'!$B$26+F647*'Portfolio 2 &amp; 3'!$B$27+G647*'Portfolio 2 &amp; 3'!$B$28+H647*'Portfolio 2 &amp; 3'!$B$29+I647*'Portfolio 2 &amp; 3'!$B$30+J647*'Portfolio 2 &amp; 3'!$B$31+K647*'Portfolio 2 &amp; 3'!$B$32</f>
        <v>-2.0965412516220795E-4</v>
      </c>
      <c r="S647" s="93">
        <f t="shared" si="32"/>
        <v>2.9441576418176574E-4</v>
      </c>
    </row>
    <row r="648" spans="1:19" ht="12.75" customHeight="1">
      <c r="A648" s="81">
        <v>45132</v>
      </c>
      <c r="B648" s="53">
        <v>-8.0000000000000002E-3</v>
      </c>
      <c r="C648" s="53">
        <v>-4.2420602147308396E-3</v>
      </c>
      <c r="D648" s="53">
        <v>5.8395085185888797E-2</v>
      </c>
      <c r="E648" s="53">
        <v>2.479E-2</v>
      </c>
      <c r="F648" s="53">
        <v>1.2952101661779101E-2</v>
      </c>
      <c r="G648" s="53">
        <v>1.07570529734118E-2</v>
      </c>
      <c r="H648" s="87">
        <v>5.7253476756184999E-3</v>
      </c>
      <c r="I648" s="53">
        <v>4.25980413684091E-3</v>
      </c>
      <c r="J648" s="53">
        <v>-2.37731363559179E-3</v>
      </c>
      <c r="K648" s="53">
        <v>-1.46427568500021E-2</v>
      </c>
      <c r="L648" s="95">
        <f>IFERROR(B648*'Stock Statistics'!$C$41+C648*'Stock Statistics'!$C$42+D648*'Stock Statistics'!$C$43+E648*'Stock Statistics'!$C$44+F648*'Stock Statistics'!$C$45+G648*'Stock Statistics'!$C$46+H648*'Stock Statistics'!$C$47+I648*'Stock Statistics'!$C$48+J648*'Stock Statistics'!$C$49+K648*'Stock Statistics'!$C$50,"")</f>
        <v>8.7617260933214383E-3</v>
      </c>
      <c r="M648" s="96">
        <v>304.52429999999998</v>
      </c>
      <c r="N648" s="97">
        <v>354.59120000000001</v>
      </c>
      <c r="O648" s="93">
        <f t="shared" si="30"/>
        <v>4.8907379896265812E-3</v>
      </c>
      <c r="P648" s="93">
        <f t="shared" si="31"/>
        <v>7.353922953978298E-3</v>
      </c>
      <c r="Q648" s="93">
        <f>B648*'Portfolio 2 &amp; 3'!$F$7+C648*'Portfolio 2 &amp; 3'!$F$8+D648*'Portfolio 2 &amp; 3'!$F$9+E648*'Portfolio 2 &amp; 3'!$F$10+F648*'Portfolio 2 &amp; 3'!$F$11+G648*'Portfolio 2 &amp; 3'!$F$12+H648*'Portfolio 2 &amp; 3'!$F$13+I648*'Portfolio 2 &amp; 3'!$F$14+J648*'Portfolio 2 &amp; 3'!$F$15+K648*'Portfolio 2 &amp; 3'!$F$16</f>
        <v>1.0364293300109411E-2</v>
      </c>
      <c r="R648" s="93">
        <f>B648*'Portfolio 2 &amp; 3'!$B$23+C648*'Portfolio 2 &amp; 3'!$B$24+D648*'Portfolio 2 &amp; 3'!$B$25+E648*'Portfolio 2 &amp; 3'!$B$26+F648*'Portfolio 2 &amp; 3'!$B$27+G648*'Portfolio 2 &amp; 3'!$B$28+H648*'Portfolio 2 &amp; 3'!$B$29+I648*'Portfolio 2 &amp; 3'!$B$30+J648*'Portfolio 2 &amp; 3'!$B$31+K648*'Portfolio 2 &amp; 3'!$B$32</f>
        <v>1.9282476335400144E-3</v>
      </c>
      <c r="S648" s="93">
        <f t="shared" si="32"/>
        <v>6.1223304718024396E-3</v>
      </c>
    </row>
    <row r="649" spans="1:19" ht="12.75" customHeight="1">
      <c r="A649" s="82">
        <v>45131</v>
      </c>
      <c r="B649" s="53">
        <v>-5.0000000000000001E-4</v>
      </c>
      <c r="C649" s="53">
        <v>-8.1050554197128494E-3</v>
      </c>
      <c r="D649" s="53">
        <v>2.1580450650586802E-3</v>
      </c>
      <c r="E649" s="53">
        <v>4.2999999999999999E-4</v>
      </c>
      <c r="F649" s="53">
        <v>9.7847358121305695E-4</v>
      </c>
      <c r="G649" s="53">
        <v>-8.61850443599543E-4</v>
      </c>
      <c r="H649" s="87">
        <v>9.2619898993622201E-3</v>
      </c>
      <c r="I649" s="53">
        <v>3.1719459007004702E-3</v>
      </c>
      <c r="J649" s="53">
        <v>5.4206325494046102E-3</v>
      </c>
      <c r="K649" s="53">
        <v>-7.6164515353160901E-4</v>
      </c>
      <c r="L649" s="95">
        <f>IFERROR(B649*'Stock Statistics'!$C$41+C649*'Stock Statistics'!$C$42+D649*'Stock Statistics'!$C$43+E649*'Stock Statistics'!$C$44+F649*'Stock Statistics'!$C$45+G649*'Stock Statistics'!$C$46+H649*'Stock Statistics'!$C$47+I649*'Stock Statistics'!$C$48+J649*'Stock Statistics'!$C$49+K649*'Stock Statistics'!$C$50,"")</f>
        <v>1.1192535978895037E-3</v>
      </c>
      <c r="M649" s="97">
        <v>303.04219999999998</v>
      </c>
      <c r="N649" s="96">
        <v>352.00259999999997</v>
      </c>
      <c r="O649" s="93">
        <f t="shared" si="30"/>
        <v>-3.8606993673417911E-5</v>
      </c>
      <c r="P649" s="93">
        <f t="shared" si="31"/>
        <v>-9.0580434333408233E-3</v>
      </c>
      <c r="Q649" s="93">
        <f>B649*'Portfolio 2 &amp; 3'!$F$7+C649*'Portfolio 2 &amp; 3'!$F$8+D649*'Portfolio 2 &amp; 3'!$F$9+E649*'Portfolio 2 &amp; 3'!$F$10+F649*'Portfolio 2 &amp; 3'!$F$11+G649*'Portfolio 2 &amp; 3'!$F$12+H649*'Portfolio 2 &amp; 3'!$F$13+I649*'Portfolio 2 &amp; 3'!$F$14+J649*'Portfolio 2 &amp; 3'!$F$15+K649*'Portfolio 2 &amp; 3'!$F$16</f>
        <v>2.0667167617363495E-3</v>
      </c>
      <c r="R649" s="93">
        <f>B649*'Portfolio 2 &amp; 3'!$B$23+C649*'Portfolio 2 &amp; 3'!$B$24+D649*'Portfolio 2 &amp; 3'!$B$25+E649*'Portfolio 2 &amp; 3'!$B$26+F649*'Portfolio 2 &amp; 3'!$B$27+G649*'Portfolio 2 &amp; 3'!$B$28+H649*'Portfolio 2 &amp; 3'!$B$29+I649*'Portfolio 2 &amp; 3'!$B$30+J649*'Portfolio 2 &amp; 3'!$B$31+K649*'Portfolio 2 &amp; 3'!$B$32</f>
        <v>-3.4329040645231115E-4</v>
      </c>
      <c r="S649" s="93">
        <f t="shared" si="32"/>
        <v>-4.5483252135071206E-3</v>
      </c>
    </row>
    <row r="650" spans="1:19" ht="12.75" customHeight="1">
      <c r="A650" s="81">
        <v>45128</v>
      </c>
      <c r="B650" s="53">
        <v>-2.0299999999999999E-2</v>
      </c>
      <c r="C650" s="53">
        <v>5.8553272241503897E-3</v>
      </c>
      <c r="D650" s="53">
        <v>3.1198268177767799E-3</v>
      </c>
      <c r="E650" s="53">
        <v>-3.6999999999999999E-4</v>
      </c>
      <c r="F650" s="53">
        <v>-7.0439640514936598E-3</v>
      </c>
      <c r="G650" s="53">
        <v>1.6228748068006098E-2</v>
      </c>
      <c r="H650" s="87">
        <v>6.2503477567372699E-3</v>
      </c>
      <c r="I650" s="53">
        <v>2.06384892086331E-2</v>
      </c>
      <c r="J650" s="53">
        <v>9.6350023397286003E-2</v>
      </c>
      <c r="K650" s="53">
        <v>1.6696327894686801E-2</v>
      </c>
      <c r="L650" s="95">
        <f>IFERROR(B650*'Stock Statistics'!$C$41+C650*'Stock Statistics'!$C$42+D650*'Stock Statistics'!$C$43+E650*'Stock Statistics'!$C$44+F650*'Stock Statistics'!$C$45+G650*'Stock Statistics'!$C$46+H650*'Stock Statistics'!$C$47+I650*'Stock Statistics'!$C$48+J650*'Stock Statistics'!$C$49+K650*'Stock Statistics'!$C$50,"")</f>
        <v>1.3742512631578279E-2</v>
      </c>
      <c r="M650" s="96">
        <v>303.0539</v>
      </c>
      <c r="N650" s="97">
        <v>355.22019999999998</v>
      </c>
      <c r="O650" s="93">
        <f t="shared" si="30"/>
        <v>-3.7866705896749675E-4</v>
      </c>
      <c r="P650" s="93">
        <f t="shared" si="31"/>
        <v>1.027164864568153E-2</v>
      </c>
      <c r="Q650" s="93">
        <f>B650*'Portfolio 2 &amp; 3'!$F$7+C650*'Portfolio 2 &amp; 3'!$F$8+D650*'Portfolio 2 &amp; 3'!$F$9+E650*'Portfolio 2 &amp; 3'!$F$10+F650*'Portfolio 2 &amp; 3'!$F$11+G650*'Portfolio 2 &amp; 3'!$F$12+H650*'Portfolio 2 &amp; 3'!$F$13+I650*'Portfolio 2 &amp; 3'!$F$14+J650*'Portfolio 2 &amp; 3'!$F$15+K650*'Portfolio 2 &amp; 3'!$F$16</f>
        <v>1.7866932314137701E-2</v>
      </c>
      <c r="R650" s="93">
        <f>B650*'Portfolio 2 &amp; 3'!$B$23+C650*'Portfolio 2 &amp; 3'!$B$24+D650*'Portfolio 2 &amp; 3'!$B$25+E650*'Portfolio 2 &amp; 3'!$B$26+F650*'Portfolio 2 &amp; 3'!$B$27+G650*'Portfolio 2 &amp; 3'!$B$28+H650*'Portfolio 2 &amp; 3'!$B$29+I650*'Portfolio 2 &amp; 3'!$B$30+J650*'Portfolio 2 &amp; 3'!$B$31+K650*'Portfolio 2 &amp; 3'!$B$32</f>
        <v>9.0060074024843843E-3</v>
      </c>
      <c r="S650" s="93">
        <f t="shared" si="32"/>
        <v>4.9464907933570168E-3</v>
      </c>
    </row>
    <row r="651" spans="1:19" ht="12.75" customHeight="1">
      <c r="A651" s="82">
        <v>45127</v>
      </c>
      <c r="B651" s="53">
        <v>8.3999999999999995E-3</v>
      </c>
      <c r="C651" s="53">
        <v>1.37319175325579E-2</v>
      </c>
      <c r="D651" s="53">
        <v>7.3760502854209901E-3</v>
      </c>
      <c r="E651" s="53">
        <v>-1.07E-3</v>
      </c>
      <c r="F651" s="53">
        <v>1.6543209876543199E-2</v>
      </c>
      <c r="G651" s="53">
        <v>1.16054158607359E-3</v>
      </c>
      <c r="H651" s="87">
        <v>1.9571877009190199E-2</v>
      </c>
      <c r="I651" s="53">
        <v>1.5478745262773401E-2</v>
      </c>
      <c r="J651" s="53">
        <v>1.30362645176583E-2</v>
      </c>
      <c r="K651" s="53">
        <v>-1.04721191590043E-2</v>
      </c>
      <c r="L651" s="95">
        <f>IFERROR(B651*'Stock Statistics'!$C$41+C651*'Stock Statistics'!$C$42+D651*'Stock Statistics'!$C$43+E651*'Stock Statistics'!$C$44+F651*'Stock Statistics'!$C$45+G651*'Stock Statistics'!$C$46+H651*'Stock Statistics'!$C$47+I651*'Stock Statistics'!$C$48+J651*'Stock Statistics'!$C$49+K651*'Stock Statistics'!$C$50,"")</f>
        <v>8.375648691121328E-3</v>
      </c>
      <c r="M651" s="97">
        <v>303.1687</v>
      </c>
      <c r="N651" s="96">
        <v>351.60860000000002</v>
      </c>
      <c r="O651" s="93">
        <f t="shared" si="30"/>
        <v>8.219567132506489E-3</v>
      </c>
      <c r="P651" s="93">
        <f t="shared" si="31"/>
        <v>1.2088345437222481E-2</v>
      </c>
      <c r="Q651" s="93">
        <f>B651*'Portfolio 2 &amp; 3'!$F$7+C651*'Portfolio 2 &amp; 3'!$F$8+D651*'Portfolio 2 &amp; 3'!$F$9+E651*'Portfolio 2 &amp; 3'!$F$10+F651*'Portfolio 2 &amp; 3'!$F$11+G651*'Portfolio 2 &amp; 3'!$F$12+H651*'Portfolio 2 &amp; 3'!$F$13+I651*'Portfolio 2 &amp; 3'!$F$14+J651*'Portfolio 2 &amp; 3'!$F$15+K651*'Portfolio 2 &amp; 3'!$F$16</f>
        <v>1.0152116007635098E-2</v>
      </c>
      <c r="R651" s="93">
        <f>B651*'Portfolio 2 &amp; 3'!$B$23+C651*'Portfolio 2 &amp; 3'!$B$24+D651*'Portfolio 2 &amp; 3'!$B$25+E651*'Portfolio 2 &amp; 3'!$B$26+F651*'Portfolio 2 &amp; 3'!$B$27+G651*'Portfolio 2 &amp; 3'!$B$28+H651*'Portfolio 2 &amp; 3'!$B$29+I651*'Portfolio 2 &amp; 3'!$B$30+J651*'Portfolio 2 &amp; 3'!$B$31+K651*'Portfolio 2 &amp; 3'!$B$32</f>
        <v>1.0559220062577715E-2</v>
      </c>
      <c r="S651" s="93">
        <f t="shared" si="32"/>
        <v>1.0153956284864485E-2</v>
      </c>
    </row>
    <row r="652" spans="1:19" ht="12.75" customHeight="1">
      <c r="A652" s="81">
        <v>45126</v>
      </c>
      <c r="B652" s="53">
        <v>5.3E-3</v>
      </c>
      <c r="C652" s="53">
        <v>4.46480511925538E-2</v>
      </c>
      <c r="D652" s="53">
        <v>8.9955992751746799E-3</v>
      </c>
      <c r="E652" s="53">
        <v>-8.26E-3</v>
      </c>
      <c r="F652" s="53">
        <v>9.0524042853583602E-3</v>
      </c>
      <c r="G652" s="53">
        <v>4.3515424663922398E-3</v>
      </c>
      <c r="H652" s="87">
        <v>-9.5705429550690998E-3</v>
      </c>
      <c r="I652" s="53">
        <v>-4.8618684114868404E-3</v>
      </c>
      <c r="J652" s="53">
        <v>5.52933886267226E-3</v>
      </c>
      <c r="K652" s="53">
        <v>9.0613130765058204E-3</v>
      </c>
      <c r="L652" s="95">
        <f>IFERROR(B652*'Stock Statistics'!$C$41+C652*'Stock Statistics'!$C$42+D652*'Stock Statistics'!$C$43+E652*'Stock Statistics'!$C$44+F652*'Stock Statistics'!$C$45+G652*'Stock Statistics'!$C$46+H652*'Stock Statistics'!$C$47+I652*'Stock Statistics'!$C$48+J652*'Stock Statistics'!$C$49+K652*'Stock Statistics'!$C$50,"")</f>
        <v>6.4245837792101211E-3</v>
      </c>
      <c r="M652" s="96">
        <v>300.69709999999998</v>
      </c>
      <c r="N652" s="97">
        <v>347.40899999999999</v>
      </c>
      <c r="O652" s="93">
        <f t="shared" si="30"/>
        <v>1.1805294077466666E-2</v>
      </c>
      <c r="P652" s="93">
        <f t="shared" si="31"/>
        <v>2.5250394951292776E-4</v>
      </c>
      <c r="Q652" s="93">
        <f>B652*'Portfolio 2 &amp; 3'!$F$7+C652*'Portfolio 2 &amp; 3'!$F$8+D652*'Portfolio 2 &amp; 3'!$F$9+E652*'Portfolio 2 &amp; 3'!$F$10+F652*'Portfolio 2 &amp; 3'!$F$11+G652*'Portfolio 2 &amp; 3'!$F$12+H652*'Portfolio 2 &amp; 3'!$F$13+I652*'Portfolio 2 &amp; 3'!$F$14+J652*'Portfolio 2 &amp; 3'!$F$15+K652*'Portfolio 2 &amp; 3'!$F$16</f>
        <v>5.9911342020263899E-3</v>
      </c>
      <c r="R652" s="93">
        <f>B652*'Portfolio 2 &amp; 3'!$B$23+C652*'Portfolio 2 &amp; 3'!$B$24+D652*'Portfolio 2 &amp; 3'!$B$25+E652*'Portfolio 2 &amp; 3'!$B$26+F652*'Portfolio 2 &amp; 3'!$B$27+G652*'Portfolio 2 &amp; 3'!$B$28+H652*'Portfolio 2 &amp; 3'!$B$29+I652*'Portfolio 2 &amp; 3'!$B$30+J652*'Portfolio 2 &amp; 3'!$B$31+K652*'Portfolio 2 &amp; 3'!$B$32</f>
        <v>1.0704789435090307E-2</v>
      </c>
      <c r="S652" s="93">
        <f t="shared" si="32"/>
        <v>6.0288990134897968E-3</v>
      </c>
    </row>
    <row r="653" spans="1:19" ht="12.75" customHeight="1">
      <c r="A653" s="82">
        <v>45125</v>
      </c>
      <c r="B653" s="53">
        <v>8.3999999999999995E-3</v>
      </c>
      <c r="C653" s="53">
        <v>2.1845742309407199E-2</v>
      </c>
      <c r="D653" s="53">
        <v>2.8624683797097601E-2</v>
      </c>
      <c r="E653" s="53">
        <v>1.0840000000000001E-2</v>
      </c>
      <c r="F653" s="53">
        <v>-1.6582372937566901E-3</v>
      </c>
      <c r="G653" s="53">
        <v>3.0136915123015798E-3</v>
      </c>
      <c r="H653" s="87">
        <v>2.25899432139198E-2</v>
      </c>
      <c r="I653" s="53">
        <v>2.9622202980448299E-3</v>
      </c>
      <c r="J653" s="53">
        <v>0</v>
      </c>
      <c r="K653" s="53">
        <v>-6.2359352547247703E-4</v>
      </c>
      <c r="L653" s="95">
        <f>IFERROR(B653*'Stock Statistics'!$C$41+C653*'Stock Statistics'!$C$42+D653*'Stock Statistics'!$C$43+E653*'Stock Statistics'!$C$44+F653*'Stock Statistics'!$C$45+G653*'Stock Statistics'!$C$46+H653*'Stock Statistics'!$C$47+I653*'Stock Statistics'!$C$48+J653*'Stock Statistics'!$C$49+K653*'Stock Statistics'!$C$50,"")</f>
        <v>9.5994450311541833E-3</v>
      </c>
      <c r="M653" s="97">
        <v>297.18869999999998</v>
      </c>
      <c r="N653" s="96">
        <v>347.32130000000001</v>
      </c>
      <c r="O653" s="93">
        <f t="shared" si="30"/>
        <v>-7.8265166108576478E-3</v>
      </c>
      <c r="P653" s="93">
        <f t="shared" si="31"/>
        <v>-6.9321775987015721E-3</v>
      </c>
      <c r="Q653" s="93">
        <f>B653*'Portfolio 2 &amp; 3'!$F$7+C653*'Portfolio 2 &amp; 3'!$F$8+D653*'Portfolio 2 &amp; 3'!$F$9+E653*'Portfolio 2 &amp; 3'!$F$10+F653*'Portfolio 2 &amp; 3'!$F$11+G653*'Portfolio 2 &amp; 3'!$F$12+H653*'Portfolio 2 &amp; 3'!$F$13+I653*'Portfolio 2 &amp; 3'!$F$14+J653*'Portfolio 2 &amp; 3'!$F$15+K653*'Portfolio 2 &amp; 3'!$F$16</f>
        <v>1.117564209224747E-2</v>
      </c>
      <c r="R653" s="93">
        <f>B653*'Portfolio 2 &amp; 3'!$B$23+C653*'Portfolio 2 &amp; 3'!$B$24+D653*'Portfolio 2 &amp; 3'!$B$25+E653*'Portfolio 2 &amp; 3'!$B$26+F653*'Portfolio 2 &amp; 3'!$B$27+G653*'Portfolio 2 &amp; 3'!$B$28+H653*'Portfolio 2 &amp; 3'!$B$29+I653*'Portfolio 2 &amp; 3'!$B$30+J653*'Portfolio 2 &amp; 3'!$B$31+K653*'Portfolio 2 &amp; 3'!$B$32</f>
        <v>7.0790087131143795E-3</v>
      </c>
      <c r="S653" s="93">
        <f t="shared" si="32"/>
        <v>-7.37934710477961E-3</v>
      </c>
    </row>
    <row r="654" spans="1:19" ht="12.75" customHeight="1">
      <c r="A654" s="81">
        <v>45124</v>
      </c>
      <c r="B654" s="53">
        <v>-6.1000000000000004E-3</v>
      </c>
      <c r="C654" s="53">
        <v>2.9402997208747301E-3</v>
      </c>
      <c r="D654" s="53">
        <v>-2.6556898154295201E-3</v>
      </c>
      <c r="E654" s="53">
        <v>-2.4099999999999998E-3</v>
      </c>
      <c r="F654" s="53">
        <v>1.2933568489123901E-2</v>
      </c>
      <c r="G654" s="53">
        <v>-2.0482240082966298E-3</v>
      </c>
      <c r="H654" s="87">
        <v>5.8466576767481904E-3</v>
      </c>
      <c r="I654" s="53">
        <v>-4.5551860793513498E-4</v>
      </c>
      <c r="J654" s="53">
        <v>-7.1932232265391497E-3</v>
      </c>
      <c r="K654" s="53">
        <v>5.9320069274930703E-3</v>
      </c>
      <c r="L654" s="95">
        <f>IFERROR(B654*'Stock Statistics'!$C$41+C654*'Stock Statistics'!$C$42+D654*'Stock Statistics'!$C$43+E654*'Stock Statistics'!$C$44+F654*'Stock Statistics'!$C$45+G654*'Stock Statistics'!$C$46+H654*'Stock Statistics'!$C$47+I654*'Stock Statistics'!$C$48+J654*'Stock Statistics'!$C$49+K654*'Stock Statistics'!$C$50,"")</f>
        <v>6.7898771560394571E-4</v>
      </c>
      <c r="M654" s="96">
        <v>299.53300000000002</v>
      </c>
      <c r="N654" s="97">
        <v>349.74579999999997</v>
      </c>
      <c r="O654" s="93">
        <f t="shared" si="30"/>
        <v>4.2536099694130414E-3</v>
      </c>
      <c r="P654" s="93">
        <f t="shared" si="31"/>
        <v>9.1151821795765198E-3</v>
      </c>
      <c r="Q654" s="93">
        <f>B654*'Portfolio 2 &amp; 3'!$F$7+C654*'Portfolio 2 &amp; 3'!$F$8+D654*'Portfolio 2 &amp; 3'!$F$9+E654*'Portfolio 2 &amp; 3'!$F$10+F654*'Portfolio 2 &amp; 3'!$F$11+G654*'Portfolio 2 &amp; 3'!$F$12+H654*'Portfolio 2 &amp; 3'!$F$13+I654*'Portfolio 2 &amp; 3'!$F$14+J654*'Portfolio 2 &amp; 3'!$F$15+K654*'Portfolio 2 &amp; 3'!$F$16</f>
        <v>9.0907574070643897E-4</v>
      </c>
      <c r="R654" s="93">
        <f>B654*'Portfolio 2 &amp; 3'!$B$23+C654*'Portfolio 2 &amp; 3'!$B$24+D654*'Portfolio 2 &amp; 3'!$B$25+E654*'Portfolio 2 &amp; 3'!$B$26+F654*'Portfolio 2 &amp; 3'!$B$27+G654*'Portfolio 2 &amp; 3'!$B$28+H654*'Portfolio 2 &amp; 3'!$B$29+I654*'Portfolio 2 &amp; 3'!$B$30+J654*'Portfolio 2 &amp; 3'!$B$31+K654*'Portfolio 2 &amp; 3'!$B$32</f>
        <v>1.8695995432108383E-3</v>
      </c>
      <c r="S654" s="93">
        <f t="shared" si="32"/>
        <v>6.6843960744947806E-3</v>
      </c>
    </row>
    <row r="655" spans="1:19" ht="12.75" customHeight="1">
      <c r="A655" s="82">
        <v>45121</v>
      </c>
      <c r="B655" s="53">
        <v>-4.1999999999999997E-3</v>
      </c>
      <c r="C655" s="53">
        <v>1.39169379988735E-2</v>
      </c>
      <c r="D655" s="53">
        <v>2.2053335142837801E-2</v>
      </c>
      <c r="E655" s="53">
        <v>-4.8000000000000001E-4</v>
      </c>
      <c r="F655" s="53">
        <v>6.5939639868119997E-3</v>
      </c>
      <c r="G655" s="53">
        <v>-7.3605106032530497E-3</v>
      </c>
      <c r="H655" s="87">
        <v>-7.40953200439787E-3</v>
      </c>
      <c r="I655" s="53">
        <v>1.4604612469381301E-2</v>
      </c>
      <c r="J655" s="53">
        <v>2.0032824869666E-2</v>
      </c>
      <c r="K655" s="53">
        <v>7.8338670441582305E-3</v>
      </c>
      <c r="L655" s="95">
        <f>IFERROR(B655*'Stock Statistics'!$C$41+C655*'Stock Statistics'!$C$42+D655*'Stock Statistics'!$C$43+E655*'Stock Statistics'!$C$44+F655*'Stock Statistics'!$C$45+G655*'Stock Statistics'!$C$46+H655*'Stock Statistics'!$C$47+I655*'Stock Statistics'!$C$48+J655*'Stock Statistics'!$C$49+K655*'Stock Statistics'!$C$50,"")</f>
        <v>6.5585498904077921E-3</v>
      </c>
      <c r="M655" s="97">
        <v>298.26429999999999</v>
      </c>
      <c r="N655" s="96">
        <v>346.58659999999998</v>
      </c>
      <c r="O655" s="93">
        <f t="shared" si="30"/>
        <v>7.7483942683573837E-3</v>
      </c>
      <c r="P655" s="93">
        <f t="shared" si="31"/>
        <v>4.1625392329533994E-3</v>
      </c>
      <c r="Q655" s="93">
        <f>B655*'Portfolio 2 &amp; 3'!$F$7+C655*'Portfolio 2 &amp; 3'!$F$8+D655*'Portfolio 2 &amp; 3'!$F$9+E655*'Portfolio 2 &amp; 3'!$F$10+F655*'Portfolio 2 &amp; 3'!$F$11+G655*'Portfolio 2 &amp; 3'!$F$12+H655*'Portfolio 2 &amp; 3'!$F$13+I655*'Portfolio 2 &amp; 3'!$F$14+J655*'Portfolio 2 &amp; 3'!$F$15+K655*'Portfolio 2 &amp; 3'!$F$16</f>
        <v>7.8107421355731576E-3</v>
      </c>
      <c r="R655" s="93">
        <f>B655*'Portfolio 2 &amp; 3'!$B$23+C655*'Portfolio 2 &amp; 3'!$B$24+D655*'Portfolio 2 &amp; 3'!$B$25+E655*'Portfolio 2 &amp; 3'!$B$26+F655*'Portfolio 2 &amp; 3'!$B$27+G655*'Portfolio 2 &amp; 3'!$B$28+H655*'Portfolio 2 &amp; 3'!$B$29+I655*'Portfolio 2 &amp; 3'!$B$30+J655*'Portfolio 2 &amp; 3'!$B$31+K655*'Portfolio 2 &amp; 3'!$B$32</f>
        <v>7.3914780703291721E-3</v>
      </c>
      <c r="S655" s="93">
        <f t="shared" si="32"/>
        <v>5.9554667506553916E-3</v>
      </c>
    </row>
    <row r="656" spans="1:19" ht="12.75" customHeight="1">
      <c r="A656" s="81">
        <v>45120</v>
      </c>
      <c r="B656" s="53">
        <v>-7.3000000000000001E-3</v>
      </c>
      <c r="C656" s="53">
        <v>-7.4182155373434498E-3</v>
      </c>
      <c r="D656" s="53">
        <v>-2.8418702212599199E-3</v>
      </c>
      <c r="E656" s="53">
        <v>-2.7699999999999999E-3</v>
      </c>
      <c r="F656" s="53">
        <v>-3.2861476238623699E-3</v>
      </c>
      <c r="G656" s="53">
        <v>-1.2338062924121E-3</v>
      </c>
      <c r="H656" s="87">
        <v>2.7042153945856701E-2</v>
      </c>
      <c r="I656" s="53">
        <v>1.3775008199409499E-2</v>
      </c>
      <c r="J656" s="53">
        <v>4.85060147458283E-3</v>
      </c>
      <c r="K656" s="53">
        <v>3.1433967986984599E-3</v>
      </c>
      <c r="L656" s="95">
        <f>IFERROR(B656*'Stock Statistics'!$C$41+C656*'Stock Statistics'!$C$42+D656*'Stock Statistics'!$C$43+E656*'Stock Statistics'!$C$44+F656*'Stock Statistics'!$C$45+G656*'Stock Statistics'!$C$46+H656*'Stock Statistics'!$C$47+I656*'Stock Statistics'!$C$48+J656*'Stock Statistics'!$C$49+K656*'Stock Statistics'!$C$50,"")</f>
        <v>2.396112074366965E-3</v>
      </c>
      <c r="M656" s="96">
        <v>295.971</v>
      </c>
      <c r="N656" s="97">
        <v>345.1499</v>
      </c>
      <c r="O656" s="93">
        <f t="shared" si="30"/>
        <v>-7.2488001124333401E-3</v>
      </c>
      <c r="P656" s="93">
        <f t="shared" si="31"/>
        <v>2.6207872993777581E-3</v>
      </c>
      <c r="Q656" s="93">
        <f>B656*'Portfolio 2 &amp; 3'!$F$7+C656*'Portfolio 2 &amp; 3'!$F$8+D656*'Portfolio 2 &amp; 3'!$F$9+E656*'Portfolio 2 &amp; 3'!$F$10+F656*'Portfolio 2 &amp; 3'!$F$11+G656*'Portfolio 2 &amp; 3'!$F$12+H656*'Portfolio 2 &amp; 3'!$F$13+I656*'Portfolio 2 &amp; 3'!$F$14+J656*'Portfolio 2 &amp; 3'!$F$15+K656*'Portfolio 2 &amp; 3'!$F$16</f>
        <v>4.3548212448506016E-3</v>
      </c>
      <c r="R656" s="93">
        <f>B656*'Portfolio 2 &amp; 3'!$B$23+C656*'Portfolio 2 &amp; 3'!$B$24+D656*'Portfolio 2 &amp; 3'!$B$25+E656*'Portfolio 2 &amp; 3'!$B$26+F656*'Portfolio 2 &amp; 3'!$B$27+G656*'Portfolio 2 &amp; 3'!$B$28+H656*'Portfolio 2 &amp; 3'!$B$29+I656*'Portfolio 2 &amp; 3'!$B$30+J656*'Portfolio 2 &amp; 3'!$B$31+K656*'Portfolio 2 &amp; 3'!$B$32</f>
        <v>1.6050215317290973E-3</v>
      </c>
      <c r="S656" s="93">
        <f t="shared" si="32"/>
        <v>-2.314006406527791E-3</v>
      </c>
    </row>
    <row r="657" spans="1:19" ht="12.75" customHeight="1">
      <c r="A657" s="82">
        <v>45119</v>
      </c>
      <c r="B657" s="53">
        <v>-5.4000000000000003E-3</v>
      </c>
      <c r="C657" s="53">
        <v>1.04861379044261E-2</v>
      </c>
      <c r="D657" s="53">
        <v>2.00855880728881E-2</v>
      </c>
      <c r="E657" s="53">
        <v>-1.07E-3</v>
      </c>
      <c r="F657" s="53">
        <v>1.4619133111054099E-2</v>
      </c>
      <c r="G657" s="53">
        <v>7.6929054316574597E-3</v>
      </c>
      <c r="H657" s="87">
        <v>-9.8007758947582495E-3</v>
      </c>
      <c r="I657" s="53">
        <v>-9.6974758723086304E-3</v>
      </c>
      <c r="J657" s="53">
        <v>-1.79150728707711E-3</v>
      </c>
      <c r="K657" s="53">
        <v>-9.8965300718010206E-3</v>
      </c>
      <c r="L657" s="95">
        <f>IFERROR(B657*'Stock Statistics'!$C$41+C657*'Stock Statistics'!$C$42+D657*'Stock Statistics'!$C$43+E657*'Stock Statistics'!$C$44+F657*'Stock Statistics'!$C$45+G657*'Stock Statistics'!$C$46+H657*'Stock Statistics'!$C$47+I657*'Stock Statistics'!$C$48+J657*'Stock Statistics'!$C$49+K657*'Stock Statistics'!$C$50,"")</f>
        <v>1.522747539408076E-3</v>
      </c>
      <c r="M657" s="97">
        <v>298.13209999999998</v>
      </c>
      <c r="N657" s="96">
        <v>344.24770000000001</v>
      </c>
      <c r="O657" s="93">
        <f t="shared" si="30"/>
        <v>1.0536102692766613E-2</v>
      </c>
      <c r="P657" s="93">
        <f t="shared" si="31"/>
        <v>-6.4121121265288128E-3</v>
      </c>
      <c r="Q657" s="93">
        <f>B657*'Portfolio 2 &amp; 3'!$F$7+C657*'Portfolio 2 &amp; 3'!$F$8+D657*'Portfolio 2 &amp; 3'!$F$9+E657*'Portfolio 2 &amp; 3'!$F$10+F657*'Portfolio 2 &amp; 3'!$F$11+G657*'Portfolio 2 &amp; 3'!$F$12+H657*'Portfolio 2 &amp; 3'!$F$13+I657*'Portfolio 2 &amp; 3'!$F$14+J657*'Portfolio 2 &amp; 3'!$F$15+K657*'Portfolio 2 &amp; 3'!$F$16</f>
        <v>1.7160356282008181E-3</v>
      </c>
      <c r="R657" s="93">
        <f>B657*'Portfolio 2 &amp; 3'!$B$23+C657*'Portfolio 2 &amp; 3'!$B$24+D657*'Portfolio 2 &amp; 3'!$B$25+E657*'Portfolio 2 &amp; 3'!$B$26+F657*'Portfolio 2 &amp; 3'!$B$27+G657*'Portfolio 2 &amp; 3'!$B$28+H657*'Portfolio 2 &amp; 3'!$B$29+I657*'Portfolio 2 &amp; 3'!$B$30+J657*'Portfolio 2 &amp; 3'!$B$31+K657*'Portfolio 2 &amp; 3'!$B$32</f>
        <v>1.026469940052887E-3</v>
      </c>
      <c r="S657" s="93">
        <f t="shared" si="32"/>
        <v>2.0619952831189003E-3</v>
      </c>
    </row>
    <row r="658" spans="1:19" ht="12.75" customHeight="1">
      <c r="A658" s="81">
        <v>45118</v>
      </c>
      <c r="B658" s="53">
        <v>9.4999999999999998E-3</v>
      </c>
      <c r="C658" s="53">
        <v>3.10426641283192E-2</v>
      </c>
      <c r="D658" s="53">
        <v>-1.44888102850146E-2</v>
      </c>
      <c r="E658" s="53">
        <v>-1.0370000000000001E-2</v>
      </c>
      <c r="F658" s="53">
        <v>5.5880330123796503E-3</v>
      </c>
      <c r="G658" s="53">
        <v>1.8134715025897E-4</v>
      </c>
      <c r="H658" s="87">
        <v>-8.9708999807285306E-3</v>
      </c>
      <c r="I658" s="53">
        <v>4.3338459387667304E-3</v>
      </c>
      <c r="J658" s="53">
        <v>1.6975458337376E-3</v>
      </c>
      <c r="K658" s="53">
        <v>-3.8888284564341201E-3</v>
      </c>
      <c r="L658" s="95">
        <f>IFERROR(B658*'Stock Statistics'!$C$41+C658*'Stock Statistics'!$C$42+D658*'Stock Statistics'!$C$43+E658*'Stock Statistics'!$C$44+F658*'Stock Statistics'!$C$45+G658*'Stock Statistics'!$C$46+H658*'Stock Statistics'!$C$47+I658*'Stock Statistics'!$C$48+J658*'Stock Statistics'!$C$49+K658*'Stock Statistics'!$C$50,"")</f>
        <v>1.4624897341284906E-3</v>
      </c>
      <c r="M658" s="96">
        <v>295.02370000000002</v>
      </c>
      <c r="N658" s="97">
        <v>346.46929999999998</v>
      </c>
      <c r="O658" s="93">
        <f t="shared" si="30"/>
        <v>1.438209494678877E-2</v>
      </c>
      <c r="P658" s="93">
        <f t="shared" si="31"/>
        <v>5.2092732316757484E-3</v>
      </c>
      <c r="Q658" s="93">
        <f>B658*'Portfolio 2 &amp; 3'!$F$7+C658*'Portfolio 2 &amp; 3'!$F$8+D658*'Portfolio 2 &amp; 3'!$F$9+E658*'Portfolio 2 &amp; 3'!$F$10+F658*'Portfolio 2 &amp; 3'!$F$11+G658*'Portfolio 2 &amp; 3'!$F$12+H658*'Portfolio 2 &amp; 3'!$F$13+I658*'Portfolio 2 &amp; 3'!$F$14+J658*'Portfolio 2 &amp; 3'!$F$15+K658*'Portfolio 2 &amp; 3'!$F$16</f>
        <v>3.834142974829912E-4</v>
      </c>
      <c r="R658" s="93">
        <f>B658*'Portfolio 2 &amp; 3'!$B$23+C658*'Portfolio 2 &amp; 3'!$B$24+D658*'Portfolio 2 &amp; 3'!$B$25+E658*'Portfolio 2 &amp; 3'!$B$26+F658*'Portfolio 2 &amp; 3'!$B$27+G658*'Portfolio 2 &amp; 3'!$B$28+H658*'Portfolio 2 &amp; 3'!$B$29+I658*'Portfolio 2 &amp; 3'!$B$30+J658*'Portfolio 2 &amp; 3'!$B$31+K658*'Portfolio 2 &amp; 3'!$B$32</f>
        <v>8.4634213860023278E-3</v>
      </c>
      <c r="S658" s="93">
        <f t="shared" si="32"/>
        <v>9.7956840892322594E-3</v>
      </c>
    </row>
    <row r="659" spans="1:19" ht="12.75" customHeight="1">
      <c r="A659" s="82">
        <v>45117</v>
      </c>
      <c r="B659" s="53">
        <v>-1.1999999999999999E-3</v>
      </c>
      <c r="C659" s="53">
        <v>2.3354171710123798E-3</v>
      </c>
      <c r="D659" s="53">
        <v>-1.8332428028246001E-3</v>
      </c>
      <c r="E659" s="53">
        <v>1.129E-2</v>
      </c>
      <c r="F659" s="53">
        <v>-1.1163589523399699E-3</v>
      </c>
      <c r="G659" s="53">
        <v>-5.9744540585083801E-3</v>
      </c>
      <c r="H659" s="87">
        <v>4.4813535042636E-3</v>
      </c>
      <c r="I659" s="53">
        <v>-2.51011016594627E-3</v>
      </c>
      <c r="J659" s="53">
        <v>9.9931419613990009E-3</v>
      </c>
      <c r="K659" s="53">
        <v>1.5548620508713199E-2</v>
      </c>
      <c r="L659" s="95">
        <f>IFERROR(B659*'Stock Statistics'!$C$41+C659*'Stock Statistics'!$C$42+D659*'Stock Statistics'!$C$43+E659*'Stock Statistics'!$C$44+F659*'Stock Statistics'!$C$45+G659*'Stock Statistics'!$C$46+H659*'Stock Statistics'!$C$47+I659*'Stock Statistics'!$C$48+J659*'Stock Statistics'!$C$49+K659*'Stock Statistics'!$C$50,"")</f>
        <v>3.1014367165768963E-3</v>
      </c>
      <c r="M659" s="97">
        <v>290.8408</v>
      </c>
      <c r="N659" s="96">
        <v>344.67380000000003</v>
      </c>
      <c r="O659" s="93">
        <f t="shared" si="30"/>
        <v>-2.1317049857749737E-5</v>
      </c>
      <c r="P659" s="93">
        <f t="shared" si="31"/>
        <v>1.047698314952128E-2</v>
      </c>
      <c r="Q659" s="93">
        <f>B659*'Portfolio 2 &amp; 3'!$F$7+C659*'Portfolio 2 &amp; 3'!$F$8+D659*'Portfolio 2 &amp; 3'!$F$9+E659*'Portfolio 2 &amp; 3'!$F$10+F659*'Portfolio 2 &amp; 3'!$F$11+G659*'Portfolio 2 &amp; 3'!$F$12+H659*'Portfolio 2 &amp; 3'!$F$13+I659*'Portfolio 2 &amp; 3'!$F$14+J659*'Portfolio 2 &amp; 3'!$F$15+K659*'Portfolio 2 &amp; 3'!$F$16</f>
        <v>3.4811492141601148E-3</v>
      </c>
      <c r="R659" s="93">
        <f>B659*'Portfolio 2 &amp; 3'!$B$23+C659*'Portfolio 2 &amp; 3'!$B$24+D659*'Portfolio 2 &amp; 3'!$B$25+E659*'Portfolio 2 &amp; 3'!$B$26+F659*'Portfolio 2 &amp; 3'!$B$27+G659*'Portfolio 2 &amp; 3'!$B$28+H659*'Portfolio 2 &amp; 3'!$B$29+I659*'Portfolio 2 &amp; 3'!$B$30+J659*'Portfolio 2 &amp; 3'!$B$31+K659*'Portfolio 2 &amp; 3'!$B$32</f>
        <v>6.2401666041477031E-4</v>
      </c>
      <c r="S659" s="93">
        <f t="shared" si="32"/>
        <v>5.2278330498317649E-3</v>
      </c>
    </row>
    <row r="660" spans="1:19" ht="12.75" customHeight="1">
      <c r="A660" s="81">
        <v>45114</v>
      </c>
      <c r="B660" s="53">
        <v>-1.37E-2</v>
      </c>
      <c r="C660" s="53">
        <v>-5.0580901105128397E-3</v>
      </c>
      <c r="D660" s="53">
        <v>1.22365737593477E-3</v>
      </c>
      <c r="E660" s="53">
        <v>1.128E-2</v>
      </c>
      <c r="F660" s="53">
        <v>-9.9472878762115798E-3</v>
      </c>
      <c r="G660" s="53">
        <v>1.55077277125446E-2</v>
      </c>
      <c r="H660" s="87">
        <v>2.1144724973085598E-3</v>
      </c>
      <c r="I660" s="53">
        <v>-2.8736964078793798E-3</v>
      </c>
      <c r="J660" s="53">
        <v>-1.4674232048522699E-3</v>
      </c>
      <c r="K660" s="53">
        <v>-3.46773083803498E-3</v>
      </c>
      <c r="L660" s="95">
        <f>IFERROR(B660*'Stock Statistics'!$C$41+C660*'Stock Statistics'!$C$42+D660*'Stock Statistics'!$C$43+E660*'Stock Statistics'!$C$44+F660*'Stock Statistics'!$C$45+G660*'Stock Statistics'!$C$46+H660*'Stock Statistics'!$C$47+I660*'Stock Statistics'!$C$48+J660*'Stock Statistics'!$C$49+K660*'Stock Statistics'!$C$50,"")</f>
        <v>-6.3883708517031195E-4</v>
      </c>
      <c r="M660" s="96">
        <v>290.84699999999998</v>
      </c>
      <c r="N660" s="97">
        <v>341.1001</v>
      </c>
      <c r="O660" s="93">
        <f t="shared" si="30"/>
        <v>-1.7548839350037815E-3</v>
      </c>
      <c r="P660" s="93">
        <f t="shared" si="31"/>
        <v>4.0589165468625232E-3</v>
      </c>
      <c r="Q660" s="93">
        <f>B660*'Portfolio 2 &amp; 3'!$F$7+C660*'Portfolio 2 &amp; 3'!$F$8+D660*'Portfolio 2 &amp; 3'!$F$9+E660*'Portfolio 2 &amp; 3'!$F$10+F660*'Portfolio 2 &amp; 3'!$F$11+G660*'Portfolio 2 &amp; 3'!$F$12+H660*'Portfolio 2 &amp; 3'!$F$13+I660*'Portfolio 2 &amp; 3'!$F$14+J660*'Portfolio 2 &amp; 3'!$F$15+K660*'Portfolio 2 &amp; 3'!$F$16</f>
        <v>-9.8377560044985118E-4</v>
      </c>
      <c r="R660" s="93">
        <f>B660*'Portfolio 2 &amp; 3'!$B$23+C660*'Portfolio 2 &amp; 3'!$B$24+D660*'Portfolio 2 &amp; 3'!$B$25+E660*'Portfolio 2 &amp; 3'!$B$26+F660*'Portfolio 2 &amp; 3'!$B$27+G660*'Portfolio 2 &amp; 3'!$B$28+H660*'Portfolio 2 &amp; 3'!$B$29+I660*'Portfolio 2 &amp; 3'!$B$30+J660*'Portfolio 2 &amp; 3'!$B$31+K660*'Portfolio 2 &amp; 3'!$B$32</f>
        <v>-3.7079063221522267E-3</v>
      </c>
      <c r="S660" s="93">
        <f t="shared" si="32"/>
        <v>1.1520163059293709E-3</v>
      </c>
    </row>
    <row r="661" spans="1:19" ht="12.75" customHeight="1">
      <c r="A661" s="82">
        <v>45113</v>
      </c>
      <c r="B661" s="53">
        <v>2.23E-2</v>
      </c>
      <c r="C661" s="53">
        <v>4.2543503934207002E-3</v>
      </c>
      <c r="D661" s="53">
        <v>-1.3546137339055899E-2</v>
      </c>
      <c r="E661" s="53">
        <v>-2.8800000000000002E-3</v>
      </c>
      <c r="F661" s="53">
        <v>5.2991452991453299E-3</v>
      </c>
      <c r="G661" s="53">
        <v>5.0992246024446101E-3</v>
      </c>
      <c r="H661" s="87">
        <v>-5.3159671972986501E-3</v>
      </c>
      <c r="I661" s="53">
        <v>6.0620191186757698E-3</v>
      </c>
      <c r="J661" s="53">
        <v>-5.4485308425762397E-3</v>
      </c>
      <c r="K661" s="53">
        <v>-2.1831962542393502E-3</v>
      </c>
      <c r="L661" s="95">
        <f>IFERROR(B661*'Stock Statistics'!$C$41+C661*'Stock Statistics'!$C$42+D661*'Stock Statistics'!$C$43+E661*'Stock Statistics'!$C$44+F661*'Stock Statistics'!$C$45+G661*'Stock Statistics'!$C$46+H661*'Stock Statistics'!$C$47+I661*'Stock Statistics'!$C$48+J661*'Stock Statistics'!$C$49+K661*'Stock Statistics'!$C$50,"")</f>
        <v>1.3640907780516267E-3</v>
      </c>
      <c r="M661" s="97">
        <v>291.35829999999999</v>
      </c>
      <c r="N661" s="96">
        <v>339.72120000000001</v>
      </c>
      <c r="O661" s="93">
        <f t="shared" si="30"/>
        <v>7.1554915978282452E-3</v>
      </c>
      <c r="P661" s="93">
        <f t="shared" si="31"/>
        <v>1.2497015898221386E-2</v>
      </c>
      <c r="Q661" s="93">
        <f>B661*'Portfolio 2 &amp; 3'!$F$7+C661*'Portfolio 2 &amp; 3'!$F$8+D661*'Portfolio 2 &amp; 3'!$F$9+E661*'Portfolio 2 &amp; 3'!$F$10+F661*'Portfolio 2 &amp; 3'!$F$11+G661*'Portfolio 2 &amp; 3'!$F$12+H661*'Portfolio 2 &amp; 3'!$F$13+I661*'Portfolio 2 &amp; 3'!$F$14+J661*'Portfolio 2 &amp; 3'!$F$15+K661*'Portfolio 2 &amp; 3'!$F$16</f>
        <v>-6.1233976878527605E-4</v>
      </c>
      <c r="R661" s="93">
        <f>B661*'Portfolio 2 &amp; 3'!$B$23+C661*'Portfolio 2 &amp; 3'!$B$24+D661*'Portfolio 2 &amp; 3'!$B$25+E661*'Portfolio 2 &amp; 3'!$B$26+F661*'Portfolio 2 &amp; 3'!$B$27+G661*'Portfolio 2 &amp; 3'!$B$28+H661*'Portfolio 2 &amp; 3'!$B$29+I661*'Portfolio 2 &amp; 3'!$B$30+J661*'Portfolio 2 &amp; 3'!$B$31+K661*'Portfolio 2 &amp; 3'!$B$32</f>
        <v>5.9956450994626447E-3</v>
      </c>
      <c r="S661" s="93">
        <f t="shared" si="32"/>
        <v>9.8262537480248158E-3</v>
      </c>
    </row>
    <row r="662" spans="1:19" ht="12.75" customHeight="1">
      <c r="A662" s="81">
        <v>45112</v>
      </c>
      <c r="B662" s="53">
        <v>4.1999999999999997E-3</v>
      </c>
      <c r="C662" s="53">
        <v>7.5695669003483798E-3</v>
      </c>
      <c r="D662" s="53">
        <v>-2.0622619203993098E-2</v>
      </c>
      <c r="E662" s="53">
        <v>1.56E-3</v>
      </c>
      <c r="F662" s="53">
        <v>1.8986239331126899E-2</v>
      </c>
      <c r="G662" s="53">
        <v>1.5004738338422201E-3</v>
      </c>
      <c r="H662" s="87">
        <v>-9.4231430865094907E-3</v>
      </c>
      <c r="I662" s="53">
        <v>2.60765550239235E-2</v>
      </c>
      <c r="J662" s="53">
        <v>1.09176748303332E-2</v>
      </c>
      <c r="K662" s="53">
        <v>4.1209357271387902E-4</v>
      </c>
      <c r="L662" s="95">
        <f>IFERROR(B662*'Stock Statistics'!$C$41+C662*'Stock Statistics'!$C$42+D662*'Stock Statistics'!$C$43+E662*'Stock Statistics'!$C$44+F662*'Stock Statistics'!$C$45+G662*'Stock Statistics'!$C$46+H662*'Stock Statistics'!$C$47+I662*'Stock Statistics'!$C$48+J662*'Stock Statistics'!$C$49+K662*'Stock Statistics'!$C$50,"")</f>
        <v>4.1176841201785502E-3</v>
      </c>
      <c r="M662" s="96">
        <v>289.28829999999999</v>
      </c>
      <c r="N662" s="97">
        <v>335.52809999999999</v>
      </c>
      <c r="O662" s="93">
        <f t="shared" si="30"/>
        <v>5.6685428549279049E-3</v>
      </c>
      <c r="P662" s="93">
        <f t="shared" si="31"/>
        <v>-2.7952088248353046E-3</v>
      </c>
      <c r="Q662" s="93">
        <f>B662*'Portfolio 2 &amp; 3'!$F$7+C662*'Portfolio 2 &amp; 3'!$F$8+D662*'Portfolio 2 &amp; 3'!$F$9+E662*'Portfolio 2 &amp; 3'!$F$10+F662*'Portfolio 2 &amp; 3'!$F$11+G662*'Portfolio 2 &amp; 3'!$F$12+H662*'Portfolio 2 &amp; 3'!$F$13+I662*'Portfolio 2 &amp; 3'!$F$14+J662*'Portfolio 2 &amp; 3'!$F$15+K662*'Portfolio 2 &amp; 3'!$F$16</f>
        <v>2.7068733359025036E-3</v>
      </c>
      <c r="R662" s="93">
        <f>B662*'Portfolio 2 &amp; 3'!$B$23+C662*'Portfolio 2 &amp; 3'!$B$24+D662*'Portfolio 2 &amp; 3'!$B$25+E662*'Portfolio 2 &amp; 3'!$B$26+F662*'Portfolio 2 &amp; 3'!$B$27+G662*'Portfolio 2 &amp; 3'!$B$28+H662*'Portfolio 2 &amp; 3'!$B$29+I662*'Portfolio 2 &amp; 3'!$B$30+J662*'Portfolio 2 &amp; 3'!$B$31+K662*'Portfolio 2 &amp; 3'!$B$32</f>
        <v>1.1538055780089528E-2</v>
      </c>
      <c r="S662" s="93">
        <f t="shared" si="32"/>
        <v>1.4366670150463001E-3</v>
      </c>
    </row>
    <row r="663" spans="1:19" ht="12.75" customHeight="1">
      <c r="A663" s="82">
        <v>45111</v>
      </c>
      <c r="B663" s="53">
        <v>-1.6999999999999999E-3</v>
      </c>
      <c r="C663" s="53">
        <v>-8.8806130487717504E-4</v>
      </c>
      <c r="D663" s="53">
        <v>4.0595954073263898E-2</v>
      </c>
      <c r="E663" s="53">
        <v>5.94E-3</v>
      </c>
      <c r="F663" s="53">
        <v>-7.4343015214384202E-3</v>
      </c>
      <c r="G663" s="53">
        <v>7.1049840933192802E-3</v>
      </c>
      <c r="H663" s="87">
        <v>1.03218206571591E-2</v>
      </c>
      <c r="I663" s="53">
        <v>8.97943419909231E-3</v>
      </c>
      <c r="J663" s="53">
        <v>-3.8700827903785902E-3</v>
      </c>
      <c r="K663" s="53">
        <v>-7.8230411731836699E-3</v>
      </c>
      <c r="L663" s="95">
        <f>IFERROR(B663*'Stock Statistics'!$C$41+C663*'Stock Statistics'!$C$42+D663*'Stock Statistics'!$C$43+E663*'Stock Statistics'!$C$44+F663*'Stock Statistics'!$C$45+G663*'Stock Statistics'!$C$46+H663*'Stock Statistics'!$C$47+I663*'Stock Statistics'!$C$48+J663*'Stock Statistics'!$C$49+K663*'Stock Statistics'!$C$50,"")</f>
        <v>5.1226706232956731E-3</v>
      </c>
      <c r="M663" s="97">
        <v>287.65769999999998</v>
      </c>
      <c r="N663" s="96">
        <v>336.46859999999998</v>
      </c>
      <c r="O663" s="93">
        <f t="shared" si="30"/>
        <v>1.8312141562815132E-3</v>
      </c>
      <c r="P663" s="93">
        <f t="shared" si="31"/>
        <v>-8.5923142675554676E-3</v>
      </c>
      <c r="Q663" s="93">
        <f>B663*'Portfolio 2 &amp; 3'!$F$7+C663*'Portfolio 2 &amp; 3'!$F$8+D663*'Portfolio 2 &amp; 3'!$F$9+E663*'Portfolio 2 &amp; 3'!$F$10+F663*'Portfolio 2 &amp; 3'!$F$11+G663*'Portfolio 2 &amp; 3'!$F$12+H663*'Portfolio 2 &amp; 3'!$F$13+I663*'Portfolio 2 &amp; 3'!$F$14+J663*'Portfolio 2 &amp; 3'!$F$15+K663*'Portfolio 2 &amp; 3'!$F$16</f>
        <v>6.5385663879957909E-3</v>
      </c>
      <c r="R663" s="93">
        <f>B663*'Portfolio 2 &amp; 3'!$B$23+C663*'Portfolio 2 &amp; 3'!$B$24+D663*'Portfolio 2 &amp; 3'!$B$25+E663*'Portfolio 2 &amp; 3'!$B$26+F663*'Portfolio 2 &amp; 3'!$B$27+G663*'Portfolio 2 &amp; 3'!$B$28+H663*'Portfolio 2 &amp; 3'!$B$29+I663*'Portfolio 2 &amp; 3'!$B$30+J663*'Portfolio 2 &amp; 3'!$B$31+K663*'Portfolio 2 &amp; 3'!$B$32</f>
        <v>1.4434806787035426E-3</v>
      </c>
      <c r="S663" s="93">
        <f t="shared" si="32"/>
        <v>-3.3805500556369772E-3</v>
      </c>
    </row>
    <row r="664" spans="1:19" ht="12.75" customHeight="1">
      <c r="A664" s="81">
        <v>45110</v>
      </c>
      <c r="B664" s="53">
        <v>-7.1999999999999998E-3</v>
      </c>
      <c r="C664" s="53">
        <v>-9.2244376640885396E-3</v>
      </c>
      <c r="D664" s="53">
        <v>2.6590893145302701E-2</v>
      </c>
      <c r="E664" s="53">
        <v>-1.4499999999999999E-3</v>
      </c>
      <c r="F664" s="53">
        <v>-7.9753022896835706E-3</v>
      </c>
      <c r="G664" s="53">
        <v>4.3935561176939898E-3</v>
      </c>
      <c r="H664" s="87">
        <v>-1.93701333744489E-3</v>
      </c>
      <c r="I664" s="53">
        <v>-6.5227817745803201E-3</v>
      </c>
      <c r="J664" s="53">
        <v>-5.8751529987766105E-4</v>
      </c>
      <c r="K664" s="53">
        <v>-1.8250665667607701E-2</v>
      </c>
      <c r="L664" s="95">
        <f>IFERROR(B664*'Stock Statistics'!$C$41+C664*'Stock Statistics'!$C$42+D664*'Stock Statistics'!$C$43+E664*'Stock Statistics'!$C$44+F664*'Stock Statistics'!$C$45+G664*'Stock Statistics'!$C$46+H664*'Stock Statistics'!$C$47+I664*'Stock Statistics'!$C$48+J664*'Stock Statistics'!$C$49+K664*'Stock Statistics'!$C$50,"")</f>
        <v>-2.2163266770285992E-3</v>
      </c>
      <c r="M664" s="96">
        <v>287.13189999999997</v>
      </c>
      <c r="N664" s="97">
        <v>339.38470000000001</v>
      </c>
      <c r="O664" s="93">
        <f t="shared" si="30"/>
        <v>-5.5586937450669005E-3</v>
      </c>
      <c r="P664" s="93">
        <f t="shared" si="31"/>
        <v>7.2406475834334572E-3</v>
      </c>
      <c r="Q664" s="93">
        <f>B664*'Portfolio 2 &amp; 3'!$F$7+C664*'Portfolio 2 &amp; 3'!$F$8+D664*'Portfolio 2 &amp; 3'!$F$9+E664*'Portfolio 2 &amp; 3'!$F$10+F664*'Portfolio 2 &amp; 3'!$F$11+G664*'Portfolio 2 &amp; 3'!$F$12+H664*'Portfolio 2 &amp; 3'!$F$13+I664*'Portfolio 2 &amp; 3'!$F$14+J664*'Portfolio 2 &amp; 3'!$F$15+K664*'Portfolio 2 &amp; 3'!$F$16</f>
        <v>-9.1034432197110548E-4</v>
      </c>
      <c r="R664" s="93">
        <f>B664*'Portfolio 2 &amp; 3'!$B$23+C664*'Portfolio 2 &amp; 3'!$B$24+D664*'Portfolio 2 &amp; 3'!$B$25+E664*'Portfolio 2 &amp; 3'!$B$26+F664*'Portfolio 2 &amp; 3'!$B$27+G664*'Portfolio 2 &amp; 3'!$B$28+H664*'Portfolio 2 &amp; 3'!$B$29+I664*'Portfolio 2 &amp; 3'!$B$30+J664*'Portfolio 2 &amp; 3'!$B$31+K664*'Portfolio 2 &amp; 3'!$B$32</f>
        <v>-6.4643221957378753E-3</v>
      </c>
      <c r="S664" s="93">
        <f t="shared" si="32"/>
        <v>8.4097691918327833E-4</v>
      </c>
    </row>
    <row r="665" spans="1:19" ht="12.75" customHeight="1">
      <c r="A665" s="82">
        <v>45107</v>
      </c>
      <c r="B665" s="53">
        <v>9.2999999999999992E-3</v>
      </c>
      <c r="C665" s="53">
        <v>3.1318955085770702E-3</v>
      </c>
      <c r="D665" s="53">
        <v>3.5092644581702402E-4</v>
      </c>
      <c r="E665" s="53">
        <v>-9.4999999999999998E-3</v>
      </c>
      <c r="F665" s="53">
        <v>1.0301313417460101E-3</v>
      </c>
      <c r="G665" s="53">
        <v>-6.9543603575017397E-3</v>
      </c>
      <c r="H665" s="87">
        <v>1.7672557519173002E-2</v>
      </c>
      <c r="I665" s="53">
        <v>-2.1058677132191899E-3</v>
      </c>
      <c r="J665" s="53">
        <v>1.0338345864661799E-2</v>
      </c>
      <c r="K665" s="53">
        <v>-2.9616190183966401E-3</v>
      </c>
      <c r="L665" s="95">
        <f>IFERROR(B665*'Stock Statistics'!$C$41+C665*'Stock Statistics'!$C$42+D665*'Stock Statistics'!$C$43+E665*'Stock Statistics'!$C$44+F665*'Stock Statistics'!$C$45+G665*'Stock Statistics'!$C$46+H665*'Stock Statistics'!$C$47+I665*'Stock Statistics'!$C$48+J665*'Stock Statistics'!$C$49+K665*'Stock Statistics'!$C$50,"")</f>
        <v>2.0302009590857338E-3</v>
      </c>
      <c r="M665" s="97">
        <v>288.73689999999999</v>
      </c>
      <c r="N665" s="96">
        <v>336.94499999999999</v>
      </c>
      <c r="O665" s="93">
        <f t="shared" si="30"/>
        <v>6.9501018329938269E-3</v>
      </c>
      <c r="P665" s="93">
        <f t="shared" si="31"/>
        <v>3.871345252254077E-3</v>
      </c>
      <c r="Q665" s="93">
        <f>B665*'Portfolio 2 &amp; 3'!$F$7+C665*'Portfolio 2 &amp; 3'!$F$8+D665*'Portfolio 2 &amp; 3'!$F$9+E665*'Portfolio 2 &amp; 3'!$F$10+F665*'Portfolio 2 &amp; 3'!$F$11+G665*'Portfolio 2 &amp; 3'!$F$12+H665*'Portfolio 2 &amp; 3'!$F$13+I665*'Portfolio 2 &amp; 3'!$F$14+J665*'Portfolio 2 &amp; 3'!$F$15+K665*'Portfolio 2 &amp; 3'!$F$16</f>
        <v>3.989999139895172E-3</v>
      </c>
      <c r="R665" s="93">
        <f>B665*'Portfolio 2 &amp; 3'!$B$23+C665*'Portfolio 2 &amp; 3'!$B$24+D665*'Portfolio 2 &amp; 3'!$B$25+E665*'Portfolio 2 &amp; 3'!$B$26+F665*'Portfolio 2 &amp; 3'!$B$27+G665*'Portfolio 2 &amp; 3'!$B$28+H665*'Portfolio 2 &amp; 3'!$B$29+I665*'Portfolio 2 &amp; 3'!$B$30+J665*'Portfolio 2 &amp; 3'!$B$31+K665*'Portfolio 2 &amp; 3'!$B$32</f>
        <v>1.3608468543322223E-3</v>
      </c>
      <c r="S665" s="93">
        <f t="shared" si="32"/>
        <v>5.4107235426239519E-3</v>
      </c>
    </row>
    <row r="666" spans="1:19" ht="12.75" customHeight="1">
      <c r="A666" s="81">
        <v>45105</v>
      </c>
      <c r="B666" s="53">
        <v>2.18E-2</v>
      </c>
      <c r="C666" s="53">
        <v>4.9931326542291803E-3</v>
      </c>
      <c r="D666" s="53">
        <v>-2.0554066130473701E-2</v>
      </c>
      <c r="E666" s="53">
        <v>-9.7699999999999992E-3</v>
      </c>
      <c r="F666" s="53">
        <v>2.0588750657087901E-2</v>
      </c>
      <c r="G666" s="53">
        <v>-7.3755216672353203E-3</v>
      </c>
      <c r="H666" s="87">
        <v>-1.1880765950849E-2</v>
      </c>
      <c r="I666" s="53">
        <v>-3.9092295957283696E-3</v>
      </c>
      <c r="J666" s="53">
        <v>-1.0377032168800201E-3</v>
      </c>
      <c r="K666" s="53">
        <v>5.5730824483817297E-2</v>
      </c>
      <c r="L666" s="95">
        <f>IFERROR(B666*'Stock Statistics'!$C$41+C666*'Stock Statistics'!$C$42+D666*'Stock Statistics'!$C$43+E666*'Stock Statistics'!$C$44+F666*'Stock Statistics'!$C$45+G666*'Stock Statistics'!$C$46+H666*'Stock Statistics'!$C$47+I666*'Stock Statistics'!$C$48+J666*'Stock Statistics'!$C$49+K666*'Stock Statistics'!$C$50,"")</f>
        <v>4.8585421233967967E-3</v>
      </c>
      <c r="M666" s="96">
        <v>286.74400000000003</v>
      </c>
      <c r="N666" s="97">
        <v>335.6456</v>
      </c>
      <c r="O666" s="93">
        <f t="shared" si="30"/>
        <v>8.9936911503332162E-3</v>
      </c>
      <c r="P666" s="93">
        <f t="shared" si="31"/>
        <v>3.0134127347467565E-3</v>
      </c>
      <c r="Q666" s="93">
        <f>B666*'Portfolio 2 &amp; 3'!$F$7+C666*'Portfolio 2 &amp; 3'!$F$8+D666*'Portfolio 2 &amp; 3'!$F$9+E666*'Portfolio 2 &amp; 3'!$F$10+F666*'Portfolio 2 &amp; 3'!$F$11+G666*'Portfolio 2 &amp; 3'!$F$12+H666*'Portfolio 2 &amp; 3'!$F$13+I666*'Portfolio 2 &amp; 3'!$F$14+J666*'Portfolio 2 &amp; 3'!$F$15+K666*'Portfolio 2 &amp; 3'!$F$16</f>
        <v>2.1695495747515526E-3</v>
      </c>
      <c r="R666" s="93">
        <f>B666*'Portfolio 2 &amp; 3'!$B$23+C666*'Portfolio 2 &amp; 3'!$B$24+D666*'Portfolio 2 &amp; 3'!$B$25+E666*'Portfolio 2 &amp; 3'!$B$26+F666*'Portfolio 2 &amp; 3'!$B$27+G666*'Portfolio 2 &amp; 3'!$B$28+H666*'Portfolio 2 &amp; 3'!$B$29+I666*'Portfolio 2 &amp; 3'!$B$30+J666*'Portfolio 2 &amp; 3'!$B$31+K666*'Portfolio 2 &amp; 3'!$B$32</f>
        <v>9.4996291309001075E-3</v>
      </c>
      <c r="S666" s="93">
        <f t="shared" si="32"/>
        <v>6.0035519425399864E-3</v>
      </c>
    </row>
    <row r="667" spans="1:19" ht="12.75" customHeight="1">
      <c r="A667" s="82">
        <v>45104</v>
      </c>
      <c r="B667" s="53">
        <v>-5.7999999999999996E-3</v>
      </c>
      <c r="C667" s="53">
        <v>2.5759180285644901E-4</v>
      </c>
      <c r="D667" s="53">
        <v>-1.54314720812182E-2</v>
      </c>
      <c r="E667" s="53">
        <v>1.307E-2</v>
      </c>
      <c r="F667" s="53">
        <v>1.58419366322535E-2</v>
      </c>
      <c r="G667" s="53">
        <v>-2.49276994343921E-2</v>
      </c>
      <c r="H667" s="87">
        <v>1.0131464314731199E-2</v>
      </c>
      <c r="I667" s="53">
        <v>1.55902004454342E-2</v>
      </c>
      <c r="J667" s="53">
        <v>1.0031942503493801E-2</v>
      </c>
      <c r="K667" s="53">
        <v>-1.0438878900642601E-2</v>
      </c>
      <c r="L667" s="95">
        <f>IFERROR(B667*'Stock Statistics'!$C$41+C667*'Stock Statistics'!$C$42+D667*'Stock Statistics'!$C$43+E667*'Stock Statistics'!$C$44+F667*'Stock Statistics'!$C$45+G667*'Stock Statistics'!$C$46+H667*'Stock Statistics'!$C$47+I667*'Stock Statistics'!$C$48+J667*'Stock Statistics'!$C$49+K667*'Stock Statistics'!$C$50,"")</f>
        <v>8.3250852825162477E-4</v>
      </c>
      <c r="M667" s="97">
        <v>284.18810000000002</v>
      </c>
      <c r="N667" s="96">
        <v>334.63720000000001</v>
      </c>
      <c r="O667" s="93">
        <f t="shared" si="30"/>
        <v>1.4740821609631194E-3</v>
      </c>
      <c r="P667" s="93">
        <f t="shared" si="31"/>
        <v>6.4176806666278452E-3</v>
      </c>
      <c r="Q667" s="93">
        <f>B667*'Portfolio 2 &amp; 3'!$F$7+C667*'Portfolio 2 &amp; 3'!$F$8+D667*'Portfolio 2 &amp; 3'!$F$9+E667*'Portfolio 2 &amp; 3'!$F$10+F667*'Portfolio 2 &amp; 3'!$F$11+G667*'Portfolio 2 &amp; 3'!$F$12+H667*'Portfolio 2 &amp; 3'!$F$13+I667*'Portfolio 2 &amp; 3'!$F$14+J667*'Portfolio 2 &amp; 3'!$F$15+K667*'Portfolio 2 &amp; 3'!$F$16</f>
        <v>2.4212499879212243E-3</v>
      </c>
      <c r="R667" s="93">
        <f>B667*'Portfolio 2 &amp; 3'!$B$23+C667*'Portfolio 2 &amp; 3'!$B$24+D667*'Portfolio 2 &amp; 3'!$B$25+E667*'Portfolio 2 &amp; 3'!$B$26+F667*'Portfolio 2 &amp; 3'!$B$27+G667*'Portfolio 2 &amp; 3'!$B$28+H667*'Portfolio 2 &amp; 3'!$B$29+I667*'Portfolio 2 &amp; 3'!$B$30+J667*'Portfolio 2 &amp; 3'!$B$31+K667*'Portfolio 2 &amp; 3'!$B$32</f>
        <v>2.5676582774732159E-3</v>
      </c>
      <c r="S667" s="93">
        <f t="shared" si="32"/>
        <v>3.9458814137954823E-3</v>
      </c>
    </row>
    <row r="668" spans="1:19" ht="12.75" customHeight="1">
      <c r="A668" s="81">
        <v>45103</v>
      </c>
      <c r="B668" s="53">
        <v>8.0000000000000002E-3</v>
      </c>
      <c r="C668" s="53">
        <v>-5.39448026531164E-3</v>
      </c>
      <c r="D668" s="53">
        <v>2.8613199665831202E-2</v>
      </c>
      <c r="E668" s="53">
        <v>1.8960000000000001E-2</v>
      </c>
      <c r="F668" s="53">
        <v>8.4365464010049997E-3</v>
      </c>
      <c r="G668" s="53">
        <v>3.9700912695244998E-2</v>
      </c>
      <c r="H668" s="87">
        <v>1.63662050302451E-2</v>
      </c>
      <c r="I668" s="53">
        <v>-1.7972613160897599E-2</v>
      </c>
      <c r="J668" s="53">
        <v>-1.29563032661708E-2</v>
      </c>
      <c r="K668" s="53">
        <v>1.1022435539682601E-3</v>
      </c>
      <c r="L668" s="95">
        <f>IFERROR(B668*'Stock Statistics'!$C$41+C668*'Stock Statistics'!$C$42+D668*'Stock Statistics'!$C$43+E668*'Stock Statistics'!$C$44+F668*'Stock Statistics'!$C$45+G668*'Stock Statistics'!$C$46+H668*'Stock Statistics'!$C$47+I668*'Stock Statistics'!$C$48+J668*'Stock Statistics'!$C$49+K668*'Stock Statistics'!$C$50,"")</f>
        <v>8.4855710653914534E-3</v>
      </c>
      <c r="M668" s="96">
        <v>283.76979999999998</v>
      </c>
      <c r="N668" s="97">
        <v>332.50330000000002</v>
      </c>
      <c r="O668" s="93">
        <f t="shared" si="30"/>
        <v>8.2362266776145887E-3</v>
      </c>
      <c r="P668" s="93">
        <f t="shared" si="31"/>
        <v>1.4349006420689481E-2</v>
      </c>
      <c r="Q668" s="93">
        <f>B668*'Portfolio 2 &amp; 3'!$F$7+C668*'Portfolio 2 &amp; 3'!$F$8+D668*'Portfolio 2 &amp; 3'!$F$9+E668*'Portfolio 2 &amp; 3'!$F$10+F668*'Portfolio 2 &amp; 3'!$F$11+G668*'Portfolio 2 &amp; 3'!$F$12+H668*'Portfolio 2 &amp; 3'!$F$13+I668*'Portfolio 2 &amp; 3'!$F$14+J668*'Portfolio 2 &amp; 3'!$F$15+K668*'Portfolio 2 &amp; 3'!$F$16</f>
        <v>7.5944063688189664E-3</v>
      </c>
      <c r="R668" s="93">
        <f>B668*'Portfolio 2 &amp; 3'!$B$23+C668*'Portfolio 2 &amp; 3'!$B$24+D668*'Portfolio 2 &amp; 3'!$B$25+E668*'Portfolio 2 &amp; 3'!$B$26+F668*'Portfolio 2 &amp; 3'!$B$27+G668*'Portfolio 2 &amp; 3'!$B$28+H668*'Portfolio 2 &amp; 3'!$B$29+I668*'Portfolio 2 &amp; 3'!$B$30+J668*'Portfolio 2 &amp; 3'!$B$31+K668*'Portfolio 2 &amp; 3'!$B$32</f>
        <v>1.6067125493140363E-3</v>
      </c>
      <c r="S668" s="93">
        <f t="shared" si="32"/>
        <v>1.1292616549152035E-2</v>
      </c>
    </row>
    <row r="669" spans="1:19" ht="12.75" customHeight="1">
      <c r="A669" s="82">
        <v>45100</v>
      </c>
      <c r="B669" s="53">
        <v>4.5999999999999999E-3</v>
      </c>
      <c r="C669" s="53">
        <v>1.9354932315772701E-2</v>
      </c>
      <c r="D669" s="53">
        <v>-4.3668122270742503E-3</v>
      </c>
      <c r="E669" s="53">
        <v>3.0699999999999998E-3</v>
      </c>
      <c r="F669" s="53">
        <v>7.5963103635377002E-3</v>
      </c>
      <c r="G669" s="53">
        <v>6.0500602329005603E-3</v>
      </c>
      <c r="H669" s="87">
        <v>-3.1735956839098502E-3</v>
      </c>
      <c r="I669" s="53">
        <v>2.9164220003914599E-2</v>
      </c>
      <c r="J669" s="53">
        <v>5.0004950985247402E-3</v>
      </c>
      <c r="K669" s="53">
        <v>-4.9839652371895804E-3</v>
      </c>
      <c r="L669" s="95">
        <f>IFERROR(B669*'Stock Statistics'!$C$41+C669*'Stock Statistics'!$C$42+D669*'Stock Statistics'!$C$43+E669*'Stock Statistics'!$C$44+F669*'Stock Statistics'!$C$45+G669*'Stock Statistics'!$C$46+H669*'Stock Statistics'!$C$47+I669*'Stock Statistics'!$C$48+J669*'Stock Statistics'!$C$49+K669*'Stock Statistics'!$C$50,"")</f>
        <v>6.2311644866476622E-3</v>
      </c>
      <c r="M669" s="97">
        <v>281.45170000000002</v>
      </c>
      <c r="N669" s="96">
        <v>327.79969999999997</v>
      </c>
      <c r="O669" s="93">
        <f t="shared" si="30"/>
        <v>-6.8179620712263134E-3</v>
      </c>
      <c r="P669" s="93">
        <f t="shared" si="31"/>
        <v>6.9522158037578219E-3</v>
      </c>
      <c r="Q669" s="93">
        <f>B669*'Portfolio 2 &amp; 3'!$F$7+C669*'Portfolio 2 &amp; 3'!$F$8+D669*'Portfolio 2 &amp; 3'!$F$9+E669*'Portfolio 2 &amp; 3'!$F$10+F669*'Portfolio 2 &amp; 3'!$F$11+G669*'Portfolio 2 &amp; 3'!$F$12+H669*'Portfolio 2 &amp; 3'!$F$13+I669*'Portfolio 2 &amp; 3'!$F$14+J669*'Portfolio 2 &amp; 3'!$F$15+K669*'Portfolio 2 &amp; 3'!$F$16</f>
        <v>5.2270860436566258E-3</v>
      </c>
      <c r="R669" s="93">
        <f>B669*'Portfolio 2 &amp; 3'!$B$23+C669*'Portfolio 2 &amp; 3'!$B$24+D669*'Portfolio 2 &amp; 3'!$B$25+E669*'Portfolio 2 &amp; 3'!$B$26+F669*'Portfolio 2 &amp; 3'!$B$27+G669*'Portfolio 2 &amp; 3'!$B$28+H669*'Portfolio 2 &amp; 3'!$B$29+I669*'Portfolio 2 &amp; 3'!$B$30+J669*'Portfolio 2 &amp; 3'!$B$31+K669*'Portfolio 2 &amp; 3'!$B$32</f>
        <v>1.3034689933552191E-2</v>
      </c>
      <c r="S669" s="93">
        <f t="shared" si="32"/>
        <v>6.7126866265754259E-5</v>
      </c>
    </row>
    <row r="670" spans="1:19" ht="12.75" customHeight="1">
      <c r="A670" s="81">
        <v>45099</v>
      </c>
      <c r="B670" s="53">
        <v>-5.4999999999999997E-3</v>
      </c>
      <c r="C670" s="53">
        <v>1.49317468965822E-2</v>
      </c>
      <c r="D670" s="53">
        <v>3.17528427376099E-2</v>
      </c>
      <c r="E670" s="53">
        <v>1.8589999999999999E-2</v>
      </c>
      <c r="F670" s="53">
        <v>-1.28548473486878E-2</v>
      </c>
      <c r="G670" s="53">
        <v>2.5227449612195102E-3</v>
      </c>
      <c r="H670" s="87">
        <v>9.5516530166805998E-3</v>
      </c>
      <c r="I670" s="53">
        <v>1.99640646835695E-2</v>
      </c>
      <c r="J670" s="53">
        <v>6.4404260589534502E-4</v>
      </c>
      <c r="K670" s="53">
        <v>5.09307063321529E-3</v>
      </c>
      <c r="L670" s="95">
        <f>IFERROR(B670*'Stock Statistics'!$C$41+C670*'Stock Statistics'!$C$42+D670*'Stock Statistics'!$C$43+E670*'Stock Statistics'!$C$44+F670*'Stock Statistics'!$C$45+G670*'Stock Statistics'!$C$46+H670*'Stock Statistics'!$C$47+I670*'Stock Statistics'!$C$48+J670*'Stock Statistics'!$C$49+K670*'Stock Statistics'!$C$50,"")</f>
        <v>8.469531818608456E-3</v>
      </c>
      <c r="M670" s="96">
        <v>283.38380000000001</v>
      </c>
      <c r="N670" s="97">
        <v>325.53649999999999</v>
      </c>
      <c r="O670" s="93">
        <f t="shared" si="30"/>
        <v>2.4744918624770573E-3</v>
      </c>
      <c r="P670" s="93">
        <f t="shared" si="31"/>
        <v>9.3213005545838001E-3</v>
      </c>
      <c r="Q670" s="93">
        <f>B670*'Portfolio 2 &amp; 3'!$F$7+C670*'Portfolio 2 &amp; 3'!$F$8+D670*'Portfolio 2 &amp; 3'!$F$9+E670*'Portfolio 2 &amp; 3'!$F$10+F670*'Portfolio 2 &amp; 3'!$F$11+G670*'Portfolio 2 &amp; 3'!$F$12+H670*'Portfolio 2 &amp; 3'!$F$13+I670*'Portfolio 2 &amp; 3'!$F$14+J670*'Portfolio 2 &amp; 3'!$F$15+K670*'Portfolio 2 &amp; 3'!$F$16</f>
        <v>9.2320076853918322E-3</v>
      </c>
      <c r="R670" s="93">
        <f>B670*'Portfolio 2 &amp; 3'!$B$23+C670*'Portfolio 2 &amp; 3'!$B$24+D670*'Portfolio 2 &amp; 3'!$B$25+E670*'Portfolio 2 &amp; 3'!$B$26+F670*'Portfolio 2 &amp; 3'!$B$27+G670*'Portfolio 2 &amp; 3'!$B$28+H670*'Portfolio 2 &amp; 3'!$B$29+I670*'Portfolio 2 &amp; 3'!$B$30+J670*'Portfolio 2 &amp; 3'!$B$31+K670*'Portfolio 2 &amp; 3'!$B$32</f>
        <v>6.489740875086269E-3</v>
      </c>
      <c r="S670" s="93">
        <f t="shared" si="32"/>
        <v>5.8978962085304287E-3</v>
      </c>
    </row>
    <row r="671" spans="1:19" ht="12.75" customHeight="1">
      <c r="A671" s="82">
        <v>45098</v>
      </c>
      <c r="B671" s="53">
        <v>-1.38E-2</v>
      </c>
      <c r="C671" s="53">
        <v>-1.7786270762899499E-3</v>
      </c>
      <c r="D671" s="53">
        <v>4.0943944018461999E-2</v>
      </c>
      <c r="E671" s="53">
        <v>7.9900000000000006E-3</v>
      </c>
      <c r="F671" s="53">
        <v>7.2835176692744898E-3</v>
      </c>
      <c r="G671" s="53">
        <v>2.1474780554586701E-4</v>
      </c>
      <c r="H671" s="87">
        <v>1.9277674024635399E-2</v>
      </c>
      <c r="I671" s="53">
        <v>6.8847680787977898E-3</v>
      </c>
      <c r="J671" s="53">
        <v>-1.2378902045209901E-2</v>
      </c>
      <c r="K671" s="53">
        <v>1.38497885042512E-2</v>
      </c>
      <c r="L671" s="95">
        <f>IFERROR(B671*'Stock Statistics'!$C$41+C671*'Stock Statistics'!$C$42+D671*'Stock Statistics'!$C$43+E671*'Stock Statistics'!$C$44+F671*'Stock Statistics'!$C$45+G671*'Stock Statistics'!$C$46+H671*'Stock Statistics'!$C$47+I671*'Stock Statistics'!$C$48+J671*'Stock Statistics'!$C$49+K671*'Stock Statistics'!$C$50,"")</f>
        <v>6.8486910979466903E-3</v>
      </c>
      <c r="M671" s="97">
        <v>282.68430000000001</v>
      </c>
      <c r="N671" s="96">
        <v>322.5301</v>
      </c>
      <c r="O671" s="93">
        <f t="shared" si="30"/>
        <v>3.8914941483760845E-3</v>
      </c>
      <c r="P671" s="93">
        <f t="shared" si="31"/>
        <v>-1.0106660422404268E-3</v>
      </c>
      <c r="Q671" s="93">
        <f>B671*'Portfolio 2 &amp; 3'!$F$7+C671*'Portfolio 2 &amp; 3'!$F$8+D671*'Portfolio 2 &amp; 3'!$F$9+E671*'Portfolio 2 &amp; 3'!$F$10+F671*'Portfolio 2 &amp; 3'!$F$11+G671*'Portfolio 2 &amp; 3'!$F$12+H671*'Portfolio 2 &amp; 3'!$F$13+I671*'Portfolio 2 &amp; 3'!$F$14+J671*'Portfolio 2 &amp; 3'!$F$15+K671*'Portfolio 2 &amp; 3'!$F$16</f>
        <v>8.7392655700100404E-3</v>
      </c>
      <c r="R671" s="93">
        <f>B671*'Portfolio 2 &amp; 3'!$B$23+C671*'Portfolio 2 &amp; 3'!$B$24+D671*'Portfolio 2 &amp; 3'!$B$25+E671*'Portfolio 2 &amp; 3'!$B$26+F671*'Portfolio 2 &amp; 3'!$B$27+G671*'Portfolio 2 &amp; 3'!$B$28+H671*'Portfolio 2 &amp; 3'!$B$29+I671*'Portfolio 2 &amp; 3'!$B$30+J671*'Portfolio 2 &amp; 3'!$B$31+K671*'Portfolio 2 &amp; 3'!$B$32</f>
        <v>2.5745615579021303E-3</v>
      </c>
      <c r="S671" s="93">
        <f t="shared" si="32"/>
        <v>1.4404140530678289E-3</v>
      </c>
    </row>
    <row r="672" spans="1:19" ht="12.75" customHeight="1">
      <c r="A672" s="81">
        <v>45097</v>
      </c>
      <c r="B672" s="53">
        <v>-4.1999999999999997E-3</v>
      </c>
      <c r="C672" s="53">
        <v>1.53882893774535E-2</v>
      </c>
      <c r="D672" s="53">
        <v>-1.5175953079178999E-2</v>
      </c>
      <c r="E672" s="53">
        <v>-1.9099999999999999E-2</v>
      </c>
      <c r="F672" s="53">
        <v>3.42867454660278E-3</v>
      </c>
      <c r="G672" s="53">
        <v>2.41649661690602E-4</v>
      </c>
      <c r="H672" s="87">
        <v>-2.22996089931571E-3</v>
      </c>
      <c r="I672" s="53">
        <v>3.5301830652074702E-3</v>
      </c>
      <c r="J672" s="53">
        <v>3.2848190822721002E-2</v>
      </c>
      <c r="K672" s="53">
        <v>2.0618258998830401E-2</v>
      </c>
      <c r="L672" s="95">
        <f>IFERROR(B672*'Stock Statistics'!$C$41+C672*'Stock Statistics'!$C$42+D672*'Stock Statistics'!$C$43+E672*'Stock Statistics'!$C$44+F672*'Stock Statistics'!$C$45+G672*'Stock Statistics'!$C$46+H672*'Stock Statistics'!$C$47+I672*'Stock Statistics'!$C$48+J672*'Stock Statistics'!$C$49+K672*'Stock Statistics'!$C$50,"")</f>
        <v>3.5349332494011045E-3</v>
      </c>
      <c r="M672" s="96">
        <v>281.58850000000001</v>
      </c>
      <c r="N672" s="97">
        <v>322.85640000000001</v>
      </c>
      <c r="O672" s="93">
        <f t="shared" si="30"/>
        <v>2.3301834415612177E-4</v>
      </c>
      <c r="P672" s="93">
        <f t="shared" si="31"/>
        <v>-2.4800785765023425E-3</v>
      </c>
      <c r="Q672" s="93">
        <f>B672*'Portfolio 2 &amp; 3'!$F$7+C672*'Portfolio 2 &amp; 3'!$F$8+D672*'Portfolio 2 &amp; 3'!$F$9+E672*'Portfolio 2 &amp; 3'!$F$10+F672*'Portfolio 2 &amp; 3'!$F$11+G672*'Portfolio 2 &amp; 3'!$F$12+H672*'Portfolio 2 &amp; 3'!$F$13+I672*'Portfolio 2 &amp; 3'!$F$14+J672*'Portfolio 2 &amp; 3'!$F$15+K672*'Portfolio 2 &amp; 3'!$F$16</f>
        <v>4.503100253977336E-3</v>
      </c>
      <c r="R672" s="93">
        <f>B672*'Portfolio 2 &amp; 3'!$B$23+C672*'Portfolio 2 &amp; 3'!$B$24+D672*'Portfolio 2 &amp; 3'!$B$25+E672*'Portfolio 2 &amp; 3'!$B$26+F672*'Portfolio 2 &amp; 3'!$B$27+G672*'Portfolio 2 &amp; 3'!$B$28+H672*'Portfolio 2 &amp; 3'!$B$29+I672*'Portfolio 2 &amp; 3'!$B$30+J672*'Portfolio 2 &amp; 3'!$B$31+K672*'Portfolio 2 &amp; 3'!$B$32</f>
        <v>6.4259251462475391E-3</v>
      </c>
      <c r="S672" s="93">
        <f t="shared" si="32"/>
        <v>-1.1235301161731104E-3</v>
      </c>
    </row>
    <row r="673" spans="1:19" ht="12.75" customHeight="1">
      <c r="A673" s="82">
        <v>45096</v>
      </c>
      <c r="B673" s="53">
        <v>1.6799999999999999E-2</v>
      </c>
      <c r="C673" s="53">
        <v>1.64208514957798E-4</v>
      </c>
      <c r="D673" s="53">
        <v>1.5419634334386E-3</v>
      </c>
      <c r="E673" s="53">
        <v>5.1740000000000001E-2</v>
      </c>
      <c r="F673" s="53">
        <v>5.62562380909171E-3</v>
      </c>
      <c r="G673" s="53">
        <v>1.1558829063735799E-3</v>
      </c>
      <c r="H673" s="87">
        <v>1.87709132457359E-3</v>
      </c>
      <c r="I673" s="53">
        <v>1.1612642633547199E-3</v>
      </c>
      <c r="J673" s="53">
        <v>-8.9151557648001808E-3</v>
      </c>
      <c r="K673" s="53">
        <v>-2.2828279977990099E-2</v>
      </c>
      <c r="L673" s="95">
        <f>IFERROR(B673*'Stock Statistics'!$C$41+C673*'Stock Statistics'!$C$42+D673*'Stock Statistics'!$C$43+E673*'Stock Statistics'!$C$44+F673*'Stock Statistics'!$C$45+G673*'Stock Statistics'!$C$46+H673*'Stock Statistics'!$C$47+I673*'Stock Statistics'!$C$48+J673*'Stock Statistics'!$C$49+K673*'Stock Statistics'!$C$50,"")</f>
        <v>4.8322598508999722E-3</v>
      </c>
      <c r="M673" s="97">
        <v>281.52289999999999</v>
      </c>
      <c r="N673" s="96">
        <v>323.65910000000002</v>
      </c>
      <c r="O673" s="93">
        <f t="shared" si="30"/>
        <v>9.6861010349964527E-3</v>
      </c>
      <c r="P673" s="93">
        <f t="shared" si="31"/>
        <v>-8.1755417112282514E-3</v>
      </c>
      <c r="Q673" s="93">
        <f>B673*'Portfolio 2 &amp; 3'!$F$7+C673*'Portfolio 2 &amp; 3'!$F$8+D673*'Portfolio 2 &amp; 3'!$F$9+E673*'Portfolio 2 &amp; 3'!$F$10+F673*'Portfolio 2 &amp; 3'!$F$11+G673*'Portfolio 2 &amp; 3'!$F$12+H673*'Portfolio 2 &amp; 3'!$F$13+I673*'Portfolio 2 &amp; 3'!$F$14+J673*'Portfolio 2 &amp; 3'!$F$15+K673*'Portfolio 2 &amp; 3'!$F$16</f>
        <v>3.0574355761713492E-3</v>
      </c>
      <c r="R673" s="93">
        <f>B673*'Portfolio 2 &amp; 3'!$B$23+C673*'Portfolio 2 &amp; 3'!$B$24+D673*'Portfolio 2 &amp; 3'!$B$25+E673*'Portfolio 2 &amp; 3'!$B$26+F673*'Portfolio 2 &amp; 3'!$B$27+G673*'Portfolio 2 &amp; 3'!$B$28+H673*'Portfolio 2 &amp; 3'!$B$29+I673*'Portfolio 2 &amp; 3'!$B$30+J673*'Portfolio 2 &amp; 3'!$B$31+K673*'Portfolio 2 &amp; 3'!$B$32</f>
        <v>1.4006435847898199E-3</v>
      </c>
      <c r="S673" s="93">
        <f t="shared" si="32"/>
        <v>7.5527966188410067E-4</v>
      </c>
    </row>
    <row r="674" spans="1:19" ht="12.75" customHeight="1">
      <c r="A674" s="81">
        <v>45093</v>
      </c>
      <c r="B674" s="53">
        <v>1.24E-2</v>
      </c>
      <c r="C674" s="53">
        <v>-1.1947255081270799E-2</v>
      </c>
      <c r="D674" s="53">
        <v>4.2769707248728802E-3</v>
      </c>
      <c r="E674" s="53">
        <v>-1.2E-4</v>
      </c>
      <c r="F674" s="53">
        <v>3.45989256123103E-3</v>
      </c>
      <c r="G674" s="53">
        <v>1.23805678912659E-3</v>
      </c>
      <c r="H674" s="87">
        <v>4.5501127280180896E-3</v>
      </c>
      <c r="I674" s="53">
        <v>-1.61306583324938E-3</v>
      </c>
      <c r="J674" s="53">
        <v>-1.05064922192487E-2</v>
      </c>
      <c r="K674" s="53">
        <v>9.7733327634597095E-3</v>
      </c>
      <c r="L674" s="95">
        <f>IFERROR(B674*'Stock Statistics'!$C$41+C674*'Stock Statistics'!$C$42+D674*'Stock Statistics'!$C$43+E674*'Stock Statistics'!$C$44+F674*'Stock Statistics'!$C$45+G674*'Stock Statistics'!$C$46+H674*'Stock Statistics'!$C$47+I674*'Stock Statistics'!$C$48+J674*'Stock Statistics'!$C$49+K674*'Stock Statistics'!$C$50,"")</f>
        <v>1.1511552432939417E-3</v>
      </c>
      <c r="M674" s="96">
        <v>278.82220000000001</v>
      </c>
      <c r="N674" s="97">
        <v>326.327</v>
      </c>
      <c r="O674" s="93">
        <f t="shared" si="30"/>
        <v>8.1312982851200477E-3</v>
      </c>
      <c r="P674" s="93">
        <f t="shared" si="31"/>
        <v>4.4477687283381862E-3</v>
      </c>
      <c r="Q674" s="93">
        <f>B674*'Portfolio 2 &amp; 3'!$F$7+C674*'Portfolio 2 &amp; 3'!$F$8+D674*'Portfolio 2 &amp; 3'!$F$9+E674*'Portfolio 2 &amp; 3'!$F$10+F674*'Portfolio 2 &amp; 3'!$F$11+G674*'Portfolio 2 &amp; 3'!$F$12+H674*'Portfolio 2 &amp; 3'!$F$13+I674*'Portfolio 2 &amp; 3'!$F$14+J674*'Portfolio 2 &amp; 3'!$F$15+K674*'Portfolio 2 &amp; 3'!$F$16</f>
        <v>5.0318541784207243E-4</v>
      </c>
      <c r="R674" s="93">
        <f>B674*'Portfolio 2 &amp; 3'!$B$23+C674*'Portfolio 2 &amp; 3'!$B$24+D674*'Portfolio 2 &amp; 3'!$B$25+E674*'Portfolio 2 &amp; 3'!$B$26+F674*'Portfolio 2 &amp; 3'!$B$27+G674*'Portfolio 2 &amp; 3'!$B$28+H674*'Portfolio 2 &amp; 3'!$B$29+I674*'Portfolio 2 &amp; 3'!$B$30+J674*'Portfolio 2 &amp; 3'!$B$31+K674*'Portfolio 2 &amp; 3'!$B$32</f>
        <v>3.3204856725692865E-4</v>
      </c>
      <c r="S674" s="93">
        <f t="shared" si="32"/>
        <v>6.2895335067291169E-3</v>
      </c>
    </row>
    <row r="675" spans="1:19" ht="12.75" customHeight="1">
      <c r="A675" s="82">
        <v>45092</v>
      </c>
      <c r="B675" s="53">
        <v>1.7899999999999999E-2</v>
      </c>
      <c r="C675" s="53">
        <v>1.77310204202241E-3</v>
      </c>
      <c r="D675" s="53">
        <v>-6.6656900087900296E-3</v>
      </c>
      <c r="E675" s="53">
        <v>-6.3800000000000003E-3</v>
      </c>
      <c r="F675" s="53">
        <v>3.1558185404339197E-2</v>
      </c>
      <c r="G675" s="53">
        <v>-2.4216984178238E-4</v>
      </c>
      <c r="H675" s="87">
        <v>-7.3346151107314102E-3</v>
      </c>
      <c r="I675" s="53">
        <v>-5.0405766419792102E-5</v>
      </c>
      <c r="J675" s="53">
        <v>-2.2251891410769399E-3</v>
      </c>
      <c r="K675" s="53">
        <v>-1.5885256014805602E-2</v>
      </c>
      <c r="L675" s="95">
        <f>IFERROR(B675*'Stock Statistics'!$C$41+C675*'Stock Statistics'!$C$42+D675*'Stock Statistics'!$C$43+E675*'Stock Statistics'!$C$44+F675*'Stock Statistics'!$C$45+G675*'Stock Statistics'!$C$46+H675*'Stock Statistics'!$C$47+I675*'Stock Statistics'!$C$48+J675*'Stock Statistics'!$C$49+K675*'Stock Statistics'!$C$50,"")</f>
        <v>1.2447961562755444E-3</v>
      </c>
      <c r="M675" s="97">
        <v>276.57330000000002</v>
      </c>
      <c r="N675" s="96">
        <v>324.88200000000001</v>
      </c>
      <c r="O675" s="93">
        <f t="shared" si="30"/>
        <v>6.6776176781793151E-3</v>
      </c>
      <c r="P675" s="93">
        <f t="shared" si="31"/>
        <v>6.0225350385572085E-3</v>
      </c>
      <c r="Q675" s="93">
        <f>B675*'Portfolio 2 &amp; 3'!$F$7+C675*'Portfolio 2 &amp; 3'!$F$8+D675*'Portfolio 2 &amp; 3'!$F$9+E675*'Portfolio 2 &amp; 3'!$F$10+F675*'Portfolio 2 &amp; 3'!$F$11+G675*'Portfolio 2 &amp; 3'!$F$12+H675*'Portfolio 2 &amp; 3'!$F$13+I675*'Portfolio 2 &amp; 3'!$F$14+J675*'Portfolio 2 &amp; 3'!$F$15+K675*'Portfolio 2 &amp; 3'!$F$16</f>
        <v>4.7103587562883817E-4</v>
      </c>
      <c r="R675" s="93">
        <f>B675*'Portfolio 2 &amp; 3'!$B$23+C675*'Portfolio 2 &amp; 3'!$B$24+D675*'Portfolio 2 &amp; 3'!$B$25+E675*'Portfolio 2 &amp; 3'!$B$26+F675*'Portfolio 2 &amp; 3'!$B$27+G675*'Portfolio 2 &amp; 3'!$B$28+H675*'Portfolio 2 &amp; 3'!$B$29+I675*'Portfolio 2 &amp; 3'!$B$30+J675*'Portfolio 2 &amp; 3'!$B$31+K675*'Portfolio 2 &amp; 3'!$B$32</f>
        <v>5.9319978460525688E-3</v>
      </c>
      <c r="S675" s="93">
        <f t="shared" si="32"/>
        <v>6.3500763583682618E-3</v>
      </c>
    </row>
    <row r="676" spans="1:19" ht="12.75" customHeight="1">
      <c r="A676" s="81">
        <v>45091</v>
      </c>
      <c r="B676" s="53">
        <v>-5.3E-3</v>
      </c>
      <c r="C676" s="53">
        <v>-5.4957973314523397E-3</v>
      </c>
      <c r="D676" s="53">
        <v>-4.0852057192879397E-3</v>
      </c>
      <c r="E676" s="53">
        <v>-9.9000000000000008E-3</v>
      </c>
      <c r="F676" s="53">
        <v>2.8397565922921E-2</v>
      </c>
      <c r="G676" s="53">
        <v>1.0330578512396601E-2</v>
      </c>
      <c r="H676" s="87">
        <v>2.3233301064859799E-2</v>
      </c>
      <c r="I676" s="53">
        <v>-9.8323018566579597E-3</v>
      </c>
      <c r="J676" s="53">
        <v>-9.8887515451173704E-5</v>
      </c>
      <c r="K676" s="53">
        <v>-5.1746983750611299E-3</v>
      </c>
      <c r="L676" s="95">
        <f>IFERROR(B676*'Stock Statistics'!$C$41+C676*'Stock Statistics'!$C$42+D676*'Stock Statistics'!$C$43+E676*'Stock Statistics'!$C$44+F676*'Stock Statistics'!$C$45+G676*'Stock Statistics'!$C$46+H676*'Stock Statistics'!$C$47+I676*'Stock Statistics'!$C$48+J676*'Stock Statistics'!$C$49+K676*'Stock Statistics'!$C$50,"")</f>
        <v>2.2074554702266858E-3</v>
      </c>
      <c r="M676" s="96">
        <v>274.73869999999999</v>
      </c>
      <c r="N676" s="97">
        <v>322.93709999999999</v>
      </c>
      <c r="O676" s="93">
        <f t="shared" si="30"/>
        <v>7.8218999994130733E-3</v>
      </c>
      <c r="P676" s="93">
        <f t="shared" si="31"/>
        <v>4.0147766083498126E-4</v>
      </c>
      <c r="Q676" s="93">
        <f>B676*'Portfolio 2 &amp; 3'!$F$7+C676*'Portfolio 2 &amp; 3'!$F$8+D676*'Portfolio 2 &amp; 3'!$F$9+E676*'Portfolio 2 &amp; 3'!$F$10+F676*'Portfolio 2 &amp; 3'!$F$11+G676*'Portfolio 2 &amp; 3'!$F$12+H676*'Portfolio 2 &amp; 3'!$F$13+I676*'Portfolio 2 &amp; 3'!$F$14+J676*'Portfolio 2 &amp; 3'!$F$15+K676*'Portfolio 2 &amp; 3'!$F$16</f>
        <v>3.883812531424453E-3</v>
      </c>
      <c r="R676" s="93">
        <f>B676*'Portfolio 2 &amp; 3'!$B$23+C676*'Portfolio 2 &amp; 3'!$B$24+D676*'Portfolio 2 &amp; 3'!$B$25+E676*'Portfolio 2 &amp; 3'!$B$26+F676*'Portfolio 2 &amp; 3'!$B$27+G676*'Portfolio 2 &amp; 3'!$B$28+H676*'Portfolio 2 &amp; 3'!$B$29+I676*'Portfolio 2 &amp; 3'!$B$30+J676*'Portfolio 2 &amp; 3'!$B$31+K676*'Portfolio 2 &amp; 3'!$B$32</f>
        <v>1.5559741614735133E-3</v>
      </c>
      <c r="S676" s="93">
        <f t="shared" si="32"/>
        <v>4.1116888301240273E-3</v>
      </c>
    </row>
    <row r="677" spans="1:19" ht="12.75" customHeight="1">
      <c r="A677" s="82">
        <v>45090</v>
      </c>
      <c r="B677" s="53">
        <v>8.8999999999999999E-3</v>
      </c>
      <c r="C677" s="53">
        <v>1.0738610453229201E-3</v>
      </c>
      <c r="D677" s="53">
        <v>2.3366927958193399E-2</v>
      </c>
      <c r="E677" s="53">
        <v>1.3050000000000001E-2</v>
      </c>
      <c r="F677" s="53">
        <v>1.4999999999999901E-2</v>
      </c>
      <c r="G677" s="53">
        <v>4.2042042042043102E-3</v>
      </c>
      <c r="H677" s="87">
        <v>2.2228133645456401E-2</v>
      </c>
      <c r="I677" s="53">
        <v>9.8790322580644095E-3</v>
      </c>
      <c r="J677" s="53">
        <v>5.1687291884101602E-3</v>
      </c>
      <c r="K677" s="53">
        <v>1.4387082355571399E-3</v>
      </c>
      <c r="L677" s="95">
        <f>IFERROR(B677*'Stock Statistics'!$C$41+C677*'Stock Statistics'!$C$42+D677*'Stock Statistics'!$C$43+E677*'Stock Statistics'!$C$44+F677*'Stock Statistics'!$C$45+G677*'Stock Statistics'!$C$46+H677*'Stock Statistics'!$C$47+I677*'Stock Statistics'!$C$48+J677*'Stock Statistics'!$C$49+K677*'Stock Statistics'!$C$50,"")</f>
        <v>1.0430959653520864E-2</v>
      </c>
      <c r="M677" s="97">
        <v>272.60640000000001</v>
      </c>
      <c r="N677" s="96">
        <v>322.8075</v>
      </c>
      <c r="O677" s="93">
        <f t="shared" si="30"/>
        <v>1.1850923635629451E-2</v>
      </c>
      <c r="P677" s="93">
        <f t="shared" si="31"/>
        <v>1.0681730943237211E-2</v>
      </c>
      <c r="Q677" s="93">
        <f>B677*'Portfolio 2 &amp; 3'!$F$7+C677*'Portfolio 2 &amp; 3'!$F$8+D677*'Portfolio 2 &amp; 3'!$F$9+E677*'Portfolio 2 &amp; 3'!$F$10+F677*'Portfolio 2 &amp; 3'!$F$11+G677*'Portfolio 2 &amp; 3'!$F$12+H677*'Portfolio 2 &amp; 3'!$F$13+I677*'Portfolio 2 &amp; 3'!$F$14+J677*'Portfolio 2 &amp; 3'!$F$15+K677*'Portfolio 2 &amp; 3'!$F$16</f>
        <v>1.1877641195561029E-2</v>
      </c>
      <c r="R677" s="93">
        <f>B677*'Portfolio 2 &amp; 3'!$B$23+C677*'Portfolio 2 &amp; 3'!$B$24+D677*'Portfolio 2 &amp; 3'!$B$25+E677*'Portfolio 2 &amp; 3'!$B$26+F677*'Portfolio 2 &amp; 3'!$B$27+G677*'Portfolio 2 &amp; 3'!$B$28+H677*'Portfolio 2 &amp; 3'!$B$29+I677*'Portfolio 2 &amp; 3'!$B$30+J677*'Portfolio 2 &amp; 3'!$B$31+K677*'Portfolio 2 &amp; 3'!$B$32</f>
        <v>7.9281169266466698E-3</v>
      </c>
      <c r="S677" s="93">
        <f t="shared" si="32"/>
        <v>1.1266327289433331E-2</v>
      </c>
    </row>
    <row r="678" spans="1:19" ht="12.75" customHeight="1">
      <c r="A678" s="81">
        <v>45089</v>
      </c>
      <c r="B678" s="53">
        <v>7.7999999999999996E-3</v>
      </c>
      <c r="C678" s="53">
        <v>1.34044308272441E-3</v>
      </c>
      <c r="D678" s="53">
        <v>-1.7385563380281702E-2</v>
      </c>
      <c r="E678" s="53">
        <v>9.7999999999999997E-4</v>
      </c>
      <c r="F678" s="53">
        <v>4.4313146233383501E-3</v>
      </c>
      <c r="G678" s="53">
        <v>8.45194504859181E-3</v>
      </c>
      <c r="H678" s="87">
        <v>-6.3802637175669496E-4</v>
      </c>
      <c r="I678" s="53">
        <v>3.6422501011736902E-3</v>
      </c>
      <c r="J678" s="53">
        <v>7.8641554798637402E-3</v>
      </c>
      <c r="K678" s="53">
        <v>-4.0490917468349901E-4</v>
      </c>
      <c r="L678" s="95">
        <f>IFERROR(B678*'Stock Statistics'!$C$41+C678*'Stock Statistics'!$C$42+D678*'Stock Statistics'!$C$43+E678*'Stock Statistics'!$C$44+F678*'Stock Statistics'!$C$45+G678*'Stock Statistics'!$C$46+H678*'Stock Statistics'!$C$47+I678*'Stock Statistics'!$C$48+J678*'Stock Statistics'!$C$49+K678*'Stock Statistics'!$C$50,"")</f>
        <v>1.6081609408970104E-3</v>
      </c>
      <c r="M678" s="96">
        <v>269.41359999999997</v>
      </c>
      <c r="N678" s="97">
        <v>319.39580000000001</v>
      </c>
      <c r="O678" s="93">
        <f t="shared" si="30"/>
        <v>1.0876654652847151E-4</v>
      </c>
      <c r="P678" s="93">
        <f t="shared" si="31"/>
        <v>9.1708102509595602E-3</v>
      </c>
      <c r="Q678" s="93">
        <f>B678*'Portfolio 2 &amp; 3'!$F$7+C678*'Portfolio 2 &amp; 3'!$F$8+D678*'Portfolio 2 &amp; 3'!$F$9+E678*'Portfolio 2 &amp; 3'!$F$10+F678*'Portfolio 2 &amp; 3'!$F$11+G678*'Portfolio 2 &amp; 3'!$F$12+H678*'Portfolio 2 &amp; 3'!$F$13+I678*'Portfolio 2 &amp; 3'!$F$14+J678*'Portfolio 2 &amp; 3'!$F$15+K678*'Portfolio 2 &amp; 3'!$F$16</f>
        <v>6.3736515525040312E-4</v>
      </c>
      <c r="R678" s="93">
        <f>B678*'Portfolio 2 &amp; 3'!$B$23+C678*'Portfolio 2 &amp; 3'!$B$24+D678*'Portfolio 2 &amp; 3'!$B$25+E678*'Portfolio 2 &amp; 3'!$B$26+F678*'Portfolio 2 &amp; 3'!$B$27+G678*'Portfolio 2 &amp; 3'!$B$28+H678*'Portfolio 2 &amp; 3'!$B$29+I678*'Portfolio 2 &amp; 3'!$B$30+J678*'Portfolio 2 &amp; 3'!$B$31+K678*'Portfolio 2 &amp; 3'!$B$32</f>
        <v>3.7961373630852487E-3</v>
      </c>
      <c r="S678" s="93">
        <f t="shared" si="32"/>
        <v>4.6397883987440158E-3</v>
      </c>
    </row>
    <row r="679" spans="1:19" ht="12.75" customHeight="1">
      <c r="A679" s="82">
        <v>45086</v>
      </c>
      <c r="B679" s="53">
        <v>6.7000000000000002E-3</v>
      </c>
      <c r="C679" s="53">
        <v>6.38925537749979E-3</v>
      </c>
      <c r="D679" s="53">
        <v>2.6970016573753201E-2</v>
      </c>
      <c r="E679" s="53">
        <v>-2.5000000000000001E-3</v>
      </c>
      <c r="F679" s="53">
        <v>-1.01374402963252E-2</v>
      </c>
      <c r="G679" s="53">
        <v>5.4253051734161097E-3</v>
      </c>
      <c r="H679" s="87">
        <v>5.6355800797751598E-3</v>
      </c>
      <c r="I679" s="53">
        <v>1.7229147663928601E-3</v>
      </c>
      <c r="J679" s="53">
        <v>1.9924389496270602E-2</v>
      </c>
      <c r="K679" s="53">
        <v>2.7280942067442301E-2</v>
      </c>
      <c r="L679" s="95">
        <f>IFERROR(B679*'Stock Statistics'!$C$41+C679*'Stock Statistics'!$C$42+D679*'Stock Statistics'!$C$43+E679*'Stock Statistics'!$C$44+F679*'Stock Statistics'!$C$45+G679*'Stock Statistics'!$C$46+H679*'Stock Statistics'!$C$47+I679*'Stock Statistics'!$C$48+J679*'Stock Statistics'!$C$49+K679*'Stock Statistics'!$C$50,"")</f>
        <v>8.7410963238224813E-3</v>
      </c>
      <c r="M679" s="97">
        <v>269.3843</v>
      </c>
      <c r="N679" s="96">
        <v>316.49329999999998</v>
      </c>
      <c r="O679" s="93">
        <f t="shared" si="30"/>
        <v>1.9787816581817719E-3</v>
      </c>
      <c r="P679" s="93">
        <f t="shared" si="31"/>
        <v>5.5923556841157573E-3</v>
      </c>
      <c r="Q679" s="93">
        <f>B679*'Portfolio 2 &amp; 3'!$F$7+C679*'Portfolio 2 &amp; 3'!$F$8+D679*'Portfolio 2 &amp; 3'!$F$9+E679*'Portfolio 2 &amp; 3'!$F$10+F679*'Portfolio 2 &amp; 3'!$F$11+G679*'Portfolio 2 &amp; 3'!$F$12+H679*'Portfolio 2 &amp; 3'!$F$13+I679*'Portfolio 2 &amp; 3'!$F$14+J679*'Portfolio 2 &amp; 3'!$F$15+K679*'Portfolio 2 &amp; 3'!$F$16</f>
        <v>9.8477501567058017E-3</v>
      </c>
      <c r="R679" s="93">
        <f>B679*'Portfolio 2 &amp; 3'!$B$23+C679*'Portfolio 2 &amp; 3'!$B$24+D679*'Portfolio 2 &amp; 3'!$B$25+E679*'Portfolio 2 &amp; 3'!$B$26+F679*'Portfolio 2 &amp; 3'!$B$27+G679*'Portfolio 2 &amp; 3'!$B$28+H679*'Portfolio 2 &amp; 3'!$B$29+I679*'Portfolio 2 &amp; 3'!$B$30+J679*'Portfolio 2 &amp; 3'!$B$31+K679*'Portfolio 2 &amp; 3'!$B$32</f>
        <v>5.028748340390873E-3</v>
      </c>
      <c r="S679" s="93">
        <f t="shared" si="32"/>
        <v>3.7855686711487646E-3</v>
      </c>
    </row>
    <row r="680" spans="1:19" ht="12.75" customHeight="1">
      <c r="A680" s="81">
        <v>45085</v>
      </c>
      <c r="B680" s="53">
        <v>-1.01E-2</v>
      </c>
      <c r="C680" s="53">
        <v>-4.89754974995937E-3</v>
      </c>
      <c r="D680" s="53">
        <v>-8.5150881386315599E-3</v>
      </c>
      <c r="E680" s="53">
        <v>6.0200000000000002E-3</v>
      </c>
      <c r="F680" s="53">
        <v>-4.1739468064453398E-3</v>
      </c>
      <c r="G680" s="53">
        <v>2.2149007447591599E-4</v>
      </c>
      <c r="H680" s="87">
        <v>1.8963743893030099E-3</v>
      </c>
      <c r="I680" s="53">
        <v>-1.41686064163549E-3</v>
      </c>
      <c r="J680" s="53">
        <v>-2.8527763627100898E-3</v>
      </c>
      <c r="K680" s="53">
        <v>-5.0176333973683796E-4</v>
      </c>
      <c r="L680" s="95">
        <f>IFERROR(B680*'Stock Statistics'!$C$41+C680*'Stock Statistics'!$C$42+D680*'Stock Statistics'!$C$43+E680*'Stock Statistics'!$C$44+F680*'Stock Statistics'!$C$45+G680*'Stock Statistics'!$C$46+H680*'Stock Statistics'!$C$47+I680*'Stock Statistics'!$C$48+J680*'Stock Statistics'!$C$49+K680*'Stock Statistics'!$C$50,"")</f>
        <v>-2.4320120575339762E-3</v>
      </c>
      <c r="M680" s="96">
        <v>268.85230000000001</v>
      </c>
      <c r="N680" s="97">
        <v>314.73320000000001</v>
      </c>
      <c r="O680" s="93">
        <f t="shared" si="30"/>
        <v>-5.0010436574493555E-3</v>
      </c>
      <c r="P680" s="93">
        <f t="shared" si="31"/>
        <v>5.105339753048721E-4</v>
      </c>
      <c r="Q680" s="93">
        <f>B680*'Portfolio 2 &amp; 3'!$F$7+C680*'Portfolio 2 &amp; 3'!$F$8+D680*'Portfolio 2 &amp; 3'!$F$9+E680*'Portfolio 2 &amp; 3'!$F$10+F680*'Portfolio 2 &amp; 3'!$F$11+G680*'Portfolio 2 &amp; 3'!$F$12+H680*'Portfolio 2 &amp; 3'!$F$13+I680*'Portfolio 2 &amp; 3'!$F$14+J680*'Portfolio 2 &amp; 3'!$F$15+K680*'Portfolio 2 &amp; 3'!$F$16</f>
        <v>-2.5281207071628392E-3</v>
      </c>
      <c r="R680" s="93">
        <f>B680*'Portfolio 2 &amp; 3'!$B$23+C680*'Portfolio 2 &amp; 3'!$B$24+D680*'Portfolio 2 &amp; 3'!$B$25+E680*'Portfolio 2 &amp; 3'!$B$26+F680*'Portfolio 2 &amp; 3'!$B$27+G680*'Portfolio 2 &amp; 3'!$B$28+H680*'Portfolio 2 &amp; 3'!$B$29+I680*'Portfolio 2 &amp; 3'!$B$30+J680*'Portfolio 2 &amp; 3'!$B$31+K680*'Portfolio 2 &amp; 3'!$B$32</f>
        <v>-3.4623695125246897E-3</v>
      </c>
      <c r="S680" s="93">
        <f t="shared" si="32"/>
        <v>-2.2452548410722417E-3</v>
      </c>
    </row>
    <row r="681" spans="1:19" ht="12.75" customHeight="1">
      <c r="A681" s="82">
        <v>45084</v>
      </c>
      <c r="B681" s="53">
        <v>2E-3</v>
      </c>
      <c r="C681" s="53">
        <v>1.2531740104555499E-2</v>
      </c>
      <c r="D681" s="53">
        <v>1.34629768137629E-3</v>
      </c>
      <c r="E681" s="53">
        <v>-6.7099999999999998E-3</v>
      </c>
      <c r="F681" s="53">
        <v>-6.7901833349504103E-4</v>
      </c>
      <c r="G681" s="53">
        <v>4.5333185003895203E-3</v>
      </c>
      <c r="H681" s="87">
        <v>3.74241837656486E-3</v>
      </c>
      <c r="I681" s="53">
        <v>2.6891267948652201E-3</v>
      </c>
      <c r="J681" s="53">
        <v>2.2449085889889999E-2</v>
      </c>
      <c r="K681" s="53">
        <v>1.43233142840524E-2</v>
      </c>
      <c r="L681" s="95">
        <f>IFERROR(B681*'Stock Statistics'!$C$41+C681*'Stock Statistics'!$C$42+D681*'Stock Statistics'!$C$43+E681*'Stock Statistics'!$C$44+F681*'Stock Statistics'!$C$45+G681*'Stock Statistics'!$C$46+H681*'Stock Statistics'!$C$47+I681*'Stock Statistics'!$C$48+J681*'Stock Statistics'!$C$49+K681*'Stock Statistics'!$C$50,"")</f>
        <v>5.6226283298198756E-3</v>
      </c>
      <c r="M681" s="97">
        <v>270.20359999999999</v>
      </c>
      <c r="N681" s="96">
        <v>314.57260000000002</v>
      </c>
      <c r="O681" s="93">
        <f t="shared" si="30"/>
        <v>6.0342635365095987E-3</v>
      </c>
      <c r="P681" s="93">
        <f t="shared" si="31"/>
        <v>3.4562605207006936E-3</v>
      </c>
      <c r="Q681" s="93">
        <f>B681*'Portfolio 2 &amp; 3'!$F$7+C681*'Portfolio 2 &amp; 3'!$F$8+D681*'Portfolio 2 &amp; 3'!$F$9+E681*'Portfolio 2 &amp; 3'!$F$10+F681*'Portfolio 2 &amp; 3'!$F$11+G681*'Portfolio 2 &amp; 3'!$F$12+H681*'Portfolio 2 &amp; 3'!$F$13+I681*'Portfolio 2 &amp; 3'!$F$14+J681*'Portfolio 2 &amp; 3'!$F$15+K681*'Portfolio 2 &amp; 3'!$F$16</f>
        <v>6.4517403869252237E-3</v>
      </c>
      <c r="R681" s="93">
        <f>B681*'Portfolio 2 &amp; 3'!$B$23+C681*'Portfolio 2 &amp; 3'!$B$24+D681*'Portfolio 2 &amp; 3'!$B$25+E681*'Portfolio 2 &amp; 3'!$B$26+F681*'Portfolio 2 &amp; 3'!$B$27+G681*'Portfolio 2 &amp; 3'!$B$28+H681*'Portfolio 2 &amp; 3'!$B$29+I681*'Portfolio 2 &amp; 3'!$B$30+J681*'Portfolio 2 &amp; 3'!$B$31+K681*'Portfolio 2 &amp; 3'!$B$32</f>
        <v>5.8082219055800091E-3</v>
      </c>
      <c r="S681" s="93">
        <f t="shared" si="32"/>
        <v>4.7452620286051461E-3</v>
      </c>
    </row>
    <row r="682" spans="1:19" ht="12.75" customHeight="1">
      <c r="A682" s="81">
        <v>45083</v>
      </c>
      <c r="B682" s="53">
        <v>-4.0000000000000002E-4</v>
      </c>
      <c r="C682" s="53">
        <v>-1.96221994435496E-2</v>
      </c>
      <c r="D682" s="53">
        <v>-5.2083333333333703E-3</v>
      </c>
      <c r="E682" s="53">
        <v>-1.145E-2</v>
      </c>
      <c r="F682" s="53">
        <v>1.0488139580474599E-2</v>
      </c>
      <c r="G682" s="53">
        <v>-2.3584251269387398E-3</v>
      </c>
      <c r="H682" s="87">
        <v>-5.2099491842739799E-3</v>
      </c>
      <c r="I682" s="53">
        <v>1.5244677066923501E-3</v>
      </c>
      <c r="J682" s="53">
        <v>-9.5950477173071293E-3</v>
      </c>
      <c r="K682" s="53">
        <v>2.8290193219102601E-3</v>
      </c>
      <c r="L682" s="95">
        <f>IFERROR(B682*'Stock Statistics'!$C$41+C682*'Stock Statistics'!$C$42+D682*'Stock Statistics'!$C$43+E682*'Stock Statistics'!$C$44+F682*'Stock Statistics'!$C$45+G682*'Stock Statistics'!$C$46+H682*'Stock Statistics'!$C$47+I682*'Stock Statistics'!$C$48+J682*'Stock Statistics'!$C$49+K682*'Stock Statistics'!$C$50,"")</f>
        <v>-3.9002328196325606E-3</v>
      </c>
      <c r="M682" s="96">
        <v>268.5829</v>
      </c>
      <c r="N682" s="97">
        <v>313.48910000000001</v>
      </c>
      <c r="O682" s="93">
        <f t="shared" si="30"/>
        <v>1.0089503539111089E-2</v>
      </c>
      <c r="P682" s="93">
        <f t="shared" si="31"/>
        <v>1.1026538837507927E-2</v>
      </c>
      <c r="Q682" s="93">
        <f>B682*'Portfolio 2 &amp; 3'!$F$7+C682*'Portfolio 2 &amp; 3'!$F$8+D682*'Portfolio 2 &amp; 3'!$F$9+E682*'Portfolio 2 &amp; 3'!$F$10+F682*'Portfolio 2 &amp; 3'!$F$11+G682*'Portfolio 2 &amp; 3'!$F$12+H682*'Portfolio 2 &amp; 3'!$F$13+I682*'Portfolio 2 &amp; 3'!$F$14+J682*'Portfolio 2 &amp; 3'!$F$15+K682*'Portfolio 2 &amp; 3'!$F$16</f>
        <v>-4.4005815261621241E-3</v>
      </c>
      <c r="R682" s="93">
        <f>B682*'Portfolio 2 &amp; 3'!$B$23+C682*'Portfolio 2 &amp; 3'!$B$24+D682*'Portfolio 2 &amp; 3'!$B$25+E682*'Portfolio 2 &amp; 3'!$B$26+F682*'Portfolio 2 &amp; 3'!$B$27+G682*'Portfolio 2 &amp; 3'!$B$28+H682*'Portfolio 2 &amp; 3'!$B$29+I682*'Portfolio 2 &amp; 3'!$B$30+J682*'Portfolio 2 &amp; 3'!$B$31+K682*'Portfolio 2 &amp; 3'!$B$32</f>
        <v>-2.3141988625825119E-3</v>
      </c>
      <c r="S682" s="93">
        <f t="shared" si="32"/>
        <v>1.0558021188309508E-2</v>
      </c>
    </row>
    <row r="683" spans="1:19" ht="12.75" customHeight="1">
      <c r="A683" s="82">
        <v>45082</v>
      </c>
      <c r="B683" s="53">
        <v>-4.3E-3</v>
      </c>
      <c r="C683" s="53">
        <v>-8.0039511337720599E-3</v>
      </c>
      <c r="D683" s="53">
        <v>1.20481927710843E-2</v>
      </c>
      <c r="E683" s="53">
        <v>-7.1000000000000004E-3</v>
      </c>
      <c r="F683" s="53">
        <v>-1.5250965250965301E-2</v>
      </c>
      <c r="G683" s="53">
        <v>7.8015770930037797E-3</v>
      </c>
      <c r="H683" s="87">
        <v>8.0014665760841392E-3</v>
      </c>
      <c r="I683" s="53">
        <v>-3.0901722391083498E-3</v>
      </c>
      <c r="J683" s="53">
        <v>3.9879842552310602E-3</v>
      </c>
      <c r="K683" s="53">
        <v>-2.02731662713946E-2</v>
      </c>
      <c r="L683" s="95">
        <f>IFERROR(B683*'Stock Statistics'!$C$41+C683*'Stock Statistics'!$C$42+D683*'Stock Statistics'!$C$43+E683*'Stock Statistics'!$C$44+F683*'Stock Statistics'!$C$45+G683*'Stock Statistics'!$C$46+H683*'Stock Statistics'!$C$47+I683*'Stock Statistics'!$C$48+J683*'Stock Statistics'!$C$49+K683*'Stock Statistics'!$C$50,"")</f>
        <v>-2.6179034199837032E-3</v>
      </c>
      <c r="M683" s="97">
        <v>265.90010000000001</v>
      </c>
      <c r="N683" s="96">
        <v>310.07010000000002</v>
      </c>
      <c r="O683" s="93">
        <f t="shared" si="30"/>
        <v>-1.6107890575981498E-3</v>
      </c>
      <c r="P683" s="93">
        <f t="shared" si="31"/>
        <v>6.0495331687679954E-3</v>
      </c>
      <c r="Q683" s="93">
        <f>B683*'Portfolio 2 &amp; 3'!$F$7+C683*'Portfolio 2 &amp; 3'!$F$8+D683*'Portfolio 2 &amp; 3'!$F$9+E683*'Portfolio 2 &amp; 3'!$F$10+F683*'Portfolio 2 &amp; 3'!$F$11+G683*'Portfolio 2 &amp; 3'!$F$12+H683*'Portfolio 2 &amp; 3'!$F$13+I683*'Portfolio 2 &amp; 3'!$F$14+J683*'Portfolio 2 &amp; 3'!$F$15+K683*'Portfolio 2 &amp; 3'!$F$16</f>
        <v>-1.0885911866769936E-3</v>
      </c>
      <c r="R683" s="93">
        <f>B683*'Portfolio 2 &amp; 3'!$B$23+C683*'Portfolio 2 &amp; 3'!$B$24+D683*'Portfolio 2 &amp; 3'!$B$25+E683*'Portfolio 2 &amp; 3'!$B$26+F683*'Portfolio 2 &amp; 3'!$B$27+G683*'Portfolio 2 &amp; 3'!$B$28+H683*'Portfolio 2 &amp; 3'!$B$29+I683*'Portfolio 2 &amp; 3'!$B$30+J683*'Portfolio 2 &amp; 3'!$B$31+K683*'Portfolio 2 &amp; 3'!$B$32</f>
        <v>-5.6756069624262565E-3</v>
      </c>
      <c r="S683" s="93">
        <f t="shared" si="32"/>
        <v>2.2193720555849228E-3</v>
      </c>
    </row>
    <row r="684" spans="1:19" ht="12.75" customHeight="1">
      <c r="A684" s="81">
        <v>45079</v>
      </c>
      <c r="B684" s="53">
        <v>1.4999999999999999E-2</v>
      </c>
      <c r="C684" s="53">
        <v>1.01097546660407E-2</v>
      </c>
      <c r="D684" s="53">
        <v>7.7401730156321201E-3</v>
      </c>
      <c r="E684" s="53">
        <v>-1.4599999999999999E-3</v>
      </c>
      <c r="F684" s="53">
        <v>8.9598753408648407E-3</v>
      </c>
      <c r="G684" s="53">
        <v>7.2384171243487002E-3</v>
      </c>
      <c r="H684" s="87">
        <v>7.19010328985226E-3</v>
      </c>
      <c r="I684" s="53">
        <v>-2.7202838557066799E-2</v>
      </c>
      <c r="J684" s="53">
        <v>5.1538341402466202E-3</v>
      </c>
      <c r="K684" s="53">
        <v>-1.19703001044579E-2</v>
      </c>
      <c r="L684" s="95">
        <f>IFERROR(B684*'Stock Statistics'!$C$41+C684*'Stock Statistics'!$C$42+D684*'Stock Statistics'!$C$43+E684*'Stock Statistics'!$C$44+F684*'Stock Statistics'!$C$45+G684*'Stock Statistics'!$C$46+H684*'Stock Statistics'!$C$47+I684*'Stock Statistics'!$C$48+J684*'Stock Statistics'!$C$49+K684*'Stock Statistics'!$C$50,"")</f>
        <v>2.0759018915460542E-3</v>
      </c>
      <c r="M684" s="96">
        <v>266.32909999999998</v>
      </c>
      <c r="N684" s="97">
        <v>308.2056</v>
      </c>
      <c r="O684" s="93">
        <f t="shared" si="30"/>
        <v>2.7817280977504577E-3</v>
      </c>
      <c r="P684" s="93">
        <f t="shared" si="31"/>
        <v>4.5241878315285255E-3</v>
      </c>
      <c r="Q684" s="93">
        <f>B684*'Portfolio 2 &amp; 3'!$F$7+C684*'Portfolio 2 &amp; 3'!$F$8+D684*'Portfolio 2 &amp; 3'!$F$9+E684*'Portfolio 2 &amp; 3'!$F$10+F684*'Portfolio 2 &amp; 3'!$F$11+G684*'Portfolio 2 &amp; 3'!$F$12+H684*'Portfolio 2 &amp; 3'!$F$13+I684*'Portfolio 2 &amp; 3'!$F$14+J684*'Portfolio 2 &amp; 3'!$F$15+K684*'Portfolio 2 &amp; 3'!$F$16</f>
        <v>2.8991192906026686E-3</v>
      </c>
      <c r="R684" s="93">
        <f>B684*'Portfolio 2 &amp; 3'!$B$23+C684*'Portfolio 2 &amp; 3'!$B$24+D684*'Portfolio 2 &amp; 3'!$B$25+E684*'Portfolio 2 &amp; 3'!$B$26+F684*'Portfolio 2 &amp; 3'!$B$27+G684*'Portfolio 2 &amp; 3'!$B$28+H684*'Portfolio 2 &amp; 3'!$B$29+I684*'Portfolio 2 &amp; 3'!$B$30+J684*'Portfolio 2 &amp; 3'!$B$31+K684*'Portfolio 2 &amp; 3'!$B$32</f>
        <v>-1.2260386989289141E-3</v>
      </c>
      <c r="S684" s="93">
        <f t="shared" si="32"/>
        <v>3.6529579646394916E-3</v>
      </c>
    </row>
    <row r="685" spans="1:19" ht="12.75" customHeight="1">
      <c r="A685" s="82">
        <v>45078</v>
      </c>
      <c r="B685" s="53">
        <v>-6.1999999999999998E-3</v>
      </c>
      <c r="C685" s="53">
        <v>5.5476864966950198E-3</v>
      </c>
      <c r="D685" s="53">
        <v>-5.4339622641509404E-3</v>
      </c>
      <c r="E685" s="53">
        <v>-5.7000000000000002E-3</v>
      </c>
      <c r="F685" s="53">
        <v>2.2098347601035202E-2</v>
      </c>
      <c r="G685" s="53">
        <v>-1.2377282061379899E-3</v>
      </c>
      <c r="H685" s="87">
        <v>-1.49660011495612E-3</v>
      </c>
      <c r="I685" s="53">
        <v>7.8911027816141999E-4</v>
      </c>
      <c r="J685" s="53">
        <v>-1.1933542513245099E-2</v>
      </c>
      <c r="K685" s="53">
        <v>1.1871449164757601E-3</v>
      </c>
      <c r="L685" s="95">
        <f>IFERROR(B685*'Stock Statistics'!$C$41+C685*'Stock Statistics'!$C$42+D685*'Stock Statistics'!$C$43+E685*'Stock Statistics'!$C$44+F685*'Stock Statistics'!$C$45+G685*'Stock Statistics'!$C$46+H685*'Stock Statistics'!$C$47+I685*'Stock Statistics'!$C$48+J685*'Stock Statistics'!$C$49+K685*'Stock Statistics'!$C$50,"")</f>
        <v>-2.3795438061227457E-4</v>
      </c>
      <c r="M685" s="97">
        <v>265.59030000000001</v>
      </c>
      <c r="N685" s="96">
        <v>306.8175</v>
      </c>
      <c r="O685" s="93">
        <f t="shared" si="30"/>
        <v>2.2286817683190296E-3</v>
      </c>
      <c r="P685" s="93">
        <f t="shared" si="31"/>
        <v>2.4370114705187795E-3</v>
      </c>
      <c r="Q685" s="93">
        <f>B685*'Portfolio 2 &amp; 3'!$F$7+C685*'Portfolio 2 &amp; 3'!$F$8+D685*'Portfolio 2 &amp; 3'!$F$9+E685*'Portfolio 2 &amp; 3'!$F$10+F685*'Portfolio 2 &amp; 3'!$F$11+G685*'Portfolio 2 &amp; 3'!$F$12+H685*'Portfolio 2 &amp; 3'!$F$13+I685*'Portfolio 2 &amp; 3'!$F$14+J685*'Portfolio 2 &amp; 3'!$F$15+K685*'Portfolio 2 &amp; 3'!$F$16</f>
        <v>-6.2536137039452577E-4</v>
      </c>
      <c r="R685" s="93">
        <f>B685*'Portfolio 2 &amp; 3'!$B$23+C685*'Portfolio 2 &amp; 3'!$B$24+D685*'Portfolio 2 &amp; 3'!$B$25+E685*'Portfolio 2 &amp; 3'!$B$26+F685*'Portfolio 2 &amp; 3'!$B$27+G685*'Portfolio 2 &amp; 3'!$B$28+H685*'Portfolio 2 &amp; 3'!$B$29+I685*'Portfolio 2 &amp; 3'!$B$30+J685*'Portfolio 2 &amp; 3'!$B$31+K685*'Portfolio 2 &amp; 3'!$B$32</f>
        <v>3.3789809730151886E-3</v>
      </c>
      <c r="S685" s="93">
        <f t="shared" si="32"/>
        <v>2.3328466194189046E-3</v>
      </c>
    </row>
    <row r="686" spans="1:19" ht="12.75" customHeight="1">
      <c r="A686" s="81">
        <v>45077</v>
      </c>
      <c r="B686" s="53">
        <v>-1.44E-2</v>
      </c>
      <c r="C686" s="53">
        <v>-2.0319816238182401E-3</v>
      </c>
      <c r="D686" s="53">
        <v>5.7689388188855197E-3</v>
      </c>
      <c r="E686" s="53">
        <v>2.3900000000000002E-3</v>
      </c>
      <c r="F686" s="53">
        <v>-6.8215521502718E-3</v>
      </c>
      <c r="G686" s="53">
        <v>1.4931259860266901E-3</v>
      </c>
      <c r="H686" s="87">
        <v>1.2829384562999001E-2</v>
      </c>
      <c r="I686" s="53">
        <v>5.0061957868647901E-3</v>
      </c>
      <c r="J686" s="53">
        <v>-2.82109150594989E-3</v>
      </c>
      <c r="K686" s="53">
        <v>2.1835196256823501E-2</v>
      </c>
      <c r="L686" s="95">
        <f>IFERROR(B686*'Stock Statistics'!$C$41+C686*'Stock Statistics'!$C$42+D686*'Stock Statistics'!$C$43+E686*'Stock Statistics'!$C$44+F686*'Stock Statistics'!$C$45+G686*'Stock Statistics'!$C$46+H686*'Stock Statistics'!$C$47+I686*'Stock Statistics'!$C$48+J686*'Stock Statistics'!$C$49+K686*'Stock Statistics'!$C$50,"")</f>
        <v>2.3248216131559573E-3</v>
      </c>
      <c r="M686" s="96">
        <v>264.99970000000002</v>
      </c>
      <c r="N686" s="97">
        <v>306.07159999999999</v>
      </c>
      <c r="O686" s="93">
        <f t="shared" si="30"/>
        <v>6.0851133783275113E-3</v>
      </c>
      <c r="P686" s="93">
        <f t="shared" si="31"/>
        <v>8.835130628419785E-3</v>
      </c>
      <c r="Q686" s="93">
        <f>B686*'Portfolio 2 &amp; 3'!$F$7+C686*'Portfolio 2 &amp; 3'!$F$8+D686*'Portfolio 2 &amp; 3'!$F$9+E686*'Portfolio 2 &amp; 3'!$F$10+F686*'Portfolio 2 &amp; 3'!$F$11+G686*'Portfolio 2 &amp; 3'!$F$12+H686*'Portfolio 2 &amp; 3'!$F$13+I686*'Portfolio 2 &amp; 3'!$F$14+J686*'Portfolio 2 &amp; 3'!$F$15+K686*'Portfolio 2 &amp; 3'!$F$16</f>
        <v>2.9987162107090754E-3</v>
      </c>
      <c r="R686" s="93">
        <f>B686*'Portfolio 2 &amp; 3'!$B$23+C686*'Portfolio 2 &amp; 3'!$B$24+D686*'Portfolio 2 &amp; 3'!$B$25+E686*'Portfolio 2 &amp; 3'!$B$26+F686*'Portfolio 2 &amp; 3'!$B$27+G686*'Portfolio 2 &amp; 3'!$B$28+H686*'Portfolio 2 &amp; 3'!$B$29+I686*'Portfolio 2 &amp; 3'!$B$30+J686*'Portfolio 2 &amp; 3'!$B$31+K686*'Portfolio 2 &amp; 3'!$B$32</f>
        <v>2.5837109201985926E-4</v>
      </c>
      <c r="S686" s="93">
        <f t="shared" si="32"/>
        <v>7.4601220033736482E-3</v>
      </c>
    </row>
    <row r="687" spans="1:19" ht="12.75" customHeight="1">
      <c r="A687" s="82">
        <v>45076</v>
      </c>
      <c r="B687" s="53">
        <v>7.3000000000000001E-3</v>
      </c>
      <c r="C687" s="53">
        <v>9.4983277591973499E-3</v>
      </c>
      <c r="D687" s="53">
        <v>1.5183723048894899E-4</v>
      </c>
      <c r="E687" s="53">
        <v>7.6299999999999996E-3</v>
      </c>
      <c r="F687" s="53">
        <v>-1.23034859876964E-2</v>
      </c>
      <c r="G687" s="53">
        <v>-3.3228020481533997E-2</v>
      </c>
      <c r="H687" s="87">
        <v>1.13306895057821E-2</v>
      </c>
      <c r="I687" s="53">
        <v>9.1536614645857401E-3</v>
      </c>
      <c r="J687" s="53">
        <v>9.2664492416005793E-3</v>
      </c>
      <c r="K687" s="53">
        <v>-1.4039184417359501E-2</v>
      </c>
      <c r="L687" s="95">
        <f>IFERROR(B687*'Stock Statistics'!$C$41+C687*'Stock Statistics'!$C$42+D687*'Stock Statistics'!$C$43+E687*'Stock Statistics'!$C$44+F687*'Stock Statistics'!$C$45+G687*'Stock Statistics'!$C$46+H687*'Stock Statistics'!$C$47+I687*'Stock Statistics'!$C$48+J687*'Stock Statistics'!$C$49+K687*'Stock Statistics'!$C$50,"")</f>
        <v>-5.2397256849351847E-4</v>
      </c>
      <c r="M687" s="97">
        <v>263.39690000000002</v>
      </c>
      <c r="N687" s="96">
        <v>303.39109999999999</v>
      </c>
      <c r="O687" s="93">
        <f t="shared" si="30"/>
        <v>-2.3215047320211957E-3</v>
      </c>
      <c r="P687" s="93">
        <f t="shared" si="31"/>
        <v>-1.0713885106405252E-2</v>
      </c>
      <c r="Q687" s="93">
        <f>B687*'Portfolio 2 &amp; 3'!$F$7+C687*'Portfolio 2 &amp; 3'!$F$8+D687*'Portfolio 2 &amp; 3'!$F$9+E687*'Portfolio 2 &amp; 3'!$F$10+F687*'Portfolio 2 &amp; 3'!$F$11+G687*'Portfolio 2 &amp; 3'!$F$12+H687*'Portfolio 2 &amp; 3'!$F$13+I687*'Portfolio 2 &amp; 3'!$F$14+J687*'Portfolio 2 &amp; 3'!$F$15+K687*'Portfolio 2 &amp; 3'!$F$16</f>
        <v>1.7753180522807705E-3</v>
      </c>
      <c r="R687" s="93">
        <f>B687*'Portfolio 2 &amp; 3'!$B$23+C687*'Portfolio 2 &amp; 3'!$B$24+D687*'Portfolio 2 &amp; 3'!$B$25+E687*'Portfolio 2 &amp; 3'!$B$26+F687*'Portfolio 2 &amp; 3'!$B$27+G687*'Portfolio 2 &amp; 3'!$B$28+H687*'Portfolio 2 &amp; 3'!$B$29+I687*'Portfolio 2 &amp; 3'!$B$30+J687*'Portfolio 2 &amp; 3'!$B$31+K687*'Portfolio 2 &amp; 3'!$B$32</f>
        <v>-9.4713617626466086E-4</v>
      </c>
      <c r="S687" s="93">
        <f t="shared" si="32"/>
        <v>-6.5176949192132239E-3</v>
      </c>
    </row>
    <row r="688" spans="1:19" ht="12.75" customHeight="1">
      <c r="A688" s="81">
        <v>45075</v>
      </c>
      <c r="B688" s="53">
        <v>-2.9999999999999997E-4</v>
      </c>
      <c r="C688" s="53">
        <v>-4.9107340955817404E-3</v>
      </c>
      <c r="D688" s="53">
        <v>1.20630042258931E-2</v>
      </c>
      <c r="E688" s="53">
        <v>-2.0500000000000002E-3</v>
      </c>
      <c r="F688" s="53">
        <v>7.4766355140185601E-3</v>
      </c>
      <c r="G688" s="53">
        <v>7.13431180881796E-2</v>
      </c>
      <c r="H688" s="87">
        <v>-3.9500763460132999E-3</v>
      </c>
      <c r="I688" s="53">
        <v>1.20481927710843E-2</v>
      </c>
      <c r="J688" s="53">
        <v>1.14019175952329E-3</v>
      </c>
      <c r="K688" s="53">
        <v>-3.9144494241788504E-3</v>
      </c>
      <c r="L688" s="95">
        <f>IFERROR(B688*'Stock Statistics'!$C$41+C688*'Stock Statistics'!$C$42+D688*'Stock Statistics'!$C$43+E688*'Stock Statistics'!$C$44+F688*'Stock Statistics'!$C$45+G688*'Stock Statistics'!$C$46+H688*'Stock Statistics'!$C$47+I688*'Stock Statistics'!$C$48+J688*'Stock Statistics'!$C$49+K688*'Stock Statistics'!$C$50,"")</f>
        <v>8.8945882492924982E-3</v>
      </c>
      <c r="M688" s="96">
        <v>264.00979999999998</v>
      </c>
      <c r="N688" s="97">
        <v>306.67680000000001</v>
      </c>
      <c r="O688" s="93">
        <f t="shared" si="30"/>
        <v>1.358611136818455E-3</v>
      </c>
      <c r="P688" s="93">
        <f t="shared" si="31"/>
        <v>-7.6973179915464929E-3</v>
      </c>
      <c r="Q688" s="93">
        <f>B688*'Portfolio 2 &amp; 3'!$F$7+C688*'Portfolio 2 &amp; 3'!$F$8+D688*'Portfolio 2 &amp; 3'!$F$9+E688*'Portfolio 2 &amp; 3'!$F$10+F688*'Portfolio 2 &amp; 3'!$F$11+G688*'Portfolio 2 &amp; 3'!$F$12+H688*'Portfolio 2 &amp; 3'!$F$13+I688*'Portfolio 2 &amp; 3'!$F$14+J688*'Portfolio 2 &amp; 3'!$F$15+K688*'Portfolio 2 &amp; 3'!$F$16</f>
        <v>5.8582097644807709E-3</v>
      </c>
      <c r="R688" s="93">
        <f>B688*'Portfolio 2 &amp; 3'!$B$23+C688*'Portfolio 2 &amp; 3'!$B$24+D688*'Portfolio 2 &amp; 3'!$B$25+E688*'Portfolio 2 &amp; 3'!$B$26+F688*'Portfolio 2 &amp; 3'!$B$27+G688*'Portfolio 2 &amp; 3'!$B$28+H688*'Portfolio 2 &amp; 3'!$B$29+I688*'Portfolio 2 &amp; 3'!$B$30+J688*'Portfolio 2 &amp; 3'!$B$31+K688*'Portfolio 2 &amp; 3'!$B$32</f>
        <v>1.0521020460593274E-2</v>
      </c>
      <c r="S688" s="93">
        <f t="shared" si="32"/>
        <v>-3.1693534273640189E-3</v>
      </c>
    </row>
    <row r="689" spans="1:19" ht="12.75" customHeight="1">
      <c r="A689" s="82">
        <v>45072</v>
      </c>
      <c r="B689" s="53">
        <v>2.8E-3</v>
      </c>
      <c r="C689" s="53">
        <v>6.1763305155375699E-3</v>
      </c>
      <c r="D689" s="53">
        <v>6.4534598396859294E-2</v>
      </c>
      <c r="E689" s="53">
        <v>-7.9000000000000008E-3</v>
      </c>
      <c r="F689" s="53">
        <v>5.0425153252917597E-3</v>
      </c>
      <c r="G689" s="53">
        <v>4.4549957501685E-3</v>
      </c>
      <c r="H689" s="87">
        <v>-8.1975308641976108E-3</v>
      </c>
      <c r="I689" s="53">
        <v>1.26621212897935E-2</v>
      </c>
      <c r="J689" s="53">
        <v>1.22763758459683E-2</v>
      </c>
      <c r="K689" s="53">
        <v>2.37542107097224E-2</v>
      </c>
      <c r="L689" s="95">
        <f>IFERROR(B689*'Stock Statistics'!$C$41+C689*'Stock Statistics'!$C$42+D689*'Stock Statistics'!$C$43+E689*'Stock Statistics'!$C$44+F689*'Stock Statistics'!$C$45+G689*'Stock Statistics'!$C$46+H689*'Stock Statistics'!$C$47+I689*'Stock Statistics'!$C$48+J689*'Stock Statistics'!$C$49+K689*'Stock Statistics'!$C$50,"")</f>
        <v>1.1560361696914372E-2</v>
      </c>
      <c r="M689" s="97">
        <v>263.65159999999997</v>
      </c>
      <c r="N689" s="96">
        <v>309.0557</v>
      </c>
      <c r="O689" s="93">
        <f t="shared" si="30"/>
        <v>1.4384824448814948E-2</v>
      </c>
      <c r="P689" s="93">
        <f t="shared" si="31"/>
        <v>-3.512870745702279E-3</v>
      </c>
      <c r="Q689" s="93">
        <f>B689*'Portfolio 2 &amp; 3'!$F$7+C689*'Portfolio 2 &amp; 3'!$F$8+D689*'Portfolio 2 &amp; 3'!$F$9+E689*'Portfolio 2 &amp; 3'!$F$10+F689*'Portfolio 2 &amp; 3'!$F$11+G689*'Portfolio 2 &amp; 3'!$F$12+H689*'Portfolio 2 &amp; 3'!$F$13+I689*'Portfolio 2 &amp; 3'!$F$14+J689*'Portfolio 2 &amp; 3'!$F$15+K689*'Portfolio 2 &amp; 3'!$F$16</f>
        <v>1.2968329087965979E-2</v>
      </c>
      <c r="R689" s="93">
        <f>B689*'Portfolio 2 &amp; 3'!$B$23+C689*'Portfolio 2 &amp; 3'!$B$24+D689*'Portfolio 2 &amp; 3'!$B$25+E689*'Portfolio 2 &amp; 3'!$B$26+F689*'Portfolio 2 &amp; 3'!$B$27+G689*'Portfolio 2 &amp; 3'!$B$28+H689*'Portfolio 2 &amp; 3'!$B$29+I689*'Portfolio 2 &amp; 3'!$B$30+J689*'Portfolio 2 &amp; 3'!$B$31+K689*'Portfolio 2 &amp; 3'!$B$32</f>
        <v>8.9880924919782008E-3</v>
      </c>
      <c r="S689" s="93">
        <f t="shared" si="32"/>
        <v>5.4359768515563345E-3</v>
      </c>
    </row>
    <row r="690" spans="1:19" ht="12.75" customHeight="1">
      <c r="A690" s="81">
        <v>45071</v>
      </c>
      <c r="B690" s="53">
        <v>1.7299999999999999E-2</v>
      </c>
      <c r="C690" s="53">
        <v>2.6796081817370698E-4</v>
      </c>
      <c r="D690" s="53">
        <v>-5.7737659591771103E-3</v>
      </c>
      <c r="E690" s="53">
        <v>2.2530000000000001E-2</v>
      </c>
      <c r="F690" s="53">
        <v>3.4725667228892002E-3</v>
      </c>
      <c r="G690" s="53">
        <v>3.3524481693869598E-3</v>
      </c>
      <c r="H690" s="87">
        <v>5.5838179631204597E-3</v>
      </c>
      <c r="I690" s="53">
        <v>1.6413088786994701E-2</v>
      </c>
      <c r="J690" s="53">
        <v>-7.08444027712674E-3</v>
      </c>
      <c r="K690" s="53">
        <v>-4.16425679583576E-3</v>
      </c>
      <c r="L690" s="95">
        <f>IFERROR(B690*'Stock Statistics'!$C$41+C690*'Stock Statistics'!$C$42+D690*'Stock Statistics'!$C$43+E690*'Stock Statistics'!$C$44+F690*'Stock Statistics'!$C$45+G690*'Stock Statistics'!$C$46+H690*'Stock Statistics'!$C$47+I690*'Stock Statistics'!$C$48+J690*'Stock Statistics'!$C$49+K690*'Stock Statistics'!$C$50,"")</f>
        <v>5.1897419428425422E-3</v>
      </c>
      <c r="M690" s="96">
        <v>259.9128</v>
      </c>
      <c r="N690" s="97">
        <v>310.14519999999999</v>
      </c>
      <c r="O690" s="93">
        <f t="shared" si="30"/>
        <v>3.6115106524696738E-3</v>
      </c>
      <c r="P690" s="93">
        <f t="shared" si="31"/>
        <v>-4.1015019788230855E-3</v>
      </c>
      <c r="Q690" s="93">
        <f>B690*'Portfolio 2 &amp; 3'!$F$7+C690*'Portfolio 2 &amp; 3'!$F$8+D690*'Portfolio 2 &amp; 3'!$F$9+E690*'Portfolio 2 &amp; 3'!$F$10+F690*'Portfolio 2 &amp; 3'!$F$11+G690*'Portfolio 2 &amp; 3'!$F$12+H690*'Portfolio 2 &amp; 3'!$F$13+I690*'Portfolio 2 &amp; 3'!$F$14+J690*'Portfolio 2 &amp; 3'!$F$15+K690*'Portfolio 2 &amp; 3'!$F$16</f>
        <v>3.5364521989560819E-3</v>
      </c>
      <c r="R690" s="93">
        <f>B690*'Portfolio 2 &amp; 3'!$B$23+C690*'Portfolio 2 &amp; 3'!$B$24+D690*'Portfolio 2 &amp; 3'!$B$25+E690*'Portfolio 2 &amp; 3'!$B$26+F690*'Portfolio 2 &amp; 3'!$B$27+G690*'Portfolio 2 &amp; 3'!$B$28+H690*'Portfolio 2 &amp; 3'!$B$29+I690*'Portfolio 2 &amp; 3'!$B$30+J690*'Portfolio 2 &amp; 3'!$B$31+K690*'Portfolio 2 &amp; 3'!$B$32</f>
        <v>6.8780321700920664E-3</v>
      </c>
      <c r="S690" s="93">
        <f t="shared" si="32"/>
        <v>-2.4499566317670585E-4</v>
      </c>
    </row>
    <row r="691" spans="1:19" ht="12.75" customHeight="1">
      <c r="A691" s="82">
        <v>45070</v>
      </c>
      <c r="B691" s="53">
        <v>-1.8E-3</v>
      </c>
      <c r="C691" s="53">
        <v>3.0611178306381198E-3</v>
      </c>
      <c r="D691" s="53">
        <v>1.6280991735537299E-2</v>
      </c>
      <c r="E691" s="53">
        <v>1.41E-3</v>
      </c>
      <c r="F691" s="53">
        <v>-6.8972312543107402E-3</v>
      </c>
      <c r="G691" s="53">
        <v>-6.4654539042519098E-4</v>
      </c>
      <c r="H691" s="87">
        <v>5.9947379522418097E-3</v>
      </c>
      <c r="I691" s="53">
        <v>-9.1383138004027496E-3</v>
      </c>
      <c r="J691" s="53">
        <v>3.7647058823528901E-3</v>
      </c>
      <c r="K691" s="53">
        <v>-5.7075492042497596E-3</v>
      </c>
      <c r="L691" s="95">
        <f>IFERROR(B691*'Stock Statistics'!$C$41+C691*'Stock Statistics'!$C$42+D691*'Stock Statistics'!$C$43+E691*'Stock Statistics'!$C$44+F691*'Stock Statistics'!$C$45+G691*'Stock Statistics'!$C$46+H691*'Stock Statistics'!$C$47+I691*'Stock Statistics'!$C$48+J691*'Stock Statistics'!$C$49+K691*'Stock Statistics'!$C$50,"")</f>
        <v>6.3219137513816819E-4</v>
      </c>
      <c r="M691" s="97">
        <v>258.97750000000002</v>
      </c>
      <c r="N691" s="96">
        <v>311.42250000000001</v>
      </c>
      <c r="O691" s="93">
        <f t="shared" si="30"/>
        <v>6.3440153661487031E-3</v>
      </c>
      <c r="P691" s="93">
        <f t="shared" si="31"/>
        <v>2.6387390459008397E-3</v>
      </c>
      <c r="Q691" s="93">
        <f>B691*'Portfolio 2 &amp; 3'!$F$7+C691*'Portfolio 2 &amp; 3'!$F$8+D691*'Portfolio 2 &amp; 3'!$F$9+E691*'Portfolio 2 &amp; 3'!$F$10+F691*'Portfolio 2 &amp; 3'!$F$11+G691*'Portfolio 2 &amp; 3'!$F$12+H691*'Portfolio 2 &amp; 3'!$F$13+I691*'Portfolio 2 &amp; 3'!$F$14+J691*'Portfolio 2 &amp; 3'!$F$15+K691*'Portfolio 2 &amp; 3'!$F$16</f>
        <v>2.0077830100668731E-3</v>
      </c>
      <c r="R691" s="93">
        <f>B691*'Portfolio 2 &amp; 3'!$B$23+C691*'Portfolio 2 &amp; 3'!$B$24+D691*'Portfolio 2 &amp; 3'!$B$25+E691*'Portfolio 2 &amp; 3'!$B$26+F691*'Portfolio 2 &amp; 3'!$B$27+G691*'Portfolio 2 &amp; 3'!$B$28+H691*'Portfolio 2 &amp; 3'!$B$29+I691*'Portfolio 2 &amp; 3'!$B$30+J691*'Portfolio 2 &amp; 3'!$B$31+K691*'Portfolio 2 &amp; 3'!$B$32</f>
        <v>-3.0811824271783652E-3</v>
      </c>
      <c r="S691" s="93">
        <f t="shared" si="32"/>
        <v>4.4913772060247714E-3</v>
      </c>
    </row>
    <row r="692" spans="1:19" ht="12.75" customHeight="1">
      <c r="A692" s="81">
        <v>45069</v>
      </c>
      <c r="B692" s="53">
        <v>6.3E-3</v>
      </c>
      <c r="C692" s="53">
        <v>7.7708205687643305E-4</v>
      </c>
      <c r="D692" s="53">
        <v>2.15338744409466E-3</v>
      </c>
      <c r="E692" s="53">
        <v>1.16E-3</v>
      </c>
      <c r="F692" s="53">
        <v>2.3703703703703599E-3</v>
      </c>
      <c r="G692" s="53">
        <v>6.6861927161918598E-3</v>
      </c>
      <c r="H692" s="87">
        <v>-3.3855175084361901E-3</v>
      </c>
      <c r="I692" s="53">
        <v>-1.49499948448284E-3</v>
      </c>
      <c r="J692" s="53">
        <v>5.1505754979766002E-3</v>
      </c>
      <c r="K692" s="53">
        <v>-1.0287421741604999E-2</v>
      </c>
      <c r="L692" s="95">
        <f>IFERROR(B692*'Stock Statistics'!$C$41+C692*'Stock Statistics'!$C$42+D692*'Stock Statistics'!$C$43+E692*'Stock Statistics'!$C$44+F692*'Stock Statistics'!$C$45+G692*'Stock Statistics'!$C$46+H692*'Stock Statistics'!$C$47+I692*'Stock Statistics'!$C$48+J692*'Stock Statistics'!$C$49+K692*'Stock Statistics'!$C$50,"")</f>
        <v>9.4296693509858813E-4</v>
      </c>
      <c r="M692" s="96">
        <v>257.3449</v>
      </c>
      <c r="N692" s="97">
        <v>310.60289999999998</v>
      </c>
      <c r="O692" s="93">
        <f t="shared" si="30"/>
        <v>3.8414714302263953E-3</v>
      </c>
      <c r="P692" s="93">
        <f t="shared" si="31"/>
        <v>-1.3051077654395726E-3</v>
      </c>
      <c r="Q692" s="93">
        <f>B692*'Portfolio 2 &amp; 3'!$F$7+C692*'Portfolio 2 &amp; 3'!$F$8+D692*'Portfolio 2 &amp; 3'!$F$9+E692*'Portfolio 2 &amp; 3'!$F$10+F692*'Portfolio 2 &amp; 3'!$F$11+G692*'Portfolio 2 &amp; 3'!$F$12+H692*'Portfolio 2 &amp; 3'!$F$13+I692*'Portfolio 2 &amp; 3'!$F$14+J692*'Portfolio 2 &amp; 3'!$F$15+K692*'Portfolio 2 &amp; 3'!$F$16</f>
        <v>7.3356503771008987E-4</v>
      </c>
      <c r="R692" s="93">
        <f>B692*'Portfolio 2 &amp; 3'!$B$23+C692*'Portfolio 2 &amp; 3'!$B$24+D692*'Portfolio 2 &amp; 3'!$B$25+E692*'Portfolio 2 &amp; 3'!$B$26+F692*'Portfolio 2 &amp; 3'!$B$27+G692*'Portfolio 2 &amp; 3'!$B$28+H692*'Portfolio 2 &amp; 3'!$B$29+I692*'Portfolio 2 &amp; 3'!$B$30+J692*'Portfolio 2 &amp; 3'!$B$31+K692*'Portfolio 2 &amp; 3'!$B$32</f>
        <v>9.1255017735429426E-4</v>
      </c>
      <c r="S692" s="93">
        <f t="shared" si="32"/>
        <v>1.2681818323934113E-3</v>
      </c>
    </row>
    <row r="693" spans="1:19" ht="12.75" customHeight="1">
      <c r="A693" s="82">
        <v>45068</v>
      </c>
      <c r="B693" s="53">
        <v>2.2700000000000001E-2</v>
      </c>
      <c r="C693" s="53">
        <v>6.4522921429430698E-3</v>
      </c>
      <c r="D693" s="53">
        <v>3.3140016570021302E-4</v>
      </c>
      <c r="E693" s="53">
        <v>-2.3700000000000001E-3</v>
      </c>
      <c r="F693" s="53">
        <v>2.3347483323226101E-2</v>
      </c>
      <c r="G693" s="53">
        <v>-6.2089764058892395E-4</v>
      </c>
      <c r="H693" s="87">
        <v>1.3159812130790999E-2</v>
      </c>
      <c r="I693" s="53">
        <v>2.6349206349206299E-2</v>
      </c>
      <c r="J693" s="53">
        <v>6.2404146173780104E-3</v>
      </c>
      <c r="K693" s="53">
        <v>2.2805000509365E-2</v>
      </c>
      <c r="L693" s="95">
        <f>IFERROR(B693*'Stock Statistics'!$C$41+C693*'Stock Statistics'!$C$42+D693*'Stock Statistics'!$C$43+E693*'Stock Statistics'!$C$44+F693*'Stock Statistics'!$C$45+G693*'Stock Statistics'!$C$46+H693*'Stock Statistics'!$C$47+I693*'Stock Statistics'!$C$48+J693*'Stock Statistics'!$C$49+K693*'Stock Statistics'!$C$50,"")</f>
        <v>1.1839471159802079E-2</v>
      </c>
      <c r="M693" s="97">
        <v>256.36009999999999</v>
      </c>
      <c r="N693" s="96">
        <v>311.00880000000001</v>
      </c>
      <c r="O693" s="93">
        <f t="shared" si="30"/>
        <v>1.1246144615715936E-2</v>
      </c>
      <c r="P693" s="93">
        <f t="shared" si="31"/>
        <v>-3.7009380643066025E-3</v>
      </c>
      <c r="Q693" s="93">
        <f>B693*'Portfolio 2 &amp; 3'!$F$7+C693*'Portfolio 2 &amp; 3'!$F$8+D693*'Portfolio 2 &amp; 3'!$F$9+E693*'Portfolio 2 &amp; 3'!$F$10+F693*'Portfolio 2 &amp; 3'!$F$11+G693*'Portfolio 2 &amp; 3'!$F$12+H693*'Portfolio 2 &amp; 3'!$F$13+I693*'Portfolio 2 &amp; 3'!$F$14+J693*'Portfolio 2 &amp; 3'!$F$15+K693*'Portfolio 2 &amp; 3'!$F$16</f>
        <v>1.147603266376424E-2</v>
      </c>
      <c r="R693" s="93">
        <f>B693*'Portfolio 2 &amp; 3'!$B$23+C693*'Portfolio 2 &amp; 3'!$B$24+D693*'Portfolio 2 &amp; 3'!$B$25+E693*'Portfolio 2 &amp; 3'!$B$26+F693*'Portfolio 2 &amp; 3'!$B$27+G693*'Portfolio 2 &amp; 3'!$B$28+H693*'Portfolio 2 &amp; 3'!$B$29+I693*'Portfolio 2 &amp; 3'!$B$30+J693*'Portfolio 2 &amp; 3'!$B$31+K693*'Portfolio 2 &amp; 3'!$B$32</f>
        <v>1.7037361546319105E-2</v>
      </c>
      <c r="S693" s="93">
        <f t="shared" si="32"/>
        <v>3.7726032757046668E-3</v>
      </c>
    </row>
    <row r="694" spans="1:19" ht="12.75" customHeight="1">
      <c r="A694" s="81">
        <v>45065</v>
      </c>
      <c r="B694" s="53">
        <v>-3.3999999999999998E-3</v>
      </c>
      <c r="C694" s="53">
        <v>4.3201111748889503E-3</v>
      </c>
      <c r="D694" s="53">
        <v>1.2442969722106199E-3</v>
      </c>
      <c r="E694" s="53">
        <v>5.2399999999999999E-3</v>
      </c>
      <c r="F694" s="53">
        <v>-2.6276941245940402E-2</v>
      </c>
      <c r="G694" s="53">
        <v>1.27256939246041E-2</v>
      </c>
      <c r="H694" s="87">
        <v>6.5056700279297896E-4</v>
      </c>
      <c r="I694" s="53">
        <v>-7.5093210103449604E-3</v>
      </c>
      <c r="J694" s="53">
        <v>7.9424307036248792E-3</v>
      </c>
      <c r="K694" s="53">
        <v>1.55180822606151E-2</v>
      </c>
      <c r="L694" s="95">
        <f>IFERROR(B694*'Stock Statistics'!$C$41+C694*'Stock Statistics'!$C$42+D694*'Stock Statistics'!$C$43+E694*'Stock Statistics'!$C$44+F694*'Stock Statistics'!$C$45+G694*'Stock Statistics'!$C$46+H694*'Stock Statistics'!$C$47+I694*'Stock Statistics'!$C$48+J694*'Stock Statistics'!$C$49+K694*'Stock Statistics'!$C$50,"")</f>
        <v>1.0454919782451268E-3</v>
      </c>
      <c r="M694" s="96">
        <v>253.50909999999999</v>
      </c>
      <c r="N694" s="97">
        <v>312.16410000000002</v>
      </c>
      <c r="O694" s="93">
        <f t="shared" si="30"/>
        <v>-6.941367770665452E-3</v>
      </c>
      <c r="P694" s="93">
        <f t="shared" si="31"/>
        <v>-1.0858493648246981E-4</v>
      </c>
      <c r="Q694" s="93">
        <f>B694*'Portfolio 2 &amp; 3'!$F$7+C694*'Portfolio 2 &amp; 3'!$F$8+D694*'Portfolio 2 &amp; 3'!$F$9+E694*'Portfolio 2 &amp; 3'!$F$10+F694*'Portfolio 2 &amp; 3'!$F$11+G694*'Portfolio 2 &amp; 3'!$F$12+H694*'Portfolio 2 &amp; 3'!$F$13+I694*'Portfolio 2 &amp; 3'!$F$14+J694*'Portfolio 2 &amp; 3'!$F$15+K694*'Portfolio 2 &amp; 3'!$F$16</f>
        <v>5.7325925777503809E-4</v>
      </c>
      <c r="R694" s="93">
        <f>B694*'Portfolio 2 &amp; 3'!$B$23+C694*'Portfolio 2 &amp; 3'!$B$24+D694*'Portfolio 2 &amp; 3'!$B$25+E694*'Portfolio 2 &amp; 3'!$B$26+F694*'Portfolio 2 &amp; 3'!$B$27+G694*'Portfolio 2 &amp; 3'!$B$28+H694*'Portfolio 2 &amp; 3'!$B$29+I694*'Portfolio 2 &amp; 3'!$B$30+J694*'Portfolio 2 &amp; 3'!$B$31+K694*'Portfolio 2 &amp; 3'!$B$32</f>
        <v>-2.6693944067640216E-3</v>
      </c>
      <c r="S694" s="93">
        <f t="shared" si="32"/>
        <v>-3.5249763535739609E-3</v>
      </c>
    </row>
    <row r="695" spans="1:19" ht="12.75" customHeight="1">
      <c r="A695" s="82">
        <v>45064</v>
      </c>
      <c r="B695" s="53">
        <v>-1.15E-2</v>
      </c>
      <c r="C695" s="53">
        <v>1.60225912397556E-2</v>
      </c>
      <c r="D695" s="53">
        <v>2.1523599694941199E-2</v>
      </c>
      <c r="E695" s="53">
        <v>2.5899999999999999E-3</v>
      </c>
      <c r="F695" s="53">
        <v>-2.0720894371626698E-2</v>
      </c>
      <c r="G695" s="53">
        <v>4.78368132859974E-3</v>
      </c>
      <c r="H695" s="87">
        <v>1.4959186693837501E-2</v>
      </c>
      <c r="I695" s="53">
        <v>2.20588235294117E-2</v>
      </c>
      <c r="J695" s="53">
        <v>8.1685296646603102E-3</v>
      </c>
      <c r="K695" s="53">
        <v>-7.8268060724207E-4</v>
      </c>
      <c r="L695" s="95">
        <f>IFERROR(B695*'Stock Statistics'!$C$41+C695*'Stock Statistics'!$C$42+D695*'Stock Statistics'!$C$43+E695*'Stock Statistics'!$C$44+F695*'Stock Statistics'!$C$45+G695*'Stock Statistics'!$C$46+H695*'Stock Statistics'!$C$47+I695*'Stock Statistics'!$C$48+J695*'Stock Statistics'!$C$49+K695*'Stock Statistics'!$C$50,"")</f>
        <v>5.7102837172337282E-3</v>
      </c>
      <c r="M695" s="97">
        <v>255.28110000000001</v>
      </c>
      <c r="N695" s="96">
        <v>312.19799999999998</v>
      </c>
      <c r="O695" s="93">
        <f t="shared" si="30"/>
        <v>-5.3666642639927931E-3</v>
      </c>
      <c r="P695" s="93">
        <f t="shared" si="31"/>
        <v>4.7402028352392378E-3</v>
      </c>
      <c r="Q695" s="93">
        <f>B695*'Portfolio 2 &amp; 3'!$F$7+C695*'Portfolio 2 &amp; 3'!$F$8+D695*'Portfolio 2 &amp; 3'!$F$9+E695*'Portfolio 2 &amp; 3'!$F$10+F695*'Portfolio 2 &amp; 3'!$F$11+G695*'Portfolio 2 &amp; 3'!$F$12+H695*'Portfolio 2 &amp; 3'!$F$13+I695*'Portfolio 2 &amp; 3'!$F$14+J695*'Portfolio 2 &amp; 3'!$F$15+K695*'Portfolio 2 &amp; 3'!$F$16</f>
        <v>7.417272817985556E-3</v>
      </c>
      <c r="R695" s="93">
        <f>B695*'Portfolio 2 &amp; 3'!$B$23+C695*'Portfolio 2 &amp; 3'!$B$24+D695*'Portfolio 2 &amp; 3'!$B$25+E695*'Portfolio 2 &amp; 3'!$B$26+F695*'Portfolio 2 &amp; 3'!$B$27+G695*'Portfolio 2 &amp; 3'!$B$28+H695*'Portfolio 2 &amp; 3'!$B$29+I695*'Portfolio 2 &amp; 3'!$B$30+J695*'Portfolio 2 &amp; 3'!$B$31+K695*'Portfolio 2 &amp; 3'!$B$32</f>
        <v>5.1970478409235849E-3</v>
      </c>
      <c r="S695" s="93">
        <f t="shared" si="32"/>
        <v>-3.1323071437677763E-4</v>
      </c>
    </row>
    <row r="696" spans="1:19" ht="12.75" customHeight="1">
      <c r="A696" s="81">
        <v>45063</v>
      </c>
      <c r="B696" s="53">
        <v>1E-3</v>
      </c>
      <c r="C696" s="53">
        <v>1.73725882081643E-3</v>
      </c>
      <c r="D696" s="53">
        <v>-1.6255418472824301E-2</v>
      </c>
      <c r="E696" s="53">
        <v>-8.4499999999999992E-3</v>
      </c>
      <c r="F696" s="53">
        <v>5.2315442743653398E-3</v>
      </c>
      <c r="G696" s="53">
        <v>7.1816005575588999E-3</v>
      </c>
      <c r="H696" s="87">
        <v>-7.0425719517985801E-3</v>
      </c>
      <c r="I696" s="53">
        <v>-6.2403328177502698E-3</v>
      </c>
      <c r="J696" s="53">
        <v>5.8922103897507397E-3</v>
      </c>
      <c r="K696" s="53">
        <v>3.6998468606432001E-2</v>
      </c>
      <c r="L696" s="95">
        <f>IFERROR(B696*'Stock Statistics'!$C$41+C696*'Stock Statistics'!$C$42+D696*'Stock Statistics'!$C$43+E696*'Stock Statistics'!$C$44+F696*'Stock Statistics'!$C$45+G696*'Stock Statistics'!$C$46+H696*'Stock Statistics'!$C$47+I696*'Stock Statistics'!$C$48+J696*'Stock Statistics'!$C$49+K696*'Stock Statistics'!$C$50,"")</f>
        <v>2.0052759406550265E-3</v>
      </c>
      <c r="M696" s="96">
        <v>256.6585</v>
      </c>
      <c r="N696" s="97">
        <v>310.7251</v>
      </c>
      <c r="O696" s="93">
        <f t="shared" si="30"/>
        <v>2.4461766918379979E-3</v>
      </c>
      <c r="P696" s="93">
        <f t="shared" si="31"/>
        <v>5.2591479442705147E-3</v>
      </c>
      <c r="Q696" s="93">
        <f>B696*'Portfolio 2 &amp; 3'!$F$7+C696*'Portfolio 2 &amp; 3'!$F$8+D696*'Portfolio 2 &amp; 3'!$F$9+E696*'Portfolio 2 &amp; 3'!$F$10+F696*'Portfolio 2 &amp; 3'!$F$11+G696*'Portfolio 2 &amp; 3'!$F$12+H696*'Portfolio 2 &amp; 3'!$F$13+I696*'Portfolio 2 &amp; 3'!$F$14+J696*'Portfolio 2 &amp; 3'!$F$15+K696*'Portfolio 2 &amp; 3'!$F$16</f>
        <v>4.7410079699234742E-4</v>
      </c>
      <c r="R696" s="93">
        <f>B696*'Portfolio 2 &amp; 3'!$B$23+C696*'Portfolio 2 &amp; 3'!$B$24+D696*'Portfolio 2 &amp; 3'!$B$25+E696*'Portfolio 2 &amp; 3'!$B$26+F696*'Portfolio 2 &amp; 3'!$B$27+G696*'Portfolio 2 &amp; 3'!$B$28+H696*'Portfolio 2 &amp; 3'!$B$29+I696*'Portfolio 2 &amp; 3'!$B$30+J696*'Portfolio 2 &amp; 3'!$B$31+K696*'Portfolio 2 &amp; 3'!$B$32</f>
        <v>3.4527590208810327E-3</v>
      </c>
      <c r="S696" s="93">
        <f t="shared" si="32"/>
        <v>3.8526623180542563E-3</v>
      </c>
    </row>
    <row r="697" spans="1:19" ht="12.75" customHeight="1">
      <c r="A697" s="82">
        <v>45062</v>
      </c>
      <c r="B697" s="53">
        <v>-1.6000000000000001E-3</v>
      </c>
      <c r="C697" s="53">
        <v>-1.50964537718421E-2</v>
      </c>
      <c r="D697" s="53">
        <v>-3.1956100710135701E-2</v>
      </c>
      <c r="E697" s="53">
        <v>-8.9999999999999998E-4</v>
      </c>
      <c r="F697" s="53">
        <v>-3.1868662481892001E-3</v>
      </c>
      <c r="G697" s="53">
        <v>-3.6531610409998899E-3</v>
      </c>
      <c r="H697" s="87">
        <v>-1.3031351110119299E-2</v>
      </c>
      <c r="I697" s="53">
        <v>1.25290273802452E-2</v>
      </c>
      <c r="J697" s="53">
        <v>9.4952251023192602E-3</v>
      </c>
      <c r="K697" s="53">
        <v>5.3803698802569203E-2</v>
      </c>
      <c r="L697" s="95">
        <f>IFERROR(B697*'Stock Statistics'!$C$41+C697*'Stock Statistics'!$C$42+D697*'Stock Statistics'!$C$43+E697*'Stock Statistics'!$C$44+F697*'Stock Statistics'!$C$45+G697*'Stock Statistics'!$C$46+H697*'Stock Statistics'!$C$47+I697*'Stock Statistics'!$C$48+J697*'Stock Statistics'!$C$49+K697*'Stock Statistics'!$C$50,"")</f>
        <v>6.4040184038474841E-4</v>
      </c>
      <c r="M697" s="97">
        <v>256.03219999999999</v>
      </c>
      <c r="N697" s="96">
        <v>309.09949999999998</v>
      </c>
      <c r="O697" s="93">
        <f t="shared" si="30"/>
        <v>-5.7781874975244563E-3</v>
      </c>
      <c r="P697" s="93">
        <f t="shared" si="31"/>
        <v>-2.9964987089897699E-3</v>
      </c>
      <c r="Q697" s="93">
        <f>B697*'Portfolio 2 &amp; 3'!$F$7+C697*'Portfolio 2 &amp; 3'!$F$8+D697*'Portfolio 2 &amp; 3'!$F$9+E697*'Portfolio 2 &amp; 3'!$F$10+F697*'Portfolio 2 &amp; 3'!$F$11+G697*'Portfolio 2 &amp; 3'!$F$12+H697*'Portfolio 2 &amp; 3'!$F$13+I697*'Portfolio 2 &amp; 3'!$F$14+J697*'Portfolio 2 &amp; 3'!$F$15+K697*'Portfolio 2 &amp; 3'!$F$16</f>
        <v>-1.8735712807357629E-3</v>
      </c>
      <c r="R697" s="93">
        <f>B697*'Portfolio 2 &amp; 3'!$B$23+C697*'Portfolio 2 &amp; 3'!$B$24+D697*'Portfolio 2 &amp; 3'!$B$25+E697*'Portfolio 2 &amp; 3'!$B$26+F697*'Portfolio 2 &amp; 3'!$B$27+G697*'Portfolio 2 &amp; 3'!$B$28+H697*'Portfolio 2 &amp; 3'!$B$29+I697*'Portfolio 2 &amp; 3'!$B$30+J697*'Portfolio 2 &amp; 3'!$B$31+K697*'Portfolio 2 &amp; 3'!$B$32</f>
        <v>3.2881348248892024E-3</v>
      </c>
      <c r="S697" s="93">
        <f t="shared" si="32"/>
        <v>-4.3873431032571131E-3</v>
      </c>
    </row>
    <row r="698" spans="1:19" ht="12.75" customHeight="1">
      <c r="A698" s="81">
        <v>45061</v>
      </c>
      <c r="B698" s="53">
        <v>-1E-4</v>
      </c>
      <c r="C698" s="53">
        <v>-7.2753509905901801E-3</v>
      </c>
      <c r="D698" s="53">
        <v>-3.4063449996102703E-2</v>
      </c>
      <c r="E698" s="53">
        <v>-8.9499999999999996E-3</v>
      </c>
      <c r="F698" s="53">
        <v>8.0802180685357605E-3</v>
      </c>
      <c r="G698" s="53">
        <v>2.0488646516930099E-2</v>
      </c>
      <c r="H698" s="87">
        <v>-7.4307039789149902E-3</v>
      </c>
      <c r="I698" s="53">
        <v>-4.0875598343461696E-3</v>
      </c>
      <c r="J698" s="53">
        <v>1.9136139967195201E-3</v>
      </c>
      <c r="K698" s="53">
        <v>-1.7504360234659799E-2</v>
      </c>
      <c r="L698" s="95">
        <f>IFERROR(B698*'Stock Statistics'!$C$41+C698*'Stock Statistics'!$C$42+D698*'Stock Statistics'!$C$43+E698*'Stock Statistics'!$C$44+F698*'Stock Statistics'!$C$45+G698*'Stock Statistics'!$C$46+H698*'Stock Statistics'!$C$47+I698*'Stock Statistics'!$C$48+J698*'Stock Statistics'!$C$49+K698*'Stock Statistics'!$C$50,"")</f>
        <v>-4.8928946452428471E-3</v>
      </c>
      <c r="M698" s="96">
        <v>257.52019999999999</v>
      </c>
      <c r="N698" s="97">
        <v>310.02850000000001</v>
      </c>
      <c r="O698" s="93">
        <f t="shared" si="30"/>
        <v>8.646655120037039E-3</v>
      </c>
      <c r="P698" s="93">
        <f t="shared" si="31"/>
        <v>4.1213773983341806E-3</v>
      </c>
      <c r="Q698" s="93">
        <f>B698*'Portfolio 2 &amp; 3'!$F$7+C698*'Portfolio 2 &amp; 3'!$F$8+D698*'Portfolio 2 &amp; 3'!$F$9+E698*'Portfolio 2 &amp; 3'!$F$10+F698*'Portfolio 2 &amp; 3'!$F$11+G698*'Portfolio 2 &amp; 3'!$F$12+H698*'Portfolio 2 &amp; 3'!$F$13+I698*'Portfolio 2 &amp; 3'!$F$14+J698*'Portfolio 2 &amp; 3'!$F$15+K698*'Portfolio 2 &amp; 3'!$F$16</f>
        <v>-6.6183320132550518E-3</v>
      </c>
      <c r="R698" s="93">
        <f>B698*'Portfolio 2 &amp; 3'!$B$23+C698*'Portfolio 2 &amp; 3'!$B$24+D698*'Portfolio 2 &amp; 3'!$B$25+E698*'Portfolio 2 &amp; 3'!$B$26+F698*'Portfolio 2 &amp; 3'!$B$27+G698*'Portfolio 2 &amp; 3'!$B$28+H698*'Portfolio 2 &amp; 3'!$B$29+I698*'Portfolio 2 &amp; 3'!$B$30+J698*'Portfolio 2 &amp; 3'!$B$31+K698*'Portfolio 2 &amp; 3'!$B$32</f>
        <v>-1.0621469614656466E-3</v>
      </c>
      <c r="S698" s="93">
        <f t="shared" si="32"/>
        <v>6.3840162591856098E-3</v>
      </c>
    </row>
    <row r="699" spans="1:19" ht="12.75" customHeight="1">
      <c r="A699" s="82">
        <v>45058</v>
      </c>
      <c r="B699" s="53">
        <v>-2.9999999999999997E-4</v>
      </c>
      <c r="C699" s="53">
        <v>-1.7036303727891899E-2</v>
      </c>
      <c r="D699" s="53">
        <v>4.5302696977104401E-2</v>
      </c>
      <c r="E699" s="53">
        <v>2.2200000000000002E-3</v>
      </c>
      <c r="F699" s="53">
        <v>-2.9197080291965E-4</v>
      </c>
      <c r="G699" s="53">
        <v>-2.5929593949761499E-2</v>
      </c>
      <c r="H699" s="87">
        <v>-7.7458476723724101E-4</v>
      </c>
      <c r="I699" s="53">
        <v>-6.7311287996154601E-3</v>
      </c>
      <c r="J699" s="53">
        <v>-1.0227826181070401E-2</v>
      </c>
      <c r="K699" s="53">
        <v>-3.5036719706242302E-2</v>
      </c>
      <c r="L699" s="95">
        <f>IFERROR(B699*'Stock Statistics'!$C$41+C699*'Stock Statistics'!$C$42+D699*'Stock Statistics'!$C$43+E699*'Stock Statistics'!$C$44+F699*'Stock Statistics'!$C$45+G699*'Stock Statistics'!$C$46+H699*'Stock Statistics'!$C$47+I699*'Stock Statistics'!$C$48+J699*'Stock Statistics'!$C$49+K699*'Stock Statistics'!$C$50,"")</f>
        <v>-4.8805430957634044E-3</v>
      </c>
      <c r="M699" s="97">
        <v>255.3126</v>
      </c>
      <c r="N699" s="96">
        <v>308.75599999999997</v>
      </c>
      <c r="O699" s="93">
        <f t="shared" si="30"/>
        <v>3.2674332199915668E-3</v>
      </c>
      <c r="P699" s="93">
        <f t="shared" si="31"/>
        <v>9.3072591758835976E-4</v>
      </c>
      <c r="Q699" s="93">
        <f>B699*'Portfolio 2 &amp; 3'!$F$7+C699*'Portfolio 2 &amp; 3'!$F$8+D699*'Portfolio 2 &amp; 3'!$F$9+E699*'Portfolio 2 &amp; 3'!$F$10+F699*'Portfolio 2 &amp; 3'!$F$11+G699*'Portfolio 2 &amp; 3'!$F$12+H699*'Portfolio 2 &amp; 3'!$F$13+I699*'Portfolio 2 &amp; 3'!$F$14+J699*'Portfolio 2 &amp; 3'!$F$15+K699*'Portfolio 2 &amp; 3'!$F$16</f>
        <v>-1.8606433441474099E-3</v>
      </c>
      <c r="R699" s="93">
        <f>B699*'Portfolio 2 &amp; 3'!$B$23+C699*'Portfolio 2 &amp; 3'!$B$24+D699*'Portfolio 2 &amp; 3'!$B$25+E699*'Portfolio 2 &amp; 3'!$B$26+F699*'Portfolio 2 &amp; 3'!$B$27+G699*'Portfolio 2 &amp; 3'!$B$28+H699*'Portfolio 2 &amp; 3'!$B$29+I699*'Portfolio 2 &amp; 3'!$B$30+J699*'Portfolio 2 &amp; 3'!$B$31+K699*'Portfolio 2 &amp; 3'!$B$32</f>
        <v>-1.058766395038635E-2</v>
      </c>
      <c r="S699" s="93">
        <f t="shared" si="32"/>
        <v>2.0990795687899633E-3</v>
      </c>
    </row>
    <row r="700" spans="1:19" ht="12.75" customHeight="1">
      <c r="A700" s="81">
        <v>45057</v>
      </c>
      <c r="B700" s="53">
        <v>-7.1999999999999998E-3</v>
      </c>
      <c r="C700" s="53">
        <v>-8.7003647122582094E-3</v>
      </c>
      <c r="D700" s="53">
        <v>7.3046618516086096E-3</v>
      </c>
      <c r="E700" s="53">
        <v>5.7499999999999999E-3</v>
      </c>
      <c r="F700" s="53">
        <v>-2.2545662100456599E-2</v>
      </c>
      <c r="G700" s="53">
        <v>9.5437193237592997E-3</v>
      </c>
      <c r="H700" s="87">
        <v>1.1744027227334799E-2</v>
      </c>
      <c r="I700" s="53">
        <v>-5.3137786279823197E-3</v>
      </c>
      <c r="J700" s="53">
        <v>2.00628999023977E-3</v>
      </c>
      <c r="K700" s="53">
        <v>-3.49143911326588E-3</v>
      </c>
      <c r="L700" s="95">
        <f>IFERROR(B700*'Stock Statistics'!$C$41+C700*'Stock Statistics'!$C$42+D700*'Stock Statistics'!$C$43+E700*'Stock Statistics'!$C$44+F700*'Stock Statistics'!$C$45+G700*'Stock Statistics'!$C$46+H700*'Stock Statistics'!$C$47+I700*'Stock Statistics'!$C$48+J700*'Stock Statistics'!$C$49+K700*'Stock Statistics'!$C$50,"")</f>
        <v>-1.090254616102053E-3</v>
      </c>
      <c r="M700" s="96">
        <v>254.4811</v>
      </c>
      <c r="N700" s="97">
        <v>308.46890000000002</v>
      </c>
      <c r="O700" s="93">
        <f t="shared" si="30"/>
        <v>-6.6797250513639383E-4</v>
      </c>
      <c r="P700" s="93">
        <f t="shared" si="31"/>
        <v>-3.7261491893678667E-3</v>
      </c>
      <c r="Q700" s="93">
        <f>B700*'Portfolio 2 &amp; 3'!$F$7+C700*'Portfolio 2 &amp; 3'!$F$8+D700*'Portfolio 2 &amp; 3'!$F$9+E700*'Portfolio 2 &amp; 3'!$F$10+F700*'Portfolio 2 &amp; 3'!$F$11+G700*'Portfolio 2 &amp; 3'!$F$12+H700*'Portfolio 2 &amp; 3'!$F$13+I700*'Portfolio 2 &amp; 3'!$F$14+J700*'Portfolio 2 &amp; 3'!$F$15+K700*'Portfolio 2 &amp; 3'!$F$16</f>
        <v>-2.4623012615203191E-4</v>
      </c>
      <c r="R700" s="93">
        <f>B700*'Portfolio 2 &amp; 3'!$B$23+C700*'Portfolio 2 &amp; 3'!$B$24+D700*'Portfolio 2 &amp; 3'!$B$25+E700*'Portfolio 2 &amp; 3'!$B$26+F700*'Portfolio 2 &amp; 3'!$B$27+G700*'Portfolio 2 &amp; 3'!$B$28+H700*'Portfolio 2 &amp; 3'!$B$29+I700*'Portfolio 2 &amp; 3'!$B$30+J700*'Portfolio 2 &amp; 3'!$B$31+K700*'Portfolio 2 &amp; 3'!$B$32</f>
        <v>-6.2882313664087783E-3</v>
      </c>
      <c r="S700" s="93">
        <f t="shared" si="32"/>
        <v>-2.1970608472521302E-3</v>
      </c>
    </row>
    <row r="701" spans="1:19" ht="12.75" customHeight="1">
      <c r="A701" s="82">
        <v>45056</v>
      </c>
      <c r="B701" s="53">
        <v>-2.4500000000000001E-2</v>
      </c>
      <c r="C701" s="53">
        <v>-3.5029848349947801E-3</v>
      </c>
      <c r="D701" s="53">
        <v>4.6174142480213103E-3</v>
      </c>
      <c r="E701" s="53">
        <v>1.789E-2</v>
      </c>
      <c r="F701" s="53">
        <v>1.2382131631583099E-3</v>
      </c>
      <c r="G701" s="53">
        <v>-3.14104500151013E-3</v>
      </c>
      <c r="H701" s="87">
        <v>-1.4541041482789001E-2</v>
      </c>
      <c r="I701" s="53">
        <v>-1.2644281217208699E-2</v>
      </c>
      <c r="J701" s="53">
        <v>-7.5856090160375501E-4</v>
      </c>
      <c r="K701" s="53">
        <v>9.00350984281984E-4</v>
      </c>
      <c r="L701" s="95">
        <f>IFERROR(B701*'Stock Statistics'!$C$41+C701*'Stock Statistics'!$C$42+D701*'Stock Statistics'!$C$43+E701*'Stock Statistics'!$C$44+F701*'Stock Statistics'!$C$45+G701*'Stock Statistics'!$C$46+H701*'Stock Statistics'!$C$47+I701*'Stock Statistics'!$C$48+J701*'Stock Statistics'!$C$49+K701*'Stock Statistics'!$C$50,"")</f>
        <v>-3.4441935042644764E-3</v>
      </c>
      <c r="M701" s="97">
        <v>254.65119999999999</v>
      </c>
      <c r="N701" s="96">
        <v>309.62259999999998</v>
      </c>
      <c r="O701" s="93">
        <f t="shared" si="30"/>
        <v>-2.395376060293497E-5</v>
      </c>
      <c r="P701" s="93">
        <f t="shared" si="31"/>
        <v>7.1995195982945681E-3</v>
      </c>
      <c r="Q701" s="93">
        <f>B701*'Portfolio 2 &amp; 3'!$F$7+C701*'Portfolio 2 &amp; 3'!$F$8+D701*'Portfolio 2 &amp; 3'!$F$9+E701*'Portfolio 2 &amp; 3'!$F$10+F701*'Portfolio 2 &amp; 3'!$F$11+G701*'Portfolio 2 &amp; 3'!$F$12+H701*'Portfolio 2 &amp; 3'!$F$13+I701*'Portfolio 2 &amp; 3'!$F$14+J701*'Portfolio 2 &amp; 3'!$F$15+K701*'Portfolio 2 &amp; 3'!$F$16</f>
        <v>-3.5917174609842225E-3</v>
      </c>
      <c r="R701" s="93">
        <f>B701*'Portfolio 2 &amp; 3'!$B$23+C701*'Portfolio 2 &amp; 3'!$B$24+D701*'Portfolio 2 &amp; 3'!$B$25+E701*'Portfolio 2 &amp; 3'!$B$26+F701*'Portfolio 2 &amp; 3'!$B$27+G701*'Portfolio 2 &amp; 3'!$B$28+H701*'Portfolio 2 &amp; 3'!$B$29+I701*'Portfolio 2 &amp; 3'!$B$30+J701*'Portfolio 2 &amp; 3'!$B$31+K701*'Portfolio 2 &amp; 3'!$B$32</f>
        <v>-7.5738455800046338E-3</v>
      </c>
      <c r="S701" s="93">
        <f t="shared" si="32"/>
        <v>3.5877829188458166E-3</v>
      </c>
    </row>
    <row r="702" spans="1:19" ht="12.75" customHeight="1">
      <c r="A702" s="81">
        <v>45055</v>
      </c>
      <c r="B702" s="53">
        <v>-2.41E-2</v>
      </c>
      <c r="C702" s="53">
        <v>4.9430884768833002E-3</v>
      </c>
      <c r="D702" s="53">
        <v>-2.0038784744666999E-2</v>
      </c>
      <c r="E702" s="53">
        <v>1.992E-2</v>
      </c>
      <c r="F702" s="53">
        <v>-8.5649029310985703E-4</v>
      </c>
      <c r="G702" s="53">
        <v>-5.0184812332841897E-3</v>
      </c>
      <c r="H702" s="87">
        <v>-6.8888295358823196E-2</v>
      </c>
      <c r="I702" s="53">
        <v>-3.1380753138075001E-3</v>
      </c>
      <c r="J702" s="53">
        <v>-1.5627500133340601E-2</v>
      </c>
      <c r="K702" s="53">
        <v>-1.16287838795796E-2</v>
      </c>
      <c r="L702" s="95">
        <f>IFERROR(B702*'Stock Statistics'!$C$41+C702*'Stock Statistics'!$C$42+D702*'Stock Statistics'!$C$43+E702*'Stock Statistics'!$C$44+F702*'Stock Statistics'!$C$45+G702*'Stock Statistics'!$C$46+H702*'Stock Statistics'!$C$47+I702*'Stock Statistics'!$C$48+J702*'Stock Statistics'!$C$49+K702*'Stock Statistics'!$C$50,"")</f>
        <v>-1.2443332247972866E-2</v>
      </c>
      <c r="M702" s="96">
        <v>254.65729999999999</v>
      </c>
      <c r="N702" s="97">
        <v>307.40940000000001</v>
      </c>
      <c r="O702" s="93">
        <f t="shared" si="30"/>
        <v>2.5353003169519273E-3</v>
      </c>
      <c r="P702" s="93">
        <f t="shared" si="31"/>
        <v>4.8649798918740661E-3</v>
      </c>
      <c r="Q702" s="93">
        <f>B702*'Portfolio 2 &amp; 3'!$F$7+C702*'Portfolio 2 &amp; 3'!$F$8+D702*'Portfolio 2 &amp; 3'!$F$9+E702*'Portfolio 2 &amp; 3'!$F$10+F702*'Portfolio 2 &amp; 3'!$F$11+G702*'Portfolio 2 &amp; 3'!$F$12+H702*'Portfolio 2 &amp; 3'!$F$13+I702*'Portfolio 2 &amp; 3'!$F$14+J702*'Portfolio 2 &amp; 3'!$F$15+K702*'Portfolio 2 &amp; 3'!$F$16</f>
        <v>-1.7440616591219437E-2</v>
      </c>
      <c r="R702" s="93">
        <f>B702*'Portfolio 2 &amp; 3'!$B$23+C702*'Portfolio 2 &amp; 3'!$B$24+D702*'Portfolio 2 &amp; 3'!$B$25+E702*'Portfolio 2 &amp; 3'!$B$26+F702*'Portfolio 2 &amp; 3'!$B$27+G702*'Portfolio 2 &amp; 3'!$B$28+H702*'Portfolio 2 &amp; 3'!$B$29+I702*'Portfolio 2 &amp; 3'!$B$30+J702*'Portfolio 2 &amp; 3'!$B$31+K702*'Portfolio 2 &amp; 3'!$B$32</f>
        <v>-7.5601986191113531E-3</v>
      </c>
      <c r="S702" s="93">
        <f t="shared" si="32"/>
        <v>3.7001401044129967E-3</v>
      </c>
    </row>
    <row r="703" spans="1:19" ht="12.75" customHeight="1">
      <c r="A703" s="82">
        <v>45054</v>
      </c>
      <c r="B703" s="53">
        <v>-7.9000000000000008E-3</v>
      </c>
      <c r="C703" s="53">
        <v>-2.5402770431575499E-2</v>
      </c>
      <c r="D703" s="53">
        <v>7.5714402019051398E-3</v>
      </c>
      <c r="E703" s="53">
        <v>2.7E-4</v>
      </c>
      <c r="F703" s="53">
        <v>1.6247582205029001E-2</v>
      </c>
      <c r="G703" s="53">
        <v>7.9357867635923007E-3</v>
      </c>
      <c r="H703" s="87">
        <v>-1.3368469061977299E-2</v>
      </c>
      <c r="I703" s="53">
        <v>-5.2546693720409996E-3</v>
      </c>
      <c r="J703" s="53">
        <v>-6.5175922000847396E-3</v>
      </c>
      <c r="K703" s="53">
        <v>-4.2502703352155198E-3</v>
      </c>
      <c r="L703" s="95">
        <f>IFERROR(B703*'Stock Statistics'!$C$41+C703*'Stock Statistics'!$C$42+D703*'Stock Statistics'!$C$43+E703*'Stock Statistics'!$C$44+F703*'Stock Statistics'!$C$45+G703*'Stock Statistics'!$C$46+H703*'Stock Statistics'!$C$47+I703*'Stock Statistics'!$C$48+J703*'Stock Statistics'!$C$49+K703*'Stock Statistics'!$C$50,"")</f>
        <v>-3.0668962230367613E-3</v>
      </c>
      <c r="M703" s="97">
        <v>254.01329999999999</v>
      </c>
      <c r="N703" s="96">
        <v>305.92110000000002</v>
      </c>
      <c r="O703" s="93">
        <f t="shared" si="30"/>
        <v>2.1153784700864708E-3</v>
      </c>
      <c r="P703" s="93">
        <f t="shared" si="31"/>
        <v>-6.7259666739616364E-4</v>
      </c>
      <c r="Q703" s="93">
        <f>B703*'Portfolio 2 &amp; 3'!$F$7+C703*'Portfolio 2 &amp; 3'!$F$8+D703*'Portfolio 2 &amp; 3'!$F$9+E703*'Portfolio 2 &amp; 3'!$F$10+F703*'Portfolio 2 &amp; 3'!$F$11+G703*'Portfolio 2 &amp; 3'!$F$12+H703*'Portfolio 2 &amp; 3'!$F$13+I703*'Portfolio 2 &amp; 3'!$F$14+J703*'Portfolio 2 &amp; 3'!$F$15+K703*'Portfolio 2 &amp; 3'!$F$16</f>
        <v>-3.7702510736198043E-3</v>
      </c>
      <c r="R703" s="93">
        <f>B703*'Portfolio 2 &amp; 3'!$B$23+C703*'Portfolio 2 &amp; 3'!$B$24+D703*'Portfolio 2 &amp; 3'!$B$25+E703*'Portfolio 2 &amp; 3'!$B$26+F703*'Portfolio 2 &amp; 3'!$B$27+G703*'Portfolio 2 &amp; 3'!$B$28+H703*'Portfolio 2 &amp; 3'!$B$29+I703*'Portfolio 2 &amp; 3'!$B$30+J703*'Portfolio 2 &amp; 3'!$B$31+K703*'Portfolio 2 &amp; 3'!$B$32</f>
        <v>-4.7093680000344076E-3</v>
      </c>
      <c r="S703" s="93">
        <f t="shared" si="32"/>
        <v>7.213909013451536E-4</v>
      </c>
    </row>
    <row r="704" spans="1:19" ht="12.75" customHeight="1">
      <c r="A704" s="81">
        <v>45051</v>
      </c>
      <c r="B704" s="53">
        <v>2.8999999999999998E-3</v>
      </c>
      <c r="C704" s="53">
        <v>-2.45966786117656E-2</v>
      </c>
      <c r="D704" s="53">
        <v>-7.7550690685840298E-3</v>
      </c>
      <c r="E704" s="53">
        <v>1.712E-2</v>
      </c>
      <c r="F704" s="53">
        <v>-5.8648206903181297E-3</v>
      </c>
      <c r="G704" s="53">
        <v>-1.00152928123782E-2</v>
      </c>
      <c r="H704" s="87">
        <v>5.3290130627050604E-3</v>
      </c>
      <c r="I704" s="53">
        <v>7.6011742503669898E-3</v>
      </c>
      <c r="J704" s="53">
        <v>-8.4709868699695001E-4</v>
      </c>
      <c r="K704" s="53">
        <v>-2.80417487774616E-2</v>
      </c>
      <c r="L704" s="95">
        <f>IFERROR(B704*'Stock Statistics'!$C$41+C704*'Stock Statistics'!$C$42+D704*'Stock Statistics'!$C$43+E704*'Stock Statistics'!$C$44+F704*'Stock Statistics'!$C$45+G704*'Stock Statistics'!$C$46+H704*'Stock Statistics'!$C$47+I704*'Stock Statistics'!$C$48+J704*'Stock Statistics'!$C$49+K704*'Stock Statistics'!$C$50,"")</f>
        <v>-4.4170521334432463E-3</v>
      </c>
      <c r="M704" s="96">
        <v>253.47710000000001</v>
      </c>
      <c r="N704" s="97">
        <v>306.12700000000001</v>
      </c>
      <c r="O704" s="93">
        <f t="shared" si="30"/>
        <v>-2.2114723375041834E-3</v>
      </c>
      <c r="P704" s="93">
        <f t="shared" si="31"/>
        <v>1.0486943755028122E-4</v>
      </c>
      <c r="Q704" s="93">
        <f>B704*'Portfolio 2 &amp; 3'!$F$7+C704*'Portfolio 2 &amp; 3'!$F$8+D704*'Portfolio 2 &amp; 3'!$F$9+E704*'Portfolio 2 &amp; 3'!$F$10+F704*'Portfolio 2 &amp; 3'!$F$11+G704*'Portfolio 2 &amp; 3'!$F$12+H704*'Portfolio 2 &amp; 3'!$F$13+I704*'Portfolio 2 &amp; 3'!$F$14+J704*'Portfolio 2 &amp; 3'!$F$15+K704*'Portfolio 2 &amp; 3'!$F$16</f>
        <v>-3.9468562105494749E-3</v>
      </c>
      <c r="R704" s="93">
        <f>B704*'Portfolio 2 &amp; 3'!$B$23+C704*'Portfolio 2 &amp; 3'!$B$24+D704*'Portfolio 2 &amp; 3'!$B$25+E704*'Portfolio 2 &amp; 3'!$B$26+F704*'Portfolio 2 &amp; 3'!$B$27+G704*'Portfolio 2 &amp; 3'!$B$28+H704*'Portfolio 2 &amp; 3'!$B$29+I704*'Portfolio 2 &amp; 3'!$B$30+J704*'Portfolio 2 &amp; 3'!$B$31+K704*'Portfolio 2 &amp; 3'!$B$32</f>
        <v>-6.7760259388710111E-3</v>
      </c>
      <c r="S704" s="93">
        <f t="shared" si="32"/>
        <v>-1.0533014499769511E-3</v>
      </c>
    </row>
    <row r="705" spans="1:19" ht="12.75" customHeight="1">
      <c r="A705" s="82">
        <v>45050</v>
      </c>
      <c r="B705" s="53">
        <v>8.0000000000000004E-4</v>
      </c>
      <c r="C705" s="53">
        <v>-8.8998217271735198E-3</v>
      </c>
      <c r="D705" s="53">
        <v>3.3219263834404697E-2</v>
      </c>
      <c r="E705" s="53">
        <v>3.6209999999999999E-2</v>
      </c>
      <c r="F705" s="53">
        <v>-1.3442150744119601E-3</v>
      </c>
      <c r="G705" s="53">
        <v>1.0728898317927E-2</v>
      </c>
      <c r="H705" s="87">
        <v>-7.1623672230651803E-3</v>
      </c>
      <c r="I705" s="53">
        <v>-3.8122095148572801E-3</v>
      </c>
      <c r="J705" s="53">
        <v>5.5366269165246802E-3</v>
      </c>
      <c r="K705" s="53">
        <v>1.2429061243793E-2</v>
      </c>
      <c r="L705" s="95">
        <f>IFERROR(B705*'Stock Statistics'!$C$41+C705*'Stock Statistics'!$C$42+D705*'Stock Statistics'!$C$43+E705*'Stock Statistics'!$C$44+F705*'Stock Statistics'!$C$45+G705*'Stock Statistics'!$C$46+H705*'Stock Statistics'!$C$47+I705*'Stock Statistics'!$C$48+J705*'Stock Statistics'!$C$49+K705*'Stock Statistics'!$C$50,"")</f>
        <v>7.7705236773141437E-3</v>
      </c>
      <c r="M705" s="97">
        <v>254.03890000000001</v>
      </c>
      <c r="N705" s="96">
        <v>306.0949</v>
      </c>
      <c r="O705" s="93">
        <f t="shared" si="30"/>
        <v>6.4936634285512884E-3</v>
      </c>
      <c r="P705" s="93">
        <f t="shared" si="31"/>
        <v>-4.2812391228681523E-3</v>
      </c>
      <c r="Q705" s="93">
        <f>B705*'Portfolio 2 &amp; 3'!$F$7+C705*'Portfolio 2 &amp; 3'!$F$8+D705*'Portfolio 2 &amp; 3'!$F$9+E705*'Portfolio 2 &amp; 3'!$F$10+F705*'Portfolio 2 &amp; 3'!$F$11+G705*'Portfolio 2 &amp; 3'!$F$12+H705*'Portfolio 2 &amp; 3'!$F$13+I705*'Portfolio 2 &amp; 3'!$F$14+J705*'Portfolio 2 &amp; 3'!$F$15+K705*'Portfolio 2 &amp; 3'!$F$16</f>
        <v>6.9888307833551886E-3</v>
      </c>
      <c r="R705" s="93">
        <f>B705*'Portfolio 2 &amp; 3'!$B$23+C705*'Portfolio 2 &amp; 3'!$B$24+D705*'Portfolio 2 &amp; 3'!$B$25+E705*'Portfolio 2 &amp; 3'!$B$26+F705*'Portfolio 2 &amp; 3'!$B$27+G705*'Portfolio 2 &amp; 3'!$B$28+H705*'Portfolio 2 &amp; 3'!$B$29+I705*'Portfolio 2 &amp; 3'!$B$30+J705*'Portfolio 2 &amp; 3'!$B$31+K705*'Portfolio 2 &amp; 3'!$B$32</f>
        <v>-1.7337276757067172E-4</v>
      </c>
      <c r="S705" s="93">
        <f t="shared" si="32"/>
        <v>1.106212152841568E-3</v>
      </c>
    </row>
    <row r="706" spans="1:19" ht="12.75" customHeight="1">
      <c r="A706" s="81">
        <v>45049</v>
      </c>
      <c r="B706" s="53">
        <v>8.3999999999999995E-3</v>
      </c>
      <c r="C706" s="53">
        <v>2.9815273389690599E-2</v>
      </c>
      <c r="D706" s="53">
        <v>-2.1959183673469499E-2</v>
      </c>
      <c r="E706" s="53">
        <v>-3.7499999999999999E-3</v>
      </c>
      <c r="F706" s="53">
        <v>7.3508076216266503E-3</v>
      </c>
      <c r="G706" s="53">
        <v>-5.9052152691993999E-3</v>
      </c>
      <c r="H706" s="87">
        <v>-5.1328502415458601E-3</v>
      </c>
      <c r="I706" s="53">
        <v>-4.5745178562145404E-3</v>
      </c>
      <c r="J706" s="53">
        <v>6.32165434479814E-3</v>
      </c>
      <c r="K706" s="53">
        <v>2.94860481392447E-2</v>
      </c>
      <c r="L706" s="95">
        <f>IFERROR(B706*'Stock Statistics'!$C$41+C706*'Stock Statistics'!$C$42+D706*'Stock Statistics'!$C$43+E706*'Stock Statistics'!$C$44+F706*'Stock Statistics'!$C$45+G706*'Stock Statistics'!$C$46+H706*'Stock Statistics'!$C$47+I706*'Stock Statistics'!$C$48+J706*'Stock Statistics'!$C$49+K706*'Stock Statistics'!$C$50,"")</f>
        <v>4.005201645493079E-3</v>
      </c>
      <c r="M706" s="96">
        <v>252.3999</v>
      </c>
      <c r="N706" s="97">
        <v>307.411</v>
      </c>
      <c r="O706" s="93">
        <f t="shared" ref="O706:O769" si="33">M706/M707-1</f>
        <v>1.1042295083918408E-3</v>
      </c>
      <c r="P706" s="93">
        <f t="shared" ref="P706:P769" si="34">N706/N707-1</f>
        <v>4.546111068630232E-3</v>
      </c>
      <c r="Q706" s="93">
        <f>B706*'Portfolio 2 &amp; 3'!$F$7+C706*'Portfolio 2 &amp; 3'!$F$8+D706*'Portfolio 2 &amp; 3'!$F$9+E706*'Portfolio 2 &amp; 3'!$F$10+F706*'Portfolio 2 &amp; 3'!$F$11+G706*'Portfolio 2 &amp; 3'!$F$12+H706*'Portfolio 2 &amp; 3'!$F$13+I706*'Portfolio 2 &amp; 3'!$F$14+J706*'Portfolio 2 &amp; 3'!$F$15+K706*'Portfolio 2 &amp; 3'!$F$16</f>
        <v>2.7004075705465065E-3</v>
      </c>
      <c r="R706" s="93">
        <f>B706*'Portfolio 2 &amp; 3'!$B$23+C706*'Portfolio 2 &amp; 3'!$B$24+D706*'Portfolio 2 &amp; 3'!$B$25+E706*'Portfolio 2 &amp; 3'!$B$26+F706*'Portfolio 2 &amp; 3'!$B$27+G706*'Portfolio 2 &amp; 3'!$B$28+H706*'Portfolio 2 &amp; 3'!$B$29+I706*'Portfolio 2 &amp; 3'!$B$30+J706*'Portfolio 2 &amp; 3'!$B$31+K706*'Portfolio 2 &amp; 3'!$B$32</f>
        <v>8.5276138867043348E-3</v>
      </c>
      <c r="S706" s="93">
        <f t="shared" ref="S706:S769" si="35">IFERROR(AVERAGE(O706,P706),"")</f>
        <v>2.8251702885110364E-3</v>
      </c>
    </row>
    <row r="707" spans="1:19" ht="12.75" customHeight="1">
      <c r="A707" s="82">
        <v>45048</v>
      </c>
      <c r="B707" s="53">
        <v>3.7000000000000002E-3</v>
      </c>
      <c r="C707" s="53">
        <v>1.37053494142767E-2</v>
      </c>
      <c r="D707" s="53">
        <v>-6.5688103154649697E-3</v>
      </c>
      <c r="E707" s="53">
        <v>3.5E-4</v>
      </c>
      <c r="F707" s="53">
        <v>-5.6741681092517E-3</v>
      </c>
      <c r="G707" s="53">
        <v>2.6583693320845199E-3</v>
      </c>
      <c r="H707" s="87">
        <v>3.1803725579282499E-3</v>
      </c>
      <c r="I707" s="53">
        <v>-8.8618682054717492E-3</v>
      </c>
      <c r="J707" s="53">
        <v>9.1911764705883102E-3</v>
      </c>
      <c r="K707" s="53">
        <v>-1.3674486447065E-3</v>
      </c>
      <c r="L707" s="95">
        <f>IFERROR(B707*'Stock Statistics'!$C$41+C707*'Stock Statistics'!$C$42+D707*'Stock Statistics'!$C$43+E707*'Stock Statistics'!$C$44+F707*'Stock Statistics'!$C$45+G707*'Stock Statistics'!$C$46+H707*'Stock Statistics'!$C$47+I707*'Stock Statistics'!$C$48+J707*'Stock Statistics'!$C$49+K707*'Stock Statistics'!$C$50,"")</f>
        <v>1.0312972499982862E-3</v>
      </c>
      <c r="M707" s="97">
        <v>252.1215</v>
      </c>
      <c r="N707" s="96">
        <v>306.01979999999998</v>
      </c>
      <c r="O707" s="93">
        <f t="shared" si="33"/>
        <v>1.5468971622745187E-5</v>
      </c>
      <c r="P707" s="93">
        <f t="shared" si="34"/>
        <v>-8.7287769120012459E-3</v>
      </c>
      <c r="Q707" s="93">
        <f>B707*'Portfolio 2 &amp; 3'!$F$7+C707*'Portfolio 2 &amp; 3'!$F$8+D707*'Portfolio 2 &amp; 3'!$F$9+E707*'Portfolio 2 &amp; 3'!$F$10+F707*'Portfolio 2 &amp; 3'!$F$11+G707*'Portfolio 2 &amp; 3'!$F$12+H707*'Portfolio 2 &amp; 3'!$F$13+I707*'Portfolio 2 &amp; 3'!$F$14+J707*'Portfolio 2 &amp; 3'!$F$15+K707*'Portfolio 2 &amp; 3'!$F$16</f>
        <v>1.2833426480004415E-3</v>
      </c>
      <c r="R707" s="93">
        <f>B707*'Portfolio 2 &amp; 3'!$B$23+C707*'Portfolio 2 &amp; 3'!$B$24+D707*'Portfolio 2 &amp; 3'!$B$25+E707*'Portfolio 2 &amp; 3'!$B$26+F707*'Portfolio 2 &amp; 3'!$B$27+G707*'Portfolio 2 &amp; 3'!$B$28+H707*'Portfolio 2 &amp; 3'!$B$29+I707*'Portfolio 2 &amp; 3'!$B$30+J707*'Portfolio 2 &amp; 3'!$B$31+K707*'Portfolio 2 &amp; 3'!$B$32</f>
        <v>4.8644206500829987E-4</v>
      </c>
      <c r="S707" s="93">
        <f t="shared" si="35"/>
        <v>-4.3566539701892504E-3</v>
      </c>
    </row>
    <row r="708" spans="1:19" ht="12.75" customHeight="1">
      <c r="A708" s="81">
        <v>45044</v>
      </c>
      <c r="B708" s="53">
        <v>6.7999999999999996E-3</v>
      </c>
      <c r="C708" s="53">
        <v>-4.1520005746713603E-3</v>
      </c>
      <c r="D708" s="53">
        <v>-1.2149684108213601E-3</v>
      </c>
      <c r="E708" s="53">
        <v>1.1999999999999999E-3</v>
      </c>
      <c r="F708" s="53">
        <v>1.0201107548819499E-2</v>
      </c>
      <c r="G708" s="53">
        <v>-4.2274360600280702E-4</v>
      </c>
      <c r="H708" s="87">
        <v>3.73707175177929E-4</v>
      </c>
      <c r="I708" s="53">
        <v>-3.6447638603695999E-3</v>
      </c>
      <c r="J708" s="53">
        <v>-9.3197643277986904E-3</v>
      </c>
      <c r="K708" s="53">
        <v>2.5132899727346998E-3</v>
      </c>
      <c r="L708" s="95">
        <f>IFERROR(B708*'Stock Statistics'!$C$41+C708*'Stock Statistics'!$C$42+D708*'Stock Statistics'!$C$43+E708*'Stock Statistics'!$C$44+F708*'Stock Statistics'!$C$45+G708*'Stock Statistics'!$C$46+H708*'Stock Statistics'!$C$47+I708*'Stock Statistics'!$C$48+J708*'Stock Statistics'!$C$49+K708*'Stock Statistics'!$C$50,"")</f>
        <v>2.3338639170683101E-4</v>
      </c>
      <c r="M708" s="96">
        <v>252.11760000000001</v>
      </c>
      <c r="N708" s="97">
        <v>308.71449999999999</v>
      </c>
      <c r="O708" s="93">
        <f t="shared" si="33"/>
        <v>8.6931194407726675E-3</v>
      </c>
      <c r="P708" s="93">
        <f t="shared" si="34"/>
        <v>3.4920663814417274E-3</v>
      </c>
      <c r="Q708" s="93">
        <f>B708*'Portfolio 2 &amp; 3'!$F$7+C708*'Portfolio 2 &amp; 3'!$F$8+D708*'Portfolio 2 &amp; 3'!$F$9+E708*'Portfolio 2 &amp; 3'!$F$10+F708*'Portfolio 2 &amp; 3'!$F$11+G708*'Portfolio 2 &amp; 3'!$F$12+H708*'Portfolio 2 &amp; 3'!$F$13+I708*'Portfolio 2 &amp; 3'!$F$14+J708*'Portfolio 2 &amp; 3'!$F$15+K708*'Portfolio 2 &amp; 3'!$F$16</f>
        <v>-4.0172941147814092E-4</v>
      </c>
      <c r="R708" s="93">
        <f>B708*'Portfolio 2 &amp; 3'!$B$23+C708*'Portfolio 2 &amp; 3'!$B$24+D708*'Portfolio 2 &amp; 3'!$B$25+E708*'Portfolio 2 &amp; 3'!$B$26+F708*'Portfolio 2 &amp; 3'!$B$27+G708*'Portfolio 2 &amp; 3'!$B$28+H708*'Portfolio 2 &amp; 3'!$B$29+I708*'Portfolio 2 &amp; 3'!$B$30+J708*'Portfolio 2 &amp; 3'!$B$31+K708*'Portfolio 2 &amp; 3'!$B$32</f>
        <v>6.7402278375625958E-4</v>
      </c>
      <c r="S708" s="93">
        <f t="shared" si="35"/>
        <v>6.0925929111071975E-3</v>
      </c>
    </row>
    <row r="709" spans="1:19" ht="12.75" customHeight="1">
      <c r="A709" s="82">
        <v>45043</v>
      </c>
      <c r="B709" s="53">
        <v>-7.3000000000000001E-3</v>
      </c>
      <c r="C709" s="53">
        <v>-1.0491449042548701E-2</v>
      </c>
      <c r="D709" s="53">
        <v>4.8622366288486601E-4</v>
      </c>
      <c r="E709" s="53">
        <v>-2.1000000000000001E-4</v>
      </c>
      <c r="F709" s="53">
        <v>-3.9674859686472698E-3</v>
      </c>
      <c r="G709" s="53">
        <v>2.1485202445077302E-3</v>
      </c>
      <c r="H709" s="87">
        <v>4.1684838281081903E-3</v>
      </c>
      <c r="I709" s="53">
        <v>1.07928601079286E-2</v>
      </c>
      <c r="J709" s="53">
        <v>1.3957530005974E-2</v>
      </c>
      <c r="K709" s="53">
        <v>4.2217973231357701E-3</v>
      </c>
      <c r="L709" s="95">
        <f>IFERROR(B709*'Stock Statistics'!$C$41+C709*'Stock Statistics'!$C$42+D709*'Stock Statistics'!$C$43+E709*'Stock Statistics'!$C$44+F709*'Stock Statistics'!$C$45+G709*'Stock Statistics'!$C$46+H709*'Stock Statistics'!$C$47+I709*'Stock Statistics'!$C$48+J709*'Stock Statistics'!$C$49+K709*'Stock Statistics'!$C$50,"")</f>
        <v>1.3806480161343187E-3</v>
      </c>
      <c r="M709" s="97">
        <v>249.94479999999999</v>
      </c>
      <c r="N709" s="96">
        <v>307.64019999999999</v>
      </c>
      <c r="O709" s="93">
        <f t="shared" si="33"/>
        <v>3.3591855741283982E-3</v>
      </c>
      <c r="P709" s="93">
        <f t="shared" si="34"/>
        <v>1.2683887065608523E-2</v>
      </c>
      <c r="Q709" s="93">
        <f>B709*'Portfolio 2 &amp; 3'!$F$7+C709*'Portfolio 2 &amp; 3'!$F$8+D709*'Portfolio 2 &amp; 3'!$F$9+E709*'Portfolio 2 &amp; 3'!$F$10+F709*'Portfolio 2 &amp; 3'!$F$11+G709*'Portfolio 2 &amp; 3'!$F$12+H709*'Portfolio 2 &amp; 3'!$F$13+I709*'Portfolio 2 &amp; 3'!$F$14+J709*'Portfolio 2 &amp; 3'!$F$15+K709*'Portfolio 2 &amp; 3'!$F$16</f>
        <v>2.214644526365554E-3</v>
      </c>
      <c r="R709" s="93">
        <f>B709*'Portfolio 2 &amp; 3'!$B$23+C709*'Portfolio 2 &amp; 3'!$B$24+D709*'Portfolio 2 &amp; 3'!$B$25+E709*'Portfolio 2 &amp; 3'!$B$26+F709*'Portfolio 2 &amp; 3'!$B$27+G709*'Portfolio 2 &amp; 3'!$B$28+H709*'Portfolio 2 &amp; 3'!$B$29+I709*'Portfolio 2 &amp; 3'!$B$30+J709*'Portfolio 2 &amp; 3'!$B$31+K709*'Portfolio 2 &amp; 3'!$B$32</f>
        <v>2.7094909827481004E-4</v>
      </c>
      <c r="S709" s="93">
        <f t="shared" si="35"/>
        <v>8.0215363198684608E-3</v>
      </c>
    </row>
    <row r="710" spans="1:19" ht="12.75" customHeight="1">
      <c r="A710" s="81">
        <v>45042</v>
      </c>
      <c r="B710" s="53">
        <v>4.0000000000000002E-4</v>
      </c>
      <c r="C710" s="53">
        <v>-3.6948087936439201E-4</v>
      </c>
      <c r="D710" s="53">
        <v>-7.2880395173702305E-4</v>
      </c>
      <c r="E710" s="53">
        <v>1.451E-2</v>
      </c>
      <c r="F710" s="53">
        <v>-3.7597609177671999E-3</v>
      </c>
      <c r="G710" s="53">
        <v>1.41476139327912E-2</v>
      </c>
      <c r="H710" s="87">
        <v>2.29742505413189E-3</v>
      </c>
      <c r="I710" s="53">
        <v>-9.7117311546168796E-3</v>
      </c>
      <c r="J710" s="53">
        <v>3.2145581344664698E-3</v>
      </c>
      <c r="K710" s="53">
        <v>4.6255032731967703E-3</v>
      </c>
      <c r="L710" s="95">
        <f>IFERROR(B710*'Stock Statistics'!$C$41+C710*'Stock Statistics'!$C$42+D710*'Stock Statistics'!$C$43+E710*'Stock Statistics'!$C$44+F710*'Stock Statistics'!$C$45+G710*'Stock Statistics'!$C$46+H710*'Stock Statistics'!$C$47+I710*'Stock Statistics'!$C$48+J710*'Stock Statistics'!$C$49+K710*'Stock Statistics'!$C$50,"")</f>
        <v>2.4625323491100832E-3</v>
      </c>
      <c r="M710" s="96">
        <v>249.108</v>
      </c>
      <c r="N710" s="97">
        <v>303.78699999999998</v>
      </c>
      <c r="O710" s="93">
        <f t="shared" si="33"/>
        <v>-8.2065647704931965E-4</v>
      </c>
      <c r="P710" s="93">
        <f t="shared" si="34"/>
        <v>-6.0652897126300953E-3</v>
      </c>
      <c r="Q710" s="93">
        <f>B710*'Portfolio 2 &amp; 3'!$F$7+C710*'Portfolio 2 &amp; 3'!$F$8+D710*'Portfolio 2 &amp; 3'!$F$9+E710*'Portfolio 2 &amp; 3'!$F$10+F710*'Portfolio 2 &amp; 3'!$F$11+G710*'Portfolio 2 &amp; 3'!$F$12+H710*'Portfolio 2 &amp; 3'!$F$13+I710*'Portfolio 2 &amp; 3'!$F$14+J710*'Portfolio 2 &amp; 3'!$F$15+K710*'Portfolio 2 &amp; 3'!$F$16</f>
        <v>1.7171781021861306E-3</v>
      </c>
      <c r="R710" s="93">
        <f>B710*'Portfolio 2 &amp; 3'!$B$23+C710*'Portfolio 2 &amp; 3'!$B$24+D710*'Portfolio 2 &amp; 3'!$B$25+E710*'Portfolio 2 &amp; 3'!$B$26+F710*'Portfolio 2 &amp; 3'!$B$27+G710*'Portfolio 2 &amp; 3'!$B$28+H710*'Portfolio 2 &amp; 3'!$B$29+I710*'Portfolio 2 &amp; 3'!$B$30+J710*'Portfolio 2 &amp; 3'!$B$31+K710*'Portfolio 2 &amp; 3'!$B$32</f>
        <v>-9.725199534441867E-4</v>
      </c>
      <c r="S710" s="93">
        <f t="shared" si="35"/>
        <v>-3.4429730948397075E-3</v>
      </c>
    </row>
    <row r="711" spans="1:19" ht="12.75" customHeight="1">
      <c r="A711" s="82">
        <v>45041</v>
      </c>
      <c r="B711" s="53">
        <v>-1.0800000000000001E-2</v>
      </c>
      <c r="C711" s="53">
        <v>2.4359668366620299E-3</v>
      </c>
      <c r="D711" s="53">
        <v>6.5204988181595301E-3</v>
      </c>
      <c r="E711" s="53">
        <v>-1.8669999999999999E-2</v>
      </c>
      <c r="F711" s="53">
        <v>3.2885191991487402E-3</v>
      </c>
      <c r="G711" s="53">
        <v>4.3769071910735296E-3</v>
      </c>
      <c r="H711" s="87">
        <v>1.5159645827743399E-2</v>
      </c>
      <c r="I711" s="53">
        <v>-1.4782564673720499E-2</v>
      </c>
      <c r="J711" s="53">
        <v>1.06271681074832E-2</v>
      </c>
      <c r="K711" s="53">
        <v>-4.3452982037395201E-3</v>
      </c>
      <c r="L711" s="95">
        <f>IFERROR(B711*'Stock Statistics'!$C$41+C711*'Stock Statistics'!$C$42+D711*'Stock Statistics'!$C$43+E711*'Stock Statistics'!$C$44+F711*'Stock Statistics'!$C$45+G711*'Stock Statistics'!$C$46+H711*'Stock Statistics'!$C$47+I711*'Stock Statistics'!$C$48+J711*'Stock Statistics'!$C$49+K711*'Stock Statistics'!$C$50,"")</f>
        <v>-6.1891568971895908E-4</v>
      </c>
      <c r="M711" s="97">
        <v>249.3126</v>
      </c>
      <c r="N711" s="96">
        <v>305.64080000000001</v>
      </c>
      <c r="O711" s="93">
        <f t="shared" si="33"/>
        <v>-1.5606584320608796E-3</v>
      </c>
      <c r="P711" s="93">
        <f t="shared" si="34"/>
        <v>-4.431901613477951E-3</v>
      </c>
      <c r="Q711" s="93">
        <f>B711*'Portfolio 2 &amp; 3'!$F$7+C711*'Portfolio 2 &amp; 3'!$F$8+D711*'Portfolio 2 &amp; 3'!$F$9+E711*'Portfolio 2 &amp; 3'!$F$10+F711*'Portfolio 2 &amp; 3'!$F$11+G711*'Portfolio 2 &amp; 3'!$F$12+H711*'Portfolio 2 &amp; 3'!$F$13+I711*'Portfolio 2 &amp; 3'!$F$14+J711*'Portfolio 2 &amp; 3'!$F$15+K711*'Portfolio 2 &amp; 3'!$F$16</f>
        <v>2.0351583293288498E-3</v>
      </c>
      <c r="R711" s="93">
        <f>B711*'Portfolio 2 &amp; 3'!$B$23+C711*'Portfolio 2 &amp; 3'!$B$24+D711*'Portfolio 2 &amp; 3'!$B$25+E711*'Portfolio 2 &amp; 3'!$B$26+F711*'Portfolio 2 &amp; 3'!$B$27+G711*'Portfolio 2 &amp; 3'!$B$28+H711*'Portfolio 2 &amp; 3'!$B$29+I711*'Portfolio 2 &amp; 3'!$B$30+J711*'Portfolio 2 &amp; 3'!$B$31+K711*'Portfolio 2 &amp; 3'!$B$32</f>
        <v>-3.1794810126501267E-3</v>
      </c>
      <c r="S711" s="93">
        <f t="shared" si="35"/>
        <v>-2.9962800227694153E-3</v>
      </c>
    </row>
    <row r="712" spans="1:19" ht="12.75" customHeight="1">
      <c r="A712" s="81">
        <v>45040</v>
      </c>
      <c r="B712" s="53">
        <v>5.0000000000000001E-3</v>
      </c>
      <c r="C712" s="53">
        <v>2.16562363556978E-2</v>
      </c>
      <c r="D712" s="53">
        <v>2.1565362198168202E-2</v>
      </c>
      <c r="E712" s="53">
        <v>3.1199999999999999E-3</v>
      </c>
      <c r="F712" s="53">
        <v>-3.4698795180722101E-3</v>
      </c>
      <c r="G712" s="53">
        <v>-1.22693783109054E-2</v>
      </c>
      <c r="H712" s="87">
        <v>2.4413961475597801E-3</v>
      </c>
      <c r="I712" s="53">
        <v>9.1447838970062402E-3</v>
      </c>
      <c r="J712" s="53">
        <v>-6.4554953772089103E-3</v>
      </c>
      <c r="K712" s="53">
        <v>9.0938566289429108E-3</v>
      </c>
      <c r="L712" s="95">
        <f>IFERROR(B712*'Stock Statistics'!$C$41+C712*'Stock Statistics'!$C$42+D712*'Stock Statistics'!$C$43+E712*'Stock Statistics'!$C$44+F712*'Stock Statistics'!$C$45+G712*'Stock Statistics'!$C$46+H712*'Stock Statistics'!$C$47+I712*'Stock Statistics'!$C$48+J712*'Stock Statistics'!$C$49+K712*'Stock Statistics'!$C$50,"")</f>
        <v>4.9826882021188415E-3</v>
      </c>
      <c r="M712" s="96">
        <v>249.70230000000001</v>
      </c>
      <c r="N712" s="97">
        <v>307.00139999999999</v>
      </c>
      <c r="O712" s="93">
        <f t="shared" si="33"/>
        <v>-6.566862765458481E-3</v>
      </c>
      <c r="P712" s="93">
        <f t="shared" si="34"/>
        <v>1.5579984498416577E-2</v>
      </c>
      <c r="Q712" s="93">
        <f>B712*'Portfolio 2 &amp; 3'!$F$7+C712*'Portfolio 2 &amp; 3'!$F$8+D712*'Portfolio 2 &amp; 3'!$F$9+E712*'Portfolio 2 &amp; 3'!$F$10+F712*'Portfolio 2 &amp; 3'!$F$11+G712*'Portfolio 2 &amp; 3'!$F$12+H712*'Portfolio 2 &amp; 3'!$F$13+I712*'Portfolio 2 &amp; 3'!$F$14+J712*'Portfolio 2 &amp; 3'!$F$15+K712*'Portfolio 2 &amp; 3'!$F$16</f>
        <v>5.4618079461268764E-3</v>
      </c>
      <c r="R712" s="93">
        <f>B712*'Portfolio 2 &amp; 3'!$B$23+C712*'Portfolio 2 &amp; 3'!$B$24+D712*'Portfolio 2 &amp; 3'!$B$25+E712*'Portfolio 2 &amp; 3'!$B$26+F712*'Portfolio 2 &amp; 3'!$B$27+G712*'Portfolio 2 &amp; 3'!$B$28+H712*'Portfolio 2 &amp; 3'!$B$29+I712*'Portfolio 2 &amp; 3'!$B$30+J712*'Portfolio 2 &amp; 3'!$B$31+K712*'Portfolio 2 &amp; 3'!$B$32</f>
        <v>6.1550892510429415E-3</v>
      </c>
      <c r="S712" s="93">
        <f t="shared" si="35"/>
        <v>4.506560866479048E-3</v>
      </c>
    </row>
    <row r="713" spans="1:19" ht="12.75" customHeight="1">
      <c r="A713" s="82">
        <v>45037</v>
      </c>
      <c r="B713" s="53">
        <v>-6.3E-3</v>
      </c>
      <c r="C713" s="53">
        <v>2.5241840173921802E-3</v>
      </c>
      <c r="D713" s="53">
        <v>1.8400746205376101E-2</v>
      </c>
      <c r="E713" s="53">
        <v>7.1000000000000002E-4</v>
      </c>
      <c r="F713" s="53">
        <v>9.8306404516252908E-3</v>
      </c>
      <c r="G713" s="53">
        <v>1.28588608961116E-2</v>
      </c>
      <c r="H713" s="87">
        <v>5.6594744179272504E-3</v>
      </c>
      <c r="I713" s="53">
        <v>7.6705276705277799E-3</v>
      </c>
      <c r="J713" s="53">
        <v>3.12808692788935E-3</v>
      </c>
      <c r="K713" s="53">
        <v>5.7298136645962403E-3</v>
      </c>
      <c r="L713" s="95">
        <f>IFERROR(B713*'Stock Statistics'!$C$41+C713*'Stock Statistics'!$C$42+D713*'Stock Statistics'!$C$43+E713*'Stock Statistics'!$C$44+F713*'Stock Statistics'!$C$45+G713*'Stock Statistics'!$C$46+H713*'Stock Statistics'!$C$47+I713*'Stock Statistics'!$C$48+J713*'Stock Statistics'!$C$49+K713*'Stock Statistics'!$C$50,"")</f>
        <v>6.0212334251445792E-3</v>
      </c>
      <c r="M713" s="97">
        <v>251.35290000000001</v>
      </c>
      <c r="N713" s="96">
        <v>302.29169999999999</v>
      </c>
      <c r="O713" s="93">
        <f t="shared" si="33"/>
        <v>1.099264806917688E-3</v>
      </c>
      <c r="P713" s="93">
        <f t="shared" si="34"/>
        <v>2.691719058166786E-3</v>
      </c>
      <c r="Q713" s="93">
        <f>B713*'Portfolio 2 &amp; 3'!$F$7+C713*'Portfolio 2 &amp; 3'!$F$8+D713*'Portfolio 2 &amp; 3'!$F$9+E713*'Portfolio 2 &amp; 3'!$F$10+F713*'Portfolio 2 &amp; 3'!$F$11+G713*'Portfolio 2 &amp; 3'!$F$12+H713*'Portfolio 2 &amp; 3'!$F$13+I713*'Portfolio 2 &amp; 3'!$F$14+J713*'Portfolio 2 &amp; 3'!$F$15+K713*'Portfolio 2 &amp; 3'!$F$16</f>
        <v>6.5274476189072948E-3</v>
      </c>
      <c r="R713" s="93">
        <f>B713*'Portfolio 2 &amp; 3'!$B$23+C713*'Portfolio 2 &amp; 3'!$B$24+D713*'Portfolio 2 &amp; 3'!$B$25+E713*'Portfolio 2 &amp; 3'!$B$26+F713*'Portfolio 2 &amp; 3'!$B$27+G713*'Portfolio 2 &amp; 3'!$B$28+H713*'Portfolio 2 &amp; 3'!$B$29+I713*'Portfolio 2 &amp; 3'!$B$30+J713*'Portfolio 2 &amp; 3'!$B$31+K713*'Portfolio 2 &amp; 3'!$B$32</f>
        <v>5.466277467346548E-3</v>
      </c>
      <c r="S713" s="93">
        <f t="shared" si="35"/>
        <v>1.895491932542237E-3</v>
      </c>
    </row>
    <row r="714" spans="1:19" ht="12.75" customHeight="1">
      <c r="A714" s="81">
        <v>45036</v>
      </c>
      <c r="B714" s="53">
        <v>-6.8999999999999999E-3</v>
      </c>
      <c r="C714" s="53">
        <v>1.5782782153765901E-3</v>
      </c>
      <c r="D714" s="53">
        <v>2.6356061894234899E-3</v>
      </c>
      <c r="E714" s="53">
        <v>9.9299999999999996E-3</v>
      </c>
      <c r="F714" s="53">
        <v>-6.57513053567971E-3</v>
      </c>
      <c r="G714" s="53">
        <v>5.0517572677122296E-3</v>
      </c>
      <c r="H714" s="87">
        <v>-1.2867779204107799E-2</v>
      </c>
      <c r="I714" s="53">
        <v>-1.2853470437017599E-3</v>
      </c>
      <c r="J714" s="53">
        <v>1.59401967789807E-3</v>
      </c>
      <c r="K714" s="53">
        <v>-1.9991011793146799E-3</v>
      </c>
      <c r="L714" s="95">
        <f>IFERROR(B714*'Stock Statistics'!$C$41+C714*'Stock Statistics'!$C$42+D714*'Stock Statistics'!$C$43+E714*'Stock Statistics'!$C$44+F714*'Stock Statistics'!$C$45+G714*'Stock Statistics'!$C$46+H714*'Stock Statistics'!$C$47+I714*'Stock Statistics'!$C$48+J714*'Stock Statistics'!$C$49+K714*'Stock Statistics'!$C$50,"")</f>
        <v>-8.8376966123935707E-4</v>
      </c>
      <c r="M714" s="96">
        <v>251.07689999999999</v>
      </c>
      <c r="N714" s="97">
        <v>301.48020000000002</v>
      </c>
      <c r="O714" s="93">
        <f t="shared" si="33"/>
        <v>-6.7209756630184359E-3</v>
      </c>
      <c r="P714" s="93">
        <f t="shared" si="34"/>
        <v>5.0351735408031839E-3</v>
      </c>
      <c r="Q714" s="93">
        <f>B714*'Portfolio 2 &amp; 3'!$F$7+C714*'Portfolio 2 &amp; 3'!$F$8+D714*'Portfolio 2 &amp; 3'!$F$9+E714*'Portfolio 2 &amp; 3'!$F$10+F714*'Portfolio 2 &amp; 3'!$F$11+G714*'Portfolio 2 &amp; 3'!$F$12+H714*'Portfolio 2 &amp; 3'!$F$13+I714*'Portfolio 2 &amp; 3'!$F$14+J714*'Portfolio 2 &amp; 3'!$F$15+K714*'Portfolio 2 &amp; 3'!$F$16</f>
        <v>-1.7755900379883343E-3</v>
      </c>
      <c r="R714" s="93">
        <f>B714*'Portfolio 2 &amp; 3'!$B$23+C714*'Portfolio 2 &amp; 3'!$B$24+D714*'Portfolio 2 &amp; 3'!$B$25+E714*'Portfolio 2 &amp; 3'!$B$26+F714*'Portfolio 2 &amp; 3'!$B$27+G714*'Portfolio 2 &amp; 3'!$B$28+H714*'Portfolio 2 &amp; 3'!$B$29+I714*'Portfolio 2 &amp; 3'!$B$30+J714*'Portfolio 2 &amp; 3'!$B$31+K714*'Portfolio 2 &amp; 3'!$B$32</f>
        <v>-1.9158228330657542E-3</v>
      </c>
      <c r="S714" s="93">
        <f t="shared" si="35"/>
        <v>-8.4290106110762597E-4</v>
      </c>
    </row>
    <row r="715" spans="1:19" ht="12.75" customHeight="1">
      <c r="A715" s="82">
        <v>45035</v>
      </c>
      <c r="B715" s="53">
        <v>8.9999999999999993E-3</v>
      </c>
      <c r="C715" s="53">
        <v>-2.1436070928605401E-3</v>
      </c>
      <c r="D715" s="53">
        <v>1.2656048213517001E-2</v>
      </c>
      <c r="E715" s="53">
        <v>1.482E-2</v>
      </c>
      <c r="F715" s="53">
        <v>2.3260321767786299E-3</v>
      </c>
      <c r="G715" s="53">
        <v>1.49413355981252E-2</v>
      </c>
      <c r="H715" s="87">
        <v>2.17158618418356E-3</v>
      </c>
      <c r="I715" s="53">
        <v>-6.7916049634887399E-3</v>
      </c>
      <c r="J715" s="53">
        <v>7.36434108527129E-3</v>
      </c>
      <c r="K715" s="53">
        <v>1.05235134754216E-2</v>
      </c>
      <c r="L715" s="95">
        <f>IFERROR(B715*'Stock Statistics'!$C$41+C715*'Stock Statistics'!$C$42+D715*'Stock Statistics'!$C$43+E715*'Stock Statistics'!$C$44+F715*'Stock Statistics'!$C$45+G715*'Stock Statistics'!$C$46+H715*'Stock Statistics'!$C$47+I715*'Stock Statistics'!$C$48+J715*'Stock Statistics'!$C$49+K715*'Stock Statistics'!$C$50,"")</f>
        <v>6.4867644676948003E-3</v>
      </c>
      <c r="M715" s="97">
        <v>252.7758</v>
      </c>
      <c r="N715" s="96">
        <v>299.96980000000002</v>
      </c>
      <c r="O715" s="93">
        <f t="shared" si="33"/>
        <v>6.0283903875291145E-3</v>
      </c>
      <c r="P715" s="93">
        <f t="shared" si="34"/>
        <v>7.2938776894515556E-3</v>
      </c>
      <c r="Q715" s="93">
        <f>B715*'Portfolio 2 &amp; 3'!$F$7+C715*'Portfolio 2 &amp; 3'!$F$8+D715*'Portfolio 2 &amp; 3'!$F$9+E715*'Portfolio 2 &amp; 3'!$F$10+F715*'Portfolio 2 &amp; 3'!$F$11+G715*'Portfolio 2 &amp; 3'!$F$12+H715*'Portfolio 2 &amp; 3'!$F$13+I715*'Portfolio 2 &amp; 3'!$F$14+J715*'Portfolio 2 &amp; 3'!$F$15+K715*'Portfolio 2 &amp; 3'!$F$16</f>
        <v>5.8914553534004498E-3</v>
      </c>
      <c r="R715" s="93">
        <f>B715*'Portfolio 2 &amp; 3'!$B$23+C715*'Portfolio 2 &amp; 3'!$B$24+D715*'Portfolio 2 &amp; 3'!$B$25+E715*'Portfolio 2 &amp; 3'!$B$26+F715*'Portfolio 2 &amp; 3'!$B$27+G715*'Portfolio 2 &amp; 3'!$B$28+H715*'Portfolio 2 &amp; 3'!$B$29+I715*'Portfolio 2 &amp; 3'!$B$30+J715*'Portfolio 2 &amp; 3'!$B$31+K715*'Portfolio 2 &amp; 3'!$B$32</f>
        <v>2.4183654103890244E-3</v>
      </c>
      <c r="S715" s="93">
        <f t="shared" si="35"/>
        <v>6.661134038490335E-3</v>
      </c>
    </row>
    <row r="716" spans="1:19" ht="12.75" customHeight="1">
      <c r="A716" s="81">
        <v>45034</v>
      </c>
      <c r="B716" s="53">
        <v>-2.9999999999999997E-4</v>
      </c>
      <c r="C716" s="53">
        <v>5.8081548841302198E-3</v>
      </c>
      <c r="D716" s="53">
        <v>-1.1236911551885701E-2</v>
      </c>
      <c r="E716" s="53">
        <v>-3.79E-3</v>
      </c>
      <c r="F716" s="53">
        <v>2.7484564827723601E-2</v>
      </c>
      <c r="G716" s="53">
        <v>-2.3849122917124501E-3</v>
      </c>
      <c r="H716" s="87">
        <v>-1.0418894558342899E-2</v>
      </c>
      <c r="I716" s="53">
        <v>-1.04098236393957E-2</v>
      </c>
      <c r="J716" s="53">
        <v>-1.3168679307141599E-2</v>
      </c>
      <c r="K716" s="53">
        <v>-1.2006250676898899E-2</v>
      </c>
      <c r="L716" s="95">
        <f>IFERROR(B716*'Stock Statistics'!$C$41+C716*'Stock Statistics'!$C$42+D716*'Stock Statistics'!$C$43+E716*'Stock Statistics'!$C$44+F716*'Stock Statistics'!$C$45+G716*'Stock Statistics'!$C$46+H716*'Stock Statistics'!$C$47+I716*'Stock Statistics'!$C$48+J716*'Stock Statistics'!$C$49+K716*'Stock Statistics'!$C$50,"")</f>
        <v>-3.0422752313523432E-3</v>
      </c>
      <c r="M716" s="96">
        <v>251.2611</v>
      </c>
      <c r="N716" s="97">
        <v>297.79770000000002</v>
      </c>
      <c r="O716" s="93">
        <f t="shared" si="33"/>
        <v>5.5797706699047822E-3</v>
      </c>
      <c r="P716" s="93">
        <f t="shared" si="34"/>
        <v>6.9366909870693938E-3</v>
      </c>
      <c r="Q716" s="93">
        <f>B716*'Portfolio 2 &amp; 3'!$F$7+C716*'Portfolio 2 &amp; 3'!$F$8+D716*'Portfolio 2 &amp; 3'!$F$9+E716*'Portfolio 2 &amp; 3'!$F$10+F716*'Portfolio 2 &amp; 3'!$F$11+G716*'Portfolio 2 &amp; 3'!$F$12+H716*'Portfolio 2 &amp; 3'!$F$13+I716*'Portfolio 2 &amp; 3'!$F$14+J716*'Portfolio 2 &amp; 3'!$F$15+K716*'Portfolio 2 &amp; 3'!$F$16</f>
        <v>-3.9785783681660289E-3</v>
      </c>
      <c r="R716" s="93">
        <f>B716*'Portfolio 2 &amp; 3'!$B$23+C716*'Portfolio 2 &amp; 3'!$B$24+D716*'Portfolio 2 &amp; 3'!$B$25+E716*'Portfolio 2 &amp; 3'!$B$26+F716*'Portfolio 2 &amp; 3'!$B$27+G716*'Portfolio 2 &amp; 3'!$B$28+H716*'Portfolio 2 &amp; 3'!$B$29+I716*'Portfolio 2 &amp; 3'!$B$30+J716*'Portfolio 2 &amp; 3'!$B$31+K716*'Portfolio 2 &amp; 3'!$B$32</f>
        <v>6.3247046960467871E-4</v>
      </c>
      <c r="S716" s="93">
        <f t="shared" si="35"/>
        <v>6.258230828487088E-3</v>
      </c>
    </row>
    <row r="717" spans="1:19" ht="12.75" customHeight="1">
      <c r="A717" s="82">
        <v>45033</v>
      </c>
      <c r="B717" s="53">
        <v>2E-3</v>
      </c>
      <c r="C717" s="53">
        <v>1.58228791084358E-2</v>
      </c>
      <c r="D717" s="53">
        <v>1.7144341501428701E-2</v>
      </c>
      <c r="E717" s="53">
        <v>-1.6750000000000001E-2</v>
      </c>
      <c r="F717" s="53">
        <v>-3.0775340017868999E-3</v>
      </c>
      <c r="G717" s="53">
        <v>-8.4655421082346905E-4</v>
      </c>
      <c r="H717" s="87">
        <v>-6.2087777868236103E-4</v>
      </c>
      <c r="I717" s="53">
        <v>1.72108327005827E-3</v>
      </c>
      <c r="J717" s="53">
        <v>1.22234513274335E-2</v>
      </c>
      <c r="K717" s="53">
        <v>8.9132402984608596E-3</v>
      </c>
      <c r="L717" s="95">
        <f>IFERROR(B717*'Stock Statistics'!$C$41+C717*'Stock Statistics'!$C$42+D717*'Stock Statistics'!$C$43+E717*'Stock Statistics'!$C$44+F717*'Stock Statistics'!$C$45+G717*'Stock Statistics'!$C$46+H717*'Stock Statistics'!$C$47+I717*'Stock Statistics'!$C$48+J717*'Stock Statistics'!$C$49+K717*'Stock Statistics'!$C$50,"")</f>
        <v>3.6530029514524401E-3</v>
      </c>
      <c r="M717" s="97">
        <v>249.86689999999999</v>
      </c>
      <c r="N717" s="96">
        <v>295.74619999999999</v>
      </c>
      <c r="O717" s="93">
        <f t="shared" si="33"/>
        <v>1.3657889896085962E-3</v>
      </c>
      <c r="P717" s="93">
        <f t="shared" si="34"/>
        <v>1.7091087434832897E-3</v>
      </c>
      <c r="Q717" s="93">
        <f>B717*'Portfolio 2 &amp; 3'!$F$7+C717*'Portfolio 2 &amp; 3'!$F$8+D717*'Portfolio 2 &amp; 3'!$F$9+E717*'Portfolio 2 &amp; 3'!$F$10+F717*'Portfolio 2 &amp; 3'!$F$11+G717*'Portfolio 2 &amp; 3'!$F$12+H717*'Portfolio 2 &amp; 3'!$F$13+I717*'Portfolio 2 &amp; 3'!$F$14+J717*'Portfolio 2 &amp; 3'!$F$15+K717*'Portfolio 2 &amp; 3'!$F$16</f>
        <v>4.8967935414145625E-3</v>
      </c>
      <c r="R717" s="93">
        <f>B717*'Portfolio 2 &amp; 3'!$B$23+C717*'Portfolio 2 &amp; 3'!$B$24+D717*'Portfolio 2 &amp; 3'!$B$25+E717*'Portfolio 2 &amp; 3'!$B$26+F717*'Portfolio 2 &amp; 3'!$B$27+G717*'Portfolio 2 &amp; 3'!$B$28+H717*'Portfolio 2 &amp; 3'!$B$29+I717*'Portfolio 2 &amp; 3'!$B$30+J717*'Portfolio 2 &amp; 3'!$B$31+K717*'Portfolio 2 &amp; 3'!$B$32</f>
        <v>4.5097365253438416E-3</v>
      </c>
      <c r="S717" s="93">
        <f t="shared" si="35"/>
        <v>1.5374488665459429E-3</v>
      </c>
    </row>
    <row r="718" spans="1:19" ht="12.75" customHeight="1">
      <c r="A718" s="81">
        <v>45029</v>
      </c>
      <c r="B718" s="53">
        <v>-6.6E-3</v>
      </c>
      <c r="C718" s="53">
        <v>4.2493341712301902E-3</v>
      </c>
      <c r="D718" s="53">
        <v>3.3837615253782302E-2</v>
      </c>
      <c r="E718" s="53">
        <v>6.0819999999999999E-2</v>
      </c>
      <c r="F718" s="53">
        <v>-1.8826793499803201E-3</v>
      </c>
      <c r="G718" s="53">
        <v>5.58060346186595E-3</v>
      </c>
      <c r="H718" s="87">
        <v>1.23858788615707E-2</v>
      </c>
      <c r="I718" s="53">
        <v>-7.7850326469111096E-3</v>
      </c>
      <c r="J718" s="53">
        <v>-8.6632306173922702E-3</v>
      </c>
      <c r="K718" s="53">
        <v>-4.17339795368874E-2</v>
      </c>
      <c r="L718" s="95">
        <f>IFERROR(B718*'Stock Statistics'!$C$41+C718*'Stock Statistics'!$C$42+D718*'Stock Statistics'!$C$43+E718*'Stock Statistics'!$C$44+F718*'Stock Statistics'!$C$45+G718*'Stock Statistics'!$C$46+H718*'Stock Statistics'!$C$47+I718*'Stock Statistics'!$C$48+J718*'Stock Statistics'!$C$49+K718*'Stock Statistics'!$C$50,"")</f>
        <v>5.0208509597278036E-3</v>
      </c>
      <c r="M718" s="96">
        <v>249.52610000000001</v>
      </c>
      <c r="N718" s="97">
        <v>295.24160000000001</v>
      </c>
      <c r="O718" s="93">
        <f t="shared" si="33"/>
        <v>-1.8265263956265265E-3</v>
      </c>
      <c r="P718" s="93">
        <f t="shared" si="34"/>
        <v>3.5725138736586448E-3</v>
      </c>
      <c r="Q718" s="93">
        <f>B718*'Portfolio 2 &amp; 3'!$F$7+C718*'Portfolio 2 &amp; 3'!$F$8+D718*'Portfolio 2 &amp; 3'!$F$9+E718*'Portfolio 2 &amp; 3'!$F$10+F718*'Portfolio 2 &amp; 3'!$F$11+G718*'Portfolio 2 &amp; 3'!$F$12+H718*'Portfolio 2 &amp; 3'!$F$13+I718*'Portfolio 2 &amp; 3'!$F$14+J718*'Portfolio 2 &amp; 3'!$F$15+K718*'Portfolio 2 &amp; 3'!$F$16</f>
        <v>5.8354288965983313E-3</v>
      </c>
      <c r="R718" s="93">
        <f>B718*'Portfolio 2 &amp; 3'!$B$23+C718*'Portfolio 2 &amp; 3'!$B$24+D718*'Portfolio 2 &amp; 3'!$B$25+E718*'Portfolio 2 &amp; 3'!$B$26+F718*'Portfolio 2 &amp; 3'!$B$27+G718*'Portfolio 2 &amp; 3'!$B$28+H718*'Portfolio 2 &amp; 3'!$B$29+I718*'Portfolio 2 &amp; 3'!$B$30+J718*'Portfolio 2 &amp; 3'!$B$31+K718*'Portfolio 2 &amp; 3'!$B$32</f>
        <v>-4.7999102485671097E-3</v>
      </c>
      <c r="S718" s="93">
        <f t="shared" si="35"/>
        <v>8.7299373901605914E-4</v>
      </c>
    </row>
    <row r="719" spans="1:19" ht="12.75" customHeight="1">
      <c r="A719" s="82">
        <v>45028</v>
      </c>
      <c r="B719" s="53">
        <v>-6.0000000000000001E-3</v>
      </c>
      <c r="C719" s="53">
        <v>-7.4698902535010898E-3</v>
      </c>
      <c r="D719" s="53">
        <v>-1.3075360014135701E-2</v>
      </c>
      <c r="E719" s="53">
        <v>-1.7690000000000001E-2</v>
      </c>
      <c r="F719" s="53">
        <v>7.1856287425149396E-3</v>
      </c>
      <c r="G719" s="53">
        <v>5.2613229374662797E-3</v>
      </c>
      <c r="H719" s="87">
        <v>-1.2363741268095501E-4</v>
      </c>
      <c r="I719" s="53">
        <v>-9.2555732484076499E-3</v>
      </c>
      <c r="J719" s="53">
        <v>-1.3362185555856099E-2</v>
      </c>
      <c r="K719" s="53">
        <v>2.2014309301045601E-2</v>
      </c>
      <c r="L719" s="95">
        <f>IFERROR(B719*'Stock Statistics'!$C$41+C719*'Stock Statistics'!$C$42+D719*'Stock Statistics'!$C$43+E719*'Stock Statistics'!$C$44+F719*'Stock Statistics'!$C$45+G719*'Stock Statistics'!$C$46+H719*'Stock Statistics'!$C$47+I719*'Stock Statistics'!$C$48+J719*'Stock Statistics'!$C$49+K719*'Stock Statistics'!$C$50,"")</f>
        <v>-3.2515385503554669E-3</v>
      </c>
      <c r="M719" s="97">
        <v>249.98269999999999</v>
      </c>
      <c r="N719" s="96">
        <v>294.19060000000002</v>
      </c>
      <c r="O719" s="93">
        <f t="shared" si="33"/>
        <v>1.9294957892050046E-2</v>
      </c>
      <c r="P719" s="93">
        <f t="shared" si="34"/>
        <v>5.2471339973689801E-3</v>
      </c>
      <c r="Q719" s="93">
        <f>B719*'Portfolio 2 &amp; 3'!$F$7+C719*'Portfolio 2 &amp; 3'!$F$8+D719*'Portfolio 2 &amp; 3'!$F$9+E719*'Portfolio 2 &amp; 3'!$F$10+F719*'Portfolio 2 &amp; 3'!$F$11+G719*'Portfolio 2 &amp; 3'!$F$12+H719*'Portfolio 2 &amp; 3'!$F$13+I719*'Portfolio 2 &amp; 3'!$F$14+J719*'Portfolio 2 &amp; 3'!$F$15+K719*'Portfolio 2 &amp; 3'!$F$16</f>
        <v>-4.1416438627521149E-3</v>
      </c>
      <c r="R719" s="93">
        <f>B719*'Portfolio 2 &amp; 3'!$B$23+C719*'Portfolio 2 &amp; 3'!$B$24+D719*'Portfolio 2 &amp; 3'!$B$25+E719*'Portfolio 2 &amp; 3'!$B$26+F719*'Portfolio 2 &amp; 3'!$B$27+G719*'Portfolio 2 &amp; 3'!$B$28+H719*'Portfolio 2 &amp; 3'!$B$29+I719*'Portfolio 2 &amp; 3'!$B$30+J719*'Portfolio 2 &amp; 3'!$B$31+K719*'Portfolio 2 &amp; 3'!$B$32</f>
        <v>-1.5674405023013561E-3</v>
      </c>
      <c r="S719" s="93">
        <f t="shared" si="35"/>
        <v>1.2271045944709513E-2</v>
      </c>
    </row>
    <row r="720" spans="1:19" ht="12.75" customHeight="1">
      <c r="A720" s="81">
        <v>45027</v>
      </c>
      <c r="B720" s="53">
        <v>-2.3E-3</v>
      </c>
      <c r="C720" s="53">
        <v>1.03530541509744E-2</v>
      </c>
      <c r="D720" s="53">
        <v>7.7457264957265801E-3</v>
      </c>
      <c r="E720" s="53">
        <v>-1.2600000000000001E-3</v>
      </c>
      <c r="F720" s="53">
        <v>9.0634441087613701E-3</v>
      </c>
      <c r="G720" s="53">
        <v>-6.3616036280037501E-3</v>
      </c>
      <c r="H720" s="87">
        <v>-5.7570170047122103E-3</v>
      </c>
      <c r="I720" s="53">
        <v>6.1079403224191297E-3</v>
      </c>
      <c r="J720" s="53">
        <v>1.9637045617518799E-2</v>
      </c>
      <c r="K720" s="53">
        <v>3.4132768406241597E-2</v>
      </c>
      <c r="L720" s="95">
        <f>IFERROR(B720*'Stock Statistics'!$C$41+C720*'Stock Statistics'!$C$42+D720*'Stock Statistics'!$C$43+E720*'Stock Statistics'!$C$44+F720*'Stock Statistics'!$C$45+G720*'Stock Statistics'!$C$46+H720*'Stock Statistics'!$C$47+I720*'Stock Statistics'!$C$48+J720*'Stock Statistics'!$C$49+K720*'Stock Statistics'!$C$50,"")</f>
        <v>7.1361358468925926E-3</v>
      </c>
      <c r="M720" s="96">
        <v>245.25059999999999</v>
      </c>
      <c r="N720" s="97">
        <v>292.65499999999997</v>
      </c>
      <c r="O720" s="93">
        <f t="shared" si="33"/>
        <v>4.954073403878656E-3</v>
      </c>
      <c r="P720" s="93">
        <f t="shared" si="34"/>
        <v>-2.8474496806885075E-3</v>
      </c>
      <c r="Q720" s="93">
        <f>B720*'Portfolio 2 &amp; 3'!$F$7+C720*'Portfolio 2 &amp; 3'!$F$8+D720*'Portfolio 2 &amp; 3'!$F$9+E720*'Portfolio 2 &amp; 3'!$F$10+F720*'Portfolio 2 &amp; 3'!$F$11+G720*'Portfolio 2 &amp; 3'!$F$12+H720*'Portfolio 2 &amp; 3'!$F$13+I720*'Portfolio 2 &amp; 3'!$F$14+J720*'Portfolio 2 &amp; 3'!$F$15+K720*'Portfolio 2 &amp; 3'!$F$16</f>
        <v>7.5002773091316036E-3</v>
      </c>
      <c r="R720" s="93">
        <f>B720*'Portfolio 2 &amp; 3'!$B$23+C720*'Portfolio 2 &amp; 3'!$B$24+D720*'Portfolio 2 &amp; 3'!$B$25+E720*'Portfolio 2 &amp; 3'!$B$26+F720*'Portfolio 2 &amp; 3'!$B$27+G720*'Portfolio 2 &amp; 3'!$B$28+H720*'Portfolio 2 &amp; 3'!$B$29+I720*'Portfolio 2 &amp; 3'!$B$30+J720*'Portfolio 2 &amp; 3'!$B$31+K720*'Portfolio 2 &amp; 3'!$B$32</f>
        <v>7.4538519702469219E-3</v>
      </c>
      <c r="S720" s="93">
        <f t="shared" si="35"/>
        <v>1.0533118615950743E-3</v>
      </c>
    </row>
    <row r="721" spans="1:19" ht="12.75" customHeight="1">
      <c r="A721" s="82">
        <v>45026</v>
      </c>
      <c r="B721" s="53">
        <v>-2.2000000000000001E-3</v>
      </c>
      <c r="C721" s="53">
        <v>-3.79665475852387E-3</v>
      </c>
      <c r="D721" s="53">
        <v>3.4921219939187502E-2</v>
      </c>
      <c r="E721" s="53">
        <v>2.9149999999999999E-2</v>
      </c>
      <c r="F721" s="53">
        <v>4.7556409996965003E-3</v>
      </c>
      <c r="G721" s="53">
        <v>1.9292501284026799E-2</v>
      </c>
      <c r="H721" s="87">
        <v>2.46990038523307E-2</v>
      </c>
      <c r="I721" s="53">
        <v>-4.7832585949177898E-3</v>
      </c>
      <c r="J721" s="53">
        <v>-1.01556101556101E-2</v>
      </c>
      <c r="K721" s="53">
        <v>-6.6898035459098696E-3</v>
      </c>
      <c r="L721" s="95">
        <f>IFERROR(B721*'Stock Statistics'!$C$41+C721*'Stock Statistics'!$C$42+D721*'Stock Statistics'!$C$43+E721*'Stock Statistics'!$C$44+F721*'Stock Statistics'!$C$45+G721*'Stock Statistics'!$C$46+H721*'Stock Statistics'!$C$47+I721*'Stock Statistics'!$C$48+J721*'Stock Statistics'!$C$49+K721*'Stock Statistics'!$C$50,"")</f>
        <v>8.5193039020279859E-3</v>
      </c>
      <c r="M721" s="97">
        <v>244.04159999999999</v>
      </c>
      <c r="N721" s="96">
        <v>293.4907</v>
      </c>
      <c r="O721" s="93">
        <f t="shared" si="33"/>
        <v>5.0143313675747869E-3</v>
      </c>
      <c r="P721" s="93">
        <f t="shared" si="34"/>
        <v>1.0834700385644824E-2</v>
      </c>
      <c r="Q721" s="93">
        <f>B721*'Portfolio 2 &amp; 3'!$F$7+C721*'Portfolio 2 &amp; 3'!$F$8+D721*'Portfolio 2 &amp; 3'!$F$9+E721*'Portfolio 2 &amp; 3'!$F$10+F721*'Portfolio 2 &amp; 3'!$F$11+G721*'Portfolio 2 &amp; 3'!$F$12+H721*'Portfolio 2 &amp; 3'!$F$13+I721*'Portfolio 2 &amp; 3'!$F$14+J721*'Portfolio 2 &amp; 3'!$F$15+K721*'Portfolio 2 &amp; 3'!$F$16</f>
        <v>9.4351767571480855E-3</v>
      </c>
      <c r="R721" s="93">
        <f>B721*'Portfolio 2 &amp; 3'!$B$23+C721*'Portfolio 2 &amp; 3'!$B$24+D721*'Portfolio 2 &amp; 3'!$B$25+E721*'Portfolio 2 &amp; 3'!$B$26+F721*'Portfolio 2 &amp; 3'!$B$27+G721*'Portfolio 2 &amp; 3'!$B$28+H721*'Portfolio 2 &amp; 3'!$B$29+I721*'Portfolio 2 &amp; 3'!$B$30+J721*'Portfolio 2 &amp; 3'!$B$31+K721*'Portfolio 2 &amp; 3'!$B$32</f>
        <v>8.4795272755918815E-4</v>
      </c>
      <c r="S721" s="93">
        <f t="shared" si="35"/>
        <v>7.9245158766098056E-3</v>
      </c>
    </row>
    <row r="722" spans="1:19" ht="12.75" customHeight="1">
      <c r="A722" s="81">
        <v>45022</v>
      </c>
      <c r="B722" s="53">
        <v>1.5E-3</v>
      </c>
      <c r="C722" s="53">
        <v>1.33209603065332E-3</v>
      </c>
      <c r="D722" s="53">
        <v>3.5136384650946702E-3</v>
      </c>
      <c r="E722" s="53">
        <v>-6.9199999999999999E-3</v>
      </c>
      <c r="F722" s="53">
        <v>2.1293855201782699E-3</v>
      </c>
      <c r="G722" s="53">
        <v>-1.18005329272936E-2</v>
      </c>
      <c r="H722" s="87">
        <v>7.7736808378792198E-4</v>
      </c>
      <c r="I722" s="53">
        <v>-1.2983180879315499E-2</v>
      </c>
      <c r="J722" s="53">
        <v>-2.39664469742362E-3</v>
      </c>
      <c r="K722" s="53">
        <v>-8.7637371190187902E-3</v>
      </c>
      <c r="L722" s="95">
        <f>IFERROR(B722*'Stock Statistics'!$C$41+C722*'Stock Statistics'!$C$42+D722*'Stock Statistics'!$C$43+E722*'Stock Statistics'!$C$44+F722*'Stock Statistics'!$C$45+G722*'Stock Statistics'!$C$46+H722*'Stock Statistics'!$C$47+I722*'Stock Statistics'!$C$48+J722*'Stock Statistics'!$C$49+K722*'Stock Statistics'!$C$50,"")</f>
        <v>-3.3611607523337328E-3</v>
      </c>
      <c r="M722" s="96">
        <v>242.82400000000001</v>
      </c>
      <c r="N722" s="97">
        <v>290.3449</v>
      </c>
      <c r="O722" s="93">
        <f t="shared" si="33"/>
        <v>6.0952240474425601E-3</v>
      </c>
      <c r="P722" s="93">
        <f t="shared" si="34"/>
        <v>-5.6191127233671256E-3</v>
      </c>
      <c r="Q722" s="93">
        <f>B722*'Portfolio 2 &amp; 3'!$F$7+C722*'Portfolio 2 &amp; 3'!$F$8+D722*'Portfolio 2 &amp; 3'!$F$9+E722*'Portfolio 2 &amp; 3'!$F$10+F722*'Portfolio 2 &amp; 3'!$F$11+G722*'Portfolio 2 &amp; 3'!$F$12+H722*'Portfolio 2 &amp; 3'!$F$13+I722*'Portfolio 2 &amp; 3'!$F$14+J722*'Portfolio 2 &amp; 3'!$F$15+K722*'Portfolio 2 &amp; 3'!$F$16</f>
        <v>-2.2433655097795768E-3</v>
      </c>
      <c r="R722" s="93">
        <f>B722*'Portfolio 2 &amp; 3'!$B$23+C722*'Portfolio 2 &amp; 3'!$B$24+D722*'Portfolio 2 &amp; 3'!$B$25+E722*'Portfolio 2 &amp; 3'!$B$26+F722*'Portfolio 2 &amp; 3'!$B$27+G722*'Portfolio 2 &amp; 3'!$B$28+H722*'Portfolio 2 &amp; 3'!$B$29+I722*'Portfolio 2 &amp; 3'!$B$30+J722*'Portfolio 2 &amp; 3'!$B$31+K722*'Portfolio 2 &amp; 3'!$B$32</f>
        <v>-4.4725754287025668E-3</v>
      </c>
      <c r="S722" s="93">
        <f t="shared" si="35"/>
        <v>2.3805566203771722E-4</v>
      </c>
    </row>
    <row r="723" spans="1:19" ht="12.75" customHeight="1">
      <c r="A723" s="82">
        <v>45021</v>
      </c>
      <c r="B723" s="53">
        <v>2.6499999999999999E-2</v>
      </c>
      <c r="C723" s="53">
        <v>2.7164533025168E-3</v>
      </c>
      <c r="D723" s="53">
        <v>1.05587740609232E-2</v>
      </c>
      <c r="E723" s="53">
        <v>-4.4999999999999999E-4</v>
      </c>
      <c r="F723" s="53">
        <v>1.4216084484159901E-3</v>
      </c>
      <c r="G723" s="53">
        <v>9.2078107636139905E-4</v>
      </c>
      <c r="H723" s="87">
        <v>1.28207856322085E-2</v>
      </c>
      <c r="I723" s="53">
        <v>7.38171909834029E-3</v>
      </c>
      <c r="J723" s="53">
        <v>1.19054180675744E-2</v>
      </c>
      <c r="K723" s="53">
        <v>9.7272276974055105E-2</v>
      </c>
      <c r="L723" s="95">
        <f>IFERROR(B723*'Stock Statistics'!$C$41+C723*'Stock Statistics'!$C$42+D723*'Stock Statistics'!$C$43+E723*'Stock Statistics'!$C$44+F723*'Stock Statistics'!$C$45+G723*'Stock Statistics'!$C$46+H723*'Stock Statistics'!$C$47+I723*'Stock Statistics'!$C$48+J723*'Stock Statistics'!$C$49+K723*'Stock Statistics'!$C$50,"")</f>
        <v>1.710478166603957E-2</v>
      </c>
      <c r="M723" s="97">
        <v>241.35290000000001</v>
      </c>
      <c r="N723" s="96">
        <v>291.98559999999998</v>
      </c>
      <c r="O723" s="93">
        <f t="shared" si="33"/>
        <v>1.4172130050416065E-4</v>
      </c>
      <c r="P723" s="93">
        <f t="shared" si="34"/>
        <v>6.4359635336508347E-4</v>
      </c>
      <c r="Q723" s="93">
        <f>B723*'Portfolio 2 &amp; 3'!$F$7+C723*'Portfolio 2 &amp; 3'!$F$8+D723*'Portfolio 2 &amp; 3'!$F$9+E723*'Portfolio 2 &amp; 3'!$F$10+F723*'Portfolio 2 &amp; 3'!$F$11+G723*'Portfolio 2 &amp; 3'!$F$12+H723*'Portfolio 2 &amp; 3'!$F$13+I723*'Portfolio 2 &amp; 3'!$F$14+J723*'Portfolio 2 &amp; 3'!$F$15+K723*'Portfolio 2 &amp; 3'!$F$16</f>
        <v>1.5721730722556358E-2</v>
      </c>
      <c r="R723" s="93">
        <f>B723*'Portfolio 2 &amp; 3'!$B$23+C723*'Portfolio 2 &amp; 3'!$B$24+D723*'Portfolio 2 &amp; 3'!$B$25+E723*'Portfolio 2 &amp; 3'!$B$26+F723*'Portfolio 2 &amp; 3'!$B$27+G723*'Portfolio 2 &amp; 3'!$B$28+H723*'Portfolio 2 &amp; 3'!$B$29+I723*'Portfolio 2 &amp; 3'!$B$30+J723*'Portfolio 2 &amp; 3'!$B$31+K723*'Portfolio 2 &amp; 3'!$B$32</f>
        <v>1.5495419462467302E-2</v>
      </c>
      <c r="S723" s="93">
        <f t="shared" si="35"/>
        <v>3.9265882693462206E-4</v>
      </c>
    </row>
    <row r="724" spans="1:19" ht="12.75" customHeight="1">
      <c r="A724" s="81">
        <v>45019</v>
      </c>
      <c r="B724" s="53">
        <v>8.6999999999999994E-3</v>
      </c>
      <c r="C724" s="53">
        <v>-1.21569732101822E-2</v>
      </c>
      <c r="D724" s="53">
        <v>2.6078619367209999E-2</v>
      </c>
      <c r="E724" s="53">
        <v>7.7400000000000004E-3</v>
      </c>
      <c r="F724" s="53">
        <v>1.72922388363328E-3</v>
      </c>
      <c r="G724" s="53">
        <v>-2.1228059058360201E-3</v>
      </c>
      <c r="H724" s="87">
        <v>3.5448876740411502E-3</v>
      </c>
      <c r="I724" s="53">
        <v>6.4445766408871596E-4</v>
      </c>
      <c r="J724" s="53">
        <v>5.8768087819480704E-3</v>
      </c>
      <c r="K724" s="53">
        <v>6.0832058838691302E-3</v>
      </c>
      <c r="L724" s="95">
        <f>IFERROR(B724*'Stock Statistics'!$C$41+C724*'Stock Statistics'!$C$42+D724*'Stock Statistics'!$C$43+E724*'Stock Statistics'!$C$44+F724*'Stock Statistics'!$C$45+G724*'Stock Statistics'!$C$46+H724*'Stock Statistics'!$C$47+I724*'Stock Statistics'!$C$48+J724*'Stock Statistics'!$C$49+K724*'Stock Statistics'!$C$50,"")</f>
        <v>4.6117424138772123E-3</v>
      </c>
      <c r="M724" s="96">
        <v>241.31870000000001</v>
      </c>
      <c r="N724" s="97">
        <v>291.7978</v>
      </c>
      <c r="O724" s="93">
        <f t="shared" si="33"/>
        <v>-5.781101746484385E-3</v>
      </c>
      <c r="P724" s="93">
        <f t="shared" si="34"/>
        <v>6.3953839282482328E-3</v>
      </c>
      <c r="Q724" s="93">
        <f>B724*'Portfolio 2 &amp; 3'!$F$7+C724*'Portfolio 2 &amp; 3'!$F$8+D724*'Portfolio 2 &amp; 3'!$F$9+E724*'Portfolio 2 &amp; 3'!$F$10+F724*'Portfolio 2 &amp; 3'!$F$11+G724*'Portfolio 2 &amp; 3'!$F$12+H724*'Portfolio 2 &amp; 3'!$F$13+I724*'Portfolio 2 &amp; 3'!$F$14+J724*'Portfolio 2 &amp; 3'!$F$15+K724*'Portfolio 2 &amp; 3'!$F$16</f>
        <v>5.4724186020506166E-3</v>
      </c>
      <c r="R724" s="93">
        <f>B724*'Portfolio 2 &amp; 3'!$B$23+C724*'Portfolio 2 &amp; 3'!$B$24+D724*'Portfolio 2 &amp; 3'!$B$25+E724*'Portfolio 2 &amp; 3'!$B$26+F724*'Portfolio 2 &amp; 3'!$B$27+G724*'Portfolio 2 &amp; 3'!$B$28+H724*'Portfolio 2 &amp; 3'!$B$29+I724*'Portfolio 2 &amp; 3'!$B$30+J724*'Portfolio 2 &amp; 3'!$B$31+K724*'Portfolio 2 &amp; 3'!$B$32</f>
        <v>1.9363366220961366E-4</v>
      </c>
      <c r="S724" s="93">
        <f t="shared" si="35"/>
        <v>3.0714109088192387E-4</v>
      </c>
    </row>
    <row r="725" spans="1:19" ht="12.75" customHeight="1">
      <c r="A725" s="82">
        <v>45016</v>
      </c>
      <c r="B725" s="53">
        <v>1.35E-2</v>
      </c>
      <c r="C725" s="53">
        <v>-9.7191431885249608E-3</v>
      </c>
      <c r="D725" s="53">
        <v>2.2100509272604501E-3</v>
      </c>
      <c r="E725" s="53">
        <v>1.2290000000000001E-2</v>
      </c>
      <c r="F725" s="53">
        <v>2.4472315692871702E-3</v>
      </c>
      <c r="G725" s="53">
        <v>2.1225651976962499E-2</v>
      </c>
      <c r="H725" s="87">
        <v>5.6480188983141196E-3</v>
      </c>
      <c r="I725" s="53">
        <v>-3.4581563086652002E-3</v>
      </c>
      <c r="J725" s="53">
        <v>9.5147478591817193E-3</v>
      </c>
      <c r="K725" s="53">
        <v>-4.03909017782256E-3</v>
      </c>
      <c r="L725" s="95">
        <f>IFERROR(B725*'Stock Statistics'!$C$41+C725*'Stock Statistics'!$C$42+D725*'Stock Statistics'!$C$43+E725*'Stock Statistics'!$C$44+F725*'Stock Statistics'!$C$45+G725*'Stock Statistics'!$C$46+H725*'Stock Statistics'!$C$47+I725*'Stock Statistics'!$C$48+J725*'Stock Statistics'!$C$49+K725*'Stock Statistics'!$C$50,"")</f>
        <v>4.9619311555993244E-3</v>
      </c>
      <c r="M725" s="97">
        <v>242.72190000000001</v>
      </c>
      <c r="N725" s="96">
        <v>289.94349999999997</v>
      </c>
      <c r="O725" s="93">
        <f t="shared" si="33"/>
        <v>5.7501174719538639E-3</v>
      </c>
      <c r="P725" s="93">
        <f t="shared" si="34"/>
        <v>-2.1870128261162192E-3</v>
      </c>
      <c r="Q725" s="93">
        <f>B725*'Portfolio 2 &amp; 3'!$F$7+C725*'Portfolio 2 &amp; 3'!$F$8+D725*'Portfolio 2 &amp; 3'!$F$9+E725*'Portfolio 2 &amp; 3'!$F$10+F725*'Portfolio 2 &amp; 3'!$F$11+G725*'Portfolio 2 &amp; 3'!$F$12+H725*'Portfolio 2 &amp; 3'!$F$13+I725*'Portfolio 2 &amp; 3'!$F$14+J725*'Portfolio 2 &amp; 3'!$F$15+K725*'Portfolio 2 &amp; 3'!$F$16</f>
        <v>4.2524650430043106E-3</v>
      </c>
      <c r="R725" s="93">
        <f>B725*'Portfolio 2 &amp; 3'!$B$23+C725*'Portfolio 2 &amp; 3'!$B$24+D725*'Portfolio 2 &amp; 3'!$B$25+E725*'Portfolio 2 &amp; 3'!$B$26+F725*'Portfolio 2 &amp; 3'!$B$27+G725*'Portfolio 2 &amp; 3'!$B$28+H725*'Portfolio 2 &amp; 3'!$B$29+I725*'Portfolio 2 &amp; 3'!$B$30+J725*'Portfolio 2 &amp; 3'!$B$31+K725*'Portfolio 2 &amp; 3'!$B$32</f>
        <v>1.8864759603573053E-3</v>
      </c>
      <c r="S725" s="93">
        <f t="shared" si="35"/>
        <v>1.7815523229188224E-3</v>
      </c>
    </row>
    <row r="726" spans="1:19" ht="12.75" customHeight="1">
      <c r="A726" s="81">
        <v>45014</v>
      </c>
      <c r="B726" s="53">
        <v>8.0999999999999996E-3</v>
      </c>
      <c r="C726" s="53">
        <v>-9.2407885472900496E-4</v>
      </c>
      <c r="D726" s="53">
        <v>4.3427909669948601E-3</v>
      </c>
      <c r="E726" s="53">
        <v>4.0800000000000003E-3</v>
      </c>
      <c r="F726" s="53">
        <v>1.1552346570397099E-2</v>
      </c>
      <c r="G726" s="53">
        <v>5.3020199720261703E-3</v>
      </c>
      <c r="H726" s="87">
        <v>7.3008490617056899E-3</v>
      </c>
      <c r="I726" s="53">
        <v>1.4992729278443501E-2</v>
      </c>
      <c r="J726" s="53">
        <v>-2.6793190064191598E-3</v>
      </c>
      <c r="K726" s="53">
        <v>1.09523150391029E-2</v>
      </c>
      <c r="L726" s="95">
        <f>IFERROR(B726*'Stock Statistics'!$C$41+C726*'Stock Statistics'!$C$42+D726*'Stock Statistics'!$C$43+E726*'Stock Statistics'!$C$44+F726*'Stock Statistics'!$C$45+G726*'Stock Statistics'!$C$46+H726*'Stock Statistics'!$C$47+I726*'Stock Statistics'!$C$48+J726*'Stock Statistics'!$C$49+K726*'Stock Statistics'!$C$50,"")</f>
        <v>6.3019653027522066E-3</v>
      </c>
      <c r="M726" s="96">
        <v>241.33420000000001</v>
      </c>
      <c r="N726" s="97">
        <v>290.57900000000001</v>
      </c>
      <c r="O726" s="93">
        <f t="shared" si="33"/>
        <v>1.1202519393649579E-2</v>
      </c>
      <c r="P726" s="93">
        <f t="shared" si="34"/>
        <v>-4.1621900419303026E-3</v>
      </c>
      <c r="Q726" s="93">
        <f>B726*'Portfolio 2 &amp; 3'!$F$7+C726*'Portfolio 2 &amp; 3'!$F$8+D726*'Portfolio 2 &amp; 3'!$F$9+E726*'Portfolio 2 &amp; 3'!$F$10+F726*'Portfolio 2 &amp; 3'!$F$11+G726*'Portfolio 2 &amp; 3'!$F$12+H726*'Portfolio 2 &amp; 3'!$F$13+I726*'Portfolio 2 &amp; 3'!$F$14+J726*'Portfolio 2 &amp; 3'!$F$15+K726*'Portfolio 2 &amp; 3'!$F$16</f>
        <v>5.7455865755257542E-3</v>
      </c>
      <c r="R726" s="93">
        <f>B726*'Portfolio 2 &amp; 3'!$B$23+C726*'Portfolio 2 &amp; 3'!$B$24+D726*'Portfolio 2 &amp; 3'!$B$25+E726*'Portfolio 2 &amp; 3'!$B$26+F726*'Portfolio 2 &amp; 3'!$B$27+G726*'Portfolio 2 &amp; 3'!$B$28+H726*'Portfolio 2 &amp; 3'!$B$29+I726*'Portfolio 2 &amp; 3'!$B$30+J726*'Portfolio 2 &amp; 3'!$B$31+K726*'Portfolio 2 &amp; 3'!$B$32</f>
        <v>8.1656883641571462E-3</v>
      </c>
      <c r="S726" s="93">
        <f t="shared" si="35"/>
        <v>3.5201646758596383E-3</v>
      </c>
    </row>
    <row r="727" spans="1:19" ht="12.75" customHeight="1">
      <c r="A727" s="82">
        <v>45013</v>
      </c>
      <c r="B727" s="53">
        <v>7.9000000000000008E-3</v>
      </c>
      <c r="C727" s="53">
        <v>2.6472145420319798E-3</v>
      </c>
      <c r="D727" s="53">
        <v>1.6580005886392801E-2</v>
      </c>
      <c r="E727" s="53">
        <v>5.8199999999999997E-3</v>
      </c>
      <c r="F727" s="53">
        <v>5.9140900601783999E-3</v>
      </c>
      <c r="G727" s="53">
        <v>-1.5264696329976299E-3</v>
      </c>
      <c r="H727" s="87">
        <v>1.20298612023293E-2</v>
      </c>
      <c r="I727" s="53">
        <v>1.8487309126193702E-2</v>
      </c>
      <c r="J727" s="53">
        <v>4.8236019967469197E-3</v>
      </c>
      <c r="K727" s="53">
        <v>5.2527220231677304E-3</v>
      </c>
      <c r="L727" s="95">
        <f>IFERROR(B727*'Stock Statistics'!$C$41+C727*'Stock Statistics'!$C$42+D727*'Stock Statistics'!$C$43+E727*'Stock Statistics'!$C$44+F727*'Stock Statistics'!$C$45+G727*'Stock Statistics'!$C$46+H727*'Stock Statistics'!$C$47+I727*'Stock Statistics'!$C$48+J727*'Stock Statistics'!$C$49+K727*'Stock Statistics'!$C$50,"")</f>
        <v>7.7928335204043211E-3</v>
      </c>
      <c r="M727" s="97">
        <v>238.66059999999999</v>
      </c>
      <c r="N727" s="96">
        <v>291.79349999999999</v>
      </c>
      <c r="O727" s="93">
        <f t="shared" si="33"/>
        <v>-3.8282401822820056E-4</v>
      </c>
      <c r="P727" s="93">
        <f t="shared" si="34"/>
        <v>-1.476260236550675E-3</v>
      </c>
      <c r="Q727" s="93">
        <f>B727*'Portfolio 2 &amp; 3'!$F$7+C727*'Portfolio 2 &amp; 3'!$F$8+D727*'Portfolio 2 &amp; 3'!$F$9+E727*'Portfolio 2 &amp; 3'!$F$10+F727*'Portfolio 2 &amp; 3'!$F$11+G727*'Portfolio 2 &amp; 3'!$F$12+H727*'Portfolio 2 &amp; 3'!$F$13+I727*'Portfolio 2 &amp; 3'!$F$14+J727*'Portfolio 2 &amp; 3'!$F$15+K727*'Portfolio 2 &amp; 3'!$F$16</f>
        <v>8.5959835209207074E-3</v>
      </c>
      <c r="R727" s="93">
        <f>B727*'Portfolio 2 &amp; 3'!$B$23+C727*'Portfolio 2 &amp; 3'!$B$24+D727*'Portfolio 2 &amp; 3'!$B$25+E727*'Portfolio 2 &amp; 3'!$B$26+F727*'Portfolio 2 &amp; 3'!$B$27+G727*'Portfolio 2 &amp; 3'!$B$28+H727*'Portfolio 2 &amp; 3'!$B$29+I727*'Portfolio 2 &amp; 3'!$B$30+J727*'Portfolio 2 &amp; 3'!$B$31+K727*'Portfolio 2 &amp; 3'!$B$32</f>
        <v>8.1319288659949564E-3</v>
      </c>
      <c r="S727" s="93">
        <f t="shared" si="35"/>
        <v>-9.2954212738943776E-4</v>
      </c>
    </row>
    <row r="728" spans="1:19" ht="12.75" customHeight="1">
      <c r="A728" s="81">
        <v>45012</v>
      </c>
      <c r="B728" s="53">
        <v>1.41E-2</v>
      </c>
      <c r="C728" s="53">
        <v>1.0894849974971701E-3</v>
      </c>
      <c r="D728" s="53">
        <v>-3.5194056114967701E-3</v>
      </c>
      <c r="E728" s="53">
        <v>1.2409999999999999E-2</v>
      </c>
      <c r="F728" s="53">
        <v>2.4963594757645398E-3</v>
      </c>
      <c r="G728" s="53">
        <v>-2.84992551331054E-3</v>
      </c>
      <c r="H728" s="87">
        <v>9.0571706282582803E-3</v>
      </c>
      <c r="I728" s="53">
        <v>-4.1196216051266896E-3</v>
      </c>
      <c r="J728" s="53">
        <v>-1.0049972237645701E-2</v>
      </c>
      <c r="K728" s="53">
        <v>1.81876140046398E-2</v>
      </c>
      <c r="L728" s="95">
        <f>IFERROR(B728*'Stock Statistics'!$C$41+C728*'Stock Statistics'!$C$42+D728*'Stock Statistics'!$C$43+E728*'Stock Statistics'!$C$44+F728*'Stock Statistics'!$C$45+G728*'Stock Statistics'!$C$46+H728*'Stock Statistics'!$C$47+I728*'Stock Statistics'!$C$48+J728*'Stock Statistics'!$C$49+K728*'Stock Statistics'!$C$50,"")</f>
        <v>3.6801704138580095E-3</v>
      </c>
      <c r="M728" s="96">
        <v>238.75200000000001</v>
      </c>
      <c r="N728" s="97">
        <v>292.22489999999999</v>
      </c>
      <c r="O728" s="93">
        <f t="shared" si="33"/>
        <v>2.8840814330852726E-3</v>
      </c>
      <c r="P728" s="93">
        <f t="shared" si="34"/>
        <v>6.2331555530763527E-3</v>
      </c>
      <c r="Q728" s="93">
        <f>B728*'Portfolio 2 &amp; 3'!$F$7+C728*'Portfolio 2 &amp; 3'!$F$8+D728*'Portfolio 2 &amp; 3'!$F$9+E728*'Portfolio 2 &amp; 3'!$F$10+F728*'Portfolio 2 &amp; 3'!$F$11+G728*'Portfolio 2 &amp; 3'!$F$12+H728*'Portfolio 2 &amp; 3'!$F$13+I728*'Portfolio 2 &amp; 3'!$F$14+J728*'Portfolio 2 &amp; 3'!$F$15+K728*'Portfolio 2 &amp; 3'!$F$16</f>
        <v>2.6843767928681735E-3</v>
      </c>
      <c r="R728" s="93">
        <f>B728*'Portfolio 2 &amp; 3'!$B$23+C728*'Portfolio 2 &amp; 3'!$B$24+D728*'Portfolio 2 &amp; 3'!$B$25+E728*'Portfolio 2 &amp; 3'!$B$26+F728*'Portfolio 2 &amp; 3'!$B$27+G728*'Portfolio 2 &amp; 3'!$B$28+H728*'Portfolio 2 &amp; 3'!$B$29+I728*'Portfolio 2 &amp; 3'!$B$30+J728*'Portfolio 2 &amp; 3'!$B$31+K728*'Portfolio 2 &amp; 3'!$B$32</f>
        <v>2.615744375699479E-3</v>
      </c>
      <c r="S728" s="93">
        <f t="shared" si="35"/>
        <v>4.5586184930808127E-3</v>
      </c>
    </row>
    <row r="729" spans="1:19" ht="12.75" customHeight="1">
      <c r="A729" s="82">
        <v>45009</v>
      </c>
      <c r="B729" s="53">
        <v>-1.9099999999999999E-2</v>
      </c>
      <c r="C729" s="53">
        <v>2.9027664151743699E-2</v>
      </c>
      <c r="D729" s="53">
        <v>9.7770825185694604E-5</v>
      </c>
      <c r="E729" s="53">
        <v>-2.6440000000000002E-2</v>
      </c>
      <c r="F729" s="53">
        <v>-3.3174372797014598E-3</v>
      </c>
      <c r="G729" s="53">
        <v>5.24139727186901E-3</v>
      </c>
      <c r="H729" s="87">
        <v>9.1736983491803592E-3</v>
      </c>
      <c r="I729" s="53">
        <v>-8.8718620828711608E-3</v>
      </c>
      <c r="J729" s="53">
        <v>1.44192857947505E-2</v>
      </c>
      <c r="K729" s="53">
        <v>1.0991933339241601E-3</v>
      </c>
      <c r="L729" s="95">
        <f>IFERROR(B729*'Stock Statistics'!$C$41+C729*'Stock Statistics'!$C$42+D729*'Stock Statistics'!$C$43+E729*'Stock Statistics'!$C$44+F729*'Stock Statistics'!$C$45+G729*'Stock Statistics'!$C$46+H729*'Stock Statistics'!$C$47+I729*'Stock Statistics'!$C$48+J729*'Stock Statistics'!$C$49+K729*'Stock Statistics'!$C$50,"")</f>
        <v>1.3297103640807977E-4</v>
      </c>
      <c r="M729" s="97">
        <v>238.06540000000001</v>
      </c>
      <c r="N729" s="96">
        <v>290.41469999999998</v>
      </c>
      <c r="O729" s="93">
        <f t="shared" si="33"/>
        <v>-8.8739696474017249E-3</v>
      </c>
      <c r="P729" s="93">
        <f t="shared" si="34"/>
        <v>3.209486067700773E-3</v>
      </c>
      <c r="Q729" s="93">
        <f>B729*'Portfolio 2 &amp; 3'!$F$7+C729*'Portfolio 2 &amp; 3'!$F$8+D729*'Portfolio 2 &amp; 3'!$F$9+E729*'Portfolio 2 &amp; 3'!$F$10+F729*'Portfolio 2 &amp; 3'!$F$11+G729*'Portfolio 2 &amp; 3'!$F$12+H729*'Portfolio 2 &amp; 3'!$F$13+I729*'Portfolio 2 &amp; 3'!$F$14+J729*'Portfolio 2 &amp; 3'!$F$15+K729*'Portfolio 2 &amp; 3'!$F$16</f>
        <v>2.5080356664035166E-3</v>
      </c>
      <c r="R729" s="93">
        <f>B729*'Portfolio 2 &amp; 3'!$B$23+C729*'Portfolio 2 &amp; 3'!$B$24+D729*'Portfolio 2 &amp; 3'!$B$25+E729*'Portfolio 2 &amp; 3'!$B$26+F729*'Portfolio 2 &amp; 3'!$B$27+G729*'Portfolio 2 &amp; 3'!$B$28+H729*'Portfolio 2 &amp; 3'!$B$29+I729*'Portfolio 2 &amp; 3'!$B$30+J729*'Portfolio 2 &amp; 3'!$B$31+K729*'Portfolio 2 &amp; 3'!$B$32</f>
        <v>1.6552589150982643E-3</v>
      </c>
      <c r="S729" s="93">
        <f t="shared" si="35"/>
        <v>-2.8322417898504759E-3</v>
      </c>
    </row>
    <row r="730" spans="1:19" ht="12.75" customHeight="1">
      <c r="A730" s="81">
        <v>45008</v>
      </c>
      <c r="B730" s="53">
        <v>2.3E-3</v>
      </c>
      <c r="C730" s="53">
        <v>1.8359664280424699E-2</v>
      </c>
      <c r="D730" s="53">
        <v>2.1880307723049199E-2</v>
      </c>
      <c r="E730" s="53">
        <v>2.29E-2</v>
      </c>
      <c r="F730" s="53">
        <v>7.6256137052126399E-3</v>
      </c>
      <c r="G730" s="53">
        <v>1.18255484551024E-2</v>
      </c>
      <c r="H730" s="87">
        <v>4.81614641085093E-3</v>
      </c>
      <c r="I730" s="53">
        <v>7.8236130867708198E-3</v>
      </c>
      <c r="J730" s="53">
        <v>-2.0236087689712301E-3</v>
      </c>
      <c r="K730" s="53">
        <v>4.9172442053129197E-3</v>
      </c>
      <c r="L730" s="95">
        <f>IFERROR(B730*'Stock Statistics'!$C$41+C730*'Stock Statistics'!$C$42+D730*'Stock Statistics'!$C$43+E730*'Stock Statistics'!$C$44+F730*'Stock Statistics'!$C$45+G730*'Stock Statistics'!$C$46+H730*'Stock Statistics'!$C$47+I730*'Stock Statistics'!$C$48+J730*'Stock Statistics'!$C$49+K730*'Stock Statistics'!$C$50,"")</f>
        <v>1.004245290977524E-2</v>
      </c>
      <c r="M730" s="96">
        <v>240.1969</v>
      </c>
      <c r="N730" s="97">
        <v>289.48559999999998</v>
      </c>
      <c r="O730" s="93">
        <f t="shared" si="33"/>
        <v>3.373370942947318E-4</v>
      </c>
      <c r="P730" s="93">
        <f t="shared" si="34"/>
        <v>1.9313843741652903E-4</v>
      </c>
      <c r="Q730" s="93">
        <f>B730*'Portfolio 2 &amp; 3'!$F$7+C730*'Portfolio 2 &amp; 3'!$F$8+D730*'Portfolio 2 &amp; 3'!$F$9+E730*'Portfolio 2 &amp; 3'!$F$10+F730*'Portfolio 2 &amp; 3'!$F$11+G730*'Portfolio 2 &amp; 3'!$F$12+H730*'Portfolio 2 &amp; 3'!$F$13+I730*'Portfolio 2 &amp; 3'!$F$14+J730*'Portfolio 2 &amp; 3'!$F$15+K730*'Portfolio 2 &amp; 3'!$F$16</f>
        <v>9.4921870787875087E-3</v>
      </c>
      <c r="R730" s="93">
        <f>B730*'Portfolio 2 &amp; 3'!$B$23+C730*'Portfolio 2 &amp; 3'!$B$24+D730*'Portfolio 2 &amp; 3'!$B$25+E730*'Portfolio 2 &amp; 3'!$B$26+F730*'Portfolio 2 &amp; 3'!$B$27+G730*'Portfolio 2 &amp; 3'!$B$28+H730*'Portfolio 2 &amp; 3'!$B$29+I730*'Portfolio 2 &amp; 3'!$B$30+J730*'Portfolio 2 &amp; 3'!$B$31+K730*'Portfolio 2 &amp; 3'!$B$32</f>
        <v>9.0040583661823784E-3</v>
      </c>
      <c r="S730" s="93">
        <f t="shared" si="35"/>
        <v>2.6523776585563041E-4</v>
      </c>
    </row>
    <row r="731" spans="1:19" ht="12.75" customHeight="1">
      <c r="A731" s="82">
        <v>45007</v>
      </c>
      <c r="B731" s="53">
        <v>9.5999999999999992E-3</v>
      </c>
      <c r="C731" s="53">
        <v>3.9808547220372397E-3</v>
      </c>
      <c r="D731" s="53">
        <v>2.9414789673968902E-2</v>
      </c>
      <c r="E731" s="53">
        <v>-1.6899999999999998E-2</v>
      </c>
      <c r="F731" s="53">
        <v>6.2715584822825598E-4</v>
      </c>
      <c r="G731" s="53">
        <v>-8.6859979101357992E-3</v>
      </c>
      <c r="H731" s="87">
        <v>3.8678195167474198E-3</v>
      </c>
      <c r="I731" s="53">
        <v>7.6262138390359501E-4</v>
      </c>
      <c r="J731" s="53">
        <v>2.2489598560659899E-4</v>
      </c>
      <c r="K731" s="53">
        <v>-8.04114237240206E-3</v>
      </c>
      <c r="L731" s="95">
        <f>IFERROR(B731*'Stock Statistics'!$C$41+C731*'Stock Statistics'!$C$42+D731*'Stock Statistics'!$C$43+E731*'Stock Statistics'!$C$44+F731*'Stock Statistics'!$C$45+G731*'Stock Statistics'!$C$46+H731*'Stock Statistics'!$C$47+I731*'Stock Statistics'!$C$48+J731*'Stock Statistics'!$C$49+K731*'Stock Statistics'!$C$50,"")</f>
        <v>1.4850996847954158E-3</v>
      </c>
      <c r="M731" s="97">
        <v>240.11590000000001</v>
      </c>
      <c r="N731" s="96">
        <v>289.42970000000003</v>
      </c>
      <c r="O731" s="93">
        <f t="shared" si="33"/>
        <v>3.7601936990943052E-3</v>
      </c>
      <c r="P731" s="93">
        <f t="shared" si="34"/>
        <v>-7.1247100408703412E-3</v>
      </c>
      <c r="Q731" s="93">
        <f>B731*'Portfolio 2 &amp; 3'!$F$7+C731*'Portfolio 2 &amp; 3'!$F$8+D731*'Portfolio 2 &amp; 3'!$F$9+E731*'Portfolio 2 &amp; 3'!$F$10+F731*'Portfolio 2 &amp; 3'!$F$11+G731*'Portfolio 2 &amp; 3'!$F$12+H731*'Portfolio 2 &amp; 3'!$F$13+I731*'Portfolio 2 &amp; 3'!$F$14+J731*'Portfolio 2 &amp; 3'!$F$15+K731*'Portfolio 2 &amp; 3'!$F$16</f>
        <v>3.4065284590832261E-3</v>
      </c>
      <c r="R731" s="93">
        <f>B731*'Portfolio 2 &amp; 3'!$B$23+C731*'Portfolio 2 &amp; 3'!$B$24+D731*'Portfolio 2 &amp; 3'!$B$25+E731*'Portfolio 2 &amp; 3'!$B$26+F731*'Portfolio 2 &amp; 3'!$B$27+G731*'Portfolio 2 &amp; 3'!$B$28+H731*'Portfolio 2 &amp; 3'!$B$29+I731*'Portfolio 2 &amp; 3'!$B$30+J731*'Portfolio 2 &amp; 3'!$B$31+K731*'Portfolio 2 &amp; 3'!$B$32</f>
        <v>1.2101671936353504E-3</v>
      </c>
      <c r="S731" s="93">
        <f t="shared" si="35"/>
        <v>-1.682258170888018E-3</v>
      </c>
    </row>
    <row r="732" spans="1:19" ht="12.75" customHeight="1">
      <c r="A732" s="81">
        <v>45006</v>
      </c>
      <c r="B732" s="53">
        <v>-1.8E-3</v>
      </c>
      <c r="C732" s="53">
        <v>2.3527546571541699E-2</v>
      </c>
      <c r="D732" s="53">
        <v>1.5456919060052201E-2</v>
      </c>
      <c r="E732" s="53">
        <v>-1.787E-2</v>
      </c>
      <c r="F732" s="53">
        <v>4.5149097018060101E-3</v>
      </c>
      <c r="G732" s="53">
        <v>8.2971157645199706E-3</v>
      </c>
      <c r="H732" s="87">
        <v>-6.2570531514318803E-3</v>
      </c>
      <c r="I732" s="53">
        <v>1.0895821555224399E-2</v>
      </c>
      <c r="J732" s="53">
        <v>1.3736107153035099E-2</v>
      </c>
      <c r="K732" s="53">
        <v>7.9087994299964492E-3</v>
      </c>
      <c r="L732" s="95">
        <f>IFERROR(B732*'Stock Statistics'!$C$41+C732*'Stock Statistics'!$C$42+D732*'Stock Statistics'!$C$43+E732*'Stock Statistics'!$C$44+F732*'Stock Statistics'!$C$45+G732*'Stock Statistics'!$C$46+H732*'Stock Statistics'!$C$47+I732*'Stock Statistics'!$C$48+J732*'Stock Statistics'!$C$49+K732*'Stock Statistics'!$C$50,"")</f>
        <v>5.8410166084743951E-3</v>
      </c>
      <c r="M732" s="96">
        <v>239.21639999999999</v>
      </c>
      <c r="N732" s="97">
        <v>291.50659999999999</v>
      </c>
      <c r="O732" s="93">
        <f t="shared" si="33"/>
        <v>-1.5622476164559584E-3</v>
      </c>
      <c r="P732" s="93">
        <f t="shared" si="34"/>
        <v>-2.6252771800698849E-3</v>
      </c>
      <c r="Q732" s="93">
        <f>B732*'Portfolio 2 &amp; 3'!$F$7+C732*'Portfolio 2 &amp; 3'!$F$8+D732*'Portfolio 2 &amp; 3'!$F$9+E732*'Portfolio 2 &amp; 3'!$F$10+F732*'Portfolio 2 &amp; 3'!$F$11+G732*'Portfolio 2 &amp; 3'!$F$12+H732*'Portfolio 2 &amp; 3'!$F$13+I732*'Portfolio 2 &amp; 3'!$F$14+J732*'Portfolio 2 &amp; 3'!$F$15+K732*'Portfolio 2 &amp; 3'!$F$16</f>
        <v>6.3621969831786345E-3</v>
      </c>
      <c r="R732" s="93">
        <f>B732*'Portfolio 2 &amp; 3'!$B$23+C732*'Portfolio 2 &amp; 3'!$B$24+D732*'Portfolio 2 &amp; 3'!$B$25+E732*'Portfolio 2 &amp; 3'!$B$26+F732*'Portfolio 2 &amp; 3'!$B$27+G732*'Portfolio 2 &amp; 3'!$B$28+H732*'Portfolio 2 &amp; 3'!$B$29+I732*'Portfolio 2 &amp; 3'!$B$30+J732*'Portfolio 2 &amp; 3'!$B$31+K732*'Portfolio 2 &amp; 3'!$B$32</f>
        <v>9.7099752456249414E-3</v>
      </c>
      <c r="S732" s="93">
        <f t="shared" si="35"/>
        <v>-2.0937623982629217E-3</v>
      </c>
    </row>
    <row r="733" spans="1:19" ht="12.75" customHeight="1">
      <c r="A733" s="82">
        <v>45005</v>
      </c>
      <c r="B733" s="53">
        <v>1.9099999999999999E-2</v>
      </c>
      <c r="C733" s="53">
        <v>1.2699420588935301E-3</v>
      </c>
      <c r="D733" s="53">
        <v>2.3079388823592301E-2</v>
      </c>
      <c r="E733" s="53">
        <v>1.323E-2</v>
      </c>
      <c r="F733" s="53">
        <v>-2.4091337592961901E-3</v>
      </c>
      <c r="G733" s="53">
        <v>2.3762376237623801E-3</v>
      </c>
      <c r="H733" s="87">
        <v>1.25810356726668E-2</v>
      </c>
      <c r="I733" s="53">
        <v>-4.9097325218635498E-3</v>
      </c>
      <c r="J733" s="53">
        <v>9.3775169715797392E-3</v>
      </c>
      <c r="K733" s="53">
        <v>1.3913167564483201E-3</v>
      </c>
      <c r="L733" s="95">
        <f>IFERROR(B733*'Stock Statistics'!$C$41+C733*'Stock Statistics'!$C$42+D733*'Stock Statistics'!$C$43+E733*'Stock Statistics'!$C$44+F733*'Stock Statistics'!$C$45+G733*'Stock Statistics'!$C$46+H733*'Stock Statistics'!$C$47+I733*'Stock Statistics'!$C$48+J733*'Stock Statistics'!$C$49+K733*'Stock Statistics'!$C$50,"")</f>
        <v>7.5086571625783347E-3</v>
      </c>
      <c r="M733" s="97">
        <v>239.5907</v>
      </c>
      <c r="N733" s="96">
        <v>292.27390000000003</v>
      </c>
      <c r="O733" s="93">
        <f t="shared" si="33"/>
        <v>-1.8509800654070707E-3</v>
      </c>
      <c r="P733" s="93">
        <f t="shared" si="34"/>
        <v>-2.4778165453298584E-3</v>
      </c>
      <c r="Q733" s="93">
        <f>B733*'Portfolio 2 &amp; 3'!$F$7+C733*'Portfolio 2 &amp; 3'!$F$8+D733*'Portfolio 2 &amp; 3'!$F$9+E733*'Portfolio 2 &amp; 3'!$F$10+F733*'Portfolio 2 &amp; 3'!$F$11+G733*'Portfolio 2 &amp; 3'!$F$12+H733*'Portfolio 2 &amp; 3'!$F$13+I733*'Portfolio 2 &amp; 3'!$F$14+J733*'Portfolio 2 &amp; 3'!$F$15+K733*'Portfolio 2 &amp; 3'!$F$16</f>
        <v>8.4330649986352063E-3</v>
      </c>
      <c r="R733" s="93">
        <f>B733*'Portfolio 2 &amp; 3'!$B$23+C733*'Portfolio 2 &amp; 3'!$B$24+D733*'Portfolio 2 &amp; 3'!$B$25+E733*'Portfolio 2 &amp; 3'!$B$26+F733*'Portfolio 2 &amp; 3'!$B$27+G733*'Portfolio 2 &amp; 3'!$B$28+H733*'Portfolio 2 &amp; 3'!$B$29+I733*'Portfolio 2 &amp; 3'!$B$30+J733*'Portfolio 2 &amp; 3'!$B$31+K733*'Portfolio 2 &amp; 3'!$B$32</f>
        <v>2.5350457423335437E-3</v>
      </c>
      <c r="S733" s="93">
        <f t="shared" si="35"/>
        <v>-2.1643983053684646E-3</v>
      </c>
    </row>
    <row r="734" spans="1:19" ht="12.75" customHeight="1">
      <c r="A734" s="81">
        <v>45002</v>
      </c>
      <c r="B734" s="53">
        <v>1.0800000000000001E-2</v>
      </c>
      <c r="C734" s="53">
        <v>-1.97466699863065E-2</v>
      </c>
      <c r="D734" s="53">
        <v>-1.33881509593085E-2</v>
      </c>
      <c r="E734" s="53">
        <v>-8.5500000000000003E-3</v>
      </c>
      <c r="F734" s="53">
        <v>-4.7951631397893397E-3</v>
      </c>
      <c r="G734" s="53">
        <v>-4.4029703620950301E-3</v>
      </c>
      <c r="H734" s="87">
        <v>-4.5275878768765701E-3</v>
      </c>
      <c r="I734" s="53">
        <v>5.7610205236355901E-3</v>
      </c>
      <c r="J734" s="53">
        <v>6.60180681028488E-3</v>
      </c>
      <c r="K734" s="53">
        <v>4.4613262143227096E-3</v>
      </c>
      <c r="L734" s="95">
        <f>IFERROR(B734*'Stock Statistics'!$C$41+C734*'Stock Statistics'!$C$42+D734*'Stock Statistics'!$C$43+E734*'Stock Statistics'!$C$44+F734*'Stock Statistics'!$C$45+G734*'Stock Statistics'!$C$46+H734*'Stock Statistics'!$C$47+I734*'Stock Statistics'!$C$48+J734*'Stock Statistics'!$C$49+K734*'Stock Statistics'!$C$50,"")</f>
        <v>-2.7786388776132763E-3</v>
      </c>
      <c r="M734" s="96">
        <v>240.035</v>
      </c>
      <c r="N734" s="97">
        <v>292.99990000000003</v>
      </c>
      <c r="O734" s="93">
        <f t="shared" si="33"/>
        <v>-1.3762357207224296E-3</v>
      </c>
      <c r="P734" s="93">
        <f t="shared" si="34"/>
        <v>-1.9320966143684393E-3</v>
      </c>
      <c r="Q734" s="93">
        <f>B734*'Portfolio 2 &amp; 3'!$F$7+C734*'Portfolio 2 &amp; 3'!$F$8+D734*'Portfolio 2 &amp; 3'!$F$9+E734*'Portfolio 2 &amp; 3'!$F$10+F734*'Portfolio 2 &amp; 3'!$F$11+G734*'Portfolio 2 &amp; 3'!$F$12+H734*'Portfolio 2 &amp; 3'!$F$13+I734*'Portfolio 2 &amp; 3'!$F$14+J734*'Portfolio 2 &amp; 3'!$F$15+K734*'Portfolio 2 &amp; 3'!$F$16</f>
        <v>-3.2762456280769812E-3</v>
      </c>
      <c r="R734" s="93">
        <f>B734*'Portfolio 2 &amp; 3'!$B$23+C734*'Portfolio 2 &amp; 3'!$B$24+D734*'Portfolio 2 &amp; 3'!$B$25+E734*'Portfolio 2 &amp; 3'!$B$26+F734*'Portfolio 2 &amp; 3'!$B$27+G734*'Portfolio 2 &amp; 3'!$B$28+H734*'Portfolio 2 &amp; 3'!$B$29+I734*'Portfolio 2 &amp; 3'!$B$30+J734*'Portfolio 2 &amp; 3'!$B$31+K734*'Portfolio 2 &amp; 3'!$B$32</f>
        <v>-1.8154741924052051E-3</v>
      </c>
      <c r="S734" s="93">
        <f t="shared" si="35"/>
        <v>-1.6541661675454344E-3</v>
      </c>
    </row>
    <row r="735" spans="1:19" ht="12.75" customHeight="1">
      <c r="A735" s="82">
        <v>45001</v>
      </c>
      <c r="B735" s="53">
        <v>1.6500000000000001E-2</v>
      </c>
      <c r="C735" s="53">
        <v>3.09953154078162E-2</v>
      </c>
      <c r="D735" s="53">
        <v>-7.3252406864796598E-3</v>
      </c>
      <c r="E735" s="53">
        <v>-1.3050000000000001E-2</v>
      </c>
      <c r="F735" s="53">
        <v>1.3202365863962799E-2</v>
      </c>
      <c r="G735" s="53">
        <v>-8.0182529335071102E-3</v>
      </c>
      <c r="H735" s="87">
        <v>7.4388828150539999E-4</v>
      </c>
      <c r="I735" s="53">
        <v>1.6576030119221902E-2</v>
      </c>
      <c r="J735" s="53">
        <v>1.21760306140195E-3</v>
      </c>
      <c r="K735" s="53">
        <v>8.2192275732504393E-3</v>
      </c>
      <c r="L735" s="95">
        <f>IFERROR(B735*'Stock Statistics'!$C$41+C735*'Stock Statistics'!$C$42+D735*'Stock Statistics'!$C$43+E735*'Stock Statistics'!$C$44+F735*'Stock Statistics'!$C$45+G735*'Stock Statistics'!$C$46+H735*'Stock Statistics'!$C$47+I735*'Stock Statistics'!$C$48+J735*'Stock Statistics'!$C$49+K735*'Stock Statistics'!$C$50,"")</f>
        <v>5.906093668717193E-3</v>
      </c>
      <c r="M735" s="97">
        <v>240.36580000000001</v>
      </c>
      <c r="N735" s="96">
        <v>293.56709999999998</v>
      </c>
      <c r="O735" s="93">
        <f t="shared" si="33"/>
        <v>8.7311302879362618E-3</v>
      </c>
      <c r="P735" s="93">
        <f t="shared" si="34"/>
        <v>2.9353495413002584E-3</v>
      </c>
      <c r="Q735" s="93">
        <f>B735*'Portfolio 2 &amp; 3'!$F$7+C735*'Portfolio 2 &amp; 3'!$F$8+D735*'Portfolio 2 &amp; 3'!$F$9+E735*'Portfolio 2 &amp; 3'!$F$10+F735*'Portfolio 2 &amp; 3'!$F$11+G735*'Portfolio 2 &amp; 3'!$F$12+H735*'Portfolio 2 &amp; 3'!$F$13+I735*'Portfolio 2 &amp; 3'!$F$14+J735*'Portfolio 2 &amp; 3'!$F$15+K735*'Portfolio 2 &amp; 3'!$F$16</f>
        <v>5.455560799417971E-3</v>
      </c>
      <c r="R735" s="93">
        <f>B735*'Portfolio 2 &amp; 3'!$B$23+C735*'Portfolio 2 &amp; 3'!$B$24+D735*'Portfolio 2 &amp; 3'!$B$25+E735*'Portfolio 2 &amp; 3'!$B$26+F735*'Portfolio 2 &amp; 3'!$B$27+G735*'Portfolio 2 &amp; 3'!$B$28+H735*'Portfolio 2 &amp; 3'!$B$29+I735*'Portfolio 2 &amp; 3'!$B$30+J735*'Portfolio 2 &amp; 3'!$B$31+K735*'Portfolio 2 &amp; 3'!$B$32</f>
        <v>1.4186060924183562E-2</v>
      </c>
      <c r="S735" s="93">
        <f t="shared" si="35"/>
        <v>5.8332399146182601E-3</v>
      </c>
    </row>
    <row r="736" spans="1:19" ht="12.75" customHeight="1">
      <c r="A736" s="81">
        <v>45000</v>
      </c>
      <c r="B736" s="53">
        <v>1.9E-3</v>
      </c>
      <c r="C736" s="53">
        <v>4.4940934771453599E-4</v>
      </c>
      <c r="D736" s="53">
        <v>9.6143687268885909E-3</v>
      </c>
      <c r="E736" s="53">
        <v>-1.6469999999999999E-2</v>
      </c>
      <c r="F736" s="53">
        <v>6.0567421102963896E-3</v>
      </c>
      <c r="G736" s="53">
        <v>-1.13749879160894E-2</v>
      </c>
      <c r="H736" s="87">
        <v>1.1953236384374E-2</v>
      </c>
      <c r="I736" s="53">
        <v>-5.2018310445276503E-3</v>
      </c>
      <c r="J736" s="53">
        <v>-5.0190377293181099E-3</v>
      </c>
      <c r="K736" s="53">
        <v>-1.15348903649738E-2</v>
      </c>
      <c r="L736" s="95">
        <f>IFERROR(B736*'Stock Statistics'!$C$41+C736*'Stock Statistics'!$C$42+D736*'Stock Statistics'!$C$43+E736*'Stock Statistics'!$C$44+F736*'Stock Statistics'!$C$45+G736*'Stock Statistics'!$C$46+H736*'Stock Statistics'!$C$47+I736*'Stock Statistics'!$C$48+J736*'Stock Statistics'!$C$49+K736*'Stock Statistics'!$C$50,"")</f>
        <v>-1.9626990485635443E-3</v>
      </c>
      <c r="M736" s="96">
        <v>238.28530000000001</v>
      </c>
      <c r="N736" s="97">
        <v>292.7079</v>
      </c>
      <c r="O736" s="93">
        <f t="shared" si="33"/>
        <v>9.3294553715161932E-4</v>
      </c>
      <c r="P736" s="93">
        <f t="shared" si="34"/>
        <v>1.4897056685114762E-3</v>
      </c>
      <c r="Q736" s="93">
        <f>B736*'Portfolio 2 &amp; 3'!$F$7+C736*'Portfolio 2 &amp; 3'!$F$8+D736*'Portfolio 2 &amp; 3'!$F$9+E736*'Portfolio 2 &amp; 3'!$F$10+F736*'Portfolio 2 &amp; 3'!$F$11+G736*'Portfolio 2 &amp; 3'!$F$12+H736*'Portfolio 2 &amp; 3'!$F$13+I736*'Portfolio 2 &amp; 3'!$F$14+J736*'Portfolio 2 &amp; 3'!$F$15+K736*'Portfolio 2 &amp; 3'!$F$16</f>
        <v>1.336827496462576E-4</v>
      </c>
      <c r="R736" s="93">
        <f>B736*'Portfolio 2 &amp; 3'!$B$23+C736*'Portfolio 2 &amp; 3'!$B$24+D736*'Portfolio 2 &amp; 3'!$B$25+E736*'Portfolio 2 &amp; 3'!$B$26+F736*'Portfolio 2 &amp; 3'!$B$27+G736*'Portfolio 2 &amp; 3'!$B$28+H736*'Portfolio 2 &amp; 3'!$B$29+I736*'Portfolio 2 &amp; 3'!$B$30+J736*'Portfolio 2 &amp; 3'!$B$31+K736*'Portfolio 2 &amp; 3'!$B$32</f>
        <v>-1.891344339645024E-3</v>
      </c>
      <c r="S736" s="93">
        <f t="shared" si="35"/>
        <v>1.2113256028315478E-3</v>
      </c>
    </row>
    <row r="737" spans="1:19" ht="12.75" customHeight="1">
      <c r="A737" s="82">
        <v>44999</v>
      </c>
      <c r="B737" s="53">
        <v>3.2000000000000002E-3</v>
      </c>
      <c r="C737" s="53">
        <v>6.2635509515773802E-4</v>
      </c>
      <c r="D737" s="53">
        <v>3.25079088033162E-2</v>
      </c>
      <c r="E737" s="53">
        <v>8.3999999999999995E-3</v>
      </c>
      <c r="F737" s="53">
        <v>9.3307593307594399E-3</v>
      </c>
      <c r="G737" s="53">
        <v>7.5322229797734098E-3</v>
      </c>
      <c r="H737" s="87">
        <v>-2.4462396177039598E-3</v>
      </c>
      <c r="I737" s="53">
        <v>3.6545891197661299E-3</v>
      </c>
      <c r="J737" s="53">
        <v>-8.4091299124763302E-3</v>
      </c>
      <c r="K737" s="53">
        <v>3.11660397635682E-3</v>
      </c>
      <c r="L737" s="95">
        <f>IFERROR(B737*'Stock Statistics'!$C$41+C737*'Stock Statistics'!$C$42+D737*'Stock Statistics'!$C$43+E737*'Stock Statistics'!$C$44+F737*'Stock Statistics'!$C$45+G737*'Stock Statistics'!$C$46+H737*'Stock Statistics'!$C$47+I737*'Stock Statistics'!$C$48+J737*'Stock Statistics'!$C$49+K737*'Stock Statistics'!$C$50,"")</f>
        <v>5.7513069774949447E-3</v>
      </c>
      <c r="M737" s="97">
        <v>238.06319999999999</v>
      </c>
      <c r="N737" s="96">
        <v>292.27249999999998</v>
      </c>
      <c r="O737" s="93">
        <f t="shared" si="33"/>
        <v>1.9322973419111378E-5</v>
      </c>
      <c r="P737" s="93">
        <f t="shared" si="34"/>
        <v>2.0309921725891744E-3</v>
      </c>
      <c r="Q737" s="93">
        <f>B737*'Portfolio 2 &amp; 3'!$F$7+C737*'Portfolio 2 &amp; 3'!$F$8+D737*'Portfolio 2 &amp; 3'!$F$9+E737*'Portfolio 2 &amp; 3'!$F$10+F737*'Portfolio 2 &amp; 3'!$F$11+G737*'Portfolio 2 &amp; 3'!$F$12+H737*'Portfolio 2 &amp; 3'!$F$13+I737*'Portfolio 2 &amp; 3'!$F$14+J737*'Portfolio 2 &amp; 3'!$F$15+K737*'Portfolio 2 &amp; 3'!$F$16</f>
        <v>5.5237642571410736E-3</v>
      </c>
      <c r="R737" s="93">
        <f>B737*'Portfolio 2 &amp; 3'!$B$23+C737*'Portfolio 2 &amp; 3'!$B$24+D737*'Portfolio 2 &amp; 3'!$B$25+E737*'Portfolio 2 &amp; 3'!$B$26+F737*'Portfolio 2 &amp; 3'!$B$27+G737*'Portfolio 2 &amp; 3'!$B$28+H737*'Portfolio 2 &amp; 3'!$B$29+I737*'Portfolio 2 &amp; 3'!$B$30+J737*'Portfolio 2 &amp; 3'!$B$31+K737*'Portfolio 2 &amp; 3'!$B$32</f>
        <v>4.0537159891269733E-3</v>
      </c>
      <c r="S737" s="93">
        <f t="shared" si="35"/>
        <v>1.0251575730041429E-3</v>
      </c>
    </row>
    <row r="738" spans="1:19" ht="12.75" customHeight="1">
      <c r="A738" s="81">
        <v>44998</v>
      </c>
      <c r="B738" s="53">
        <v>-1.4200000000000001E-2</v>
      </c>
      <c r="C738" s="53">
        <v>-1.32486014484715E-2</v>
      </c>
      <c r="D738" s="53">
        <v>1.7538017538017502E-2</v>
      </c>
      <c r="E738" s="53">
        <v>1.4999999999999999E-4</v>
      </c>
      <c r="F738" s="53">
        <v>-1.8319646241313998E-2</v>
      </c>
      <c r="G738" s="53">
        <v>1.27910035512298E-2</v>
      </c>
      <c r="H738" s="87">
        <v>1.03344024094447E-2</v>
      </c>
      <c r="I738" s="53">
        <v>-1.0026876162910901E-2</v>
      </c>
      <c r="J738" s="53">
        <v>-1.06401041371895E-2</v>
      </c>
      <c r="K738" s="53">
        <v>-3.6050828098229699E-3</v>
      </c>
      <c r="L738" s="95">
        <f>IFERROR(B738*'Stock Statistics'!$C$41+C738*'Stock Statistics'!$C$42+D738*'Stock Statistics'!$C$43+E738*'Stock Statistics'!$C$44+F738*'Stock Statistics'!$C$45+G738*'Stock Statistics'!$C$46+H738*'Stock Statistics'!$C$47+I738*'Stock Statistics'!$C$48+J738*'Stock Statistics'!$C$49+K738*'Stock Statistics'!$C$50,"")</f>
        <v>-2.9226887301016871E-3</v>
      </c>
      <c r="M738" s="96">
        <v>238.05860000000001</v>
      </c>
      <c r="N738" s="97">
        <v>291.68009999999998</v>
      </c>
      <c r="O738" s="93">
        <f t="shared" si="33"/>
        <v>-5.9324542872807307E-3</v>
      </c>
      <c r="P738" s="93">
        <f t="shared" si="34"/>
        <v>2.8295681968910635E-3</v>
      </c>
      <c r="Q738" s="93">
        <f>B738*'Portfolio 2 &amp; 3'!$F$7+C738*'Portfolio 2 &amp; 3'!$F$8+D738*'Portfolio 2 &amp; 3'!$F$9+E738*'Portfolio 2 &amp; 3'!$F$10+F738*'Portfolio 2 &amp; 3'!$F$11+G738*'Portfolio 2 &amp; 3'!$F$12+H738*'Portfolio 2 &amp; 3'!$F$13+I738*'Portfolio 2 &amp; 3'!$F$14+J738*'Portfolio 2 &amp; 3'!$F$15+K738*'Portfolio 2 &amp; 3'!$F$16</f>
        <v>-2.0632252637964917E-3</v>
      </c>
      <c r="R738" s="93">
        <f>B738*'Portfolio 2 &amp; 3'!$B$23+C738*'Portfolio 2 &amp; 3'!$B$24+D738*'Portfolio 2 &amp; 3'!$B$25+E738*'Portfolio 2 &amp; 3'!$B$26+F738*'Portfolio 2 &amp; 3'!$B$27+G738*'Portfolio 2 &amp; 3'!$B$28+H738*'Portfolio 2 &amp; 3'!$B$29+I738*'Portfolio 2 &amp; 3'!$B$30+J738*'Portfolio 2 &amp; 3'!$B$31+K738*'Portfolio 2 &amp; 3'!$B$32</f>
        <v>-8.6026478225126601E-3</v>
      </c>
      <c r="S738" s="93">
        <f t="shared" si="35"/>
        <v>-1.5514430451948336E-3</v>
      </c>
    </row>
    <row r="739" spans="1:19" ht="12.75" customHeight="1">
      <c r="A739" s="82">
        <v>44995</v>
      </c>
      <c r="B739" s="53">
        <v>-6.1000000000000004E-3</v>
      </c>
      <c r="C739" s="53">
        <v>2.4416773544166302E-2</v>
      </c>
      <c r="D739" s="53">
        <v>4.0120361083249003E-3</v>
      </c>
      <c r="E739" s="53">
        <v>-1.5200000000000001E-3</v>
      </c>
      <c r="F739" s="53">
        <v>1.32280776616172E-2</v>
      </c>
      <c r="G739" s="53">
        <v>7.8875853383706396E-3</v>
      </c>
      <c r="H739" s="87">
        <v>-4.7707303679296303E-3</v>
      </c>
      <c r="I739" s="53">
        <v>1.6817321841496698E-2</v>
      </c>
      <c r="J739" s="53">
        <v>6.2645936556751103E-3</v>
      </c>
      <c r="K739" s="53">
        <v>9.2946177678505694E-3</v>
      </c>
      <c r="L739" s="95">
        <f>IFERROR(B739*'Stock Statistics'!$C$41+C739*'Stock Statistics'!$C$42+D739*'Stock Statistics'!$C$43+E739*'Stock Statistics'!$C$44+F739*'Stock Statistics'!$C$45+G739*'Stock Statistics'!$C$46+H739*'Stock Statistics'!$C$47+I739*'Stock Statistics'!$C$48+J739*'Stock Statistics'!$C$49+K739*'Stock Statistics'!$C$50,"")</f>
        <v>6.9530275549571797E-3</v>
      </c>
      <c r="M739" s="97">
        <v>239.47929999999999</v>
      </c>
      <c r="N739" s="96">
        <v>290.8571</v>
      </c>
      <c r="O739" s="93">
        <f t="shared" si="33"/>
        <v>-2.6213127637607636E-3</v>
      </c>
      <c r="P739" s="93">
        <f t="shared" si="34"/>
        <v>-7.0689774067193012E-3</v>
      </c>
      <c r="Q739" s="93">
        <f>B739*'Portfolio 2 &amp; 3'!$F$7+C739*'Portfolio 2 &amp; 3'!$F$8+D739*'Portfolio 2 &amp; 3'!$F$9+E739*'Portfolio 2 &amp; 3'!$F$10+F739*'Portfolio 2 &amp; 3'!$F$11+G739*'Portfolio 2 &amp; 3'!$F$12+H739*'Portfolio 2 &amp; 3'!$F$13+I739*'Portfolio 2 &amp; 3'!$F$14+J739*'Portfolio 2 &amp; 3'!$F$15+K739*'Portfolio 2 &amp; 3'!$F$16</f>
        <v>6.468314084531821E-3</v>
      </c>
      <c r="R739" s="93">
        <f>B739*'Portfolio 2 &amp; 3'!$B$23+C739*'Portfolio 2 &amp; 3'!$B$24+D739*'Portfolio 2 &amp; 3'!$B$25+E739*'Portfolio 2 &amp; 3'!$B$26+F739*'Portfolio 2 &amp; 3'!$B$27+G739*'Portfolio 2 &amp; 3'!$B$28+H739*'Portfolio 2 &amp; 3'!$B$29+I739*'Portfolio 2 &amp; 3'!$B$30+J739*'Portfolio 2 &amp; 3'!$B$31+K739*'Portfolio 2 &amp; 3'!$B$32</f>
        <v>1.1891507106426179E-2</v>
      </c>
      <c r="S739" s="93">
        <f t="shared" si="35"/>
        <v>-4.8451450852400324E-3</v>
      </c>
    </row>
    <row r="740" spans="1:19" ht="12.75" customHeight="1">
      <c r="A740" s="81">
        <v>44994</v>
      </c>
      <c r="B740" s="53">
        <v>3.0999999999999999E-3</v>
      </c>
      <c r="C740" s="53">
        <v>-2.2515226124142401E-3</v>
      </c>
      <c r="D740" s="53">
        <v>-1.0694597574421301E-2</v>
      </c>
      <c r="E740" s="53">
        <v>-8.6400000000000001E-3</v>
      </c>
      <c r="F740" s="53">
        <v>-5.8330681938699698E-3</v>
      </c>
      <c r="G740" s="53">
        <v>-1.85246443929865E-3</v>
      </c>
      <c r="H740" s="87">
        <v>-5.7216958059856902E-3</v>
      </c>
      <c r="I740" s="53">
        <v>-6.0593397409111098E-3</v>
      </c>
      <c r="J740" s="53">
        <v>6.7656671062439298E-3</v>
      </c>
      <c r="K740" s="53">
        <v>6.8007471754230097E-3</v>
      </c>
      <c r="L740" s="95">
        <f>IFERROR(B740*'Stock Statistics'!$C$41+C740*'Stock Statistics'!$C$42+D740*'Stock Statistics'!$C$43+E740*'Stock Statistics'!$C$44+F740*'Stock Statistics'!$C$45+G740*'Stock Statistics'!$C$46+H740*'Stock Statistics'!$C$47+I740*'Stock Statistics'!$C$48+J740*'Stock Statistics'!$C$49+K740*'Stock Statistics'!$C$50,"")</f>
        <v>-2.4386274085234027E-3</v>
      </c>
      <c r="M740" s="96">
        <v>240.1087</v>
      </c>
      <c r="N740" s="97">
        <v>292.92779999999999</v>
      </c>
      <c r="O740" s="93">
        <f t="shared" si="33"/>
        <v>2.4900600094441838E-3</v>
      </c>
      <c r="P740" s="93">
        <f t="shared" si="34"/>
        <v>-4.1827832778417173E-3</v>
      </c>
      <c r="Q740" s="93">
        <f>B740*'Portfolio 2 &amp; 3'!$F$7+C740*'Portfolio 2 &amp; 3'!$F$8+D740*'Portfolio 2 &amp; 3'!$F$9+E740*'Portfolio 2 &amp; 3'!$F$10+F740*'Portfolio 2 &amp; 3'!$F$11+G740*'Portfolio 2 &amp; 3'!$F$12+H740*'Portfolio 2 &amp; 3'!$F$13+I740*'Portfolio 2 &amp; 3'!$F$14+J740*'Portfolio 2 &amp; 3'!$F$15+K740*'Portfolio 2 &amp; 3'!$F$16</f>
        <v>-2.6984888908447848E-3</v>
      </c>
      <c r="R740" s="93">
        <f>B740*'Portfolio 2 &amp; 3'!$B$23+C740*'Portfolio 2 &amp; 3'!$B$24+D740*'Portfolio 2 &amp; 3'!$B$25+E740*'Portfolio 2 &amp; 3'!$B$26+F740*'Portfolio 2 &amp; 3'!$B$27+G740*'Portfolio 2 &amp; 3'!$B$28+H740*'Portfolio 2 &amp; 3'!$B$29+I740*'Portfolio 2 &amp; 3'!$B$30+J740*'Portfolio 2 &amp; 3'!$B$31+K740*'Portfolio 2 &amp; 3'!$B$32</f>
        <v>-2.1446418902863239E-3</v>
      </c>
      <c r="S740" s="93">
        <f t="shared" si="35"/>
        <v>-8.4636163419876675E-4</v>
      </c>
    </row>
    <row r="741" spans="1:19" ht="12.75" customHeight="1">
      <c r="A741" s="82">
        <v>44993</v>
      </c>
      <c r="B741" s="53">
        <v>1.9E-3</v>
      </c>
      <c r="C741" s="53">
        <v>6.5706878841733703E-3</v>
      </c>
      <c r="D741" s="53">
        <v>-8.7431693989070709E-3</v>
      </c>
      <c r="E741" s="53">
        <v>1.6800000000000001E-3</v>
      </c>
      <c r="F741" s="53">
        <v>-9.8708390213168001E-3</v>
      </c>
      <c r="G741" s="53">
        <v>8.7089992992759307E-3</v>
      </c>
      <c r="H741" s="87">
        <v>3.33261050685363E-3</v>
      </c>
      <c r="I741" s="53">
        <v>3.2491353107639799E-3</v>
      </c>
      <c r="J741" s="53">
        <v>-3.1435756744399002E-3</v>
      </c>
      <c r="K741" s="53">
        <v>-3.59595229490417E-3</v>
      </c>
      <c r="L741" s="95">
        <f>IFERROR(B741*'Stock Statistics'!$C$41+C741*'Stock Statistics'!$C$42+D741*'Stock Statistics'!$C$43+E741*'Stock Statistics'!$C$44+F741*'Stock Statistics'!$C$45+G741*'Stock Statistics'!$C$46+H741*'Stock Statistics'!$C$47+I741*'Stock Statistics'!$C$48+J741*'Stock Statistics'!$C$49+K741*'Stock Statistics'!$C$50,"")</f>
        <v>8.7896611498970234E-6</v>
      </c>
      <c r="M741" s="97">
        <v>239.51230000000001</v>
      </c>
      <c r="N741" s="96">
        <v>294.15820000000002</v>
      </c>
      <c r="O741" s="93">
        <f t="shared" si="33"/>
        <v>-2.9282016121343624E-3</v>
      </c>
      <c r="P741" s="93">
        <f t="shared" si="34"/>
        <v>-2.3213408717426276E-4</v>
      </c>
      <c r="Q741" s="93">
        <f>B741*'Portfolio 2 &amp; 3'!$F$7+C741*'Portfolio 2 &amp; 3'!$F$8+D741*'Portfolio 2 &amp; 3'!$F$9+E741*'Portfolio 2 &amp; 3'!$F$10+F741*'Portfolio 2 &amp; 3'!$F$11+G741*'Portfolio 2 &amp; 3'!$F$12+H741*'Portfolio 2 &amp; 3'!$F$13+I741*'Portfolio 2 &amp; 3'!$F$14+J741*'Portfolio 2 &amp; 3'!$F$15+K741*'Portfolio 2 &amp; 3'!$F$16</f>
        <v>-7.4125338353122423E-4</v>
      </c>
      <c r="R741" s="93">
        <f>B741*'Portfolio 2 &amp; 3'!$B$23+C741*'Portfolio 2 &amp; 3'!$B$24+D741*'Portfolio 2 &amp; 3'!$B$25+E741*'Portfolio 2 &amp; 3'!$B$26+F741*'Portfolio 2 &amp; 3'!$B$27+G741*'Portfolio 2 &amp; 3'!$B$28+H741*'Portfolio 2 &amp; 3'!$B$29+I741*'Portfolio 2 &amp; 3'!$B$30+J741*'Portfolio 2 &amp; 3'!$B$31+K741*'Portfolio 2 &amp; 3'!$B$32</f>
        <v>1.2703308359042079E-3</v>
      </c>
      <c r="S741" s="93">
        <f t="shared" si="35"/>
        <v>-1.5801678496543126E-3</v>
      </c>
    </row>
    <row r="742" spans="1:19" ht="12.75" customHeight="1">
      <c r="A742" s="81">
        <v>44991</v>
      </c>
      <c r="B742" s="53">
        <v>2.0500000000000001E-2</v>
      </c>
      <c r="C742" s="53">
        <v>-2.51760255574804E-2</v>
      </c>
      <c r="D742" s="53">
        <v>-9.8474191104859204E-3</v>
      </c>
      <c r="E742" s="53">
        <v>-1.1860000000000001E-2</v>
      </c>
      <c r="F742" s="53">
        <v>6.7660429220848303E-3</v>
      </c>
      <c r="G742" s="53">
        <v>-1.0041951574009901E-2</v>
      </c>
      <c r="H742" s="87">
        <v>-1.0234397062976601E-2</v>
      </c>
      <c r="I742" s="53">
        <v>-1.5174506828527E-3</v>
      </c>
      <c r="J742" s="53">
        <v>-7.26282342260565E-3</v>
      </c>
      <c r="K742" s="53">
        <v>-7.3542600896860898E-3</v>
      </c>
      <c r="L742" s="95">
        <f>IFERROR(B742*'Stock Statistics'!$C$41+C742*'Stock Statistics'!$C$42+D742*'Stock Statistics'!$C$43+E742*'Stock Statistics'!$C$44+F742*'Stock Statistics'!$C$45+G742*'Stock Statistics'!$C$46+H742*'Stock Statistics'!$C$47+I742*'Stock Statistics'!$C$48+J742*'Stock Statistics'!$C$49+K742*'Stock Statistics'!$C$50,"")</f>
        <v>-5.6028284578012438E-3</v>
      </c>
      <c r="M742" s="96">
        <v>240.2157</v>
      </c>
      <c r="N742" s="97">
        <v>294.22649999999999</v>
      </c>
      <c r="O742" s="93">
        <f t="shared" si="33"/>
        <v>4.3432287984332962E-3</v>
      </c>
      <c r="P742" s="93">
        <f t="shared" si="34"/>
        <v>-1.6920846944882273E-3</v>
      </c>
      <c r="Q742" s="93">
        <f>B742*'Portfolio 2 &amp; 3'!$F$7+C742*'Portfolio 2 &amp; 3'!$F$8+D742*'Portfolio 2 &amp; 3'!$F$9+E742*'Portfolio 2 &amp; 3'!$F$10+F742*'Portfolio 2 &amp; 3'!$F$11+G742*'Portfolio 2 &amp; 3'!$F$12+H742*'Portfolio 2 &amp; 3'!$F$13+I742*'Portfolio 2 &amp; 3'!$F$14+J742*'Portfolio 2 &amp; 3'!$F$15+K742*'Portfolio 2 &amp; 3'!$F$16</f>
        <v>-6.5401250752108132E-3</v>
      </c>
      <c r="R742" s="93">
        <f>B742*'Portfolio 2 &amp; 3'!$B$23+C742*'Portfolio 2 &amp; 3'!$B$24+D742*'Portfolio 2 &amp; 3'!$B$25+E742*'Portfolio 2 &amp; 3'!$B$26+F742*'Portfolio 2 &amp; 3'!$B$27+G742*'Portfolio 2 &amp; 3'!$B$28+H742*'Portfolio 2 &amp; 3'!$B$29+I742*'Portfolio 2 &amp; 3'!$B$30+J742*'Portfolio 2 &amp; 3'!$B$31+K742*'Portfolio 2 &amp; 3'!$B$32</f>
        <v>-3.7493867868175859E-3</v>
      </c>
      <c r="S742" s="93">
        <f t="shared" si="35"/>
        <v>1.3255720519725345E-3</v>
      </c>
    </row>
    <row r="743" spans="1:19" ht="12.75" customHeight="1">
      <c r="A743" s="82">
        <v>44988</v>
      </c>
      <c r="B743" s="53">
        <v>3.3E-3</v>
      </c>
      <c r="C743" s="53">
        <v>-5.6735571148619499E-3</v>
      </c>
      <c r="D743" s="53">
        <v>-1.02816750562279E-2</v>
      </c>
      <c r="E743" s="53">
        <v>1.89E-3</v>
      </c>
      <c r="F743" s="53">
        <v>1.32833422603107E-2</v>
      </c>
      <c r="G743" s="53">
        <v>7.45449099803652E-3</v>
      </c>
      <c r="H743" s="87">
        <v>-2.9171922868984602E-3</v>
      </c>
      <c r="I743" s="53">
        <v>2.99149784822084E-3</v>
      </c>
      <c r="J743" s="53">
        <v>-6.2375956903881801E-4</v>
      </c>
      <c r="K743" s="53">
        <v>-8.0777168884775801E-3</v>
      </c>
      <c r="L743" s="95">
        <f>IFERROR(B743*'Stock Statistics'!$C$41+C743*'Stock Statistics'!$C$42+D743*'Stock Statistics'!$C$43+E743*'Stock Statistics'!$C$44+F743*'Stock Statistics'!$C$45+G743*'Stock Statistics'!$C$46+H743*'Stock Statistics'!$C$47+I743*'Stock Statistics'!$C$48+J743*'Stock Statistics'!$C$49+K743*'Stock Statistics'!$C$50,"")</f>
        <v>1.3454301910633521E-4</v>
      </c>
      <c r="M743" s="97">
        <v>239.17689999999999</v>
      </c>
      <c r="N743" s="96">
        <v>294.72519999999997</v>
      </c>
      <c r="O743" s="93">
        <f t="shared" si="33"/>
        <v>2.8301661328482552E-3</v>
      </c>
      <c r="P743" s="93">
        <f t="shared" si="34"/>
        <v>-3.0433836933223546E-3</v>
      </c>
      <c r="Q743" s="93">
        <f>B743*'Portfolio 2 &amp; 3'!$F$7+C743*'Portfolio 2 &amp; 3'!$F$8+D743*'Portfolio 2 &amp; 3'!$F$9+E743*'Portfolio 2 &amp; 3'!$F$10+F743*'Portfolio 2 &amp; 3'!$F$11+G743*'Portfolio 2 &amp; 3'!$F$12+H743*'Portfolio 2 &amp; 3'!$F$13+I743*'Portfolio 2 &amp; 3'!$F$14+J743*'Portfolio 2 &amp; 3'!$F$15+K743*'Portfolio 2 &amp; 3'!$F$16</f>
        <v>-7.3909271966970458E-4</v>
      </c>
      <c r="R743" s="93">
        <f>B743*'Portfolio 2 &amp; 3'!$B$23+C743*'Portfolio 2 &amp; 3'!$B$24+D743*'Portfolio 2 &amp; 3'!$B$25+E743*'Portfolio 2 &amp; 3'!$B$26+F743*'Portfolio 2 &amp; 3'!$B$27+G743*'Portfolio 2 &amp; 3'!$B$28+H743*'Portfolio 2 &amp; 3'!$B$29+I743*'Portfolio 2 &amp; 3'!$B$30+J743*'Portfolio 2 &amp; 3'!$B$31+K743*'Portfolio 2 &amp; 3'!$B$32</f>
        <v>2.0616742502903001E-3</v>
      </c>
      <c r="S743" s="93">
        <f t="shared" si="35"/>
        <v>-1.0660878023704967E-4</v>
      </c>
    </row>
    <row r="744" spans="1:19" ht="12.75" customHeight="1">
      <c r="A744" s="81">
        <v>44987</v>
      </c>
      <c r="B744" s="53">
        <v>-1.7899999999999999E-2</v>
      </c>
      <c r="C744" s="53">
        <v>7.0985198153747896E-3</v>
      </c>
      <c r="D744" s="53">
        <v>1.5001630612023101E-2</v>
      </c>
      <c r="E744" s="53">
        <v>-3.7599999999999999E-3</v>
      </c>
      <c r="F744" s="53">
        <v>-1.4359624115721699E-2</v>
      </c>
      <c r="G744" s="53">
        <v>6.16105809475975E-3</v>
      </c>
      <c r="H744" s="87">
        <v>2.8166157798081902E-4</v>
      </c>
      <c r="I744" s="53">
        <v>-5.0130548302871301E-3</v>
      </c>
      <c r="J744" s="53">
        <v>5.1296665716729101E-3</v>
      </c>
      <c r="K744" s="53">
        <v>-8.5729405538896904E-3</v>
      </c>
      <c r="L744" s="95">
        <f>IFERROR(B744*'Stock Statistics'!$C$41+C744*'Stock Statistics'!$C$42+D744*'Stock Statistics'!$C$43+E744*'Stock Statistics'!$C$44+F744*'Stock Statistics'!$C$45+G744*'Stock Statistics'!$C$46+H744*'Stock Statistics'!$C$47+I744*'Stock Statistics'!$C$48+J744*'Stock Statistics'!$C$49+K744*'Stock Statistics'!$C$50,"")</f>
        <v>-1.5933082828087149E-3</v>
      </c>
      <c r="M744" s="96">
        <v>238.50190000000001</v>
      </c>
      <c r="N744" s="97">
        <v>295.62490000000003</v>
      </c>
      <c r="O744" s="93">
        <f t="shared" si="33"/>
        <v>-4.1868921357668398E-4</v>
      </c>
      <c r="P744" s="93">
        <f t="shared" si="34"/>
        <v>-2.1726905922530015E-3</v>
      </c>
      <c r="Q744" s="93">
        <f>B744*'Portfolio 2 &amp; 3'!$F$7+C744*'Portfolio 2 &amp; 3'!$F$8+D744*'Portfolio 2 &amp; 3'!$F$9+E744*'Portfolio 2 &amp; 3'!$F$10+F744*'Portfolio 2 &amp; 3'!$F$11+G744*'Portfolio 2 &amp; 3'!$F$12+H744*'Portfolio 2 &amp; 3'!$F$13+I744*'Portfolio 2 &amp; 3'!$F$14+J744*'Portfolio 2 &amp; 3'!$F$15+K744*'Portfolio 2 &amp; 3'!$F$16</f>
        <v>-2.3021837032048578E-4</v>
      </c>
      <c r="R744" s="93">
        <f>B744*'Portfolio 2 &amp; 3'!$B$23+C744*'Portfolio 2 &amp; 3'!$B$24+D744*'Portfolio 2 &amp; 3'!$B$25+E744*'Portfolio 2 &amp; 3'!$B$26+F744*'Portfolio 2 &amp; 3'!$B$27+G744*'Portfolio 2 &amp; 3'!$B$28+H744*'Portfolio 2 &amp; 3'!$B$29+I744*'Portfolio 2 &amp; 3'!$B$30+J744*'Portfolio 2 &amp; 3'!$B$31+K744*'Portfolio 2 &amp; 3'!$B$32</f>
        <v>-4.2744345687005247E-3</v>
      </c>
      <c r="S744" s="93">
        <f t="shared" si="35"/>
        <v>-1.2956899029148428E-3</v>
      </c>
    </row>
    <row r="745" spans="1:19" ht="12.75" customHeight="1">
      <c r="A745" s="82">
        <v>44986</v>
      </c>
      <c r="B745" s="53">
        <v>1.24E-2</v>
      </c>
      <c r="C745" s="53">
        <v>-5.05154475922021E-3</v>
      </c>
      <c r="D745" s="53">
        <v>-6.3728667098724703E-3</v>
      </c>
      <c r="E745" s="53">
        <v>-2.9999999999999997E-4</v>
      </c>
      <c r="F745" s="53">
        <v>1.66380420781451E-2</v>
      </c>
      <c r="G745" s="53">
        <v>-4.6327156379150098E-3</v>
      </c>
      <c r="H745" s="87">
        <v>1.0784403042864101E-2</v>
      </c>
      <c r="I745" s="53">
        <v>-8.0290080290080796E-3</v>
      </c>
      <c r="J745" s="53">
        <v>-4.1434896128959E-3</v>
      </c>
      <c r="K745" s="53">
        <v>-4.3206407194042997E-3</v>
      </c>
      <c r="L745" s="95">
        <f>IFERROR(B745*'Stock Statistics'!$C$41+C745*'Stock Statistics'!$C$42+D745*'Stock Statistics'!$C$43+E745*'Stock Statistics'!$C$44+F745*'Stock Statistics'!$C$45+G745*'Stock Statistics'!$C$46+H745*'Stock Statistics'!$C$47+I745*'Stock Statistics'!$C$48+J745*'Stock Statistics'!$C$49+K745*'Stock Statistics'!$C$50,"")</f>
        <v>6.97217965269323E-4</v>
      </c>
      <c r="M745" s="97">
        <v>238.6018</v>
      </c>
      <c r="N745" s="96">
        <v>296.26859999999999</v>
      </c>
      <c r="O745" s="93">
        <f t="shared" si="33"/>
        <v>1.1127120215694841E-3</v>
      </c>
      <c r="P745" s="93">
        <f t="shared" si="34"/>
        <v>-5.4830111915998847E-3</v>
      </c>
      <c r="Q745" s="93">
        <f>B745*'Portfolio 2 &amp; 3'!$F$7+C745*'Portfolio 2 &amp; 3'!$F$8+D745*'Portfolio 2 &amp; 3'!$F$9+E745*'Portfolio 2 &amp; 3'!$F$10+F745*'Portfolio 2 &amp; 3'!$F$11+G745*'Portfolio 2 &amp; 3'!$F$12+H745*'Portfolio 2 &amp; 3'!$F$13+I745*'Portfolio 2 &amp; 3'!$F$14+J745*'Portfolio 2 &amp; 3'!$F$15+K745*'Portfolio 2 &amp; 3'!$F$16</f>
        <v>1.067182912193782E-3</v>
      </c>
      <c r="R745" s="93">
        <f>B745*'Portfolio 2 &amp; 3'!$B$23+C745*'Portfolio 2 &amp; 3'!$B$24+D745*'Portfolio 2 &amp; 3'!$B$25+E745*'Portfolio 2 &amp; 3'!$B$26+F745*'Portfolio 2 &amp; 3'!$B$27+G745*'Portfolio 2 &amp; 3'!$B$28+H745*'Portfolio 2 &amp; 3'!$B$29+I745*'Portfolio 2 &amp; 3'!$B$30+J745*'Portfolio 2 &amp; 3'!$B$31+K745*'Portfolio 2 &amp; 3'!$B$32</f>
        <v>5.5488216778438375E-4</v>
      </c>
      <c r="S745" s="93">
        <f t="shared" si="35"/>
        <v>-2.1851495850152003E-3</v>
      </c>
    </row>
    <row r="746" spans="1:19" ht="12.75" customHeight="1">
      <c r="A746" s="81">
        <v>44985</v>
      </c>
      <c r="B746" s="53">
        <v>-1.8100000000000002E-2</v>
      </c>
      <c r="C746" s="53">
        <v>-5.5393770574829802E-4</v>
      </c>
      <c r="D746" s="53">
        <v>-1.6175994823681701E-3</v>
      </c>
      <c r="E746" s="53">
        <v>-2.49E-3</v>
      </c>
      <c r="F746" s="53">
        <v>2.13792347330337E-2</v>
      </c>
      <c r="G746" s="53">
        <v>1.68434608736912E-2</v>
      </c>
      <c r="H746" s="87">
        <v>1.06809078771697E-2</v>
      </c>
      <c r="I746" s="53">
        <v>-1.70648464163825E-3</v>
      </c>
      <c r="J746" s="53">
        <v>2.56074659989758E-3</v>
      </c>
      <c r="K746" s="53">
        <v>-1.26298063429686E-3</v>
      </c>
      <c r="L746" s="95">
        <f>IFERROR(B746*'Stock Statistics'!$C$41+C746*'Stock Statistics'!$C$42+D746*'Stock Statistics'!$C$43+E746*'Stock Statistics'!$C$44+F746*'Stock Statistics'!$C$45+G746*'Stock Statistics'!$C$46+H746*'Stock Statistics'!$C$47+I746*'Stock Statistics'!$C$48+J746*'Stock Statistics'!$C$49+K746*'Stock Statistics'!$C$50,"")</f>
        <v>2.5733347619740603E-3</v>
      </c>
      <c r="M746" s="96">
        <v>238.3366</v>
      </c>
      <c r="N746" s="97">
        <v>297.90199999999999</v>
      </c>
      <c r="O746" s="93">
        <f t="shared" si="33"/>
        <v>-3.965972043449284E-3</v>
      </c>
      <c r="P746" s="93">
        <f t="shared" si="34"/>
        <v>-7.7375301856942302E-3</v>
      </c>
      <c r="Q746" s="93">
        <f>B746*'Portfolio 2 &amp; 3'!$F$7+C746*'Portfolio 2 &amp; 3'!$F$8+D746*'Portfolio 2 &amp; 3'!$F$9+E746*'Portfolio 2 &amp; 3'!$F$10+F746*'Portfolio 2 &amp; 3'!$F$11+G746*'Portfolio 2 &amp; 3'!$F$12+H746*'Portfolio 2 &amp; 3'!$F$13+I746*'Portfolio 2 &amp; 3'!$F$14+J746*'Portfolio 2 &amp; 3'!$F$15+K746*'Portfolio 2 &amp; 3'!$F$16</f>
        <v>3.3402475410487902E-3</v>
      </c>
      <c r="R746" s="93">
        <f>B746*'Portfolio 2 &amp; 3'!$B$23+C746*'Portfolio 2 &amp; 3'!$B$24+D746*'Portfolio 2 &amp; 3'!$B$25+E746*'Portfolio 2 &amp; 3'!$B$26+F746*'Portfolio 2 &amp; 3'!$B$27+G746*'Portfolio 2 &amp; 3'!$B$28+H746*'Portfolio 2 &amp; 3'!$B$29+I746*'Portfolio 2 &amp; 3'!$B$30+J746*'Portfolio 2 &amp; 3'!$B$31+K746*'Portfolio 2 &amp; 3'!$B$32</f>
        <v>2.4820943418210383E-3</v>
      </c>
      <c r="S746" s="93">
        <f t="shared" si="35"/>
        <v>-5.8517511145717571E-3</v>
      </c>
    </row>
    <row r="747" spans="1:19" ht="12.75" customHeight="1">
      <c r="A747" s="82">
        <v>44984</v>
      </c>
      <c r="B747" s="53">
        <v>2.12E-2</v>
      </c>
      <c r="C747" s="53">
        <v>1.0458979689748999E-2</v>
      </c>
      <c r="D747" s="53">
        <v>1.94489465153969E-3</v>
      </c>
      <c r="E747" s="53">
        <v>1.255E-2</v>
      </c>
      <c r="F747" s="53">
        <v>-2.2296066030657001E-2</v>
      </c>
      <c r="G747" s="53">
        <v>1.0617529198205401E-2</v>
      </c>
      <c r="H747" s="87">
        <v>6.3939211416390602E-3</v>
      </c>
      <c r="I747" s="53">
        <v>1.6575157981975101E-3</v>
      </c>
      <c r="J747" s="53">
        <v>-8.7991426476395906E-3</v>
      </c>
      <c r="K747" s="53">
        <v>-3.75723048424581E-3</v>
      </c>
      <c r="L747" s="95">
        <f>IFERROR(B747*'Stock Statistics'!$C$41+C747*'Stock Statistics'!$C$42+D747*'Stock Statistics'!$C$43+E747*'Stock Statistics'!$C$44+F747*'Stock Statistics'!$C$45+G747*'Stock Statistics'!$C$46+H747*'Stock Statistics'!$C$47+I747*'Stock Statistics'!$C$48+J747*'Stock Statistics'!$C$49+K747*'Stock Statistics'!$C$50,"")</f>
        <v>2.9970401316788261E-3</v>
      </c>
      <c r="M747" s="97">
        <v>239.28559999999999</v>
      </c>
      <c r="N747" s="96">
        <v>300.22500000000002</v>
      </c>
      <c r="O747" s="93">
        <f t="shared" si="33"/>
        <v>-5.0391376209732996E-3</v>
      </c>
      <c r="P747" s="93">
        <f t="shared" si="34"/>
        <v>5.893131581777844E-3</v>
      </c>
      <c r="Q747" s="93">
        <f>B747*'Portfolio 2 &amp; 3'!$F$7+C747*'Portfolio 2 &amp; 3'!$F$8+D747*'Portfolio 2 &amp; 3'!$F$9+E747*'Portfolio 2 &amp; 3'!$F$10+F747*'Portfolio 2 &amp; 3'!$F$11+G747*'Portfolio 2 &amp; 3'!$F$12+H747*'Portfolio 2 &amp; 3'!$F$13+I747*'Portfolio 2 &amp; 3'!$F$14+J747*'Portfolio 2 &amp; 3'!$F$15+K747*'Portfolio 2 &amp; 3'!$F$16</f>
        <v>1.4925676957152168E-3</v>
      </c>
      <c r="R747" s="93">
        <f>B747*'Portfolio 2 &amp; 3'!$B$23+C747*'Portfolio 2 &amp; 3'!$B$24+D747*'Portfolio 2 &amp; 3'!$B$25+E747*'Portfolio 2 &amp; 3'!$B$26+F747*'Portfolio 2 &amp; 3'!$B$27+G747*'Portfolio 2 &amp; 3'!$B$28+H747*'Portfolio 2 &amp; 3'!$B$29+I747*'Portfolio 2 &amp; 3'!$B$30+J747*'Portfolio 2 &amp; 3'!$B$31+K747*'Portfolio 2 &amp; 3'!$B$32</f>
        <v>2.4658842902683968E-3</v>
      </c>
      <c r="S747" s="93">
        <f t="shared" si="35"/>
        <v>4.2699698040227219E-4</v>
      </c>
    </row>
    <row r="748" spans="1:19" ht="12.75" customHeight="1">
      <c r="A748" s="81">
        <v>44981</v>
      </c>
      <c r="B748" s="53">
        <v>-1.6299999999999999E-2</v>
      </c>
      <c r="C748" s="53">
        <v>2.3403436778661798E-3</v>
      </c>
      <c r="D748" s="53">
        <v>9.9301615015276994E-3</v>
      </c>
      <c r="E748" s="53">
        <v>9.4900000000000002E-3</v>
      </c>
      <c r="F748" s="53">
        <v>-2.99241209789469E-3</v>
      </c>
      <c r="G748" s="53">
        <v>-1.1845534233593901E-2</v>
      </c>
      <c r="H748" s="87">
        <v>-2.36145668400813E-2</v>
      </c>
      <c r="I748" s="53">
        <v>6.2545606171167103E-3</v>
      </c>
      <c r="J748" s="53">
        <v>-1.4617607825700299E-2</v>
      </c>
      <c r="K748" s="53">
        <v>5.5705900959477396E-3</v>
      </c>
      <c r="L748" s="95">
        <f>IFERROR(B748*'Stock Statistics'!$C$41+C748*'Stock Statistics'!$C$42+D748*'Stock Statistics'!$C$43+E748*'Stock Statistics'!$C$44+F748*'Stock Statistics'!$C$45+G748*'Stock Statistics'!$C$46+H748*'Stock Statistics'!$C$47+I748*'Stock Statistics'!$C$48+J748*'Stock Statistics'!$C$49+K748*'Stock Statistics'!$C$50,"")</f>
        <v>-3.5784465104811859E-3</v>
      </c>
      <c r="M748" s="96">
        <v>240.4975</v>
      </c>
      <c r="N748" s="97">
        <v>298.46609999999998</v>
      </c>
      <c r="O748" s="93">
        <f t="shared" si="33"/>
        <v>1.2473048265617681E-3</v>
      </c>
      <c r="P748" s="93">
        <f t="shared" si="34"/>
        <v>1.6091327596610139E-3</v>
      </c>
      <c r="Q748" s="93">
        <f>B748*'Portfolio 2 &amp; 3'!$F$7+C748*'Portfolio 2 &amp; 3'!$F$8+D748*'Portfolio 2 &amp; 3'!$F$9+E748*'Portfolio 2 &amp; 3'!$F$10+F748*'Portfolio 2 &amp; 3'!$F$11+G748*'Portfolio 2 &amp; 3'!$F$12+H748*'Portfolio 2 &amp; 3'!$F$13+I748*'Portfolio 2 &amp; 3'!$F$14+J748*'Portfolio 2 &amp; 3'!$F$15+K748*'Portfolio 2 &amp; 3'!$F$16</f>
        <v>-4.8207644515099041E-3</v>
      </c>
      <c r="R748" s="93">
        <f>B748*'Portfolio 2 &amp; 3'!$B$23+C748*'Portfolio 2 &amp; 3'!$B$24+D748*'Portfolio 2 &amp; 3'!$B$25+E748*'Portfolio 2 &amp; 3'!$B$26+F748*'Portfolio 2 &amp; 3'!$B$27+G748*'Portfolio 2 &amp; 3'!$B$28+H748*'Portfolio 2 &amp; 3'!$B$29+I748*'Portfolio 2 &amp; 3'!$B$30+J748*'Portfolio 2 &amp; 3'!$B$31+K748*'Portfolio 2 &amp; 3'!$B$32</f>
        <v>-2.4874338687655984E-3</v>
      </c>
      <c r="S748" s="93">
        <f t="shared" si="35"/>
        <v>1.428218793111391E-3</v>
      </c>
    </row>
    <row r="749" spans="1:19" ht="12.75" customHeight="1">
      <c r="A749" s="82">
        <v>44980</v>
      </c>
      <c r="B749" s="53">
        <v>1.35E-2</v>
      </c>
      <c r="C749" s="53">
        <v>-1.75748031496064E-2</v>
      </c>
      <c r="D749" s="53">
        <v>-2.3548215237080498E-2</v>
      </c>
      <c r="E749" s="53">
        <v>-8.4000000000000003E-4</v>
      </c>
      <c r="F749" s="53">
        <v>7.7544426494346999E-3</v>
      </c>
      <c r="G749" s="53">
        <v>-2.0939579182006601E-3</v>
      </c>
      <c r="H749" s="87">
        <v>-1.5608648215359301E-2</v>
      </c>
      <c r="I749" s="53">
        <v>2.8224963412084602E-3</v>
      </c>
      <c r="J749" s="53">
        <v>-7.5022065313327096E-3</v>
      </c>
      <c r="K749" s="53">
        <v>6.9719705549264903E-3</v>
      </c>
      <c r="L749" s="95">
        <f>IFERROR(B749*'Stock Statistics'!$C$41+C749*'Stock Statistics'!$C$42+D749*'Stock Statistics'!$C$43+E749*'Stock Statistics'!$C$44+F749*'Stock Statistics'!$C$45+G749*'Stock Statistics'!$C$46+H749*'Stock Statistics'!$C$47+I749*'Stock Statistics'!$C$48+J749*'Stock Statistics'!$C$49+K749*'Stock Statistics'!$C$50,"")</f>
        <v>-3.6118921506009915E-3</v>
      </c>
      <c r="M749" s="97">
        <v>240.1979</v>
      </c>
      <c r="N749" s="96">
        <v>297.98660000000001</v>
      </c>
      <c r="O749" s="93">
        <f t="shared" si="33"/>
        <v>1.9095679029081936E-3</v>
      </c>
      <c r="P749" s="93">
        <f t="shared" si="34"/>
        <v>-3.9442905725438626E-3</v>
      </c>
      <c r="Q749" s="93">
        <f>B749*'Portfolio 2 &amp; 3'!$F$7+C749*'Portfolio 2 &amp; 3'!$F$8+D749*'Portfolio 2 &amp; 3'!$F$9+E749*'Portfolio 2 &amp; 3'!$F$10+F749*'Portfolio 2 &amp; 3'!$F$11+G749*'Portfolio 2 &amp; 3'!$F$12+H749*'Portfolio 2 &amp; 3'!$F$13+I749*'Portfolio 2 &amp; 3'!$F$14+J749*'Portfolio 2 &amp; 3'!$F$15+K749*'Portfolio 2 &amp; 3'!$F$16</f>
        <v>-6.1769307539915929E-3</v>
      </c>
      <c r="R749" s="93">
        <f>B749*'Portfolio 2 &amp; 3'!$B$23+C749*'Portfolio 2 &amp; 3'!$B$24+D749*'Portfolio 2 &amp; 3'!$B$25+E749*'Portfolio 2 &amp; 3'!$B$26+F749*'Portfolio 2 &amp; 3'!$B$27+G749*'Portfolio 2 &amp; 3'!$B$28+H749*'Portfolio 2 &amp; 3'!$B$29+I749*'Portfolio 2 &amp; 3'!$B$30+J749*'Portfolio 2 &amp; 3'!$B$31+K749*'Portfolio 2 &amp; 3'!$B$32</f>
        <v>-2.560686416129246E-4</v>
      </c>
      <c r="S749" s="93">
        <f t="shared" si="35"/>
        <v>-1.0173613348178345E-3</v>
      </c>
    </row>
    <row r="750" spans="1:19" ht="12.75" customHeight="1">
      <c r="A750" s="81">
        <v>44979</v>
      </c>
      <c r="B750" s="53">
        <v>9.2999999999999992E-3</v>
      </c>
      <c r="C750" s="53">
        <v>-2.98233820204119E-2</v>
      </c>
      <c r="D750" s="53">
        <v>3.5286569717707401E-3</v>
      </c>
      <c r="E750" s="53">
        <v>-4.0800000000000003E-3</v>
      </c>
      <c r="F750" s="53">
        <v>-8.9657380723663395E-3</v>
      </c>
      <c r="G750" s="53">
        <v>-6.7501434405481398E-4</v>
      </c>
      <c r="H750" s="87">
        <v>9.3266810499819108E-3</v>
      </c>
      <c r="I750" s="53">
        <v>-8.7560230039893695E-3</v>
      </c>
      <c r="J750" s="53">
        <v>-4.6095558829720197E-2</v>
      </c>
      <c r="K750" s="53">
        <v>-1.1509532971838401E-2</v>
      </c>
      <c r="L750" s="95">
        <f>IFERROR(B750*'Stock Statistics'!$C$41+C750*'Stock Statistics'!$C$42+D750*'Stock Statistics'!$C$43+E750*'Stock Statistics'!$C$44+F750*'Stock Statistics'!$C$45+G750*'Stock Statistics'!$C$46+H750*'Stock Statistics'!$C$47+I750*'Stock Statistics'!$C$48+J750*'Stock Statistics'!$C$49+K750*'Stock Statistics'!$C$50,"")</f>
        <v>-8.7749911220628384E-3</v>
      </c>
      <c r="M750" s="96">
        <v>239.74010000000001</v>
      </c>
      <c r="N750" s="97">
        <v>299.16660000000002</v>
      </c>
      <c r="O750" s="93">
        <f t="shared" si="33"/>
        <v>-9.2123295030936969E-3</v>
      </c>
      <c r="P750" s="93">
        <f t="shared" si="34"/>
        <v>-1.0538674992475627E-2</v>
      </c>
      <c r="Q750" s="93">
        <f>B750*'Portfolio 2 &amp; 3'!$F$7+C750*'Portfolio 2 &amp; 3'!$F$8+D750*'Portfolio 2 &amp; 3'!$F$9+E750*'Portfolio 2 &amp; 3'!$F$10+F750*'Portfolio 2 &amp; 3'!$F$11+G750*'Portfolio 2 &amp; 3'!$F$12+H750*'Portfolio 2 &amp; 3'!$F$13+I750*'Portfolio 2 &amp; 3'!$F$14+J750*'Portfolio 2 &amp; 3'!$F$15+K750*'Portfolio 2 &amp; 3'!$F$16</f>
        <v>-9.8871370274416885E-3</v>
      </c>
      <c r="R750" s="93">
        <f>B750*'Portfolio 2 &amp; 3'!$B$23+C750*'Portfolio 2 &amp; 3'!$B$24+D750*'Portfolio 2 &amp; 3'!$B$25+E750*'Portfolio 2 &amp; 3'!$B$26+F750*'Portfolio 2 &amp; 3'!$B$27+G750*'Portfolio 2 &amp; 3'!$B$28+H750*'Portfolio 2 &amp; 3'!$B$29+I750*'Portfolio 2 &amp; 3'!$B$30+J750*'Portfolio 2 &amp; 3'!$B$31+K750*'Portfolio 2 &amp; 3'!$B$32</f>
        <v>-1.0314136800480189E-2</v>
      </c>
      <c r="S750" s="93">
        <f t="shared" si="35"/>
        <v>-9.8755022477846621E-3</v>
      </c>
    </row>
    <row r="751" spans="1:19" ht="12.75" customHeight="1">
      <c r="A751" s="82">
        <v>44978</v>
      </c>
      <c r="B751" s="53">
        <v>-1.6999999999999999E-3</v>
      </c>
      <c r="C751" s="53">
        <v>-7.5060275675921098E-3</v>
      </c>
      <c r="D751" s="53">
        <v>-5.6353003721424403E-3</v>
      </c>
      <c r="E751" s="53">
        <v>-1.289E-2</v>
      </c>
      <c r="F751" s="53">
        <v>8.6123371730002507E-3</v>
      </c>
      <c r="G751" s="53">
        <v>3.37621121577314E-4</v>
      </c>
      <c r="H751" s="87">
        <v>-6.0535662429913603E-3</v>
      </c>
      <c r="I751" s="53">
        <v>-5.61566202988151E-3</v>
      </c>
      <c r="J751" s="53">
        <v>-1.20607194843002E-2</v>
      </c>
      <c r="K751" s="53">
        <v>-1.9449780461031699E-2</v>
      </c>
      <c r="L751" s="95">
        <f>IFERROR(B751*'Stock Statistics'!$C$41+C751*'Stock Statistics'!$C$42+D751*'Stock Statistics'!$C$43+E751*'Stock Statistics'!$C$44+F751*'Stock Statistics'!$C$45+G751*'Stock Statistics'!$C$46+H751*'Stock Statistics'!$C$47+I751*'Stock Statistics'!$C$48+J751*'Stock Statistics'!$C$49+K751*'Stock Statistics'!$C$50,"")</f>
        <v>-6.1961097863361759E-3</v>
      </c>
      <c r="M751" s="97">
        <v>241.9692</v>
      </c>
      <c r="N751" s="96">
        <v>302.35300000000001</v>
      </c>
      <c r="O751" s="93">
        <f t="shared" si="33"/>
        <v>-1.7278083073419825E-3</v>
      </c>
      <c r="P751" s="93">
        <f t="shared" si="34"/>
        <v>3.1412757932649527E-3</v>
      </c>
      <c r="Q751" s="93">
        <f>B751*'Portfolio 2 &amp; 3'!$F$7+C751*'Portfolio 2 &amp; 3'!$F$8+D751*'Portfolio 2 &amp; 3'!$F$9+E751*'Portfolio 2 &amp; 3'!$F$10+F751*'Portfolio 2 &amp; 3'!$F$11+G751*'Portfolio 2 &amp; 3'!$F$12+H751*'Portfolio 2 &amp; 3'!$F$13+I751*'Portfolio 2 &amp; 3'!$F$14+J751*'Portfolio 2 &amp; 3'!$F$15+K751*'Portfolio 2 &amp; 3'!$F$16</f>
        <v>-6.3780284716917091E-3</v>
      </c>
      <c r="R751" s="93">
        <f>B751*'Portfolio 2 &amp; 3'!$B$23+C751*'Portfolio 2 &amp; 3'!$B$24+D751*'Portfolio 2 &amp; 3'!$B$25+E751*'Portfolio 2 &amp; 3'!$B$26+F751*'Portfolio 2 &amp; 3'!$B$27+G751*'Portfolio 2 &amp; 3'!$B$28+H751*'Portfolio 2 &amp; 3'!$B$29+I751*'Portfolio 2 &amp; 3'!$B$30+J751*'Portfolio 2 &amp; 3'!$B$31+K751*'Portfolio 2 &amp; 3'!$B$32</f>
        <v>-3.9915255676407453E-3</v>
      </c>
      <c r="S751" s="93">
        <f t="shared" si="35"/>
        <v>7.0673374296148506E-4</v>
      </c>
    </row>
    <row r="752" spans="1:19" ht="12.75" customHeight="1">
      <c r="A752" s="81">
        <v>44977</v>
      </c>
      <c r="B752" s="53">
        <v>-7.6E-3</v>
      </c>
      <c r="C752" s="53">
        <v>6.6707372920164999E-3</v>
      </c>
      <c r="D752" s="53">
        <v>2.2282608695652201E-2</v>
      </c>
      <c r="E752" s="53">
        <v>-1.0279999999999999E-2</v>
      </c>
      <c r="F752" s="53">
        <v>-1.3173271008180099E-2</v>
      </c>
      <c r="G752" s="53">
        <v>-2.6936933903498601E-3</v>
      </c>
      <c r="H752" s="87">
        <v>-2.1064832874513298E-3</v>
      </c>
      <c r="I752" s="53">
        <v>-2.0565552699228799E-3</v>
      </c>
      <c r="J752" s="53">
        <v>1.5620118712902399E-3</v>
      </c>
      <c r="K752" s="53">
        <v>1.4617847695948901E-2</v>
      </c>
      <c r="L752" s="95">
        <f>IFERROR(B752*'Stock Statistics'!$C$41+C752*'Stock Statistics'!$C$42+D752*'Stock Statistics'!$C$43+E752*'Stock Statistics'!$C$44+F752*'Stock Statistics'!$C$45+G752*'Stock Statistics'!$C$46+H752*'Stock Statistics'!$C$47+I752*'Stock Statistics'!$C$48+J752*'Stock Statistics'!$C$49+K752*'Stock Statistics'!$C$50,"")</f>
        <v>7.2232025990036743E-4</v>
      </c>
      <c r="M752" s="96">
        <v>242.38800000000001</v>
      </c>
      <c r="N752" s="97">
        <v>301.40620000000001</v>
      </c>
      <c r="O752" s="93">
        <f t="shared" si="33"/>
        <v>-8.9513622073675858E-3</v>
      </c>
      <c r="P752" s="93">
        <f t="shared" si="34"/>
        <v>-6.6834918410646482E-3</v>
      </c>
      <c r="Q752" s="93">
        <f>B752*'Portfolio 2 &amp; 3'!$F$7+C752*'Portfolio 2 &amp; 3'!$F$8+D752*'Portfolio 2 &amp; 3'!$F$9+E752*'Portfolio 2 &amp; 3'!$F$10+F752*'Portfolio 2 &amp; 3'!$F$11+G752*'Portfolio 2 &amp; 3'!$F$12+H752*'Portfolio 2 &amp; 3'!$F$13+I752*'Portfolio 2 &amp; 3'!$F$14+J752*'Portfolio 2 &amp; 3'!$F$15+K752*'Portfolio 2 &amp; 3'!$F$16</f>
        <v>1.719114077227862E-3</v>
      </c>
      <c r="R752" s="93">
        <f>B752*'Portfolio 2 &amp; 3'!$B$23+C752*'Portfolio 2 &amp; 3'!$B$24+D752*'Portfolio 2 &amp; 3'!$B$25+E752*'Portfolio 2 &amp; 3'!$B$26+F752*'Portfolio 2 &amp; 3'!$B$27+G752*'Portfolio 2 &amp; 3'!$B$28+H752*'Portfolio 2 &amp; 3'!$B$29+I752*'Portfolio 2 &amp; 3'!$B$30+J752*'Portfolio 2 &amp; 3'!$B$31+K752*'Portfolio 2 &amp; 3'!$B$32</f>
        <v>-1.0988957664423147E-3</v>
      </c>
      <c r="S752" s="93">
        <f t="shared" si="35"/>
        <v>-7.817427024216117E-3</v>
      </c>
    </row>
    <row r="753" spans="1:19" ht="12.75" customHeight="1">
      <c r="A753" s="82">
        <v>44974</v>
      </c>
      <c r="B753" s="53">
        <v>-1.0200000000000001E-2</v>
      </c>
      <c r="C753" s="53">
        <v>-2.7469173483096699E-4</v>
      </c>
      <c r="D753" s="53">
        <v>-1.05399010539901E-2</v>
      </c>
      <c r="E753" s="53">
        <v>5.2500000000000003E-3</v>
      </c>
      <c r="F753" s="53">
        <v>-1.3932537188351199E-2</v>
      </c>
      <c r="G753" s="53">
        <v>2.0919796200695698E-3</v>
      </c>
      <c r="H753" s="87">
        <v>2.5364262089924202E-3</v>
      </c>
      <c r="I753" s="53">
        <v>4.0782613184657803E-3</v>
      </c>
      <c r="J753" s="53">
        <v>-2.3375409069659198E-3</v>
      </c>
      <c r="K753" s="53">
        <v>-1.6212699662734899E-2</v>
      </c>
      <c r="L753" s="95">
        <f>IFERROR(B753*'Stock Statistics'!$C$41+C753*'Stock Statistics'!$C$42+D753*'Stock Statistics'!$C$43+E753*'Stock Statistics'!$C$44+F753*'Stock Statistics'!$C$45+G753*'Stock Statistics'!$C$46+H753*'Stock Statistics'!$C$47+I753*'Stock Statistics'!$C$48+J753*'Stock Statistics'!$C$49+K753*'Stock Statistics'!$C$50,"")</f>
        <v>-3.9540703399345315E-3</v>
      </c>
      <c r="M753" s="97">
        <v>244.57730000000001</v>
      </c>
      <c r="N753" s="96">
        <v>303.43419999999998</v>
      </c>
      <c r="O753" s="93">
        <f t="shared" si="33"/>
        <v>-9.6155142278153694E-4</v>
      </c>
      <c r="P753" s="93">
        <f t="shared" si="34"/>
        <v>1.3386955967054304E-2</v>
      </c>
      <c r="Q753" s="93">
        <f>B753*'Portfolio 2 &amp; 3'!$F$7+C753*'Portfolio 2 &amp; 3'!$F$8+D753*'Portfolio 2 &amp; 3'!$F$9+E753*'Portfolio 2 &amp; 3'!$F$10+F753*'Portfolio 2 &amp; 3'!$F$11+G753*'Portfolio 2 &amp; 3'!$F$12+H753*'Portfolio 2 &amp; 3'!$F$13+I753*'Portfolio 2 &amp; 3'!$F$14+J753*'Portfolio 2 &amp; 3'!$F$15+K753*'Portfolio 2 &amp; 3'!$F$16</f>
        <v>-3.907788593017221E-3</v>
      </c>
      <c r="R753" s="93">
        <f>B753*'Portfolio 2 &amp; 3'!$B$23+C753*'Portfolio 2 &amp; 3'!$B$24+D753*'Portfolio 2 &amp; 3'!$B$25+E753*'Portfolio 2 &amp; 3'!$B$26+F753*'Portfolio 2 &amp; 3'!$B$27+G753*'Portfolio 2 &amp; 3'!$B$28+H753*'Portfolio 2 &amp; 3'!$B$29+I753*'Portfolio 2 &amp; 3'!$B$30+J753*'Portfolio 2 &amp; 3'!$B$31+K753*'Portfolio 2 &amp; 3'!$B$32</f>
        <v>-3.8968865927026435E-3</v>
      </c>
      <c r="S753" s="93">
        <f t="shared" si="35"/>
        <v>6.2127022721363834E-3</v>
      </c>
    </row>
    <row r="754" spans="1:19" ht="12.75" customHeight="1">
      <c r="A754" s="81">
        <v>44973</v>
      </c>
      <c r="B754" s="53">
        <v>1.2999999999999999E-3</v>
      </c>
      <c r="C754" s="53">
        <v>6.3735352387388504E-3</v>
      </c>
      <c r="D754" s="53">
        <v>-1.77477287132898E-2</v>
      </c>
      <c r="E754" s="53">
        <v>-4.6299999999999996E-3</v>
      </c>
      <c r="F754" s="53">
        <v>1.70466652461112E-2</v>
      </c>
      <c r="G754" s="53">
        <v>-5.30290317167315E-3</v>
      </c>
      <c r="H754" s="87">
        <v>-7.8818716951013501E-3</v>
      </c>
      <c r="I754" s="53">
        <v>-3.1391519143680901E-3</v>
      </c>
      <c r="J754" s="53">
        <v>-3.5198509239610098E-3</v>
      </c>
      <c r="K754" s="53">
        <v>6.6812855478670696E-4</v>
      </c>
      <c r="L754" s="95">
        <f>IFERROR(B754*'Stock Statistics'!$C$41+C754*'Stock Statistics'!$C$42+D754*'Stock Statistics'!$C$43+E754*'Stock Statistics'!$C$44+F754*'Stock Statistics'!$C$45+G754*'Stock Statistics'!$C$46+H754*'Stock Statistics'!$C$47+I754*'Stock Statistics'!$C$48+J754*'Stock Statistics'!$C$49+K754*'Stock Statistics'!$C$50,"")</f>
        <v>-1.6833177378756641E-3</v>
      </c>
      <c r="M754" s="96">
        <v>244.81270000000001</v>
      </c>
      <c r="N754" s="97">
        <v>299.42579999999998</v>
      </c>
      <c r="O754" s="93">
        <f t="shared" si="33"/>
        <v>1.1953075590792173E-2</v>
      </c>
      <c r="P754" s="93">
        <f t="shared" si="34"/>
        <v>6.0208215599169002E-3</v>
      </c>
      <c r="Q754" s="93">
        <f>B754*'Portfolio 2 &amp; 3'!$F$7+C754*'Portfolio 2 &amp; 3'!$F$8+D754*'Portfolio 2 &amp; 3'!$F$9+E754*'Portfolio 2 &amp; 3'!$F$10+F754*'Portfolio 2 &amp; 3'!$F$11+G754*'Portfolio 2 &amp; 3'!$F$12+H754*'Portfolio 2 &amp; 3'!$F$13+I754*'Portfolio 2 &amp; 3'!$F$14+J754*'Portfolio 2 &amp; 3'!$F$15+K754*'Portfolio 2 &amp; 3'!$F$16</f>
        <v>-2.5467618228209011E-3</v>
      </c>
      <c r="R754" s="93">
        <f>B754*'Portfolio 2 &amp; 3'!$B$23+C754*'Portfolio 2 &amp; 3'!$B$24+D754*'Portfolio 2 &amp; 3'!$B$25+E754*'Portfolio 2 &amp; 3'!$B$26+F754*'Portfolio 2 &amp; 3'!$B$27+G754*'Portfolio 2 &amp; 3'!$B$28+H754*'Portfolio 2 &amp; 3'!$B$29+I754*'Portfolio 2 &amp; 3'!$B$30+J754*'Portfolio 2 &amp; 3'!$B$31+K754*'Portfolio 2 &amp; 3'!$B$32</f>
        <v>2.2179239120949205E-3</v>
      </c>
      <c r="S754" s="93">
        <f t="shared" si="35"/>
        <v>8.9869485753545364E-3</v>
      </c>
    </row>
    <row r="755" spans="1:19" ht="12.75" customHeight="1">
      <c r="A755" s="82">
        <v>44972</v>
      </c>
      <c r="B755" s="53">
        <v>4.4999999999999997E-3</v>
      </c>
      <c r="C755" s="53">
        <v>-6.2270111872529997E-3</v>
      </c>
      <c r="D755" s="53">
        <v>-1.37528651802458E-2</v>
      </c>
      <c r="E755" s="53">
        <v>-1.4409999999999999E-2</v>
      </c>
      <c r="F755" s="53">
        <v>-7.9272804143325493E-3</v>
      </c>
      <c r="G755" s="53">
        <v>-1.34432634680971E-2</v>
      </c>
      <c r="H755" s="87">
        <v>-1.98039519394588E-3</v>
      </c>
      <c r="I755" s="53">
        <v>-1.30028443722063E-2</v>
      </c>
      <c r="J755" s="53">
        <v>2.02282157676348E-3</v>
      </c>
      <c r="K755" s="53">
        <v>6.2056126318692497E-3</v>
      </c>
      <c r="L755" s="95">
        <f>IFERROR(B755*'Stock Statistics'!$C$41+C755*'Stock Statistics'!$C$42+D755*'Stock Statistics'!$C$43+E755*'Stock Statistics'!$C$44+F755*'Stock Statistics'!$C$45+G755*'Stock Statistics'!$C$46+H755*'Stock Statistics'!$C$47+I755*'Stock Statistics'!$C$48+J755*'Stock Statistics'!$C$49+K755*'Stock Statistics'!$C$50,"")</f>
        <v>-5.8015225607447899E-3</v>
      </c>
      <c r="M755" s="97">
        <v>241.92099999999999</v>
      </c>
      <c r="N755" s="96">
        <v>297.63380000000001</v>
      </c>
      <c r="O755" s="93">
        <f t="shared" si="33"/>
        <v>6.0303951770057651E-4</v>
      </c>
      <c r="P755" s="93">
        <f t="shared" si="34"/>
        <v>1.7302790760760356E-3</v>
      </c>
      <c r="Q755" s="93">
        <f>B755*'Portfolio 2 &amp; 3'!$F$7+C755*'Portfolio 2 &amp; 3'!$F$8+D755*'Portfolio 2 &amp; 3'!$F$9+E755*'Portfolio 2 &amp; 3'!$F$10+F755*'Portfolio 2 &amp; 3'!$F$11+G755*'Portfolio 2 &amp; 3'!$F$12+H755*'Portfolio 2 &amp; 3'!$F$13+I755*'Portfolio 2 &amp; 3'!$F$14+J755*'Portfolio 2 &amp; 3'!$F$15+K755*'Portfolio 2 &amp; 3'!$F$16</f>
        <v>-5.3797464279320365E-3</v>
      </c>
      <c r="R755" s="93">
        <f>B755*'Portfolio 2 &amp; 3'!$B$23+C755*'Portfolio 2 &amp; 3'!$B$24+D755*'Portfolio 2 &amp; 3'!$B$25+E755*'Portfolio 2 &amp; 3'!$B$26+F755*'Portfolio 2 &amp; 3'!$B$27+G755*'Portfolio 2 &amp; 3'!$B$28+H755*'Portfolio 2 &amp; 3'!$B$29+I755*'Portfolio 2 &amp; 3'!$B$30+J755*'Portfolio 2 &amp; 3'!$B$31+K755*'Portfolio 2 &amp; 3'!$B$32</f>
        <v>-6.1473567628068408E-3</v>
      </c>
      <c r="S755" s="93">
        <f t="shared" si="35"/>
        <v>1.1666592968883061E-3</v>
      </c>
    </row>
    <row r="756" spans="1:19" ht="12.75" customHeight="1">
      <c r="A756" s="81">
        <v>44971</v>
      </c>
      <c r="B756" s="53">
        <v>1.8E-3</v>
      </c>
      <c r="C756" s="53">
        <v>4.3225677892060298E-3</v>
      </c>
      <c r="D756" s="53">
        <v>1.2447257383966201E-2</v>
      </c>
      <c r="E756" s="53">
        <v>1.746E-2</v>
      </c>
      <c r="F756" s="53">
        <v>3.3937851309788799E-3</v>
      </c>
      <c r="G756" s="53">
        <v>-1.4878000396746399E-3</v>
      </c>
      <c r="H756" s="87">
        <v>-1.21685454163356E-4</v>
      </c>
      <c r="I756" s="53">
        <v>-1.01574403250426E-4</v>
      </c>
      <c r="J756" s="53">
        <v>-6.0199853765537402E-2</v>
      </c>
      <c r="K756" s="53">
        <v>2.50194360025442E-2</v>
      </c>
      <c r="L756" s="95">
        <f>IFERROR(B756*'Stock Statistics'!$C$41+C756*'Stock Statistics'!$C$42+D756*'Stock Statistics'!$C$43+E756*'Stock Statistics'!$C$44+F756*'Stock Statistics'!$C$45+G756*'Stock Statistics'!$C$46+H756*'Stock Statistics'!$C$47+I756*'Stock Statistics'!$C$48+J756*'Stock Statistics'!$C$49+K756*'Stock Statistics'!$C$50,"")</f>
        <v>2.5321326440694899E-4</v>
      </c>
      <c r="M756" s="96">
        <v>241.77520000000001</v>
      </c>
      <c r="N756" s="97">
        <v>297.11970000000002</v>
      </c>
      <c r="O756" s="93">
        <f t="shared" si="33"/>
        <v>-5.2904393175213782E-3</v>
      </c>
      <c r="P756" s="93">
        <f t="shared" si="34"/>
        <v>-4.9571349488060079E-3</v>
      </c>
      <c r="Q756" s="93">
        <f>B756*'Portfolio 2 &amp; 3'!$F$7+C756*'Portfolio 2 &amp; 3'!$F$8+D756*'Portfolio 2 &amp; 3'!$F$9+E756*'Portfolio 2 &amp; 3'!$F$10+F756*'Portfolio 2 &amp; 3'!$F$11+G756*'Portfolio 2 &amp; 3'!$F$12+H756*'Portfolio 2 &amp; 3'!$F$13+I756*'Portfolio 2 &amp; 3'!$F$14+J756*'Portfolio 2 &amp; 3'!$F$15+K756*'Portfolio 2 &amp; 3'!$F$16</f>
        <v>-3.0765241048704081E-3</v>
      </c>
      <c r="R756" s="93">
        <f>B756*'Portfolio 2 &amp; 3'!$B$23+C756*'Portfolio 2 &amp; 3'!$B$24+D756*'Portfolio 2 &amp; 3'!$B$25+E756*'Portfolio 2 &amp; 3'!$B$26+F756*'Portfolio 2 &amp; 3'!$B$27+G756*'Portfolio 2 &amp; 3'!$B$28+H756*'Portfolio 2 &amp; 3'!$B$29+I756*'Portfolio 2 &amp; 3'!$B$30+J756*'Portfolio 2 &amp; 3'!$B$31+K756*'Portfolio 2 &amp; 3'!$B$32</f>
        <v>1.7384067030941561E-3</v>
      </c>
      <c r="S756" s="93">
        <f t="shared" si="35"/>
        <v>-5.1237871331636931E-3</v>
      </c>
    </row>
    <row r="757" spans="1:19" ht="12.75" customHeight="1">
      <c r="A757" s="82">
        <v>44970</v>
      </c>
      <c r="B757" s="53">
        <v>-2.2599999999999999E-2</v>
      </c>
      <c r="C757" s="53">
        <v>-1.38164557918765E-2</v>
      </c>
      <c r="D757" s="53">
        <v>2.53807106598991E-3</v>
      </c>
      <c r="E757" s="53">
        <v>9.3500000000000007E-3</v>
      </c>
      <c r="F757" s="53">
        <v>-4.3294614572333403E-3</v>
      </c>
      <c r="G757" s="53">
        <v>-4.2962424402659399E-4</v>
      </c>
      <c r="H757" s="87">
        <v>-4.08734355720064E-3</v>
      </c>
      <c r="I757" s="53">
        <v>-1.07019042355424E-2</v>
      </c>
      <c r="J757" s="53">
        <v>-9.4157411878319497E-3</v>
      </c>
      <c r="K757" s="53">
        <v>-1.62692067023569E-2</v>
      </c>
      <c r="L757" s="95">
        <f>IFERROR(B757*'Stock Statistics'!$C$41+C757*'Stock Statistics'!$C$42+D757*'Stock Statistics'!$C$43+E757*'Stock Statistics'!$C$44+F757*'Stock Statistics'!$C$45+G757*'Stock Statistics'!$C$46+H757*'Stock Statistics'!$C$47+I757*'Stock Statistics'!$C$48+J757*'Stock Statistics'!$C$49+K757*'Stock Statistics'!$C$50,"")</f>
        <v>-6.9761666110078413E-3</v>
      </c>
      <c r="M757" s="97">
        <v>243.06110000000001</v>
      </c>
      <c r="N757" s="96">
        <v>298.59989999999999</v>
      </c>
      <c r="O757" s="93">
        <f t="shared" si="33"/>
        <v>-1.0874793577104191E-2</v>
      </c>
      <c r="P757" s="93">
        <f t="shared" si="34"/>
        <v>-1.1146306648545101E-3</v>
      </c>
      <c r="Q757" s="93">
        <f>B757*'Portfolio 2 &amp; 3'!$F$7+C757*'Portfolio 2 &amp; 3'!$F$8+D757*'Portfolio 2 &amp; 3'!$F$9+E757*'Portfolio 2 &amp; 3'!$F$10+F757*'Portfolio 2 &amp; 3'!$F$11+G757*'Portfolio 2 &amp; 3'!$F$12+H757*'Portfolio 2 &amp; 3'!$F$13+I757*'Portfolio 2 &amp; 3'!$F$14+J757*'Portfolio 2 &amp; 3'!$F$15+K757*'Portfolio 2 &amp; 3'!$F$16</f>
        <v>-6.5257915343519355E-3</v>
      </c>
      <c r="R757" s="93">
        <f>B757*'Portfolio 2 &amp; 3'!$B$23+C757*'Portfolio 2 &amp; 3'!$B$24+D757*'Portfolio 2 &amp; 3'!$B$25+E757*'Portfolio 2 &amp; 3'!$B$26+F757*'Portfolio 2 &amp; 3'!$B$27+G757*'Portfolio 2 &amp; 3'!$B$28+H757*'Portfolio 2 &amp; 3'!$B$29+I757*'Portfolio 2 &amp; 3'!$B$30+J757*'Portfolio 2 &amp; 3'!$B$31+K757*'Portfolio 2 &amp; 3'!$B$32</f>
        <v>-1.0867895539123583E-2</v>
      </c>
      <c r="S757" s="93">
        <f t="shared" si="35"/>
        <v>-5.9947121209793508E-3</v>
      </c>
    </row>
    <row r="758" spans="1:19" ht="12.75" customHeight="1">
      <c r="A758" s="81">
        <v>44967</v>
      </c>
      <c r="B758" s="53">
        <v>-5.0000000000000001E-3</v>
      </c>
      <c r="C758" s="53">
        <v>-1.87093561869123E-3</v>
      </c>
      <c r="D758" s="53">
        <v>3.1735956839096301E-4</v>
      </c>
      <c r="E758" s="53">
        <v>-2.2120000000000001E-2</v>
      </c>
      <c r="F758" s="53">
        <v>-1.8971332209105601E-3</v>
      </c>
      <c r="G758" s="53">
        <v>-1.25424959566944E-3</v>
      </c>
      <c r="H758" s="87">
        <v>3.0278250491744302E-3</v>
      </c>
      <c r="I758" s="53">
        <v>-2.5115531444641598E-4</v>
      </c>
      <c r="J758" s="53">
        <v>4.5595653861079102E-3</v>
      </c>
      <c r="K758" s="53">
        <v>1.91493507643796E-2</v>
      </c>
      <c r="L758" s="95">
        <f>IFERROR(B758*'Stock Statistics'!$C$41+C758*'Stock Statistics'!$C$42+D758*'Stock Statistics'!$C$43+E758*'Stock Statistics'!$C$44+F758*'Stock Statistics'!$C$45+G758*'Stock Statistics'!$C$46+H758*'Stock Statistics'!$C$47+I758*'Stock Statistics'!$C$48+J758*'Stock Statistics'!$C$49+K758*'Stock Statistics'!$C$50,"")</f>
        <v>-5.339372981664741E-4</v>
      </c>
      <c r="M758" s="96">
        <v>245.73339999999999</v>
      </c>
      <c r="N758" s="97">
        <v>298.93310000000002</v>
      </c>
      <c r="O758" s="93">
        <f t="shared" si="33"/>
        <v>2.4693211427004869E-3</v>
      </c>
      <c r="P758" s="93">
        <f t="shared" si="34"/>
        <v>-4.303106003830437E-3</v>
      </c>
      <c r="Q758" s="93">
        <f>B758*'Portfolio 2 &amp; 3'!$F$7+C758*'Portfolio 2 &amp; 3'!$F$8+D758*'Portfolio 2 &amp; 3'!$F$9+E758*'Portfolio 2 &amp; 3'!$F$10+F758*'Portfolio 2 &amp; 3'!$F$11+G758*'Portfolio 2 &amp; 3'!$F$12+H758*'Portfolio 2 &amp; 3'!$F$13+I758*'Portfolio 2 &amp; 3'!$F$14+J758*'Portfolio 2 &amp; 3'!$F$15+K758*'Portfolio 2 &amp; 3'!$F$16</f>
        <v>3.010524885940695E-4</v>
      </c>
      <c r="R758" s="93">
        <f>B758*'Portfolio 2 &amp; 3'!$B$23+C758*'Portfolio 2 &amp; 3'!$B$24+D758*'Portfolio 2 &amp; 3'!$B$25+E758*'Portfolio 2 &amp; 3'!$B$26+F758*'Portfolio 2 &amp; 3'!$B$27+G758*'Portfolio 2 &amp; 3'!$B$28+H758*'Portfolio 2 &amp; 3'!$B$29+I758*'Portfolio 2 &amp; 3'!$B$30+J758*'Portfolio 2 &amp; 3'!$B$31+K758*'Portfolio 2 &amp; 3'!$B$32</f>
        <v>3.6781800708338185E-4</v>
      </c>
      <c r="S758" s="93">
        <f t="shared" si="35"/>
        <v>-9.1689243056497505E-4</v>
      </c>
    </row>
    <row r="759" spans="1:19" ht="12.75" customHeight="1">
      <c r="A759" s="82">
        <v>44966</v>
      </c>
      <c r="B759" s="53">
        <v>-2.0299999999999999E-2</v>
      </c>
      <c r="C759" s="53">
        <v>1.0227723074109E-2</v>
      </c>
      <c r="D759" s="53">
        <v>8.1049376133090992E-3</v>
      </c>
      <c r="E759" s="53">
        <v>-6.2289999999999998E-2</v>
      </c>
      <c r="F759" s="53">
        <v>8.4388185653994096E-4</v>
      </c>
      <c r="G759" s="53">
        <v>-3.9451622447973502E-3</v>
      </c>
      <c r="H759" s="87">
        <v>5.57827362432195E-3</v>
      </c>
      <c r="I759" s="53">
        <v>-1.1273901167121901E-2</v>
      </c>
      <c r="J759" s="53">
        <v>2.3824573345652099E-3</v>
      </c>
      <c r="K759" s="53">
        <v>1.1068722798345001E-2</v>
      </c>
      <c r="L759" s="95">
        <f>IFERROR(B759*'Stock Statistics'!$C$41+C759*'Stock Statistics'!$C$42+D759*'Stock Statistics'!$C$43+E759*'Stock Statistics'!$C$44+F759*'Stock Statistics'!$C$45+G759*'Stock Statistics'!$C$46+H759*'Stock Statistics'!$C$47+I759*'Stock Statistics'!$C$48+J759*'Stock Statistics'!$C$49+K759*'Stock Statistics'!$C$50,"")</f>
        <v>-5.9603067110729048E-3</v>
      </c>
      <c r="M759" s="97">
        <v>245.12809999999999</v>
      </c>
      <c r="N759" s="96">
        <v>300.22500000000002</v>
      </c>
      <c r="O759" s="93">
        <f t="shared" si="33"/>
        <v>-7.4825053922221718E-3</v>
      </c>
      <c r="P759" s="93">
        <f t="shared" si="34"/>
        <v>-3.0963864423101395E-3</v>
      </c>
      <c r="Q759" s="93">
        <f>B759*'Portfolio 2 &amp; 3'!$F$7+C759*'Portfolio 2 &amp; 3'!$F$8+D759*'Portfolio 2 &amp; 3'!$F$9+E759*'Portfolio 2 &amp; 3'!$F$10+F759*'Portfolio 2 &amp; 3'!$F$11+G759*'Portfolio 2 &amp; 3'!$F$12+H759*'Portfolio 2 &amp; 3'!$F$13+I759*'Portfolio 2 &amp; 3'!$F$14+J759*'Portfolio 2 &amp; 3'!$F$15+K759*'Portfolio 2 &amp; 3'!$F$16</f>
        <v>-2.7644674426570712E-3</v>
      </c>
      <c r="R759" s="93">
        <f>B759*'Portfolio 2 &amp; 3'!$B$23+C759*'Portfolio 2 &amp; 3'!$B$24+D759*'Portfolio 2 &amp; 3'!$B$25+E759*'Portfolio 2 &amp; 3'!$B$26+F759*'Portfolio 2 &amp; 3'!$B$27+G759*'Portfolio 2 &amp; 3'!$B$28+H759*'Portfolio 2 &amp; 3'!$B$29+I759*'Portfolio 2 &amp; 3'!$B$30+J759*'Portfolio 2 &amp; 3'!$B$31+K759*'Portfolio 2 &amp; 3'!$B$32</f>
        <v>-2.5679351318122416E-3</v>
      </c>
      <c r="S759" s="93">
        <f t="shared" si="35"/>
        <v>-5.2894459172661557E-3</v>
      </c>
    </row>
    <row r="760" spans="1:19" ht="12.75" customHeight="1">
      <c r="A760" s="81">
        <v>44965</v>
      </c>
      <c r="B760" s="53">
        <v>1.37E-2</v>
      </c>
      <c r="C760" s="53">
        <v>4.3630685384485899E-3</v>
      </c>
      <c r="D760" s="53">
        <v>6.3272479873001594E-2</v>
      </c>
      <c r="E760" s="53">
        <v>-9.2099999999999994E-3</v>
      </c>
      <c r="F760" s="53">
        <v>-1.1367191573678199E-2</v>
      </c>
      <c r="G760" s="53">
        <v>-1.2563303467082201E-2</v>
      </c>
      <c r="H760" s="87">
        <v>2.6963788300835602E-3</v>
      </c>
      <c r="I760" s="53">
        <v>-8.3723220881556405E-3</v>
      </c>
      <c r="J760" s="53">
        <v>6.2625373061302499E-3</v>
      </c>
      <c r="K760" s="53">
        <v>6.6529640848118597E-3</v>
      </c>
      <c r="L760" s="95">
        <f>IFERROR(B760*'Stock Statistics'!$C$41+C760*'Stock Statistics'!$C$42+D760*'Stock Statistics'!$C$43+E760*'Stock Statistics'!$C$44+F760*'Stock Statistics'!$C$45+G760*'Stock Statistics'!$C$46+H760*'Stock Statistics'!$C$47+I760*'Stock Statistics'!$C$48+J760*'Stock Statistics'!$C$49+K760*'Stock Statistics'!$C$50,"")</f>
        <v>5.5434611503559824E-3</v>
      </c>
      <c r="M760" s="96">
        <v>246.9761</v>
      </c>
      <c r="N760" s="97">
        <v>301.15750000000003</v>
      </c>
      <c r="O760" s="93">
        <f t="shared" si="33"/>
        <v>1.0161490144655172E-2</v>
      </c>
      <c r="P760" s="93">
        <f t="shared" si="34"/>
        <v>-3.632358594751306E-3</v>
      </c>
      <c r="Q760" s="93">
        <f>B760*'Portfolio 2 &amp; 3'!$F$7+C760*'Portfolio 2 &amp; 3'!$F$8+D760*'Portfolio 2 &amp; 3'!$F$9+E760*'Portfolio 2 &amp; 3'!$F$10+F760*'Portfolio 2 &amp; 3'!$F$11+G760*'Portfolio 2 &amp; 3'!$F$12+H760*'Portfolio 2 &amp; 3'!$F$13+I760*'Portfolio 2 &amp; 3'!$F$14+J760*'Portfolio 2 &amp; 3'!$F$15+K760*'Portfolio 2 &amp; 3'!$F$16</f>
        <v>8.4124291726830353E-3</v>
      </c>
      <c r="R760" s="93">
        <f>B760*'Portfolio 2 &amp; 3'!$B$23+C760*'Portfolio 2 &amp; 3'!$B$24+D760*'Portfolio 2 &amp; 3'!$B$25+E760*'Portfolio 2 &amp; 3'!$B$26+F760*'Portfolio 2 &amp; 3'!$B$27+G760*'Portfolio 2 &amp; 3'!$B$28+H760*'Portfolio 2 &amp; 3'!$B$29+I760*'Portfolio 2 &amp; 3'!$B$30+J760*'Portfolio 2 &amp; 3'!$B$31+K760*'Portfolio 2 &amp; 3'!$B$32</f>
        <v>-9.0963354927597071E-4</v>
      </c>
      <c r="S760" s="93">
        <f t="shared" si="35"/>
        <v>3.264565774951933E-3</v>
      </c>
    </row>
    <row r="761" spans="1:19" ht="12.75" customHeight="1">
      <c r="A761" s="82">
        <v>44964</v>
      </c>
      <c r="B761" s="53">
        <v>5.7999999999999996E-3</v>
      </c>
      <c r="C761" s="53">
        <v>-8.0936617365686692E-3</v>
      </c>
      <c r="D761" s="53">
        <v>-9.2124480395461301E-3</v>
      </c>
      <c r="E761" s="53">
        <v>8.8599999999999998E-3</v>
      </c>
      <c r="F761" s="53">
        <v>1.97809209826652E-2</v>
      </c>
      <c r="G761" s="53">
        <v>-1.05675649632223E-2</v>
      </c>
      <c r="H761" s="87">
        <v>-6.6847898747779397E-5</v>
      </c>
      <c r="I761" s="53">
        <v>8.5932843234650703E-3</v>
      </c>
      <c r="J761" s="53">
        <v>-1.08885017421603E-2</v>
      </c>
      <c r="K761" s="53">
        <v>-1.35349044019565E-2</v>
      </c>
      <c r="L761" s="95">
        <f>IFERROR(B761*'Stock Statistics'!$C$41+C761*'Stock Statistics'!$C$42+D761*'Stock Statistics'!$C$43+E761*'Stock Statistics'!$C$44+F761*'Stock Statistics'!$C$45+G761*'Stock Statistics'!$C$46+H761*'Stock Statistics'!$C$47+I761*'Stock Statistics'!$C$48+J761*'Stock Statistics'!$C$49+K761*'Stock Statistics'!$C$50,"")</f>
        <v>-9.3297234760714057E-4</v>
      </c>
      <c r="M761" s="97">
        <v>244.49170000000001</v>
      </c>
      <c r="N761" s="96">
        <v>302.25540000000001</v>
      </c>
      <c r="O761" s="93">
        <f t="shared" si="33"/>
        <v>4.8914598177733914E-3</v>
      </c>
      <c r="P761" s="93">
        <f t="shared" si="34"/>
        <v>2.1584565742409634E-3</v>
      </c>
      <c r="Q761" s="93">
        <f>B761*'Portfolio 2 &amp; 3'!$F$7+C761*'Portfolio 2 &amp; 3'!$F$8+D761*'Portfolio 2 &amp; 3'!$F$9+E761*'Portfolio 2 &amp; 3'!$F$10+F761*'Portfolio 2 &amp; 3'!$F$11+G761*'Portfolio 2 &amp; 3'!$F$12+H761*'Portfolio 2 &amp; 3'!$F$13+I761*'Portfolio 2 &amp; 3'!$F$14+J761*'Portfolio 2 &amp; 3'!$F$15+K761*'Portfolio 2 &amp; 3'!$F$16</f>
        <v>-1.4524944508713129E-3</v>
      </c>
      <c r="R761" s="93">
        <f>B761*'Portfolio 2 &amp; 3'!$B$23+C761*'Portfolio 2 &amp; 3'!$B$24+D761*'Portfolio 2 &amp; 3'!$B$25+E761*'Portfolio 2 &amp; 3'!$B$26+F761*'Portfolio 2 &amp; 3'!$B$27+G761*'Portfolio 2 &amp; 3'!$B$28+H761*'Portfolio 2 &amp; 3'!$B$29+I761*'Portfolio 2 &amp; 3'!$B$30+J761*'Portfolio 2 &amp; 3'!$B$31+K761*'Portfolio 2 &amp; 3'!$B$32</f>
        <v>1.7369090086084887E-3</v>
      </c>
      <c r="S761" s="93">
        <f t="shared" si="35"/>
        <v>3.5249581960071774E-3</v>
      </c>
    </row>
    <row r="762" spans="1:19" ht="12.75" customHeight="1">
      <c r="A762" s="81">
        <v>44963</v>
      </c>
      <c r="B762" s="53">
        <v>-1E-4</v>
      </c>
      <c r="C762" s="53">
        <v>1.9269761178783099E-2</v>
      </c>
      <c r="D762" s="53">
        <v>6.3059835184521698E-2</v>
      </c>
      <c r="E762" s="53">
        <v>3.236E-2</v>
      </c>
      <c r="F762" s="53">
        <v>8.1674910847808493E-2</v>
      </c>
      <c r="G762" s="53">
        <v>1.33780352841613E-2</v>
      </c>
      <c r="H762" s="87">
        <v>1.07088564833062E-2</v>
      </c>
      <c r="I762" s="53">
        <v>-1.98649185538247E-4</v>
      </c>
      <c r="J762" s="53">
        <v>1.14537444933922E-2</v>
      </c>
      <c r="K762" s="53">
        <v>-4.2151497440802198E-3</v>
      </c>
      <c r="L762" s="95">
        <f>IFERROR(B762*'Stock Statistics'!$C$41+C762*'Stock Statistics'!$C$42+D762*'Stock Statistics'!$C$43+E762*'Stock Statistics'!$C$44+F762*'Stock Statistics'!$C$45+G762*'Stock Statistics'!$C$46+H762*'Stock Statistics'!$C$47+I762*'Stock Statistics'!$C$48+J762*'Stock Statistics'!$C$49+K762*'Stock Statistics'!$C$50,"")</f>
        <v>2.2739134454235449E-2</v>
      </c>
      <c r="M762" s="96">
        <v>243.30160000000001</v>
      </c>
      <c r="N762" s="97">
        <v>301.6044</v>
      </c>
      <c r="O762" s="93">
        <f t="shared" si="33"/>
        <v>5.4952661858671537E-3</v>
      </c>
      <c r="P762" s="93">
        <f t="shared" si="34"/>
        <v>-1.1537898086980247E-2</v>
      </c>
      <c r="Q762" s="93">
        <f>B762*'Portfolio 2 &amp; 3'!$F$7+C762*'Portfolio 2 &amp; 3'!$F$8+D762*'Portfolio 2 &amp; 3'!$F$9+E762*'Portfolio 2 &amp; 3'!$F$10+F762*'Portfolio 2 &amp; 3'!$F$11+G762*'Portfolio 2 &amp; 3'!$F$12+H762*'Portfolio 2 &amp; 3'!$F$13+I762*'Portfolio 2 &amp; 3'!$F$14+J762*'Portfolio 2 &amp; 3'!$F$15+K762*'Portfolio 2 &amp; 3'!$F$16</f>
        <v>2.4837450378850334E-2</v>
      </c>
      <c r="R762" s="93">
        <f>B762*'Portfolio 2 &amp; 3'!$B$23+C762*'Portfolio 2 &amp; 3'!$B$24+D762*'Portfolio 2 &amp; 3'!$B$25+E762*'Portfolio 2 &amp; 3'!$B$26+F762*'Portfolio 2 &amp; 3'!$B$27+G762*'Portfolio 2 &amp; 3'!$B$28+H762*'Portfolio 2 &amp; 3'!$B$29+I762*'Portfolio 2 &amp; 3'!$B$30+J762*'Portfolio 2 &amp; 3'!$B$31+K762*'Portfolio 2 &amp; 3'!$B$32</f>
        <v>1.904017131047946E-2</v>
      </c>
      <c r="S762" s="93">
        <f t="shared" si="35"/>
        <v>-3.0213159505565468E-3</v>
      </c>
    </row>
    <row r="763" spans="1:19" ht="12.75" customHeight="1">
      <c r="A763" s="82">
        <v>44960</v>
      </c>
      <c r="B763" s="53">
        <v>1.9099999999999999E-2</v>
      </c>
      <c r="C763" s="53">
        <v>1.5609280684104601E-2</v>
      </c>
      <c r="D763" s="53">
        <v>8.7951807228914304E-3</v>
      </c>
      <c r="E763" s="53">
        <v>1.206E-2</v>
      </c>
      <c r="F763" s="53">
        <v>4.1584844634399197E-3</v>
      </c>
      <c r="G763" s="53">
        <v>-4.8587717025135903E-3</v>
      </c>
      <c r="H763" s="87">
        <v>2.0852731891804799E-2</v>
      </c>
      <c r="I763" s="53">
        <v>-6.1204343534058099E-3</v>
      </c>
      <c r="J763" s="53">
        <v>-1.6937734578000099E-2</v>
      </c>
      <c r="K763" s="53">
        <v>8.6100641289008593E-3</v>
      </c>
      <c r="L763" s="95">
        <f>IFERROR(B763*'Stock Statistics'!$C$41+C763*'Stock Statistics'!$C$42+D763*'Stock Statistics'!$C$43+E763*'Stock Statistics'!$C$44+F763*'Stock Statistics'!$C$45+G763*'Stock Statistics'!$C$46+H763*'Stock Statistics'!$C$47+I763*'Stock Statistics'!$C$48+J763*'Stock Statistics'!$C$49+K763*'Stock Statistics'!$C$50,"")</f>
        <v>6.1268801257222125E-3</v>
      </c>
      <c r="M763" s="97">
        <v>241.97190000000001</v>
      </c>
      <c r="N763" s="96">
        <v>305.12490000000003</v>
      </c>
      <c r="O763" s="93">
        <f t="shared" si="33"/>
        <v>-3.6613521062038856E-3</v>
      </c>
      <c r="P763" s="93">
        <f t="shared" si="34"/>
        <v>-1.0548424692049641E-2</v>
      </c>
      <c r="Q763" s="93">
        <f>B763*'Portfolio 2 &amp; 3'!$F$7+C763*'Portfolio 2 &amp; 3'!$F$8+D763*'Portfolio 2 &amp; 3'!$F$9+E763*'Portfolio 2 &amp; 3'!$F$10+F763*'Portfolio 2 &amp; 3'!$F$11+G763*'Portfolio 2 &amp; 3'!$F$12+H763*'Portfolio 2 &amp; 3'!$F$13+I763*'Portfolio 2 &amp; 3'!$F$14+J763*'Portfolio 2 &amp; 3'!$F$15+K763*'Portfolio 2 &amp; 3'!$F$16</f>
        <v>6.107822068726656E-3</v>
      </c>
      <c r="R763" s="93">
        <f>B763*'Portfolio 2 &amp; 3'!$B$23+C763*'Portfolio 2 &amp; 3'!$B$24+D763*'Portfolio 2 &amp; 3'!$B$25+E763*'Portfolio 2 &amp; 3'!$B$26+F763*'Portfolio 2 &amp; 3'!$B$27+G763*'Portfolio 2 &amp; 3'!$B$28+H763*'Portfolio 2 &amp; 3'!$B$29+I763*'Portfolio 2 &amp; 3'!$B$30+J763*'Portfolio 2 &amp; 3'!$B$31+K763*'Portfolio 2 &amp; 3'!$B$32</f>
        <v>5.0667525623012584E-3</v>
      </c>
      <c r="S763" s="93">
        <f t="shared" si="35"/>
        <v>-7.1048883991267631E-3</v>
      </c>
    </row>
    <row r="764" spans="1:19" ht="12.75" customHeight="1">
      <c r="A764" s="81">
        <v>44959</v>
      </c>
      <c r="B764" s="53">
        <v>-1.06E-2</v>
      </c>
      <c r="C764" s="53">
        <v>3.6243097522438199E-2</v>
      </c>
      <c r="D764" s="53">
        <v>2.67194458189015E-2</v>
      </c>
      <c r="E764" s="53">
        <v>8.3899999999999999E-3</v>
      </c>
      <c r="F764" s="53">
        <v>-5.9708347686300298E-3</v>
      </c>
      <c r="G764" s="53">
        <v>7.6375742541940897E-3</v>
      </c>
      <c r="H764" s="87">
        <v>-2.0191127376186801E-3</v>
      </c>
      <c r="I764" s="53">
        <v>6.5580286168520604E-3</v>
      </c>
      <c r="J764" s="53">
        <v>7.5632696596528203E-3</v>
      </c>
      <c r="K764" s="53">
        <v>1.7521856880600602E-2</v>
      </c>
      <c r="L764" s="95">
        <f>IFERROR(B764*'Stock Statistics'!$C$41+C764*'Stock Statistics'!$C$42+D764*'Stock Statistics'!$C$43+E764*'Stock Statistics'!$C$44+F764*'Stock Statistics'!$C$45+G764*'Stock Statistics'!$C$46+H764*'Stock Statistics'!$C$47+I764*'Stock Statistics'!$C$48+J764*'Stock Statistics'!$C$49+K764*'Stock Statistics'!$C$50,"")</f>
        <v>9.204332524639057E-3</v>
      </c>
      <c r="M764" s="96">
        <v>242.86109999999999</v>
      </c>
      <c r="N764" s="97">
        <v>308.37779999999998</v>
      </c>
      <c r="O764" s="93">
        <f t="shared" si="33"/>
        <v>-1.0234054639486345E-3</v>
      </c>
      <c r="P764" s="93">
        <f t="shared" si="34"/>
        <v>8.2104447528579261E-3</v>
      </c>
      <c r="Q764" s="93">
        <f>B764*'Portfolio 2 &amp; 3'!$F$7+C764*'Portfolio 2 &amp; 3'!$F$8+D764*'Portfolio 2 &amp; 3'!$F$9+E764*'Portfolio 2 &amp; 3'!$F$10+F764*'Portfolio 2 &amp; 3'!$F$11+G764*'Portfolio 2 &amp; 3'!$F$12+H764*'Portfolio 2 &amp; 3'!$F$13+I764*'Portfolio 2 &amp; 3'!$F$14+J764*'Portfolio 2 &amp; 3'!$F$15+K764*'Portfolio 2 &amp; 3'!$F$16</f>
        <v>9.4886685672459416E-3</v>
      </c>
      <c r="R764" s="93">
        <f>B764*'Portfolio 2 &amp; 3'!$B$23+C764*'Portfolio 2 &amp; 3'!$B$24+D764*'Portfolio 2 &amp; 3'!$B$25+E764*'Portfolio 2 &amp; 3'!$B$26+F764*'Portfolio 2 &amp; 3'!$B$27+G764*'Portfolio 2 &amp; 3'!$B$28+H764*'Portfolio 2 &amp; 3'!$B$29+I764*'Portfolio 2 &amp; 3'!$B$30+J764*'Portfolio 2 &amp; 3'!$B$31+K764*'Portfolio 2 &amp; 3'!$B$32</f>
        <v>9.0451239671576443E-3</v>
      </c>
      <c r="S764" s="93">
        <f t="shared" si="35"/>
        <v>3.5935196444546458E-3</v>
      </c>
    </row>
    <row r="765" spans="1:19" ht="12.75" customHeight="1">
      <c r="A765" s="82">
        <v>44958</v>
      </c>
      <c r="B765" s="53">
        <v>-5.5999999999999999E-3</v>
      </c>
      <c r="C765" s="53">
        <v>4.0739171528203499E-4</v>
      </c>
      <c r="D765" s="53">
        <v>-1.42665528594075E-2</v>
      </c>
      <c r="E765" s="53">
        <v>-3.64E-3</v>
      </c>
      <c r="F765" s="53">
        <v>9.0371915189433293E-3</v>
      </c>
      <c r="G765" s="53">
        <v>-5.9375101391907501E-3</v>
      </c>
      <c r="H765" s="87">
        <v>-2.6887256584517999E-3</v>
      </c>
      <c r="I765" s="53">
        <v>-1.6563248155567499E-2</v>
      </c>
      <c r="J765" s="53">
        <v>1.4565935133035201E-3</v>
      </c>
      <c r="K765" s="53">
        <v>-9.7732181425486103E-3</v>
      </c>
      <c r="L765" s="95">
        <f>IFERROR(B765*'Stock Statistics'!$C$41+C765*'Stock Statistics'!$C$42+D765*'Stock Statistics'!$C$43+E765*'Stock Statistics'!$C$44+F765*'Stock Statistics'!$C$45+G765*'Stock Statistics'!$C$46+H765*'Stock Statistics'!$C$47+I765*'Stock Statistics'!$C$48+J765*'Stock Statistics'!$C$49+K765*'Stock Statistics'!$C$50,"")</f>
        <v>-4.7568078207637279E-3</v>
      </c>
      <c r="M765" s="97">
        <v>243.10990000000001</v>
      </c>
      <c r="N765" s="96">
        <v>305.86649999999997</v>
      </c>
      <c r="O765" s="93">
        <f t="shared" si="33"/>
        <v>-9.6259137468590605E-3</v>
      </c>
      <c r="P765" s="93">
        <f t="shared" si="34"/>
        <v>-7.6666874304091026E-3</v>
      </c>
      <c r="Q765" s="93">
        <f>B765*'Portfolio 2 &amp; 3'!$F$7+C765*'Portfolio 2 &amp; 3'!$F$8+D765*'Portfolio 2 &amp; 3'!$F$9+E765*'Portfolio 2 &amp; 3'!$F$10+F765*'Portfolio 2 &amp; 3'!$F$11+G765*'Portfolio 2 &amp; 3'!$F$12+H765*'Portfolio 2 &amp; 3'!$F$13+I765*'Portfolio 2 &amp; 3'!$F$14+J765*'Portfolio 2 &amp; 3'!$F$15+K765*'Portfolio 2 &amp; 3'!$F$16</f>
        <v>-4.2970053902007498E-3</v>
      </c>
      <c r="R765" s="93">
        <f>B765*'Portfolio 2 &amp; 3'!$B$23+C765*'Portfolio 2 &amp; 3'!$B$24+D765*'Portfolio 2 &amp; 3'!$B$25+E765*'Portfolio 2 &amp; 3'!$B$26+F765*'Portfolio 2 &amp; 3'!$B$27+G765*'Portfolio 2 &amp; 3'!$B$28+H765*'Portfolio 2 &amp; 3'!$B$29+I765*'Portfolio 2 &amp; 3'!$B$30+J765*'Portfolio 2 &amp; 3'!$B$31+K765*'Portfolio 2 &amp; 3'!$B$32</f>
        <v>-5.066761754242091E-3</v>
      </c>
      <c r="S765" s="93">
        <f t="shared" si="35"/>
        <v>-8.6463005886340816E-3</v>
      </c>
    </row>
    <row r="766" spans="1:19" ht="12.75" customHeight="1">
      <c r="A766" s="81">
        <v>44957</v>
      </c>
      <c r="B766" s="53">
        <v>-8.0000000000000002E-3</v>
      </c>
      <c r="C766" s="53">
        <v>5.5878738222041599E-3</v>
      </c>
      <c r="D766" s="53">
        <v>-6.4211291495032104E-3</v>
      </c>
      <c r="E766" s="53">
        <v>9.5200000000000007E-3</v>
      </c>
      <c r="F766" s="53">
        <v>8.4121976866455804E-3</v>
      </c>
      <c r="G766" s="53">
        <v>3.4184138559707499E-3</v>
      </c>
      <c r="H766" s="87">
        <v>4.2743881420199701E-3</v>
      </c>
      <c r="I766" s="53">
        <v>-4.6685794874289401E-3</v>
      </c>
      <c r="J766" s="53">
        <v>7.3363983175194197E-3</v>
      </c>
      <c r="K766" s="53">
        <v>-3.68713921680794E-2</v>
      </c>
      <c r="L766" s="95">
        <f>IFERROR(B766*'Stock Statistics'!$C$41+C766*'Stock Statistics'!$C$42+D766*'Stock Statistics'!$C$43+E766*'Stock Statistics'!$C$44+F766*'Stock Statistics'!$C$45+G766*'Stock Statistics'!$C$46+H766*'Stock Statistics'!$C$47+I766*'Stock Statistics'!$C$48+J766*'Stock Statistics'!$C$49+K766*'Stock Statistics'!$C$50,"")</f>
        <v>-1.7411828980651673E-3</v>
      </c>
      <c r="M766" s="96">
        <v>245.47280000000001</v>
      </c>
      <c r="N766" s="97">
        <v>308.2296</v>
      </c>
      <c r="O766" s="93">
        <f t="shared" si="33"/>
        <v>6.2816246784280771E-4</v>
      </c>
      <c r="P766" s="93">
        <f t="shared" si="34"/>
        <v>-1.8949868982962581E-3</v>
      </c>
      <c r="Q766" s="93">
        <f>B766*'Portfolio 2 &amp; 3'!$F$7+C766*'Portfolio 2 &amp; 3'!$F$8+D766*'Portfolio 2 &amp; 3'!$F$9+E766*'Portfolio 2 &amp; 3'!$F$10+F766*'Portfolio 2 &amp; 3'!$F$11+G766*'Portfolio 2 &amp; 3'!$F$12+H766*'Portfolio 2 &amp; 3'!$F$13+I766*'Portfolio 2 &amp; 3'!$F$14+J766*'Portfolio 2 &amp; 3'!$F$15+K766*'Portfolio 2 &amp; 3'!$F$16</f>
        <v>-6.3667846249166379E-4</v>
      </c>
      <c r="R766" s="93">
        <f>B766*'Portfolio 2 &amp; 3'!$B$23+C766*'Portfolio 2 &amp; 3'!$B$24+D766*'Portfolio 2 &amp; 3'!$B$25+E766*'Portfolio 2 &amp; 3'!$B$26+F766*'Portfolio 2 &amp; 3'!$B$27+G766*'Portfolio 2 &amp; 3'!$B$28+H766*'Portfolio 2 &amp; 3'!$B$29+I766*'Portfolio 2 &amp; 3'!$B$30+J766*'Portfolio 2 &amp; 3'!$B$31+K766*'Portfolio 2 &amp; 3'!$B$32</f>
        <v>-2.35677971014857E-3</v>
      </c>
      <c r="S766" s="93">
        <f t="shared" si="35"/>
        <v>-6.3341221522672519E-4</v>
      </c>
    </row>
    <row r="767" spans="1:19" ht="12.75" customHeight="1">
      <c r="A767" s="82">
        <v>44956</v>
      </c>
      <c r="B767" s="53">
        <v>-1.0699999999999999E-2</v>
      </c>
      <c r="C767" s="53">
        <v>-8.0622876741276404E-3</v>
      </c>
      <c r="D767" s="53">
        <v>1.1147862305525001E-2</v>
      </c>
      <c r="E767" s="53">
        <v>-3.5100000000000001E-3</v>
      </c>
      <c r="F767" s="53">
        <v>-5.46130606553574E-3</v>
      </c>
      <c r="G767" s="53">
        <v>9.2327911943486107E-3</v>
      </c>
      <c r="H767" s="87">
        <v>6.3249424742435299E-3</v>
      </c>
      <c r="I767" s="53">
        <v>2.03949980150855E-2</v>
      </c>
      <c r="J767" s="53">
        <v>-2.9259728859846201E-3</v>
      </c>
      <c r="K767" s="53">
        <v>-0.11712580348944</v>
      </c>
      <c r="L767" s="95">
        <f>IFERROR(B767*'Stock Statistics'!$C$41+C767*'Stock Statistics'!$C$42+D767*'Stock Statistics'!$C$43+E767*'Stock Statistics'!$C$44+F767*'Stock Statistics'!$C$45+G767*'Stock Statistics'!$C$46+H767*'Stock Statistics'!$C$47+I767*'Stock Statistics'!$C$48+J767*'Stock Statistics'!$C$49+K767*'Stock Statistics'!$C$50,"")</f>
        <v>-1.0068477612588536E-2</v>
      </c>
      <c r="M767" s="97">
        <v>245.31870000000001</v>
      </c>
      <c r="N767" s="96">
        <v>308.81479999999999</v>
      </c>
      <c r="O767" s="93">
        <f t="shared" si="33"/>
        <v>-1.9463207661929438E-3</v>
      </c>
      <c r="P767" s="93">
        <f t="shared" si="34"/>
        <v>7.6440889725359895E-3</v>
      </c>
      <c r="Q767" s="93">
        <f>B767*'Portfolio 2 &amp; 3'!$F$7+C767*'Portfolio 2 &amp; 3'!$F$8+D767*'Portfolio 2 &amp; 3'!$F$9+E767*'Portfolio 2 &amp; 3'!$F$10+F767*'Portfolio 2 &amp; 3'!$F$11+G767*'Portfolio 2 &amp; 3'!$F$12+H767*'Portfolio 2 &amp; 3'!$F$13+I767*'Portfolio 2 &amp; 3'!$F$14+J767*'Portfolio 2 &amp; 3'!$F$15+K767*'Portfolio 2 &amp; 3'!$F$16</f>
        <v>-7.2113096366063075E-3</v>
      </c>
      <c r="R767" s="93">
        <f>B767*'Portfolio 2 &amp; 3'!$B$23+C767*'Portfolio 2 &amp; 3'!$B$24+D767*'Portfolio 2 &amp; 3'!$B$25+E767*'Portfolio 2 &amp; 3'!$B$26+F767*'Portfolio 2 &amp; 3'!$B$27+G767*'Portfolio 2 &amp; 3'!$B$28+H767*'Portfolio 2 &amp; 3'!$B$29+I767*'Portfolio 2 &amp; 3'!$B$30+J767*'Portfolio 2 &amp; 3'!$B$31+K767*'Portfolio 2 &amp; 3'!$B$32</f>
        <v>-7.5845347020929675E-3</v>
      </c>
      <c r="S767" s="93">
        <f t="shared" si="35"/>
        <v>2.8488841031715229E-3</v>
      </c>
    </row>
    <row r="768" spans="1:19" ht="12.75" customHeight="1">
      <c r="A768" s="81">
        <v>44953</v>
      </c>
      <c r="B768" s="53">
        <v>-3.5000000000000001E-3</v>
      </c>
      <c r="C768" s="53">
        <v>1.50472702073952E-2</v>
      </c>
      <c r="D768" s="53">
        <v>-7.7792634009968796E-3</v>
      </c>
      <c r="E768" s="53">
        <v>-1.56E-3</v>
      </c>
      <c r="F768" s="53">
        <v>8.5550216805345709E-3</v>
      </c>
      <c r="G768" s="53">
        <v>-1.6893856192260599E-2</v>
      </c>
      <c r="H768" s="87">
        <v>-1.0742007022732699E-3</v>
      </c>
      <c r="I768" s="53">
        <v>-7.1928268794955201E-3</v>
      </c>
      <c r="J768" s="53">
        <v>-6.5403807955041202E-3</v>
      </c>
      <c r="K768" s="53">
        <v>-2.67661647079851E-2</v>
      </c>
      <c r="L768" s="95">
        <f>IFERROR(B768*'Stock Statistics'!$C$41+C768*'Stock Statistics'!$C$42+D768*'Stock Statistics'!$C$43+E768*'Stock Statistics'!$C$44+F768*'Stock Statistics'!$C$45+G768*'Stock Statistics'!$C$46+H768*'Stock Statistics'!$C$47+I768*'Stock Statistics'!$C$48+J768*'Stock Statistics'!$C$49+K768*'Stock Statistics'!$C$50,"")</f>
        <v>-4.7704400790585721E-3</v>
      </c>
      <c r="M768" s="96">
        <v>245.7971</v>
      </c>
      <c r="N768" s="97">
        <v>306.47210000000001</v>
      </c>
      <c r="O768" s="93">
        <f t="shared" si="33"/>
        <v>2.3247847912342134E-3</v>
      </c>
      <c r="P768" s="93">
        <f t="shared" si="34"/>
        <v>-1.2201540509667597E-3</v>
      </c>
      <c r="Q768" s="93">
        <f>B768*'Portfolio 2 &amp; 3'!$F$7+C768*'Portfolio 2 &amp; 3'!$F$8+D768*'Portfolio 2 &amp; 3'!$F$9+E768*'Portfolio 2 &amp; 3'!$F$10+F768*'Portfolio 2 &amp; 3'!$F$11+G768*'Portfolio 2 &amp; 3'!$F$12+H768*'Portfolio 2 &amp; 3'!$F$13+I768*'Portfolio 2 &amp; 3'!$F$14+J768*'Portfolio 2 &amp; 3'!$F$15+K768*'Portfolio 2 &amp; 3'!$F$16</f>
        <v>-3.8112065711217369E-3</v>
      </c>
      <c r="R768" s="93">
        <f>B768*'Portfolio 2 &amp; 3'!$B$23+C768*'Portfolio 2 &amp; 3'!$B$24+D768*'Portfolio 2 &amp; 3'!$B$25+E768*'Portfolio 2 &amp; 3'!$B$26+F768*'Portfolio 2 &amp; 3'!$B$27+G768*'Portfolio 2 &amp; 3'!$B$28+H768*'Portfolio 2 &amp; 3'!$B$29+I768*'Portfolio 2 &amp; 3'!$B$30+J768*'Portfolio 2 &amp; 3'!$B$31+K768*'Portfolio 2 &amp; 3'!$B$32</f>
        <v>-2.4775502286462567E-3</v>
      </c>
      <c r="S768" s="93">
        <f t="shared" si="35"/>
        <v>5.5231537013372689E-4</v>
      </c>
    </row>
    <row r="769" spans="1:19" ht="12.75" customHeight="1">
      <c r="A769" s="82">
        <v>44951</v>
      </c>
      <c r="B769" s="53">
        <v>-1.6400000000000001E-2</v>
      </c>
      <c r="C769" s="53">
        <v>6.35937966990996E-3</v>
      </c>
      <c r="D769" s="53">
        <v>-1.2009126936471701E-2</v>
      </c>
      <c r="E769" s="53">
        <v>-4.0699999999999998E-3</v>
      </c>
      <c r="F769" s="53">
        <v>-2.39075726378404E-2</v>
      </c>
      <c r="G769" s="53">
        <v>6.8297125016261199E-3</v>
      </c>
      <c r="H769" s="87">
        <v>3.4306907742234199E-3</v>
      </c>
      <c r="I769" s="53">
        <v>-1.8946350894151798E-2</v>
      </c>
      <c r="J769" s="53">
        <v>1.3851367945380199E-2</v>
      </c>
      <c r="K769" s="53">
        <v>1.2532802461315599E-2</v>
      </c>
      <c r="L769" s="95">
        <f>IFERROR(B769*'Stock Statistics'!$C$41+C769*'Stock Statistics'!$C$42+D769*'Stock Statistics'!$C$43+E769*'Stock Statistics'!$C$44+F769*'Stock Statistics'!$C$45+G769*'Stock Statistics'!$C$46+H769*'Stock Statistics'!$C$47+I769*'Stock Statistics'!$C$48+J769*'Stock Statistics'!$C$49+K769*'Stock Statistics'!$C$50,"")</f>
        <v>-3.2329097116008607E-3</v>
      </c>
      <c r="M769" s="97">
        <v>245.227</v>
      </c>
      <c r="N769" s="96">
        <v>306.84649999999999</v>
      </c>
      <c r="O769" s="93">
        <f t="shared" si="33"/>
        <v>-4.2137586101459457E-3</v>
      </c>
      <c r="P769" s="93">
        <f t="shared" si="34"/>
        <v>-2.293596625480121E-3</v>
      </c>
      <c r="Q769" s="93">
        <f>B769*'Portfolio 2 &amp; 3'!$F$7+C769*'Portfolio 2 &amp; 3'!$F$8+D769*'Portfolio 2 &amp; 3'!$F$9+E769*'Portfolio 2 &amp; 3'!$F$10+F769*'Portfolio 2 &amp; 3'!$F$11+G769*'Portfolio 2 &amp; 3'!$F$12+H769*'Portfolio 2 &amp; 3'!$F$13+I769*'Portfolio 2 &amp; 3'!$F$14+J769*'Portfolio 2 &amp; 3'!$F$15+K769*'Portfolio 2 &amp; 3'!$F$16</f>
        <v>-2.5085638735777875E-3</v>
      </c>
      <c r="R769" s="93">
        <f>B769*'Portfolio 2 &amp; 3'!$B$23+C769*'Portfolio 2 &amp; 3'!$B$24+D769*'Portfolio 2 &amp; 3'!$B$25+E769*'Portfolio 2 &amp; 3'!$B$26+F769*'Portfolio 2 &amp; 3'!$B$27+G769*'Portfolio 2 &amp; 3'!$B$28+H769*'Portfolio 2 &amp; 3'!$B$29+I769*'Portfolio 2 &amp; 3'!$B$30+J769*'Portfolio 2 &amp; 3'!$B$31+K769*'Portfolio 2 &amp; 3'!$B$32</f>
        <v>-7.27361778192143E-3</v>
      </c>
      <c r="S769" s="93">
        <f t="shared" si="35"/>
        <v>-3.2536776178130333E-3</v>
      </c>
    </row>
    <row r="770" spans="1:19" ht="12.75" customHeight="1">
      <c r="A770" s="81">
        <v>44950</v>
      </c>
      <c r="B770" s="53">
        <v>-1.11E-2</v>
      </c>
      <c r="C770" s="53">
        <v>3.2650341495918901E-3</v>
      </c>
      <c r="D770" s="53">
        <v>-3.3512866546977502E-3</v>
      </c>
      <c r="E770" s="53">
        <v>-3.8899999999999998E-3</v>
      </c>
      <c r="F770" s="53">
        <v>-1.62052667116813E-2</v>
      </c>
      <c r="G770" s="53">
        <v>-1.24297414485305E-2</v>
      </c>
      <c r="H770" s="87">
        <v>2.69105797498186E-2</v>
      </c>
      <c r="I770" s="53">
        <v>-1.6354473709232702E-2</v>
      </c>
      <c r="J770" s="53">
        <v>-1.59029389017789E-2</v>
      </c>
      <c r="K770" s="53">
        <v>-1.51794201520912E-2</v>
      </c>
      <c r="L770" s="95">
        <f>IFERROR(B770*'Stock Statistics'!$C$41+C770*'Stock Statistics'!$C$42+D770*'Stock Statistics'!$C$43+E770*'Stock Statistics'!$C$44+F770*'Stock Statistics'!$C$45+G770*'Stock Statistics'!$C$46+H770*'Stock Statistics'!$C$47+I770*'Stock Statistics'!$C$48+J770*'Stock Statistics'!$C$49+K770*'Stock Statistics'!$C$50,"")</f>
        <v>-6.423751367860186E-3</v>
      </c>
      <c r="M770" s="96">
        <v>246.2647</v>
      </c>
      <c r="N770" s="97">
        <v>307.55189999999999</v>
      </c>
      <c r="O770" s="93">
        <f t="shared" ref="O770:O833" si="36">M770/M771-1</f>
        <v>-9.4726968648514154E-3</v>
      </c>
      <c r="P770" s="93">
        <f t="shared" ref="P770:P833" si="37">N770/N771-1</f>
        <v>-1.3216049284500153E-3</v>
      </c>
      <c r="Q770" s="93">
        <f>B770*'Portfolio 2 &amp; 3'!$F$7+C770*'Portfolio 2 &amp; 3'!$F$8+D770*'Portfolio 2 &amp; 3'!$F$9+E770*'Portfolio 2 &amp; 3'!$F$10+F770*'Portfolio 2 &amp; 3'!$F$11+G770*'Portfolio 2 &amp; 3'!$F$12+H770*'Portfolio 2 &amp; 3'!$F$13+I770*'Portfolio 2 &amp; 3'!$F$14+J770*'Portfolio 2 &amp; 3'!$F$15+K770*'Portfolio 2 &amp; 3'!$F$16</f>
        <v>-3.9939693421167984E-3</v>
      </c>
      <c r="R770" s="93">
        <f>B770*'Portfolio 2 &amp; 3'!$B$23+C770*'Portfolio 2 &amp; 3'!$B$24+D770*'Portfolio 2 &amp; 3'!$B$25+E770*'Portfolio 2 &amp; 3'!$B$26+F770*'Portfolio 2 &amp; 3'!$B$27+G770*'Portfolio 2 &amp; 3'!$B$28+H770*'Portfolio 2 &amp; 3'!$B$29+I770*'Portfolio 2 &amp; 3'!$B$30+J770*'Portfolio 2 &amp; 3'!$B$31+K770*'Portfolio 2 &amp; 3'!$B$32</f>
        <v>-9.8864904431291388E-3</v>
      </c>
      <c r="S770" s="93">
        <f t="shared" ref="S770:S833" si="38">IFERROR(AVERAGE(O770,P770),"")</f>
        <v>-5.3971508966507153E-3</v>
      </c>
    </row>
    <row r="771" spans="1:19" ht="12.75" customHeight="1">
      <c r="A771" s="82">
        <v>44949</v>
      </c>
      <c r="B771" s="53">
        <v>4.0000000000000001E-3</v>
      </c>
      <c r="C771" s="53">
        <v>2.6660445895965201E-4</v>
      </c>
      <c r="D771" s="53">
        <v>-4.6776953793496903E-2</v>
      </c>
      <c r="E771" s="53">
        <v>-9.0200000000000002E-3</v>
      </c>
      <c r="F771" s="53">
        <v>1.3920584208124301E-2</v>
      </c>
      <c r="G771" s="53">
        <v>-1.7606411510428199E-2</v>
      </c>
      <c r="H771" s="87">
        <v>-1.21803538886603E-2</v>
      </c>
      <c r="I771" s="53">
        <v>7.9547632739120893E-3</v>
      </c>
      <c r="J771" s="53">
        <v>-1.22702315588446E-2</v>
      </c>
      <c r="K771" s="53">
        <v>-6.2141138614590901E-3</v>
      </c>
      <c r="L771" s="95">
        <f>IFERROR(B771*'Stock Statistics'!$C$41+C771*'Stock Statistics'!$C$42+D771*'Stock Statistics'!$C$43+E771*'Stock Statistics'!$C$44+F771*'Stock Statistics'!$C$45+G771*'Stock Statistics'!$C$46+H771*'Stock Statistics'!$C$47+I771*'Stock Statistics'!$C$48+J771*'Stock Statistics'!$C$49+K771*'Stock Statistics'!$C$50,"")</f>
        <v>-7.7926112671893068E-3</v>
      </c>
      <c r="M771" s="97">
        <v>248.6198</v>
      </c>
      <c r="N771" s="96">
        <v>307.95890000000003</v>
      </c>
      <c r="O771" s="93">
        <f t="shared" si="36"/>
        <v>8.6171888596839885E-3</v>
      </c>
      <c r="P771" s="93">
        <f t="shared" si="37"/>
        <v>2.3989175250853645E-3</v>
      </c>
      <c r="Q771" s="93">
        <f>B771*'Portfolio 2 &amp; 3'!$F$7+C771*'Portfolio 2 &amp; 3'!$F$8+D771*'Portfolio 2 &amp; 3'!$F$9+E771*'Portfolio 2 &amp; 3'!$F$10+F771*'Portfolio 2 &amp; 3'!$F$11+G771*'Portfolio 2 &amp; 3'!$F$12+H771*'Portfolio 2 &amp; 3'!$F$13+I771*'Portfolio 2 &amp; 3'!$F$14+J771*'Portfolio 2 &amp; 3'!$F$15+K771*'Portfolio 2 &amp; 3'!$F$16</f>
        <v>-9.719072672361306E-3</v>
      </c>
      <c r="R771" s="93">
        <f>B771*'Portfolio 2 &amp; 3'!$B$23+C771*'Portfolio 2 &amp; 3'!$B$24+D771*'Portfolio 2 &amp; 3'!$B$25+E771*'Portfolio 2 &amp; 3'!$B$26+F771*'Portfolio 2 &amp; 3'!$B$27+G771*'Portfolio 2 &amp; 3'!$B$28+H771*'Portfolio 2 &amp; 3'!$B$29+I771*'Portfolio 2 &amp; 3'!$B$30+J771*'Portfolio 2 &amp; 3'!$B$31+K771*'Portfolio 2 &amp; 3'!$B$32</f>
        <v>1.0174129755603414E-3</v>
      </c>
      <c r="S771" s="93">
        <f t="shared" si="38"/>
        <v>5.5080531923846765E-3</v>
      </c>
    </row>
    <row r="772" spans="1:19" ht="12.75" customHeight="1">
      <c r="A772" s="81">
        <v>44946</v>
      </c>
      <c r="B772" s="53">
        <v>-9.1999999999999998E-3</v>
      </c>
      <c r="C772" s="53">
        <v>-6.45652605787694E-3</v>
      </c>
      <c r="D772" s="53">
        <v>-1.70460917348885E-2</v>
      </c>
      <c r="E772" s="53">
        <v>-1.821E-2</v>
      </c>
      <c r="F772" s="53">
        <v>-8.2607219644677005E-3</v>
      </c>
      <c r="G772" s="53">
        <v>-8.1059088632948802E-3</v>
      </c>
      <c r="H772" s="87">
        <v>-1.9618013532049401E-2</v>
      </c>
      <c r="I772" s="53">
        <v>3.2209989904332702E-3</v>
      </c>
      <c r="J772" s="53">
        <v>1.15914030427433E-2</v>
      </c>
      <c r="K772" s="53">
        <v>1.55139850705999E-2</v>
      </c>
      <c r="L772" s="95">
        <f>IFERROR(B772*'Stock Statistics'!$C$41+C772*'Stock Statistics'!$C$42+D772*'Stock Statistics'!$C$43+E772*'Stock Statistics'!$C$44+F772*'Stock Statistics'!$C$45+G772*'Stock Statistics'!$C$46+H772*'Stock Statistics'!$C$47+I772*'Stock Statistics'!$C$48+J772*'Stock Statistics'!$C$49+K772*'Stock Statistics'!$C$50,"")</f>
        <v>-5.6570875048800951E-3</v>
      </c>
      <c r="M772" s="96">
        <v>246.4957</v>
      </c>
      <c r="N772" s="97">
        <v>307.22190000000001</v>
      </c>
      <c r="O772" s="93">
        <f t="shared" si="36"/>
        <v>-6.7922092469460127E-3</v>
      </c>
      <c r="P772" s="93">
        <f t="shared" si="37"/>
        <v>-6.0515884570438994E-3</v>
      </c>
      <c r="Q772" s="93">
        <f>B772*'Portfolio 2 &amp; 3'!$F$7+C772*'Portfolio 2 &amp; 3'!$F$8+D772*'Portfolio 2 &amp; 3'!$F$9+E772*'Portfolio 2 &amp; 3'!$F$10+F772*'Portfolio 2 &amp; 3'!$F$11+G772*'Portfolio 2 &amp; 3'!$F$12+H772*'Portfolio 2 &amp; 3'!$F$13+I772*'Portfolio 2 &amp; 3'!$F$14+J772*'Portfolio 2 &amp; 3'!$F$15+K772*'Portfolio 2 &amp; 3'!$F$16</f>
        <v>-6.158429023120077E-3</v>
      </c>
      <c r="R772" s="93">
        <f>B772*'Portfolio 2 &amp; 3'!$B$23+C772*'Portfolio 2 &amp; 3'!$B$24+D772*'Portfolio 2 &amp; 3'!$B$25+E772*'Portfolio 2 &amp; 3'!$B$26+F772*'Portfolio 2 &amp; 3'!$B$27+G772*'Portfolio 2 &amp; 3'!$B$28+H772*'Portfolio 2 &amp; 3'!$B$29+I772*'Portfolio 2 &amp; 3'!$B$30+J772*'Portfolio 2 &amp; 3'!$B$31+K772*'Portfolio 2 &amp; 3'!$B$32</f>
        <v>-2.9096648755395395E-3</v>
      </c>
      <c r="S772" s="93">
        <f t="shared" si="38"/>
        <v>-6.421898851994956E-3</v>
      </c>
    </row>
    <row r="773" spans="1:19" ht="12.75" customHeight="1">
      <c r="A773" s="82">
        <v>44945</v>
      </c>
      <c r="B773" s="53">
        <v>1.6999999999999999E-3</v>
      </c>
      <c r="C773" s="53">
        <v>3.6387804270165999E-3</v>
      </c>
      <c r="D773" s="53">
        <v>2.5860130425006101E-3</v>
      </c>
      <c r="E773" s="53">
        <v>1.2630000000000001E-2</v>
      </c>
      <c r="F773" s="53">
        <v>-3.6080730634794299E-3</v>
      </c>
      <c r="G773" s="53">
        <v>9.8290193103884906E-3</v>
      </c>
      <c r="H773" s="87">
        <v>-2.9306302578954199E-3</v>
      </c>
      <c r="I773" s="53">
        <v>-6.2457960987805105E-4</v>
      </c>
      <c r="J773" s="53">
        <v>-2.5325989737796099E-2</v>
      </c>
      <c r="K773" s="53">
        <v>-6.0636760477348296E-3</v>
      </c>
      <c r="L773" s="95">
        <f>IFERROR(B773*'Stock Statistics'!$C$41+C773*'Stock Statistics'!$C$42+D773*'Stock Statistics'!$C$43+E773*'Stock Statistics'!$C$44+F773*'Stock Statistics'!$C$45+G773*'Stock Statistics'!$C$46+H773*'Stock Statistics'!$C$47+I773*'Stock Statistics'!$C$48+J773*'Stock Statistics'!$C$49+K773*'Stock Statistics'!$C$50,"")</f>
        <v>-8.1691359368781273E-4</v>
      </c>
      <c r="M773" s="97">
        <v>248.1814</v>
      </c>
      <c r="N773" s="96">
        <v>309.0924</v>
      </c>
      <c r="O773" s="93">
        <f t="shared" si="36"/>
        <v>-3.225501989079671E-3</v>
      </c>
      <c r="P773" s="93">
        <f t="shared" si="37"/>
        <v>2.3709200862753743E-3</v>
      </c>
      <c r="Q773" s="93">
        <f>B773*'Portfolio 2 &amp; 3'!$F$7+C773*'Portfolio 2 &amp; 3'!$F$8+D773*'Portfolio 2 &amp; 3'!$F$9+E773*'Portfolio 2 &amp; 3'!$F$10+F773*'Portfolio 2 &amp; 3'!$F$11+G773*'Portfolio 2 &amp; 3'!$F$12+H773*'Portfolio 2 &amp; 3'!$F$13+I773*'Portfolio 2 &amp; 3'!$F$14+J773*'Portfolio 2 &amp; 3'!$F$15+K773*'Portfolio 2 &amp; 3'!$F$16</f>
        <v>-2.800157383924261E-3</v>
      </c>
      <c r="R773" s="93">
        <f>B773*'Portfolio 2 &amp; 3'!$B$23+C773*'Portfolio 2 &amp; 3'!$B$24+D773*'Portfolio 2 &amp; 3'!$B$25+E773*'Portfolio 2 &amp; 3'!$B$26+F773*'Portfolio 2 &amp; 3'!$B$27+G773*'Portfolio 2 &amp; 3'!$B$28+H773*'Portfolio 2 &amp; 3'!$B$29+I773*'Portfolio 2 &amp; 3'!$B$30+J773*'Portfolio 2 &amp; 3'!$B$31+K773*'Portfolio 2 &amp; 3'!$B$32</f>
        <v>-1.6804853705515573E-4</v>
      </c>
      <c r="S773" s="93">
        <f t="shared" si="38"/>
        <v>-4.2729095140214834E-4</v>
      </c>
    </row>
    <row r="774" spans="1:19" ht="12.75" customHeight="1">
      <c r="A774" s="81">
        <v>44944</v>
      </c>
      <c r="B774" s="53">
        <v>1.2999999999999999E-2</v>
      </c>
      <c r="C774" s="53">
        <v>-1.2162295243410099E-2</v>
      </c>
      <c r="D774" s="53">
        <v>-1.12309074573225E-3</v>
      </c>
      <c r="E774" s="53">
        <v>-5.9899999999999997E-3</v>
      </c>
      <c r="F774" s="53">
        <v>2.7813188086684499E-2</v>
      </c>
      <c r="G774" s="53">
        <v>-1.1280544965939601E-2</v>
      </c>
      <c r="H774" s="87">
        <v>4.2472646692213196E-3</v>
      </c>
      <c r="I774" s="53">
        <v>-8.1959401505764494E-3</v>
      </c>
      <c r="J774" s="53">
        <v>-3.7645287280585498E-4</v>
      </c>
      <c r="K774" s="53">
        <v>-8.7574209173877406E-3</v>
      </c>
      <c r="L774" s="95">
        <f>IFERROR(B774*'Stock Statistics'!$C$41+C774*'Stock Statistics'!$C$42+D774*'Stock Statistics'!$C$43+E774*'Stock Statistics'!$C$44+F774*'Stock Statistics'!$C$45+G774*'Stock Statistics'!$C$46+H774*'Stock Statistics'!$C$47+I774*'Stock Statistics'!$C$48+J774*'Stock Statistics'!$C$49+K774*'Stock Statistics'!$C$50,"")</f>
        <v>-2.825292139946176E-4</v>
      </c>
      <c r="M774" s="96">
        <v>248.9845</v>
      </c>
      <c r="N774" s="97">
        <v>308.36130000000003</v>
      </c>
      <c r="O774" s="93">
        <f t="shared" si="36"/>
        <v>3.1389325131523371E-3</v>
      </c>
      <c r="P774" s="93">
        <f t="shared" si="37"/>
        <v>6.4290295259497032E-3</v>
      </c>
      <c r="Q774" s="93">
        <f>B774*'Portfolio 2 &amp; 3'!$F$7+C774*'Portfolio 2 &amp; 3'!$F$8+D774*'Portfolio 2 &amp; 3'!$F$9+E774*'Portfolio 2 &amp; 3'!$F$10+F774*'Portfolio 2 &amp; 3'!$F$11+G774*'Portfolio 2 &amp; 3'!$F$12+H774*'Portfolio 2 &amp; 3'!$F$13+I774*'Portfolio 2 &amp; 3'!$F$14+J774*'Portfolio 2 &amp; 3'!$F$15+K774*'Portfolio 2 &amp; 3'!$F$16</f>
        <v>6.0706797313353402E-4</v>
      </c>
      <c r="R774" s="93">
        <f>B774*'Portfolio 2 &amp; 3'!$B$23+C774*'Portfolio 2 &amp; 3'!$B$24+D774*'Portfolio 2 &amp; 3'!$B$25+E774*'Portfolio 2 &amp; 3'!$B$26+F774*'Portfolio 2 &amp; 3'!$B$27+G774*'Portfolio 2 &amp; 3'!$B$28+H774*'Portfolio 2 &amp; 3'!$B$29+I774*'Portfolio 2 &amp; 3'!$B$30+J774*'Portfolio 2 &amp; 3'!$B$31+K774*'Portfolio 2 &amp; 3'!$B$32</f>
        <v>-9.8026143786122955E-5</v>
      </c>
      <c r="S774" s="93">
        <f t="shared" si="38"/>
        <v>4.7839810195510202E-3</v>
      </c>
    </row>
    <row r="775" spans="1:19" ht="12.75" customHeight="1">
      <c r="A775" s="82">
        <v>44943</v>
      </c>
      <c r="B775" s="53">
        <v>-1.6299999999999999E-2</v>
      </c>
      <c r="C775" s="53">
        <v>4.5838279910301897E-3</v>
      </c>
      <c r="D775" s="53">
        <v>2.7027027027026799E-3</v>
      </c>
      <c r="E775" s="53">
        <v>-9.9699999999999997E-3</v>
      </c>
      <c r="F775" s="53">
        <v>-1.7421999544523E-2</v>
      </c>
      <c r="G775" s="53">
        <v>-1.0818496538081099E-2</v>
      </c>
      <c r="H775" s="87">
        <v>-7.3665036030566801E-3</v>
      </c>
      <c r="I775" s="53">
        <v>1.8391808608725101E-2</v>
      </c>
      <c r="J775" s="53">
        <v>8.6382837343963494E-3</v>
      </c>
      <c r="K775" s="53">
        <v>1.2727517461077E-2</v>
      </c>
      <c r="L775" s="95">
        <f>IFERROR(B775*'Stock Statistics'!$C$41+C775*'Stock Statistics'!$C$42+D775*'Stock Statistics'!$C$43+E775*'Stock Statistics'!$C$44+F775*'Stock Statistics'!$C$45+G775*'Stock Statistics'!$C$46+H775*'Stock Statistics'!$C$47+I775*'Stock Statistics'!$C$48+J775*'Stock Statistics'!$C$49+K775*'Stock Statistics'!$C$50,"")</f>
        <v>-1.4832859187729464E-3</v>
      </c>
      <c r="M775" s="97">
        <v>248.2054</v>
      </c>
      <c r="N775" s="96">
        <v>306.39150000000001</v>
      </c>
      <c r="O775" s="93">
        <f t="shared" si="36"/>
        <v>-1.0584847006701592E-3</v>
      </c>
      <c r="P775" s="93">
        <f t="shared" si="37"/>
        <v>-7.7866941281622415E-3</v>
      </c>
      <c r="Q775" s="93">
        <f>B775*'Portfolio 2 &amp; 3'!$F$7+C775*'Portfolio 2 &amp; 3'!$F$8+D775*'Portfolio 2 &amp; 3'!$F$9+E775*'Portfolio 2 &amp; 3'!$F$10+F775*'Portfolio 2 &amp; 3'!$F$11+G775*'Portfolio 2 &amp; 3'!$F$12+H775*'Portfolio 2 &amp; 3'!$F$13+I775*'Portfolio 2 &amp; 3'!$F$14+J775*'Portfolio 2 &amp; 3'!$F$15+K775*'Portfolio 2 &amp; 3'!$F$16</f>
        <v>-7.7765753893663313E-4</v>
      </c>
      <c r="R775" s="93">
        <f>B775*'Portfolio 2 &amp; 3'!$B$23+C775*'Portfolio 2 &amp; 3'!$B$24+D775*'Portfolio 2 &amp; 3'!$B$25+E775*'Portfolio 2 &amp; 3'!$B$26+F775*'Portfolio 2 &amp; 3'!$B$27+G775*'Portfolio 2 &amp; 3'!$B$28+H775*'Portfolio 2 &amp; 3'!$B$29+I775*'Portfolio 2 &amp; 3'!$B$30+J775*'Portfolio 2 &amp; 3'!$B$31+K775*'Portfolio 2 &amp; 3'!$B$32</f>
        <v>5.8707809374072438E-4</v>
      </c>
      <c r="S775" s="93">
        <f t="shared" si="38"/>
        <v>-4.4225894144162003E-3</v>
      </c>
    </row>
    <row r="776" spans="1:19" ht="12.75" customHeight="1">
      <c r="A776" s="81">
        <v>44942</v>
      </c>
      <c r="B776" s="53">
        <v>-1.0800000000000001E-2</v>
      </c>
      <c r="C776" s="53">
        <v>-2.4726769200333898E-4</v>
      </c>
      <c r="D776" s="53">
        <v>2.7100271002709099E-3</v>
      </c>
      <c r="E776" s="53">
        <v>1.4880000000000001E-2</v>
      </c>
      <c r="F776" s="53">
        <v>-5.0979947887164201E-3</v>
      </c>
      <c r="G776" s="53">
        <v>2.0213805934849099E-2</v>
      </c>
      <c r="H776" s="87">
        <v>2.89538691331082E-3</v>
      </c>
      <c r="I776" s="53">
        <v>-9.8025082888857397E-3</v>
      </c>
      <c r="J776" s="53">
        <v>-1.07057332018593E-2</v>
      </c>
      <c r="K776" s="53">
        <v>-1.14872856298048E-2</v>
      </c>
      <c r="L776" s="95">
        <f>IFERROR(B776*'Stock Statistics'!$C$41+C776*'Stock Statistics'!$C$42+D776*'Stock Statistics'!$C$43+E776*'Stock Statistics'!$C$44+F776*'Stock Statistics'!$C$45+G776*'Stock Statistics'!$C$46+H776*'Stock Statistics'!$C$47+I776*'Stock Statistics'!$C$48+J776*'Stock Statistics'!$C$49+K776*'Stock Statistics'!$C$50,"")</f>
        <v>-7.4415696528387708E-4</v>
      </c>
      <c r="M776" s="96">
        <v>248.4684</v>
      </c>
      <c r="N776" s="97">
        <v>308.79599999999999</v>
      </c>
      <c r="O776" s="93">
        <f t="shared" si="36"/>
        <v>-7.7495032395502594E-4</v>
      </c>
      <c r="P776" s="93">
        <f t="shared" si="37"/>
        <v>6.8800010434124648E-3</v>
      </c>
      <c r="Q776" s="93">
        <f>B776*'Portfolio 2 &amp; 3'!$F$7+C776*'Portfolio 2 &amp; 3'!$F$8+D776*'Portfolio 2 &amp; 3'!$F$9+E776*'Portfolio 2 &amp; 3'!$F$10+F776*'Portfolio 2 &amp; 3'!$F$11+G776*'Portfolio 2 &amp; 3'!$F$12+H776*'Portfolio 2 &amp; 3'!$F$13+I776*'Portfolio 2 &amp; 3'!$F$14+J776*'Portfolio 2 &amp; 3'!$F$15+K776*'Portfolio 2 &amp; 3'!$F$16</f>
        <v>-1.5433292380468149E-3</v>
      </c>
      <c r="R776" s="93">
        <f>B776*'Portfolio 2 &amp; 3'!$B$23+C776*'Portfolio 2 &amp; 3'!$B$24+D776*'Portfolio 2 &amp; 3'!$B$25+E776*'Portfolio 2 &amp; 3'!$B$26+F776*'Portfolio 2 &amp; 3'!$B$27+G776*'Portfolio 2 &amp; 3'!$B$28+H776*'Portfolio 2 &amp; 3'!$B$29+I776*'Portfolio 2 &amp; 3'!$B$30+J776*'Portfolio 2 &amp; 3'!$B$31+K776*'Portfolio 2 &amp; 3'!$B$32</f>
        <v>-3.8187027573307972E-3</v>
      </c>
      <c r="S776" s="93">
        <f t="shared" si="38"/>
        <v>3.0525253597287194E-3</v>
      </c>
    </row>
    <row r="777" spans="1:19" ht="12.75" customHeight="1">
      <c r="A777" s="82">
        <v>44939</v>
      </c>
      <c r="B777" s="53">
        <v>5.4000000000000003E-3</v>
      </c>
      <c r="C777" s="53">
        <v>-8.5152981171546793E-3</v>
      </c>
      <c r="D777" s="53">
        <v>-8.2866741321387903E-3</v>
      </c>
      <c r="E777" s="53">
        <v>-4.8900000000000002E-3</v>
      </c>
      <c r="F777" s="53">
        <v>-1.51734910186321E-2</v>
      </c>
      <c r="G777" s="53">
        <v>9.7436713899059502E-3</v>
      </c>
      <c r="H777" s="87">
        <v>5.9407542677500898E-3</v>
      </c>
      <c r="I777" s="53">
        <v>4.32650706662763E-4</v>
      </c>
      <c r="J777" s="53">
        <v>1.3635508745530899E-3</v>
      </c>
      <c r="K777" s="53">
        <v>-1.91825291426884E-3</v>
      </c>
      <c r="L777" s="95">
        <f>IFERROR(B777*'Stock Statistics'!$C$41+C777*'Stock Statistics'!$C$42+D777*'Stock Statistics'!$C$43+E777*'Stock Statistics'!$C$44+F777*'Stock Statistics'!$C$45+G777*'Stock Statistics'!$C$46+H777*'Stock Statistics'!$C$47+I777*'Stock Statistics'!$C$48+J777*'Stock Statistics'!$C$49+K777*'Stock Statistics'!$C$50,"")</f>
        <v>-1.5903088943322525E-3</v>
      </c>
      <c r="M777" s="97">
        <v>248.6611</v>
      </c>
      <c r="N777" s="96">
        <v>306.68599999999998</v>
      </c>
      <c r="O777" s="93">
        <f t="shared" si="36"/>
        <v>5.7259249602048534E-4</v>
      </c>
      <c r="P777" s="93">
        <f t="shared" si="37"/>
        <v>-3.8671337802224093E-3</v>
      </c>
      <c r="Q777" s="93">
        <f>B777*'Portfolio 2 &amp; 3'!$F$7+C777*'Portfolio 2 &amp; 3'!$F$8+D777*'Portfolio 2 &amp; 3'!$F$9+E777*'Portfolio 2 &amp; 3'!$F$10+F777*'Portfolio 2 &amp; 3'!$F$11+G777*'Portfolio 2 &amp; 3'!$F$12+H777*'Portfolio 2 &amp; 3'!$F$13+I777*'Portfolio 2 &amp; 3'!$F$14+J777*'Portfolio 2 &amp; 3'!$F$15+K777*'Portfolio 2 &amp; 3'!$F$16</f>
        <v>-1.9020757415927883E-3</v>
      </c>
      <c r="R777" s="93">
        <f>B777*'Portfolio 2 &amp; 3'!$B$23+C777*'Portfolio 2 &amp; 3'!$B$24+D777*'Portfolio 2 &amp; 3'!$B$25+E777*'Portfolio 2 &amp; 3'!$B$26+F777*'Portfolio 2 &amp; 3'!$B$27+G777*'Portfolio 2 &amp; 3'!$B$28+H777*'Portfolio 2 &amp; 3'!$B$29+I777*'Portfolio 2 &amp; 3'!$B$30+J777*'Portfolio 2 &amp; 3'!$B$31+K777*'Portfolio 2 &amp; 3'!$B$32</f>
        <v>-2.1999731881334693E-3</v>
      </c>
      <c r="S777" s="93">
        <f t="shared" si="38"/>
        <v>-1.647270642100962E-3</v>
      </c>
    </row>
    <row r="778" spans="1:19" ht="12.75" customHeight="1">
      <c r="A778" s="81">
        <v>44938</v>
      </c>
      <c r="B778" s="53">
        <v>-2.2000000000000001E-3</v>
      </c>
      <c r="C778" s="53">
        <v>8.0566768267567E-3</v>
      </c>
      <c r="D778" s="53">
        <v>2.6082959898885399E-2</v>
      </c>
      <c r="E778" s="53">
        <v>6.8500000000000002E-3</v>
      </c>
      <c r="F778" s="53">
        <v>-9.2848458052393595E-3</v>
      </c>
      <c r="G778" s="53">
        <v>1.2541913850915701E-2</v>
      </c>
      <c r="H778" s="87">
        <v>1.3077492824740101E-3</v>
      </c>
      <c r="I778" s="53">
        <v>7.1656821923111701E-3</v>
      </c>
      <c r="J778" s="53">
        <v>-5.3315873164342404E-3</v>
      </c>
      <c r="K778" s="53">
        <v>1.22781860548484E-2</v>
      </c>
      <c r="L778" s="95">
        <f>IFERROR(B778*'Stock Statistics'!$C$41+C778*'Stock Statistics'!$C$42+D778*'Stock Statistics'!$C$43+E778*'Stock Statistics'!$C$44+F778*'Stock Statistics'!$C$45+G778*'Stock Statistics'!$C$46+H778*'Stock Statistics'!$C$47+I778*'Stock Statistics'!$C$48+J778*'Stock Statistics'!$C$49+K778*'Stock Statistics'!$C$50,"")</f>
        <v>5.7466734984517789E-3</v>
      </c>
      <c r="M778" s="96">
        <v>248.5188</v>
      </c>
      <c r="N778" s="97">
        <v>307.8766</v>
      </c>
      <c r="O778" s="93">
        <f t="shared" si="36"/>
        <v>2.0357729949813663E-3</v>
      </c>
      <c r="P778" s="93">
        <f t="shared" si="37"/>
        <v>4.6175457602342096E-3</v>
      </c>
      <c r="Q778" s="93">
        <f>B778*'Portfolio 2 &amp; 3'!$F$7+C778*'Portfolio 2 &amp; 3'!$F$8+D778*'Portfolio 2 &amp; 3'!$F$9+E778*'Portfolio 2 &amp; 3'!$F$10+F778*'Portfolio 2 &amp; 3'!$F$11+G778*'Portfolio 2 &amp; 3'!$F$12+H778*'Portfolio 2 &amp; 3'!$F$13+I778*'Portfolio 2 &amp; 3'!$F$14+J778*'Portfolio 2 &amp; 3'!$F$15+K778*'Portfolio 2 &amp; 3'!$F$16</f>
        <v>5.3518418024880027E-3</v>
      </c>
      <c r="R778" s="93">
        <f>B778*'Portfolio 2 &amp; 3'!$B$23+C778*'Portfolio 2 &amp; 3'!$B$24+D778*'Portfolio 2 &amp; 3'!$B$25+E778*'Portfolio 2 &amp; 3'!$B$26+F778*'Portfolio 2 &amp; 3'!$B$27+G778*'Portfolio 2 &amp; 3'!$B$28+H778*'Portfolio 2 &amp; 3'!$B$29+I778*'Portfolio 2 &amp; 3'!$B$30+J778*'Portfolio 2 &amp; 3'!$B$31+K778*'Portfolio 2 &amp; 3'!$B$32</f>
        <v>4.1471763654558642E-3</v>
      </c>
      <c r="S778" s="93">
        <f t="shared" si="38"/>
        <v>3.326659377607788E-3</v>
      </c>
    </row>
    <row r="779" spans="1:19" ht="12.75" customHeight="1">
      <c r="A779" s="82">
        <v>44937</v>
      </c>
      <c r="B779" s="53">
        <v>7.0000000000000001E-3</v>
      </c>
      <c r="C779" s="53">
        <v>-1.6284501760041E-3</v>
      </c>
      <c r="D779" s="53">
        <v>-2.5092416265262801E-2</v>
      </c>
      <c r="E779" s="53">
        <v>-1.65E-3</v>
      </c>
      <c r="F779" s="53">
        <v>-1.09325461900076E-2</v>
      </c>
      <c r="G779" s="53">
        <v>2.7804720336241902E-3</v>
      </c>
      <c r="H779" s="87">
        <v>2.27346541084761E-3</v>
      </c>
      <c r="I779" s="53">
        <v>-2.6558501134772402E-3</v>
      </c>
      <c r="J779" s="53">
        <v>8.9656474141184307E-3</v>
      </c>
      <c r="K779" s="53">
        <v>4.2601704068163703E-3</v>
      </c>
      <c r="L779" s="95">
        <f>IFERROR(B779*'Stock Statistics'!$C$41+C779*'Stock Statistics'!$C$42+D779*'Stock Statistics'!$C$43+E779*'Stock Statistics'!$C$44+F779*'Stock Statistics'!$C$45+G779*'Stock Statistics'!$C$46+H779*'Stock Statistics'!$C$47+I779*'Stock Statistics'!$C$48+J779*'Stock Statistics'!$C$49+K779*'Stock Statistics'!$C$50,"")</f>
        <v>-1.6679507479345141E-3</v>
      </c>
      <c r="M779" s="97">
        <v>248.01390000000001</v>
      </c>
      <c r="N779" s="96">
        <v>306.4615</v>
      </c>
      <c r="O779" s="93">
        <f t="shared" si="36"/>
        <v>-5.1053686800653919E-3</v>
      </c>
      <c r="P779" s="93">
        <f t="shared" si="37"/>
        <v>-4.1140294578808634E-3</v>
      </c>
      <c r="Q779" s="93">
        <f>B779*'Portfolio 2 &amp; 3'!$F$7+C779*'Portfolio 2 &amp; 3'!$F$8+D779*'Portfolio 2 &amp; 3'!$F$9+E779*'Portfolio 2 &amp; 3'!$F$10+F779*'Portfolio 2 &amp; 3'!$F$11+G779*'Portfolio 2 &amp; 3'!$F$12+H779*'Portfolio 2 &amp; 3'!$F$13+I779*'Portfolio 2 &amp; 3'!$F$14+J779*'Portfolio 2 &amp; 3'!$F$15+K779*'Portfolio 2 &amp; 3'!$F$16</f>
        <v>-2.3451998778648451E-3</v>
      </c>
      <c r="R779" s="93">
        <f>B779*'Portfolio 2 &amp; 3'!$B$23+C779*'Portfolio 2 &amp; 3'!$B$24+D779*'Portfolio 2 &amp; 3'!$B$25+E779*'Portfolio 2 &amp; 3'!$B$26+F779*'Portfolio 2 &amp; 3'!$B$27+G779*'Portfolio 2 &amp; 3'!$B$28+H779*'Portfolio 2 &amp; 3'!$B$29+I779*'Portfolio 2 &amp; 3'!$B$30+J779*'Portfolio 2 &amp; 3'!$B$31+K779*'Portfolio 2 &amp; 3'!$B$32</f>
        <v>-1.0495221677084112E-3</v>
      </c>
      <c r="S779" s="93">
        <f t="shared" si="38"/>
        <v>-4.6096990689731276E-3</v>
      </c>
    </row>
    <row r="780" spans="1:19" ht="12.75" customHeight="1">
      <c r="A780" s="81">
        <v>44936</v>
      </c>
      <c r="B780" s="53">
        <v>-9.2999999999999992E-3</v>
      </c>
      <c r="C780" s="53">
        <v>4.7764647549788401E-3</v>
      </c>
      <c r="D780" s="53">
        <v>-2.6812646631660898E-3</v>
      </c>
      <c r="E780" s="53">
        <v>1.1299999999999999E-3</v>
      </c>
      <c r="F780" s="53">
        <v>2.9951582029050801E-2</v>
      </c>
      <c r="G780" s="53">
        <v>-3.5117110731660598E-3</v>
      </c>
      <c r="H780" s="87">
        <v>1.1426828409864399E-2</v>
      </c>
      <c r="I780" s="53">
        <v>3.7320666925166899E-3</v>
      </c>
      <c r="J780" s="53">
        <v>-7.63287286349812E-3</v>
      </c>
      <c r="K780" s="53">
        <v>-5.5195870752155997E-3</v>
      </c>
      <c r="L780" s="95">
        <f>IFERROR(B780*'Stock Statistics'!$C$41+C780*'Stock Statistics'!$C$42+D780*'Stock Statistics'!$C$43+E780*'Stock Statistics'!$C$44+F780*'Stock Statistics'!$C$45+G780*'Stock Statistics'!$C$46+H780*'Stock Statistics'!$C$47+I780*'Stock Statistics'!$C$48+J780*'Stock Statistics'!$C$49+K780*'Stock Statistics'!$C$50,"")</f>
        <v>2.2371506211364862E-3</v>
      </c>
      <c r="M780" s="96">
        <v>249.28659999999999</v>
      </c>
      <c r="N780" s="97">
        <v>307.72750000000002</v>
      </c>
      <c r="O780" s="93">
        <f t="shared" si="36"/>
        <v>-2.5439896543888452E-3</v>
      </c>
      <c r="P780" s="93">
        <f t="shared" si="37"/>
        <v>-2.4733338627931367E-3</v>
      </c>
      <c r="Q780" s="93">
        <f>B780*'Portfolio 2 &amp; 3'!$F$7+C780*'Portfolio 2 &amp; 3'!$F$8+D780*'Portfolio 2 &amp; 3'!$F$9+E780*'Portfolio 2 &amp; 3'!$F$10+F780*'Portfolio 2 &amp; 3'!$F$11+G780*'Portfolio 2 &amp; 3'!$F$12+H780*'Portfolio 2 &amp; 3'!$F$13+I780*'Portfolio 2 &amp; 3'!$F$14+J780*'Portfolio 2 &amp; 3'!$F$15+K780*'Portfolio 2 &amp; 3'!$F$16</f>
        <v>3.1036171417284327E-3</v>
      </c>
      <c r="R780" s="93">
        <f>B780*'Portfolio 2 &amp; 3'!$B$23+C780*'Portfolio 2 &amp; 3'!$B$24+D780*'Portfolio 2 &amp; 3'!$B$25+E780*'Portfolio 2 &amp; 3'!$B$26+F780*'Portfolio 2 &amp; 3'!$B$27+G780*'Portfolio 2 &amp; 3'!$B$28+H780*'Portfolio 2 &amp; 3'!$B$29+I780*'Portfolio 2 &amp; 3'!$B$30+J780*'Portfolio 2 &amp; 3'!$B$31+K780*'Portfolio 2 &amp; 3'!$B$32</f>
        <v>4.5366606277947663E-3</v>
      </c>
      <c r="S780" s="93">
        <f t="shared" si="38"/>
        <v>-2.5086617585909909E-3</v>
      </c>
    </row>
    <row r="781" spans="1:19" ht="12.75" customHeight="1">
      <c r="A781" s="82">
        <v>44935</v>
      </c>
      <c r="B781" s="53">
        <v>-2.8999999999999998E-3</v>
      </c>
      <c r="C781" s="53">
        <v>-1.17760428576096E-2</v>
      </c>
      <c r="D781" s="53">
        <v>-5.4444444444444696E-3</v>
      </c>
      <c r="E781" s="53">
        <v>-6.5199999999999998E-3</v>
      </c>
      <c r="F781" s="53">
        <v>3.0996052937079199E-2</v>
      </c>
      <c r="G781" s="53">
        <v>-8.5603858561982306E-3</v>
      </c>
      <c r="H781" s="87">
        <v>-6.2489798773521796E-3</v>
      </c>
      <c r="I781" s="53">
        <v>-1.2102435009924101E-3</v>
      </c>
      <c r="J781" s="53">
        <v>6.2196673420344996E-3</v>
      </c>
      <c r="K781" s="53">
        <v>1.40380600853174E-2</v>
      </c>
      <c r="L781" s="95">
        <f>IFERROR(B781*'Stock Statistics'!$C$41+C781*'Stock Statistics'!$C$42+D781*'Stock Statistics'!$C$43+E781*'Stock Statistics'!$C$44+F781*'Stock Statistics'!$C$45+G781*'Stock Statistics'!$C$46+H781*'Stock Statistics'!$C$47+I781*'Stock Statistics'!$C$48+J781*'Stock Statistics'!$C$49+K781*'Stock Statistics'!$C$50,"")</f>
        <v>8.5936838278342117E-4</v>
      </c>
      <c r="M781" s="97">
        <v>249.92240000000001</v>
      </c>
      <c r="N781" s="96">
        <v>308.4905</v>
      </c>
      <c r="O781" s="93">
        <f t="shared" si="36"/>
        <v>1.2447245247920069E-2</v>
      </c>
      <c r="P781" s="93">
        <f t="shared" si="37"/>
        <v>1.7148197312399915E-3</v>
      </c>
      <c r="Q781" s="93">
        <f>B781*'Portfolio 2 &amp; 3'!$F$7+C781*'Portfolio 2 &amp; 3'!$F$8+D781*'Portfolio 2 &amp; 3'!$F$9+E781*'Portfolio 2 &amp; 3'!$F$10+F781*'Portfolio 2 &amp; 3'!$F$11+G781*'Portfolio 2 &amp; 3'!$F$12+H781*'Portfolio 2 &amp; 3'!$F$13+I781*'Portfolio 2 &amp; 3'!$F$14+J781*'Portfolio 2 &amp; 3'!$F$15+K781*'Portfolio 2 &amp; 3'!$F$16</f>
        <v>1.076702396003527E-3</v>
      </c>
      <c r="R781" s="93">
        <f>B781*'Portfolio 2 &amp; 3'!$B$23+C781*'Portfolio 2 &amp; 3'!$B$24+D781*'Portfolio 2 &amp; 3'!$B$25+E781*'Portfolio 2 &amp; 3'!$B$26+F781*'Portfolio 2 &amp; 3'!$B$27+G781*'Portfolio 2 &amp; 3'!$B$28+H781*'Portfolio 2 &amp; 3'!$B$29+I781*'Portfolio 2 &amp; 3'!$B$30+J781*'Portfolio 2 &amp; 3'!$B$31+K781*'Portfolio 2 &amp; 3'!$B$32</f>
        <v>2.1923202100761026E-3</v>
      </c>
      <c r="S781" s="93">
        <f t="shared" si="38"/>
        <v>7.0810324895800303E-3</v>
      </c>
    </row>
    <row r="782" spans="1:19" ht="12.75" customHeight="1">
      <c r="A782" s="81">
        <v>44932</v>
      </c>
      <c r="B782" s="53">
        <v>1.01E-2</v>
      </c>
      <c r="C782" s="53">
        <v>5.5346614330997797E-3</v>
      </c>
      <c r="D782" s="53">
        <v>1.9137130562790101E-2</v>
      </c>
      <c r="E782" s="53">
        <v>7.8399999999999997E-3</v>
      </c>
      <c r="F782" s="53">
        <v>-3.7011334721258598E-3</v>
      </c>
      <c r="G782" s="53">
        <v>2.46557796990077E-3</v>
      </c>
      <c r="H782" s="87">
        <v>-1.04522381172127E-2</v>
      </c>
      <c r="I782" s="53">
        <v>4.7178988326848099E-3</v>
      </c>
      <c r="J782" s="53">
        <v>1.29343260786561E-2</v>
      </c>
      <c r="K782" s="53">
        <v>-3.11158011989036E-2</v>
      </c>
      <c r="L782" s="95">
        <f>IFERROR(B782*'Stock Statistics'!$C$41+C782*'Stock Statistics'!$C$42+D782*'Stock Statistics'!$C$43+E782*'Stock Statistics'!$C$44+F782*'Stock Statistics'!$C$45+G782*'Stock Statistics'!$C$46+H782*'Stock Statistics'!$C$47+I782*'Stock Statistics'!$C$48+J782*'Stock Statistics'!$C$49+K782*'Stock Statistics'!$C$50,"")</f>
        <v>1.7460422088889393E-3</v>
      </c>
      <c r="M782" s="96">
        <v>246.84979999999999</v>
      </c>
      <c r="N782" s="97">
        <v>307.9624</v>
      </c>
      <c r="O782" s="93">
        <f t="shared" si="36"/>
        <v>-1.0528054167870948E-2</v>
      </c>
      <c r="P782" s="93">
        <f t="shared" si="37"/>
        <v>-3.3840536866186488E-3</v>
      </c>
      <c r="Q782" s="93">
        <f>B782*'Portfolio 2 &amp; 3'!$F$7+C782*'Portfolio 2 &amp; 3'!$F$8+D782*'Portfolio 2 &amp; 3'!$F$9+E782*'Portfolio 2 &amp; 3'!$F$10+F782*'Portfolio 2 &amp; 3'!$F$11+G782*'Portfolio 2 &amp; 3'!$F$12+H782*'Portfolio 2 &amp; 3'!$F$13+I782*'Portfolio 2 &amp; 3'!$F$14+J782*'Portfolio 2 &amp; 3'!$F$15+K782*'Portfolio 2 &amp; 3'!$F$16</f>
        <v>2.2047330473260011E-3</v>
      </c>
      <c r="R782" s="93">
        <f>B782*'Portfolio 2 &amp; 3'!$B$23+C782*'Portfolio 2 &amp; 3'!$B$24+D782*'Portfolio 2 &amp; 3'!$B$25+E782*'Portfolio 2 &amp; 3'!$B$26+F782*'Portfolio 2 &amp; 3'!$B$27+G782*'Portfolio 2 &amp; 3'!$B$28+H782*'Portfolio 2 &amp; 3'!$B$29+I782*'Portfolio 2 &amp; 3'!$B$30+J782*'Portfolio 2 &amp; 3'!$B$31+K782*'Portfolio 2 &amp; 3'!$B$32</f>
        <v>9.4368288649327673E-4</v>
      </c>
      <c r="S782" s="93">
        <f t="shared" si="38"/>
        <v>-6.9560539272447985E-3</v>
      </c>
    </row>
    <row r="783" spans="1:19" ht="12.75" customHeight="1">
      <c r="A783" s="82">
        <v>44931</v>
      </c>
      <c r="B783" s="53">
        <v>7.7000000000000002E-3</v>
      </c>
      <c r="C783" s="53">
        <v>-1.1381717811333E-2</v>
      </c>
      <c r="D783" s="53">
        <v>-1.1310937676732901E-3</v>
      </c>
      <c r="E783" s="53">
        <v>1.085E-2</v>
      </c>
      <c r="F783" s="53">
        <v>1.99362982187095E-2</v>
      </c>
      <c r="G783" s="53">
        <v>9.6993210475266895E-3</v>
      </c>
      <c r="H783" s="87">
        <v>1.4572482003862601E-2</v>
      </c>
      <c r="I783" s="53">
        <v>1.5960863764392E-2</v>
      </c>
      <c r="J783" s="53">
        <v>-2.8831000278112699E-2</v>
      </c>
      <c r="K783" s="53">
        <v>-2.5814926396047901E-2</v>
      </c>
      <c r="L783" s="95">
        <f>IFERROR(B783*'Stock Statistics'!$C$41+C783*'Stock Statistics'!$C$42+D783*'Stock Statistics'!$C$43+E783*'Stock Statistics'!$C$44+F783*'Stock Statistics'!$C$45+G783*'Stock Statistics'!$C$46+H783*'Stock Statistics'!$C$47+I783*'Stock Statistics'!$C$48+J783*'Stock Statistics'!$C$49+K783*'Stock Statistics'!$C$50,"")</f>
        <v>1.1560226781323893E-3</v>
      </c>
      <c r="M783" s="97">
        <v>249.47630000000001</v>
      </c>
      <c r="N783" s="96">
        <v>309.00810000000001</v>
      </c>
      <c r="O783" s="93">
        <f t="shared" si="36"/>
        <v>5.7261286669658684E-3</v>
      </c>
      <c r="P783" s="93">
        <f t="shared" si="37"/>
        <v>9.1407944717292189E-4</v>
      </c>
      <c r="Q783" s="93">
        <f>B783*'Portfolio 2 &amp; 3'!$F$7+C783*'Portfolio 2 &amp; 3'!$F$8+D783*'Portfolio 2 &amp; 3'!$F$9+E783*'Portfolio 2 &amp; 3'!$F$10+F783*'Portfolio 2 &amp; 3'!$F$11+G783*'Portfolio 2 &amp; 3'!$F$12+H783*'Portfolio 2 &amp; 3'!$F$13+I783*'Portfolio 2 &amp; 3'!$F$14+J783*'Portfolio 2 &amp; 3'!$F$15+K783*'Portfolio 2 &amp; 3'!$F$16</f>
        <v>1.4236647429158788E-4</v>
      </c>
      <c r="R783" s="93">
        <f>B783*'Portfolio 2 &amp; 3'!$B$23+C783*'Portfolio 2 &amp; 3'!$B$24+D783*'Portfolio 2 &amp; 3'!$B$25+E783*'Portfolio 2 &amp; 3'!$B$26+F783*'Portfolio 2 &amp; 3'!$B$27+G783*'Portfolio 2 &amp; 3'!$B$28+H783*'Portfolio 2 &amp; 3'!$B$29+I783*'Portfolio 2 &amp; 3'!$B$30+J783*'Portfolio 2 &amp; 3'!$B$31+K783*'Portfolio 2 &amp; 3'!$B$32</f>
        <v>4.2754204307352585E-3</v>
      </c>
      <c r="S783" s="93">
        <f t="shared" si="38"/>
        <v>3.3201040570693952E-3</v>
      </c>
    </row>
    <row r="784" spans="1:19" ht="12.75" customHeight="1">
      <c r="A784" s="81">
        <v>44930</v>
      </c>
      <c r="B784" s="53">
        <v>1.18E-2</v>
      </c>
      <c r="C784" s="53">
        <v>9.7052362372536099E-3</v>
      </c>
      <c r="D784" s="53">
        <v>-4.16760531651261E-3</v>
      </c>
      <c r="E784" s="53">
        <v>-5.3899999999999998E-3</v>
      </c>
      <c r="F784" s="53">
        <v>-1.88390439185204E-3</v>
      </c>
      <c r="G784" s="53">
        <v>-9.4475580464371493E-3</v>
      </c>
      <c r="H784" s="87">
        <v>-5.9918557300756596E-3</v>
      </c>
      <c r="I784" s="53">
        <v>-4.9171460884103197E-3</v>
      </c>
      <c r="J784" s="53">
        <v>-8.0463469584808305E-3</v>
      </c>
      <c r="K784" s="53">
        <v>1.2241653418124001E-2</v>
      </c>
      <c r="L784" s="95">
        <f>IFERROR(B784*'Stock Statistics'!$C$41+C784*'Stock Statistics'!$C$42+D784*'Stock Statistics'!$C$43+E784*'Stock Statistics'!$C$44+F784*'Stock Statistics'!$C$45+G784*'Stock Statistics'!$C$46+H784*'Stock Statistics'!$C$47+I784*'Stock Statistics'!$C$48+J784*'Stock Statistics'!$C$49+K784*'Stock Statistics'!$C$50,"")</f>
        <v>-6.0975268763910004E-4</v>
      </c>
      <c r="M784" s="96">
        <v>248.05590000000001</v>
      </c>
      <c r="N784" s="97">
        <v>308.72590000000002</v>
      </c>
      <c r="O784" s="93">
        <f t="shared" si="36"/>
        <v>-3.4021326405860863E-3</v>
      </c>
      <c r="P784" s="93">
        <f t="shared" si="37"/>
        <v>-6.5983110048538629E-3</v>
      </c>
      <c r="Q784" s="93">
        <f>B784*'Portfolio 2 &amp; 3'!$F$7+C784*'Portfolio 2 &amp; 3'!$F$8+D784*'Portfolio 2 &amp; 3'!$F$9+E784*'Portfolio 2 &amp; 3'!$F$10+F784*'Portfolio 2 &amp; 3'!$F$11+G784*'Portfolio 2 &amp; 3'!$F$12+H784*'Portfolio 2 &amp; 3'!$F$13+I784*'Portfolio 2 &amp; 3'!$F$14+J784*'Portfolio 2 &amp; 3'!$F$15+K784*'Portfolio 2 &amp; 3'!$F$16</f>
        <v>-1.5329025258445693E-3</v>
      </c>
      <c r="R784" s="93">
        <f>B784*'Portfolio 2 &amp; 3'!$B$23+C784*'Portfolio 2 &amp; 3'!$B$24+D784*'Portfolio 2 &amp; 3'!$B$25+E784*'Portfolio 2 &amp; 3'!$B$26+F784*'Portfolio 2 &amp; 3'!$B$27+G784*'Portfolio 2 &amp; 3'!$B$28+H784*'Portfolio 2 &amp; 3'!$B$29+I784*'Portfolio 2 &amp; 3'!$B$30+J784*'Portfolio 2 &amp; 3'!$B$31+K784*'Portfolio 2 &amp; 3'!$B$32</f>
        <v>1.4601714951894245E-3</v>
      </c>
      <c r="S784" s="93">
        <f t="shared" si="38"/>
        <v>-5.0002218227199746E-3</v>
      </c>
    </row>
    <row r="785" spans="1:19" ht="12.75" customHeight="1">
      <c r="A785" s="82">
        <v>44929</v>
      </c>
      <c r="B785" s="53">
        <v>1.14E-2</v>
      </c>
      <c r="C785" s="53">
        <v>6.1193857522225999E-3</v>
      </c>
      <c r="D785" s="53">
        <v>6.1196736174069502E-3</v>
      </c>
      <c r="E785" s="53">
        <v>9.8600000000000007E-3</v>
      </c>
      <c r="F785" s="53">
        <v>1.08307545822421E-2</v>
      </c>
      <c r="G785" s="53">
        <v>8.5594315245478593E-3</v>
      </c>
      <c r="H785" s="87">
        <v>1.03444222405078E-2</v>
      </c>
      <c r="I785" s="53">
        <v>8.0797065529889505E-3</v>
      </c>
      <c r="J785" s="53">
        <v>1.0312630649881801E-2</v>
      </c>
      <c r="K785" s="53">
        <v>7.1617805467407702E-3</v>
      </c>
      <c r="L785" s="95">
        <f>IFERROR(B785*'Stock Statistics'!$C$41+C785*'Stock Statistics'!$C$42+D785*'Stock Statistics'!$C$43+E785*'Stock Statistics'!$C$44+F785*'Stock Statistics'!$C$45+G785*'Stock Statistics'!$C$46+H785*'Stock Statistics'!$C$47+I785*'Stock Statistics'!$C$48+J785*'Stock Statistics'!$C$49+K785*'Stock Statistics'!$C$50,"")</f>
        <v>8.878778546653884E-3</v>
      </c>
      <c r="M785" s="97">
        <v>248.90270000000001</v>
      </c>
      <c r="N785" s="96">
        <v>310.7765</v>
      </c>
      <c r="O785" s="93">
        <f t="shared" si="36"/>
        <v>5.3039405952191032E-3</v>
      </c>
      <c r="P785" s="93">
        <f t="shared" si="37"/>
        <v>-9.8449500026284165E-3</v>
      </c>
      <c r="Q785" s="93">
        <f>B785*'Portfolio 2 &amp; 3'!$F$7+C785*'Portfolio 2 &amp; 3'!$F$8+D785*'Portfolio 2 &amp; 3'!$F$9+E785*'Portfolio 2 &amp; 3'!$F$10+F785*'Portfolio 2 &amp; 3'!$F$11+G785*'Portfolio 2 &amp; 3'!$F$12+H785*'Portfolio 2 &amp; 3'!$F$13+I785*'Portfolio 2 &amp; 3'!$F$14+J785*'Portfolio 2 &amp; 3'!$F$15+K785*'Portfolio 2 &amp; 3'!$F$16</f>
        <v>8.9117713828964253E-3</v>
      </c>
      <c r="R785" s="93">
        <f>B785*'Portfolio 2 &amp; 3'!$B$23+C785*'Portfolio 2 &amp; 3'!$B$24+D785*'Portfolio 2 &amp; 3'!$B$25+E785*'Portfolio 2 &amp; 3'!$B$26+F785*'Portfolio 2 &amp; 3'!$B$27+G785*'Portfolio 2 &amp; 3'!$B$28+H785*'Portfolio 2 &amp; 3'!$B$29+I785*'Portfolio 2 &amp; 3'!$B$30+J785*'Portfolio 2 &amp; 3'!$B$31+K785*'Portfolio 2 &amp; 3'!$B$32</f>
        <v>8.6729939370159843E-3</v>
      </c>
      <c r="S785" s="93">
        <f t="shared" si="38"/>
        <v>-2.2705047037046566E-3</v>
      </c>
    </row>
    <row r="786" spans="1:19" ht="12.75" customHeight="1">
      <c r="A786" s="81">
        <v>44928</v>
      </c>
      <c r="B786" s="53">
        <v>3.3E-3</v>
      </c>
      <c r="C786" s="53">
        <v>-3.8448267363336802E-3</v>
      </c>
      <c r="D786" s="53">
        <v>-2.2660321776579701E-4</v>
      </c>
      <c r="E786" s="53">
        <v>-4.5399999999999998E-3</v>
      </c>
      <c r="F786" s="53">
        <v>3.57185379211922E-4</v>
      </c>
      <c r="G786" s="53">
        <v>2.1039003074931899E-3</v>
      </c>
      <c r="H786" s="87">
        <v>3.57450422924011E-3</v>
      </c>
      <c r="I786" s="53">
        <v>-7.3804369218657398E-3</v>
      </c>
      <c r="J786" s="53">
        <v>-1.10258648412734E-2</v>
      </c>
      <c r="K786" s="53">
        <v>-7.7848549186128099E-3</v>
      </c>
      <c r="L786" s="95">
        <f>IFERROR(B786*'Stock Statistics'!$C$41+C786*'Stock Statistics'!$C$42+D786*'Stock Statistics'!$C$43+E786*'Stock Statistics'!$C$44+F786*'Stock Statistics'!$C$45+G786*'Stock Statistics'!$C$46+H786*'Stock Statistics'!$C$47+I786*'Stock Statistics'!$C$48+J786*'Stock Statistics'!$C$49+K786*'Stock Statistics'!$C$50,"")</f>
        <v>-2.5466996719906206E-3</v>
      </c>
      <c r="M786" s="96">
        <v>247.58949999999999</v>
      </c>
      <c r="N786" s="97">
        <v>313.86649999999997</v>
      </c>
      <c r="O786" s="93">
        <f t="shared" si="36"/>
        <v>1.009746069047246E-5</v>
      </c>
      <c r="P786" s="93">
        <f t="shared" si="37"/>
        <v>-4.8147502259143771E-3</v>
      </c>
      <c r="Q786" s="93">
        <f>B786*'Portfolio 2 &amp; 3'!$F$7+C786*'Portfolio 2 &amp; 3'!$F$8+D786*'Portfolio 2 &amp; 3'!$F$9+E786*'Portfolio 2 &amp; 3'!$F$10+F786*'Portfolio 2 &amp; 3'!$F$11+G786*'Portfolio 2 &amp; 3'!$F$12+H786*'Portfolio 2 &amp; 3'!$F$13+I786*'Portfolio 2 &amp; 3'!$F$14+J786*'Portfolio 2 &amp; 3'!$F$15+K786*'Portfolio 2 &amp; 3'!$F$16</f>
        <v>-2.620082528529155E-3</v>
      </c>
      <c r="R786" s="93">
        <f>B786*'Portfolio 2 &amp; 3'!$B$23+C786*'Portfolio 2 &amp; 3'!$B$24+D786*'Portfolio 2 &amp; 3'!$B$25+E786*'Portfolio 2 &amp; 3'!$B$26+F786*'Portfolio 2 &amp; 3'!$B$27+G786*'Portfolio 2 &amp; 3'!$B$28+H786*'Portfolio 2 &amp; 3'!$B$29+I786*'Portfolio 2 &amp; 3'!$B$30+J786*'Portfolio 2 &amp; 3'!$B$31+K786*'Portfolio 2 &amp; 3'!$B$32</f>
        <v>-2.7859824993057654E-3</v>
      </c>
      <c r="S786" s="93">
        <f t="shared" si="38"/>
        <v>-2.4023263826119523E-3</v>
      </c>
    </row>
    <row r="787" spans="1:19" ht="12.75" customHeight="1">
      <c r="A787" s="82">
        <v>44925</v>
      </c>
      <c r="B787" s="53">
        <v>-1.6500000000000001E-2</v>
      </c>
      <c r="C787" s="53">
        <v>5.9835699763632899E-3</v>
      </c>
      <c r="D787" s="53">
        <v>1.49494020239191E-2</v>
      </c>
      <c r="E787" s="53">
        <v>8.1300000000000001E-3</v>
      </c>
      <c r="F787" s="53">
        <v>6.2297831556246096E-3</v>
      </c>
      <c r="G787" s="53">
        <v>-2.6149276859504002E-3</v>
      </c>
      <c r="H787" s="87">
        <v>7.7921157955640496E-4</v>
      </c>
      <c r="I787" s="53">
        <v>1.2050592570461E-2</v>
      </c>
      <c r="J787" s="53">
        <v>2.0104977036273099E-2</v>
      </c>
      <c r="K787" s="53">
        <v>7.6552517064225603E-3</v>
      </c>
      <c r="L787" s="95">
        <f>IFERROR(B787*'Stock Statistics'!$C$41+C787*'Stock Statistics'!$C$42+D787*'Stock Statistics'!$C$43+E787*'Stock Statistics'!$C$44+F787*'Stock Statistics'!$C$45+G787*'Stock Statistics'!$C$46+H787*'Stock Statistics'!$C$47+I787*'Stock Statistics'!$C$48+J787*'Stock Statistics'!$C$49+K787*'Stock Statistics'!$C$50,"")</f>
        <v>5.6767860362669665E-3</v>
      </c>
      <c r="M787" s="97">
        <v>247.58699999999999</v>
      </c>
      <c r="N787" s="96">
        <v>315.38499999999999</v>
      </c>
      <c r="O787" s="93">
        <f t="shared" si="36"/>
        <v>-6.6975211067801244E-3</v>
      </c>
      <c r="P787" s="93">
        <f t="shared" si="37"/>
        <v>2.5814079431189185E-2</v>
      </c>
      <c r="Q787" s="93">
        <f>B787*'Portfolio 2 &amp; 3'!$F$7+C787*'Portfolio 2 &amp; 3'!$F$8+D787*'Portfolio 2 &amp; 3'!$F$9+E787*'Portfolio 2 &amp; 3'!$F$10+F787*'Portfolio 2 &amp; 3'!$F$11+G787*'Portfolio 2 &amp; 3'!$F$12+H787*'Portfolio 2 &amp; 3'!$F$13+I787*'Portfolio 2 &amp; 3'!$F$14+J787*'Portfolio 2 &amp; 3'!$F$15+K787*'Portfolio 2 &amp; 3'!$F$16</f>
        <v>7.2414585352037703E-3</v>
      </c>
      <c r="R787" s="93">
        <f>B787*'Portfolio 2 &amp; 3'!$B$23+C787*'Portfolio 2 &amp; 3'!$B$24+D787*'Portfolio 2 &amp; 3'!$B$25+E787*'Portfolio 2 &amp; 3'!$B$26+F787*'Portfolio 2 &amp; 3'!$B$27+G787*'Portfolio 2 &amp; 3'!$B$28+H787*'Portfolio 2 &amp; 3'!$B$29+I787*'Portfolio 2 &amp; 3'!$B$30+J787*'Portfolio 2 &amp; 3'!$B$31+K787*'Portfolio 2 &amp; 3'!$B$32</f>
        <v>4.1815270040483511E-3</v>
      </c>
      <c r="S787" s="93">
        <f t="shared" si="38"/>
        <v>9.5582791622045304E-3</v>
      </c>
    </row>
    <row r="788" spans="1:19" ht="12.75" customHeight="1">
      <c r="A788" s="81">
        <v>44924</v>
      </c>
      <c r="B788" s="53">
        <v>3.8E-3</v>
      </c>
      <c r="C788" s="53">
        <v>-1.27113048071859E-3</v>
      </c>
      <c r="D788" s="53">
        <v>-7.9853981291353494E-3</v>
      </c>
      <c r="E788" s="53">
        <v>-2.7899999999999999E-3</v>
      </c>
      <c r="F788" s="53">
        <v>5.0571944611679199E-3</v>
      </c>
      <c r="G788" s="53">
        <v>-1.1608409647877499E-3</v>
      </c>
      <c r="H788" s="87">
        <v>-5.8996354025320197E-4</v>
      </c>
      <c r="I788" s="53">
        <v>-4.9549103161232698E-3</v>
      </c>
      <c r="J788" s="53">
        <v>-8.36508969235061E-3</v>
      </c>
      <c r="K788" s="53">
        <v>1.2540524609490299E-2</v>
      </c>
      <c r="L788" s="95">
        <f>IFERROR(B788*'Stock Statistics'!$C$41+C788*'Stock Statistics'!$C$42+D788*'Stock Statistics'!$C$43+E788*'Stock Statistics'!$C$44+F788*'Stock Statistics'!$C$45+G788*'Stock Statistics'!$C$46+H788*'Stock Statistics'!$C$47+I788*'Stock Statistics'!$C$48+J788*'Stock Statistics'!$C$49+K788*'Stock Statistics'!$C$50,"")</f>
        <v>-5.7196140527105517E-4</v>
      </c>
      <c r="M788" s="96">
        <v>249.25640000000001</v>
      </c>
      <c r="N788" s="97">
        <v>307.44850000000002</v>
      </c>
      <c r="O788" s="93">
        <f t="shared" si="36"/>
        <v>5.8566187701545314E-3</v>
      </c>
      <c r="P788" s="93">
        <f t="shared" si="37"/>
        <v>-3.9489107045316274E-3</v>
      </c>
      <c r="Q788" s="93">
        <f>B788*'Portfolio 2 &amp; 3'!$F$7+C788*'Portfolio 2 &amp; 3'!$F$8+D788*'Portfolio 2 &amp; 3'!$F$9+E788*'Portfolio 2 &amp; 3'!$F$10+F788*'Portfolio 2 &amp; 3'!$F$11+G788*'Portfolio 2 &amp; 3'!$F$12+H788*'Portfolio 2 &amp; 3'!$F$13+I788*'Portfolio 2 &amp; 3'!$F$14+J788*'Portfolio 2 &amp; 3'!$F$15+K788*'Portfolio 2 &amp; 3'!$F$16</f>
        <v>-1.4254860732200801E-3</v>
      </c>
      <c r="R788" s="93">
        <f>B788*'Portfolio 2 &amp; 3'!$B$23+C788*'Portfolio 2 &amp; 3'!$B$24+D788*'Portfolio 2 &amp; 3'!$B$25+E788*'Portfolio 2 &amp; 3'!$B$26+F788*'Portfolio 2 &amp; 3'!$B$27+G788*'Portfolio 2 &amp; 3'!$B$28+H788*'Portfolio 2 &amp; 3'!$B$29+I788*'Portfolio 2 &amp; 3'!$B$30+J788*'Portfolio 2 &amp; 3'!$B$31+K788*'Portfolio 2 &amp; 3'!$B$32</f>
        <v>3.8621229918951727E-4</v>
      </c>
      <c r="S788" s="93">
        <f t="shared" si="38"/>
        <v>9.5385403281145198E-4</v>
      </c>
    </row>
    <row r="789" spans="1:19" ht="12.75" customHeight="1">
      <c r="A789" s="82">
        <v>44923</v>
      </c>
      <c r="B789" s="53">
        <v>8.0000000000000004E-4</v>
      </c>
      <c r="C789" s="53">
        <v>9.2131349649300399E-3</v>
      </c>
      <c r="D789" s="53">
        <v>2.6306759693470699E-3</v>
      </c>
      <c r="E789" s="53">
        <v>-1.5169999999999999E-2</v>
      </c>
      <c r="F789" s="53">
        <v>-9.6589554018602398E-3</v>
      </c>
      <c r="G789" s="53">
        <v>-6.9486695059081099E-3</v>
      </c>
      <c r="H789" s="87">
        <v>-5.4100361451439004E-3</v>
      </c>
      <c r="I789" s="53">
        <v>1.2136409227683E-2</v>
      </c>
      <c r="J789" s="53">
        <v>4.6220645221533001E-3</v>
      </c>
      <c r="K789" s="53">
        <v>6.0338309637821804E-3</v>
      </c>
      <c r="L789" s="95">
        <f>IFERROR(B789*'Stock Statistics'!$C$41+C789*'Stock Statistics'!$C$42+D789*'Stock Statistics'!$C$43+E789*'Stock Statistics'!$C$44+F789*'Stock Statistics'!$C$45+G789*'Stock Statistics'!$C$46+H789*'Stock Statistics'!$C$47+I789*'Stock Statistics'!$C$48+J789*'Stock Statistics'!$C$49+K789*'Stock Statistics'!$C$50,"")</f>
        <v>-1.7515454050166617E-4</v>
      </c>
      <c r="M789" s="97">
        <v>247.80510000000001</v>
      </c>
      <c r="N789" s="96">
        <v>308.66739999999999</v>
      </c>
      <c r="O789" s="93">
        <f t="shared" si="36"/>
        <v>-2.0245034590132827E-3</v>
      </c>
      <c r="P789" s="93">
        <f t="shared" si="37"/>
        <v>1.5522942090728797E-3</v>
      </c>
      <c r="Q789" s="93">
        <f>B789*'Portfolio 2 &amp; 3'!$F$7+C789*'Portfolio 2 &amp; 3'!$F$8+D789*'Portfolio 2 &amp; 3'!$F$9+E789*'Portfolio 2 &amp; 3'!$F$10+F789*'Portfolio 2 &amp; 3'!$F$11+G789*'Portfolio 2 &amp; 3'!$F$12+H789*'Portfolio 2 &amp; 3'!$F$13+I789*'Portfolio 2 &amp; 3'!$F$14+J789*'Portfolio 2 &amp; 3'!$F$15+K789*'Portfolio 2 &amp; 3'!$F$16</f>
        <v>1.1219919823783847E-4</v>
      </c>
      <c r="R789" s="93">
        <f>B789*'Portfolio 2 &amp; 3'!$B$23+C789*'Portfolio 2 &amp; 3'!$B$24+D789*'Portfolio 2 &amp; 3'!$B$25+E789*'Portfolio 2 &amp; 3'!$B$26+F789*'Portfolio 2 &amp; 3'!$B$27+G789*'Portfolio 2 &amp; 3'!$B$28+H789*'Portfolio 2 &amp; 3'!$B$29+I789*'Portfolio 2 &amp; 3'!$B$30+J789*'Portfolio 2 &amp; 3'!$B$31+K789*'Portfolio 2 &amp; 3'!$B$32</f>
        <v>3.1822190440478921E-3</v>
      </c>
      <c r="S789" s="93">
        <f t="shared" si="38"/>
        <v>-2.3610462497020146E-4</v>
      </c>
    </row>
    <row r="790" spans="1:19" ht="12.75" customHeight="1">
      <c r="A790" s="81">
        <v>44922</v>
      </c>
      <c r="B790" s="53">
        <v>-6.7999999999999996E-3</v>
      </c>
      <c r="C790" s="53">
        <v>-1.1814823443271299E-3</v>
      </c>
      <c r="D790" s="53">
        <v>-6.9286687869151197E-3</v>
      </c>
      <c r="E790" s="53">
        <v>4.4999999999999997E-3</v>
      </c>
      <c r="F790" s="53">
        <v>-3.4462269756386798E-3</v>
      </c>
      <c r="G790" s="53">
        <v>-8.7919761315304896E-3</v>
      </c>
      <c r="H790" s="87">
        <v>1.8458644406560401E-3</v>
      </c>
      <c r="I790" s="53">
        <v>-4.3938486119432501E-3</v>
      </c>
      <c r="J790" s="53">
        <v>-4.6470560899669602E-3</v>
      </c>
      <c r="K790" s="53">
        <v>-1.18803468885502E-2</v>
      </c>
      <c r="L790" s="95">
        <f>IFERROR(B790*'Stock Statistics'!$C$41+C790*'Stock Statistics'!$C$42+D790*'Stock Statistics'!$C$43+E790*'Stock Statistics'!$C$44+F790*'Stock Statistics'!$C$45+G790*'Stock Statistics'!$C$46+H790*'Stock Statistics'!$C$47+I790*'Stock Statistics'!$C$48+J790*'Stock Statistics'!$C$49+K790*'Stock Statistics'!$C$50,"")</f>
        <v>-4.1723741388215788E-3</v>
      </c>
      <c r="M790" s="96">
        <v>248.30779999999999</v>
      </c>
      <c r="N790" s="97">
        <v>308.18900000000002</v>
      </c>
      <c r="O790" s="93">
        <f t="shared" si="36"/>
        <v>-1.8844023827224721E-4</v>
      </c>
      <c r="P790" s="93">
        <f t="shared" si="37"/>
        <v>-1.1034641657336586E-2</v>
      </c>
      <c r="Q790" s="93">
        <f>B790*'Portfolio 2 &amp; 3'!$F$7+C790*'Portfolio 2 &amp; 3'!$F$8+D790*'Portfolio 2 &amp; 3'!$F$9+E790*'Portfolio 2 &amp; 3'!$F$10+F790*'Portfolio 2 &amp; 3'!$F$11+G790*'Portfolio 2 &amp; 3'!$F$12+H790*'Portfolio 2 &amp; 3'!$F$13+I790*'Portfolio 2 &amp; 3'!$F$14+J790*'Portfolio 2 &amp; 3'!$F$15+K790*'Portfolio 2 &amp; 3'!$F$16</f>
        <v>-3.6818028543687919E-3</v>
      </c>
      <c r="R790" s="93">
        <f>B790*'Portfolio 2 &amp; 3'!$B$23+C790*'Portfolio 2 &amp; 3'!$B$24+D790*'Portfolio 2 &amp; 3'!$B$25+E790*'Portfolio 2 &amp; 3'!$B$26+F790*'Portfolio 2 &amp; 3'!$B$27+G790*'Portfolio 2 &amp; 3'!$B$28+H790*'Portfolio 2 &amp; 3'!$B$29+I790*'Portfolio 2 &amp; 3'!$B$30+J790*'Portfolio 2 &amp; 3'!$B$31+K790*'Portfolio 2 &amp; 3'!$B$32</f>
        <v>-4.9153289392723587E-3</v>
      </c>
      <c r="S790" s="93">
        <f t="shared" si="38"/>
        <v>-5.6115409478044165E-3</v>
      </c>
    </row>
    <row r="791" spans="1:19" ht="12.75" customHeight="1">
      <c r="A791" s="82">
        <v>44921</v>
      </c>
      <c r="B791" s="53">
        <v>-1.1000000000000001E-3</v>
      </c>
      <c r="C791" s="53">
        <v>4.8281028885366301E-4</v>
      </c>
      <c r="D791" s="53">
        <v>-3.3959701154630002E-3</v>
      </c>
      <c r="E791" s="53">
        <v>-1.3390000000000001E-2</v>
      </c>
      <c r="F791" s="53">
        <v>1.0706638115631801E-3</v>
      </c>
      <c r="G791" s="53">
        <v>-4.0147946764456099E-3</v>
      </c>
      <c r="H791" s="87">
        <v>4.4696942964339602E-4</v>
      </c>
      <c r="I791" s="53">
        <v>8.4953275698373997E-4</v>
      </c>
      <c r="J791" s="53">
        <v>-1.0666176267757701E-2</v>
      </c>
      <c r="K791" s="53">
        <v>2.93066057089231E-4</v>
      </c>
      <c r="L791" s="95">
        <f>IFERROR(B791*'Stock Statistics'!$C$41+C791*'Stock Statistics'!$C$42+D791*'Stock Statistics'!$C$43+E791*'Stock Statistics'!$C$44+F791*'Stock Statistics'!$C$45+G791*'Stock Statistics'!$C$46+H791*'Stock Statistics'!$C$47+I791*'Stock Statistics'!$C$48+J791*'Stock Statistics'!$C$49+K791*'Stock Statistics'!$C$50,"")</f>
        <v>-2.9423898715533101E-3</v>
      </c>
      <c r="M791" s="97">
        <v>248.3546</v>
      </c>
      <c r="N791" s="96">
        <v>311.6277</v>
      </c>
      <c r="O791" s="93">
        <f t="shared" si="36"/>
        <v>4.9390209360105075E-3</v>
      </c>
      <c r="P791" s="93">
        <f t="shared" si="37"/>
        <v>-5.6354018490474278E-3</v>
      </c>
      <c r="Q791" s="93">
        <f>B791*'Portfolio 2 &amp; 3'!$F$7+C791*'Portfolio 2 &amp; 3'!$F$8+D791*'Portfolio 2 &amp; 3'!$F$9+E791*'Portfolio 2 &amp; 3'!$F$10+F791*'Portfolio 2 &amp; 3'!$F$11+G791*'Portfolio 2 &amp; 3'!$F$12+H791*'Portfolio 2 &amp; 3'!$F$13+I791*'Portfolio 2 &amp; 3'!$F$14+J791*'Portfolio 2 &amp; 3'!$F$15+K791*'Portfolio 2 &amp; 3'!$F$16</f>
        <v>-2.9449392951263315E-3</v>
      </c>
      <c r="R791" s="93">
        <f>B791*'Portfolio 2 &amp; 3'!$B$23+C791*'Portfolio 2 &amp; 3'!$B$24+D791*'Portfolio 2 &amp; 3'!$B$25+E791*'Portfolio 2 &amp; 3'!$B$26+F791*'Portfolio 2 &amp; 3'!$B$27+G791*'Portfolio 2 &amp; 3'!$B$28+H791*'Portfolio 2 &amp; 3'!$B$29+I791*'Portfolio 2 &amp; 3'!$B$30+J791*'Portfolio 2 &amp; 3'!$B$31+K791*'Portfolio 2 &amp; 3'!$B$32</f>
        <v>-4.5445476652795767E-4</v>
      </c>
      <c r="S791" s="93">
        <f t="shared" si="38"/>
        <v>-3.4819045651846015E-4</v>
      </c>
    </row>
    <row r="792" spans="1:19" ht="12.75" customHeight="1">
      <c r="A792" s="81">
        <v>44918</v>
      </c>
      <c r="B792" s="53">
        <v>-2.0999999999999999E-3</v>
      </c>
      <c r="C792" s="53">
        <v>-6.7796610169491602E-3</v>
      </c>
      <c r="D792" s="53">
        <v>1.02927721866424E-2</v>
      </c>
      <c r="E792" s="53">
        <v>2.3E-3</v>
      </c>
      <c r="F792" s="53">
        <v>-7.6732381064809098E-3</v>
      </c>
      <c r="G792" s="53">
        <v>7.6450164049310897E-3</v>
      </c>
      <c r="H792" s="87">
        <v>5.2958621663612405E-4</v>
      </c>
      <c r="I792" s="53">
        <v>5.5778894472360303E-3</v>
      </c>
      <c r="J792" s="53">
        <v>1.6117148646159799E-3</v>
      </c>
      <c r="K792" s="53">
        <v>-9.9090341955983003E-3</v>
      </c>
      <c r="L792" s="95">
        <f>IFERROR(B792*'Stock Statistics'!$C$41+C792*'Stock Statistics'!$C$42+D792*'Stock Statistics'!$C$43+E792*'Stock Statistics'!$C$44+F792*'Stock Statistics'!$C$45+G792*'Stock Statistics'!$C$46+H792*'Stock Statistics'!$C$47+I792*'Stock Statistics'!$C$48+J792*'Stock Statistics'!$C$49+K792*'Stock Statistics'!$C$50,"")</f>
        <v>1.4950458010332514E-4</v>
      </c>
      <c r="M792" s="96">
        <v>247.13399999999999</v>
      </c>
      <c r="N792" s="97">
        <v>313.3938</v>
      </c>
      <c r="O792" s="93">
        <f t="shared" si="36"/>
        <v>-1.541729647120893E-2</v>
      </c>
      <c r="P792" s="93">
        <f t="shared" si="37"/>
        <v>4.9124323658749081E-3</v>
      </c>
      <c r="Q792" s="93">
        <f>B792*'Portfolio 2 &amp; 3'!$F$7+C792*'Portfolio 2 &amp; 3'!$F$8+D792*'Portfolio 2 &amp; 3'!$F$9+E792*'Portfolio 2 &amp; 3'!$F$10+F792*'Portfolio 2 &amp; 3'!$F$11+G792*'Portfolio 2 &amp; 3'!$F$12+H792*'Portfolio 2 &amp; 3'!$F$13+I792*'Portfolio 2 &amp; 3'!$F$14+J792*'Portfolio 2 &amp; 3'!$F$15+K792*'Portfolio 2 &amp; 3'!$F$16</f>
        <v>3.8230002416749084E-4</v>
      </c>
      <c r="R792" s="93">
        <f>B792*'Portfolio 2 &amp; 3'!$B$23+C792*'Portfolio 2 &amp; 3'!$B$24+D792*'Portfolio 2 &amp; 3'!$B$25+E792*'Portfolio 2 &amp; 3'!$B$26+F792*'Portfolio 2 &amp; 3'!$B$27+G792*'Portfolio 2 &amp; 3'!$B$28+H792*'Portfolio 2 &amp; 3'!$B$29+I792*'Portfolio 2 &amp; 3'!$B$30+J792*'Portfolio 2 &amp; 3'!$B$31+K792*'Portfolio 2 &amp; 3'!$B$32</f>
        <v>-1.2355903885626087E-3</v>
      </c>
      <c r="S792" s="93">
        <f t="shared" si="38"/>
        <v>-5.252432052667011E-3</v>
      </c>
    </row>
    <row r="793" spans="1:19" ht="12.75" customHeight="1">
      <c r="A793" s="82">
        <v>44917</v>
      </c>
      <c r="B793" s="53">
        <v>1.3599999999999999E-2</v>
      </c>
      <c r="C793" s="53">
        <v>-1.4856565722384101E-2</v>
      </c>
      <c r="D793" s="53">
        <v>-6.8571428571429004E-4</v>
      </c>
      <c r="E793" s="53">
        <v>-2.4129999999999999E-2</v>
      </c>
      <c r="F793" s="53">
        <v>3.91087935529755E-3</v>
      </c>
      <c r="G793" s="53">
        <v>4.5760000000001399E-3</v>
      </c>
      <c r="H793" s="87">
        <v>-1.4348849888062599E-2</v>
      </c>
      <c r="I793" s="53">
        <v>-5.1492276158575699E-3</v>
      </c>
      <c r="J793" s="53">
        <v>-9.1709631792672407E-3</v>
      </c>
      <c r="K793" s="53">
        <v>-8.8435765436714105E-3</v>
      </c>
      <c r="L793" s="95">
        <f>IFERROR(B793*'Stock Statistics'!$C$41+C793*'Stock Statistics'!$C$42+D793*'Stock Statistics'!$C$43+E793*'Stock Statistics'!$C$44+F793*'Stock Statistics'!$C$45+G793*'Stock Statistics'!$C$46+H793*'Stock Statistics'!$C$47+I793*'Stock Statistics'!$C$48+J793*'Stock Statistics'!$C$49+K793*'Stock Statistics'!$C$50,"")</f>
        <v>-5.5098017879659528E-3</v>
      </c>
      <c r="M793" s="97">
        <v>251.00380000000001</v>
      </c>
      <c r="N793" s="96">
        <v>311.86180000000002</v>
      </c>
      <c r="O793" s="93">
        <f t="shared" si="36"/>
        <v>1.8568903382742974E-4</v>
      </c>
      <c r="P793" s="93">
        <f t="shared" si="37"/>
        <v>1.7059030799084773E-3</v>
      </c>
      <c r="Q793" s="93">
        <f>B793*'Portfolio 2 &amp; 3'!$F$7+C793*'Portfolio 2 &amp; 3'!$F$8+D793*'Portfolio 2 &amp; 3'!$F$9+E793*'Portfolio 2 &amp; 3'!$F$10+F793*'Portfolio 2 &amp; 3'!$F$11+G793*'Portfolio 2 &amp; 3'!$F$12+H793*'Portfolio 2 &amp; 3'!$F$13+I793*'Portfolio 2 &amp; 3'!$F$14+J793*'Portfolio 2 &amp; 3'!$F$15+K793*'Portfolio 2 &amp; 3'!$F$16</f>
        <v>-6.5433912834765981E-3</v>
      </c>
      <c r="R793" s="93">
        <f>B793*'Portfolio 2 &amp; 3'!$B$23+C793*'Portfolio 2 &amp; 3'!$B$24+D793*'Portfolio 2 &amp; 3'!$B$25+E793*'Portfolio 2 &amp; 3'!$B$26+F793*'Portfolio 2 &amp; 3'!$B$27+G793*'Portfolio 2 &amp; 3'!$B$28+H793*'Portfolio 2 &amp; 3'!$B$29+I793*'Portfolio 2 &amp; 3'!$B$30+J793*'Portfolio 2 &amp; 3'!$B$31+K793*'Portfolio 2 &amp; 3'!$B$32</f>
        <v>-2.7058416632377959E-3</v>
      </c>
      <c r="S793" s="93">
        <f t="shared" si="38"/>
        <v>9.4579605686795354E-4</v>
      </c>
    </row>
    <row r="794" spans="1:19" ht="12.75" customHeight="1">
      <c r="A794" s="81">
        <v>44916</v>
      </c>
      <c r="B794" s="53">
        <v>3.1099999999999999E-2</v>
      </c>
      <c r="C794" s="53">
        <v>-3.8135730745513202E-3</v>
      </c>
      <c r="D794" s="53">
        <v>-2.0156774916013399E-2</v>
      </c>
      <c r="E794" s="53">
        <v>-1.721E-2</v>
      </c>
      <c r="F794" s="53">
        <v>2.56472590251609E-2</v>
      </c>
      <c r="G794" s="53">
        <v>-1.47860903559381E-2</v>
      </c>
      <c r="H794" s="87">
        <v>-8.9210783468414209E-3</v>
      </c>
      <c r="I794" s="53">
        <v>9.9995000250041599E-5</v>
      </c>
      <c r="J794" s="53">
        <v>-5.9279525763800101E-4</v>
      </c>
      <c r="K794" s="53">
        <v>1.40865608959402E-2</v>
      </c>
      <c r="L794" s="95">
        <f>IFERROR(B794*'Stock Statistics'!$C$41+C794*'Stock Statistics'!$C$42+D794*'Stock Statistics'!$C$43+E794*'Stock Statistics'!$C$44+F794*'Stock Statistics'!$C$45+G794*'Stock Statistics'!$C$46+H794*'Stock Statistics'!$C$47+I794*'Stock Statistics'!$C$48+J794*'Stock Statistics'!$C$49+K794*'Stock Statistics'!$C$50,"")</f>
        <v>5.4535029703688944E-4</v>
      </c>
      <c r="M794" s="96">
        <v>250.9572</v>
      </c>
      <c r="N794" s="97">
        <v>311.33069999999998</v>
      </c>
      <c r="O794" s="93">
        <f t="shared" si="36"/>
        <v>1.4268052503587869E-2</v>
      </c>
      <c r="P794" s="93">
        <f t="shared" si="37"/>
        <v>-4.735483895824677E-4</v>
      </c>
      <c r="Q794" s="93">
        <f>B794*'Portfolio 2 &amp; 3'!$F$7+C794*'Portfolio 2 &amp; 3'!$F$8+D794*'Portfolio 2 &amp; 3'!$F$9+E794*'Portfolio 2 &amp; 3'!$F$10+F794*'Portfolio 2 &amp; 3'!$F$11+G794*'Portfolio 2 &amp; 3'!$F$12+H794*'Portfolio 2 &amp; 3'!$F$13+I794*'Portfolio 2 &amp; 3'!$F$14+J794*'Portfolio 2 &amp; 3'!$F$15+K794*'Portfolio 2 &amp; 3'!$F$16</f>
        <v>-8.2744610314018576E-4</v>
      </c>
      <c r="R794" s="93">
        <f>B794*'Portfolio 2 &amp; 3'!$B$23+C794*'Portfolio 2 &amp; 3'!$B$24+D794*'Portfolio 2 &amp; 3'!$B$25+E794*'Portfolio 2 &amp; 3'!$B$26+F794*'Portfolio 2 &amp; 3'!$B$27+G794*'Portfolio 2 &amp; 3'!$B$28+H794*'Portfolio 2 &amp; 3'!$B$29+I794*'Portfolio 2 &amp; 3'!$B$30+J794*'Portfolio 2 &amp; 3'!$B$31+K794*'Portfolio 2 &amp; 3'!$B$32</f>
        <v>6.6042697882967094E-3</v>
      </c>
      <c r="S794" s="93">
        <f t="shared" si="38"/>
        <v>6.8972520570027007E-3</v>
      </c>
    </row>
    <row r="795" spans="1:19" ht="12.75" customHeight="1">
      <c r="A795" s="82">
        <v>44915</v>
      </c>
      <c r="B795" s="53">
        <v>5.9999999999999995E-4</v>
      </c>
      <c r="C795" s="53">
        <v>1.3669786646049601E-2</v>
      </c>
      <c r="D795" s="53">
        <v>-1.5652557319223999E-2</v>
      </c>
      <c r="E795" s="53">
        <v>1.4970000000000001E-2</v>
      </c>
      <c r="F795" s="53">
        <v>5.1313378130728501E-3</v>
      </c>
      <c r="G795" s="53">
        <v>1.8635502210993E-3</v>
      </c>
      <c r="H795" s="87">
        <v>-1.3227303150276299E-2</v>
      </c>
      <c r="I795" s="53">
        <v>-1.4976785981728499E-3</v>
      </c>
      <c r="J795" s="53">
        <v>-2.0238573917705501E-2</v>
      </c>
      <c r="K795" s="53">
        <v>-1.9908816761708598E-2</v>
      </c>
      <c r="L795" s="95">
        <f>IFERROR(B795*'Stock Statistics'!$C$41+C795*'Stock Statistics'!$C$42+D795*'Stock Statistics'!$C$43+E795*'Stock Statistics'!$C$44+F795*'Stock Statistics'!$C$45+G795*'Stock Statistics'!$C$46+H795*'Stock Statistics'!$C$47+I795*'Stock Statistics'!$C$48+J795*'Stock Statistics'!$C$49+K795*'Stock Statistics'!$C$50,"")</f>
        <v>-3.4290255066865504E-3</v>
      </c>
      <c r="M795" s="97">
        <v>247.42689999999999</v>
      </c>
      <c r="N795" s="96">
        <v>311.47820000000002</v>
      </c>
      <c r="O795" s="93">
        <f t="shared" si="36"/>
        <v>1.9969479843551241E-4</v>
      </c>
      <c r="P795" s="93">
        <f t="shared" si="37"/>
        <v>1.726692465748414E-3</v>
      </c>
      <c r="Q795" s="93">
        <f>B795*'Portfolio 2 &amp; 3'!$F$7+C795*'Portfolio 2 &amp; 3'!$F$8+D795*'Portfolio 2 &amp; 3'!$F$9+E795*'Portfolio 2 &amp; 3'!$F$10+F795*'Portfolio 2 &amp; 3'!$F$11+G795*'Portfolio 2 &amp; 3'!$F$12+H795*'Portfolio 2 &amp; 3'!$F$13+I795*'Portfolio 2 &amp; 3'!$F$14+J795*'Portfolio 2 &amp; 3'!$F$15+K795*'Portfolio 2 &amp; 3'!$F$16</f>
        <v>-5.806303377169854E-3</v>
      </c>
      <c r="R795" s="93">
        <f>B795*'Portfolio 2 &amp; 3'!$B$23+C795*'Portfolio 2 &amp; 3'!$B$24+D795*'Portfolio 2 &amp; 3'!$B$25+E795*'Portfolio 2 &amp; 3'!$B$26+F795*'Portfolio 2 &amp; 3'!$B$27+G795*'Portfolio 2 &amp; 3'!$B$28+H795*'Portfolio 2 &amp; 3'!$B$29+I795*'Portfolio 2 &amp; 3'!$B$30+J795*'Portfolio 2 &amp; 3'!$B$31+K795*'Portfolio 2 &amp; 3'!$B$32</f>
        <v>3.5971731679385879E-4</v>
      </c>
      <c r="S795" s="93">
        <f t="shared" si="38"/>
        <v>9.6319363209196318E-4</v>
      </c>
    </row>
    <row r="796" spans="1:19" ht="12.75" customHeight="1">
      <c r="A796" s="81">
        <v>44914</v>
      </c>
      <c r="B796" s="53">
        <v>1.03E-2</v>
      </c>
      <c r="C796" s="53">
        <v>-1.51635426960648E-2</v>
      </c>
      <c r="D796" s="53">
        <v>3.4553540882654901E-2</v>
      </c>
      <c r="E796" s="53">
        <v>3.2779999999999997E-2</v>
      </c>
      <c r="F796" s="53">
        <v>3.30963471439083E-3</v>
      </c>
      <c r="G796" s="53">
        <v>4.9517521584561096E-3</v>
      </c>
      <c r="H796" s="87">
        <v>8.6503804565478699E-3</v>
      </c>
      <c r="I796" s="53">
        <v>-9.0041062682432206E-3</v>
      </c>
      <c r="J796" s="53">
        <v>-2.9399973272751199E-3</v>
      </c>
      <c r="K796" s="53">
        <v>7.2942589891011899E-4</v>
      </c>
      <c r="L796" s="95">
        <f>IFERROR(B796*'Stock Statistics'!$C$41+C796*'Stock Statistics'!$C$42+D796*'Stock Statistics'!$C$43+E796*'Stock Statistics'!$C$44+F796*'Stock Statistics'!$C$45+G796*'Stock Statistics'!$C$46+H796*'Stock Statistics'!$C$47+I796*'Stock Statistics'!$C$48+J796*'Stock Statistics'!$C$49+K796*'Stock Statistics'!$C$50,"")</f>
        <v>6.8167087819376686E-3</v>
      </c>
      <c r="M796" s="96">
        <v>247.3775</v>
      </c>
      <c r="N796" s="97">
        <v>310.94130000000001</v>
      </c>
      <c r="O796" s="93">
        <f t="shared" si="36"/>
        <v>-1.5611611519495971E-3</v>
      </c>
      <c r="P796" s="93">
        <f t="shared" si="37"/>
        <v>-7.9259664577386868E-3</v>
      </c>
      <c r="Q796" s="93">
        <f>B796*'Portfolio 2 &amp; 3'!$F$7+C796*'Portfolio 2 &amp; 3'!$F$8+D796*'Portfolio 2 &amp; 3'!$F$9+E796*'Portfolio 2 &amp; 3'!$F$10+F796*'Portfolio 2 &amp; 3'!$F$11+G796*'Portfolio 2 &amp; 3'!$F$12+H796*'Portfolio 2 &amp; 3'!$F$13+I796*'Portfolio 2 &amp; 3'!$F$14+J796*'Portfolio 2 &amp; 3'!$F$15+K796*'Portfolio 2 &amp; 3'!$F$16</f>
        <v>7.0998555227559752E-3</v>
      </c>
      <c r="R796" s="93">
        <f>B796*'Portfolio 2 &amp; 3'!$B$23+C796*'Portfolio 2 &amp; 3'!$B$24+D796*'Portfolio 2 &amp; 3'!$B$25+E796*'Portfolio 2 &amp; 3'!$B$26+F796*'Portfolio 2 &amp; 3'!$B$27+G796*'Portfolio 2 &amp; 3'!$B$28+H796*'Portfolio 2 &amp; 3'!$B$29+I796*'Portfolio 2 &amp; 3'!$B$30+J796*'Portfolio 2 &amp; 3'!$B$31+K796*'Portfolio 2 &amp; 3'!$B$32</f>
        <v>-2.0704433635705373E-3</v>
      </c>
      <c r="S796" s="93">
        <f t="shared" si="38"/>
        <v>-4.743563804844142E-3</v>
      </c>
    </row>
    <row r="797" spans="1:19" ht="12.75" customHeight="1">
      <c r="A797" s="82">
        <v>44911</v>
      </c>
      <c r="B797" s="53">
        <v>4.8999999999999998E-3</v>
      </c>
      <c r="C797" s="53">
        <v>1.1752171775118799E-2</v>
      </c>
      <c r="D797" s="53">
        <v>1.71350239890344E-3</v>
      </c>
      <c r="E797" s="53">
        <v>-1.3799999999999999E-3</v>
      </c>
      <c r="F797" s="53">
        <v>-1.7131669114048801E-3</v>
      </c>
      <c r="G797" s="53">
        <v>-1.4175298056763701E-2</v>
      </c>
      <c r="H797" s="87">
        <v>-5.9826435095142703E-3</v>
      </c>
      <c r="I797" s="53">
        <v>5.0218774860779601E-3</v>
      </c>
      <c r="J797" s="53">
        <v>-4.92021276595744E-3</v>
      </c>
      <c r="K797" s="53">
        <v>-6.49378330372996E-3</v>
      </c>
      <c r="L797" s="95">
        <f>IFERROR(B797*'Stock Statistics'!$C$41+C797*'Stock Statistics'!$C$42+D797*'Stock Statistics'!$C$43+E797*'Stock Statistics'!$C$44+F797*'Stock Statistics'!$C$45+G797*'Stock Statistics'!$C$46+H797*'Stock Statistics'!$C$47+I797*'Stock Statistics'!$C$48+J797*'Stock Statistics'!$C$49+K797*'Stock Statistics'!$C$50,"")</f>
        <v>-1.1277552887270052E-3</v>
      </c>
      <c r="M797" s="97">
        <v>247.76429999999999</v>
      </c>
      <c r="N797" s="96">
        <v>313.4255</v>
      </c>
      <c r="O797" s="93">
        <f t="shared" si="36"/>
        <v>-9.5671688567527946E-3</v>
      </c>
      <c r="P797" s="93">
        <f t="shared" si="37"/>
        <v>-5.5306905573716536E-3</v>
      </c>
      <c r="Q797" s="93">
        <f>B797*'Portfolio 2 &amp; 3'!$F$7+C797*'Portfolio 2 &amp; 3'!$F$8+D797*'Portfolio 2 &amp; 3'!$F$9+E797*'Portfolio 2 &amp; 3'!$F$10+F797*'Portfolio 2 &amp; 3'!$F$11+G797*'Portfolio 2 &amp; 3'!$F$12+H797*'Portfolio 2 &amp; 3'!$F$13+I797*'Portfolio 2 &amp; 3'!$F$14+J797*'Portfolio 2 &amp; 3'!$F$15+K797*'Portfolio 2 &amp; 3'!$F$16</f>
        <v>-1.135509685516616E-3</v>
      </c>
      <c r="R797" s="93">
        <f>B797*'Portfolio 2 &amp; 3'!$B$23+C797*'Portfolio 2 &amp; 3'!$B$24+D797*'Portfolio 2 &amp; 3'!$B$25+E797*'Portfolio 2 &amp; 3'!$B$26+F797*'Portfolio 2 &amp; 3'!$B$27+G797*'Portfolio 2 &amp; 3'!$B$28+H797*'Portfolio 2 &amp; 3'!$B$29+I797*'Portfolio 2 &amp; 3'!$B$30+J797*'Portfolio 2 &amp; 3'!$B$31+K797*'Portfolio 2 &amp; 3'!$B$32</f>
        <v>1.5045986780359215E-3</v>
      </c>
      <c r="S797" s="93">
        <f t="shared" si="38"/>
        <v>-7.5489297070622241E-3</v>
      </c>
    </row>
    <row r="798" spans="1:19" ht="12.75" customHeight="1">
      <c r="A798" s="81">
        <v>44910</v>
      </c>
      <c r="B798" s="53">
        <v>4.0000000000000002E-4</v>
      </c>
      <c r="C798" s="53">
        <v>1.6172820999683701E-2</v>
      </c>
      <c r="D798" s="53">
        <v>-9.3923277130249002E-3</v>
      </c>
      <c r="E798" s="53">
        <v>3.5799999999999998E-3</v>
      </c>
      <c r="F798" s="53">
        <v>-4.3859649122806E-3</v>
      </c>
      <c r="G798" s="53">
        <v>-9.0664665791284605E-4</v>
      </c>
      <c r="H798" s="87">
        <v>2.0178227472093899E-2</v>
      </c>
      <c r="I798" s="53">
        <v>1.74533313097587E-2</v>
      </c>
      <c r="J798" s="53">
        <v>3.3771708747651501E-2</v>
      </c>
      <c r="K798" s="53">
        <v>4.9887365547283999E-2</v>
      </c>
      <c r="L798" s="95">
        <f>IFERROR(B798*'Stock Statistics'!$C$41+C798*'Stock Statistics'!$C$42+D798*'Stock Statistics'!$C$43+E798*'Stock Statistics'!$C$44+F798*'Stock Statistics'!$C$45+G798*'Stock Statistics'!$C$46+H798*'Stock Statistics'!$C$47+I798*'Stock Statistics'!$C$48+J798*'Stock Statistics'!$C$49+K798*'Stock Statistics'!$C$50,"")</f>
        <v>1.2675851479325345E-2</v>
      </c>
      <c r="M798" s="96">
        <v>250.1576</v>
      </c>
      <c r="N798" s="97">
        <v>315.16860000000003</v>
      </c>
      <c r="O798" s="93">
        <f t="shared" si="36"/>
        <v>-5.5546522846503521E-3</v>
      </c>
      <c r="P798" s="93">
        <f t="shared" si="37"/>
        <v>-4.3220896660639552E-3</v>
      </c>
      <c r="Q798" s="93">
        <f>B798*'Portfolio 2 &amp; 3'!$F$7+C798*'Portfolio 2 &amp; 3'!$F$8+D798*'Portfolio 2 &amp; 3'!$F$9+E798*'Portfolio 2 &amp; 3'!$F$10+F798*'Portfolio 2 &amp; 3'!$F$11+G798*'Portfolio 2 &amp; 3'!$F$12+H798*'Portfolio 2 &amp; 3'!$F$13+I798*'Portfolio 2 &amp; 3'!$F$14+J798*'Portfolio 2 &amp; 3'!$F$15+K798*'Portfolio 2 &amp; 3'!$F$16</f>
        <v>1.3727201484969033E-2</v>
      </c>
      <c r="R798" s="93">
        <f>B798*'Portfolio 2 &amp; 3'!$B$23+C798*'Portfolio 2 &amp; 3'!$B$24+D798*'Portfolio 2 &amp; 3'!$B$25+E798*'Portfolio 2 &amp; 3'!$B$26+F798*'Portfolio 2 &amp; 3'!$B$27+G798*'Portfolio 2 &amp; 3'!$B$28+H798*'Portfolio 2 &amp; 3'!$B$29+I798*'Portfolio 2 &amp; 3'!$B$30+J798*'Portfolio 2 &amp; 3'!$B$31+K798*'Portfolio 2 &amp; 3'!$B$32</f>
        <v>1.2606439539672942E-2</v>
      </c>
      <c r="S798" s="93">
        <f t="shared" si="38"/>
        <v>-4.9383709753571536E-3</v>
      </c>
    </row>
    <row r="799" spans="1:19" ht="12.75" customHeight="1">
      <c r="A799" s="82">
        <v>44909</v>
      </c>
      <c r="B799" s="53">
        <v>-1.32E-2</v>
      </c>
      <c r="C799" s="53">
        <v>4.3323946478257601E-4</v>
      </c>
      <c r="D799" s="53">
        <v>-1.13000671291116E-2</v>
      </c>
      <c r="E799" s="53">
        <v>-2.461E-2</v>
      </c>
      <c r="F799" s="53">
        <v>1.0091065714988899E-2</v>
      </c>
      <c r="G799" s="53">
        <v>-6.0285891858297101E-3</v>
      </c>
      <c r="H799" s="87">
        <v>-3.5769028519003203E-2</v>
      </c>
      <c r="I799" s="53">
        <v>4.04878789412422E-4</v>
      </c>
      <c r="J799" s="53">
        <v>-5.0152737883554198E-3</v>
      </c>
      <c r="K799" s="53">
        <v>1.7036029708446E-3</v>
      </c>
      <c r="L799" s="95">
        <f>IFERROR(B799*'Stock Statistics'!$C$41+C799*'Stock Statistics'!$C$42+D799*'Stock Statistics'!$C$43+E799*'Stock Statistics'!$C$44+F799*'Stock Statistics'!$C$45+G799*'Stock Statistics'!$C$46+H799*'Stock Statistics'!$C$47+I799*'Stock Statistics'!$C$48+J799*'Stock Statistics'!$C$49+K799*'Stock Statistics'!$C$50,"")</f>
        <v>-8.3290171682271451E-3</v>
      </c>
      <c r="M799" s="97">
        <v>251.5549</v>
      </c>
      <c r="N799" s="96">
        <v>316.5367</v>
      </c>
      <c r="O799" s="93">
        <f t="shared" si="36"/>
        <v>1.4746132822684999E-3</v>
      </c>
      <c r="P799" s="93">
        <f t="shared" si="37"/>
        <v>-3.4207198970351849E-3</v>
      </c>
      <c r="Q799" s="93">
        <f>B799*'Portfolio 2 &amp; 3'!$F$7+C799*'Portfolio 2 &amp; 3'!$F$8+D799*'Portfolio 2 &amp; 3'!$F$9+E799*'Portfolio 2 &amp; 3'!$F$10+F799*'Portfolio 2 &amp; 3'!$F$11+G799*'Portfolio 2 &amp; 3'!$F$12+H799*'Portfolio 2 &amp; 3'!$F$13+I799*'Portfolio 2 &amp; 3'!$F$14+J799*'Portfolio 2 &amp; 3'!$F$15+K799*'Portfolio 2 &amp; 3'!$F$16</f>
        <v>-9.8376607889845633E-3</v>
      </c>
      <c r="R799" s="93">
        <f>B799*'Portfolio 2 &amp; 3'!$B$23+C799*'Portfolio 2 &amp; 3'!$B$24+D799*'Portfolio 2 &amp; 3'!$B$25+E799*'Portfolio 2 &amp; 3'!$B$26+F799*'Portfolio 2 &amp; 3'!$B$27+G799*'Portfolio 2 &amp; 3'!$B$28+H799*'Portfolio 2 &amp; 3'!$B$29+I799*'Portfolio 2 &amp; 3'!$B$30+J799*'Portfolio 2 &amp; 3'!$B$31+K799*'Portfolio 2 &amp; 3'!$B$32</f>
        <v>-1.8628347256742543E-3</v>
      </c>
      <c r="S799" s="93">
        <f t="shared" si="38"/>
        <v>-9.730533073833425E-4</v>
      </c>
    </row>
    <row r="800" spans="1:19" ht="12.75" customHeight="1">
      <c r="A800" s="81">
        <v>44908</v>
      </c>
      <c r="B800" s="53">
        <v>1.5699999999999999E-2</v>
      </c>
      <c r="C800" s="53">
        <v>-1.63577059874449E-2</v>
      </c>
      <c r="D800" s="53">
        <v>-1.6721672167216799E-2</v>
      </c>
      <c r="E800" s="53">
        <v>-1.0410000000000001E-2</v>
      </c>
      <c r="F800" s="53">
        <v>1.10878403350978E-3</v>
      </c>
      <c r="G800" s="53">
        <v>-8.0759509278095498E-3</v>
      </c>
      <c r="H800" s="87">
        <v>-7.9031201784862705E-3</v>
      </c>
      <c r="I800" s="53">
        <v>-5.73642630704974E-3</v>
      </c>
      <c r="J800" s="53">
        <v>6.65503947126855E-3</v>
      </c>
      <c r="K800" s="53">
        <v>5.6959932670053197E-3</v>
      </c>
      <c r="L800" s="95">
        <f>IFERROR(B800*'Stock Statistics'!$C$41+C800*'Stock Statistics'!$C$42+D800*'Stock Statistics'!$C$43+E800*'Stock Statistics'!$C$44+F800*'Stock Statistics'!$C$45+G800*'Stock Statistics'!$C$46+H800*'Stock Statistics'!$C$47+I800*'Stock Statistics'!$C$48+J800*'Stock Statistics'!$C$49+K800*'Stock Statistics'!$C$50,"")</f>
        <v>-3.6045058796223607E-3</v>
      </c>
      <c r="M800" s="96">
        <v>251.18450000000001</v>
      </c>
      <c r="N800" s="97">
        <v>317.6232</v>
      </c>
      <c r="O800" s="93">
        <f t="shared" si="36"/>
        <v>-4.6398523524160407E-4</v>
      </c>
      <c r="P800" s="93">
        <f t="shared" si="37"/>
        <v>-6.8996436914503523E-4</v>
      </c>
      <c r="Q800" s="93">
        <f>B800*'Portfolio 2 &amp; 3'!$F$7+C800*'Portfolio 2 &amp; 3'!$F$8+D800*'Portfolio 2 &amp; 3'!$F$9+E800*'Portfolio 2 &amp; 3'!$F$10+F800*'Portfolio 2 &amp; 3'!$F$11+G800*'Portfolio 2 &amp; 3'!$F$12+H800*'Portfolio 2 &amp; 3'!$F$13+I800*'Portfolio 2 &amp; 3'!$F$14+J800*'Portfolio 2 &amp; 3'!$F$15+K800*'Portfolio 2 &amp; 3'!$F$16</f>
        <v>-4.2156343429989021E-3</v>
      </c>
      <c r="R800" s="93">
        <f>B800*'Portfolio 2 &amp; 3'!$B$23+C800*'Portfolio 2 &amp; 3'!$B$24+D800*'Portfolio 2 &amp; 3'!$B$25+E800*'Portfolio 2 &amp; 3'!$B$26+F800*'Portfolio 2 &amp; 3'!$B$27+G800*'Portfolio 2 &amp; 3'!$B$28+H800*'Portfolio 2 &amp; 3'!$B$29+I800*'Portfolio 2 &amp; 3'!$B$30+J800*'Portfolio 2 &amp; 3'!$B$31+K800*'Portfolio 2 &amp; 3'!$B$32</f>
        <v>-2.8800564279983665E-3</v>
      </c>
      <c r="S800" s="93">
        <f t="shared" si="38"/>
        <v>-5.7697480219331965E-4</v>
      </c>
    </row>
    <row r="801" spans="1:19" ht="12.75" customHeight="1">
      <c r="A801" s="82">
        <v>44907</v>
      </c>
      <c r="B801" s="53">
        <v>3.8999999999999998E-3</v>
      </c>
      <c r="C801" s="53">
        <v>-4.17843210863911E-3</v>
      </c>
      <c r="D801" s="53">
        <v>9.9108027750238791E-4</v>
      </c>
      <c r="E801" s="53">
        <v>1.983E-2</v>
      </c>
      <c r="F801" s="53">
        <v>-4.6597179644389799E-3</v>
      </c>
      <c r="G801" s="53">
        <v>-4.1745963533673701E-3</v>
      </c>
      <c r="H801" s="87">
        <v>1.04079046241155E-2</v>
      </c>
      <c r="I801" s="53">
        <v>-8.5312312911595099E-3</v>
      </c>
      <c r="J801" s="53">
        <v>-1.1254311127246199E-2</v>
      </c>
      <c r="K801" s="53">
        <v>-1.14546345956706E-2</v>
      </c>
      <c r="L801" s="95">
        <f>IFERROR(B801*'Stock Statistics'!$C$41+C801*'Stock Statistics'!$C$42+D801*'Stock Statistics'!$C$43+E801*'Stock Statistics'!$C$44+F801*'Stock Statistics'!$C$45+G801*'Stock Statistics'!$C$46+H801*'Stock Statistics'!$C$47+I801*'Stock Statistics'!$C$48+J801*'Stock Statistics'!$C$49+K801*'Stock Statistics'!$C$50,"")</f>
        <v>-9.1239385389038793E-4</v>
      </c>
      <c r="M801" s="97">
        <v>251.30109999999999</v>
      </c>
      <c r="N801" s="96">
        <v>317.84249999999997</v>
      </c>
      <c r="O801" s="93">
        <f t="shared" si="36"/>
        <v>6.1119437334844484E-4</v>
      </c>
      <c r="P801" s="93">
        <f t="shared" si="37"/>
        <v>-8.1954535509243254E-4</v>
      </c>
      <c r="Q801" s="93">
        <f>B801*'Portfolio 2 &amp; 3'!$F$7+C801*'Portfolio 2 &amp; 3'!$F$8+D801*'Portfolio 2 &amp; 3'!$F$9+E801*'Portfolio 2 &amp; 3'!$F$10+F801*'Portfolio 2 &amp; 3'!$F$11+G801*'Portfolio 2 &amp; 3'!$F$12+H801*'Portfolio 2 &amp; 3'!$F$13+I801*'Portfolio 2 &amp; 3'!$F$14+J801*'Portfolio 2 &amp; 3'!$F$15+K801*'Portfolio 2 &amp; 3'!$F$16</f>
        <v>-8.3888030443444507E-4</v>
      </c>
      <c r="R801" s="93">
        <f>B801*'Portfolio 2 &amp; 3'!$B$23+C801*'Portfolio 2 &amp; 3'!$B$24+D801*'Portfolio 2 &amp; 3'!$B$25+E801*'Portfolio 2 &amp; 3'!$B$26+F801*'Portfolio 2 &amp; 3'!$B$27+G801*'Portfolio 2 &amp; 3'!$B$28+H801*'Portfolio 2 &amp; 3'!$B$29+I801*'Portfolio 2 &amp; 3'!$B$30+J801*'Portfolio 2 &amp; 3'!$B$31+K801*'Portfolio 2 &amp; 3'!$B$32</f>
        <v>-4.6177771113713271E-3</v>
      </c>
      <c r="S801" s="93">
        <f t="shared" si="38"/>
        <v>-1.0417549087199385E-4</v>
      </c>
    </row>
    <row r="802" spans="1:19" ht="12.75" customHeight="1">
      <c r="A802" s="81">
        <v>44904</v>
      </c>
      <c r="B802" s="53">
        <v>2.3999999999999998E-3</v>
      </c>
      <c r="C802" s="53">
        <v>-1.1455862658728199E-2</v>
      </c>
      <c r="D802" s="53">
        <v>5.9820538384844904E-3</v>
      </c>
      <c r="E802" s="53">
        <v>-1.47E-2</v>
      </c>
      <c r="F802" s="53">
        <v>-1.04356267443272E-2</v>
      </c>
      <c r="G802" s="53">
        <v>9.0441677507280306E-3</v>
      </c>
      <c r="H802" s="87">
        <v>1.3251726655061399E-3</v>
      </c>
      <c r="I802" s="53">
        <v>1.9495126218445099E-3</v>
      </c>
      <c r="J802" s="53">
        <v>-9.7959917318235501E-3</v>
      </c>
      <c r="K802" s="53">
        <v>-8.3680775520427204E-3</v>
      </c>
      <c r="L802" s="95">
        <f>IFERROR(B802*'Stock Statistics'!$C$41+C802*'Stock Statistics'!$C$42+D802*'Stock Statistics'!$C$43+E802*'Stock Statistics'!$C$44+F802*'Stock Statistics'!$C$45+G802*'Stock Statistics'!$C$46+H802*'Stock Statistics'!$C$47+I802*'Stock Statistics'!$C$48+J802*'Stock Statistics'!$C$49+K802*'Stock Statistics'!$C$50,"")</f>
        <v>-3.4054651810358498E-3</v>
      </c>
      <c r="M802" s="96">
        <v>251.14760000000001</v>
      </c>
      <c r="N802" s="97">
        <v>318.10320000000002</v>
      </c>
      <c r="O802" s="93">
        <f t="shared" si="36"/>
        <v>2.4979862031966338E-3</v>
      </c>
      <c r="P802" s="93">
        <f t="shared" si="37"/>
        <v>4.8380840226982524E-3</v>
      </c>
      <c r="Q802" s="93">
        <f>B802*'Portfolio 2 &amp; 3'!$F$7+C802*'Portfolio 2 &amp; 3'!$F$8+D802*'Portfolio 2 &amp; 3'!$F$9+E802*'Portfolio 2 &amp; 3'!$F$10+F802*'Portfolio 2 &amp; 3'!$F$11+G802*'Portfolio 2 &amp; 3'!$F$12+H802*'Portfolio 2 &amp; 3'!$F$13+I802*'Portfolio 2 &amp; 3'!$F$14+J802*'Portfolio 2 &amp; 3'!$F$15+K802*'Portfolio 2 &amp; 3'!$F$16</f>
        <v>-3.5061377821565707E-3</v>
      </c>
      <c r="R802" s="93">
        <f>B802*'Portfolio 2 &amp; 3'!$B$23+C802*'Portfolio 2 &amp; 3'!$B$24+D802*'Portfolio 2 &amp; 3'!$B$25+E802*'Portfolio 2 &amp; 3'!$B$26+F802*'Portfolio 2 &amp; 3'!$B$27+G802*'Portfolio 2 &amp; 3'!$B$28+H802*'Portfolio 2 &amp; 3'!$B$29+I802*'Portfolio 2 &amp; 3'!$B$30+J802*'Portfolio 2 &amp; 3'!$B$31+K802*'Portfolio 2 &amp; 3'!$B$32</f>
        <v>-2.99424384947586E-3</v>
      </c>
      <c r="S802" s="93">
        <f t="shared" si="38"/>
        <v>3.6680351129474431E-3</v>
      </c>
    </row>
    <row r="803" spans="1:19" ht="12.75" customHeight="1">
      <c r="A803" s="82">
        <v>44903</v>
      </c>
      <c r="B803" s="53">
        <v>8.8000000000000005E-3</v>
      </c>
      <c r="C803" s="53">
        <v>-1.6591494845361601E-3</v>
      </c>
      <c r="D803" s="53">
        <v>-5.8370044052863399E-3</v>
      </c>
      <c r="E803" s="53">
        <v>5.8900000000000003E-3</v>
      </c>
      <c r="F803" s="53">
        <v>1.6779765576804499E-2</v>
      </c>
      <c r="G803" s="53">
        <v>-2.04005934718099E-3</v>
      </c>
      <c r="H803" s="87">
        <v>1.0244832202582099E-2</v>
      </c>
      <c r="I803" s="53">
        <v>5.6301211481426501E-3</v>
      </c>
      <c r="J803" s="53">
        <v>2.5227497972790699E-3</v>
      </c>
      <c r="K803" s="53">
        <v>1.1413926181997E-2</v>
      </c>
      <c r="L803" s="95">
        <f>IFERROR(B803*'Stock Statistics'!$C$41+C803*'Stock Statistics'!$C$42+D803*'Stock Statistics'!$C$43+E803*'Stock Statistics'!$C$44+F803*'Stock Statistics'!$C$45+G803*'Stock Statistics'!$C$46+H803*'Stock Statistics'!$C$47+I803*'Stock Statistics'!$C$48+J803*'Stock Statistics'!$C$49+K803*'Stock Statistics'!$C$50,"")</f>
        <v>5.1745181669801835E-3</v>
      </c>
      <c r="M803" s="97">
        <v>250.52180000000001</v>
      </c>
      <c r="N803" s="96">
        <v>316.57159999999999</v>
      </c>
      <c r="O803" s="93">
        <f t="shared" si="36"/>
        <v>-8.9663924452229038E-3</v>
      </c>
      <c r="P803" s="93">
        <f t="shared" si="37"/>
        <v>9.5066685714868537E-3</v>
      </c>
      <c r="Q803" s="93">
        <f>B803*'Portfolio 2 &amp; 3'!$F$7+C803*'Portfolio 2 &amp; 3'!$F$8+D803*'Portfolio 2 &amp; 3'!$F$9+E803*'Portfolio 2 &amp; 3'!$F$10+F803*'Portfolio 2 &amp; 3'!$F$11+G803*'Portfolio 2 &amp; 3'!$F$12+H803*'Portfolio 2 &amp; 3'!$F$13+I803*'Portfolio 2 &amp; 3'!$F$14+J803*'Portfolio 2 &amp; 3'!$F$15+K803*'Portfolio 2 &amp; 3'!$F$16</f>
        <v>5.1137829882214663E-3</v>
      </c>
      <c r="R803" s="93">
        <f>B803*'Portfolio 2 &amp; 3'!$B$23+C803*'Portfolio 2 &amp; 3'!$B$24+D803*'Portfolio 2 &amp; 3'!$B$25+E803*'Portfolio 2 &amp; 3'!$B$26+F803*'Portfolio 2 &amp; 3'!$B$27+G803*'Portfolio 2 &amp; 3'!$B$28+H803*'Portfolio 2 &amp; 3'!$B$29+I803*'Portfolio 2 &amp; 3'!$B$30+J803*'Portfolio 2 &amp; 3'!$B$31+K803*'Portfolio 2 &amp; 3'!$B$32</f>
        <v>5.9956764731997321E-3</v>
      </c>
      <c r="S803" s="93">
        <f t="shared" si="38"/>
        <v>2.7013806313197497E-4</v>
      </c>
    </row>
    <row r="804" spans="1:19" ht="12.75" customHeight="1">
      <c r="A804" s="81">
        <v>44902</v>
      </c>
      <c r="B804" s="53">
        <v>5.9999999999999995E-4</v>
      </c>
      <c r="C804" s="53">
        <v>-3.86707530366981E-3</v>
      </c>
      <c r="D804" s="53">
        <v>-1.05699030184157E-2</v>
      </c>
      <c r="E804" s="53">
        <v>-4.64E-3</v>
      </c>
      <c r="F804" s="53">
        <v>-1.19468487138851E-2</v>
      </c>
      <c r="G804" s="53">
        <v>-4.0022166122776204E-3</v>
      </c>
      <c r="H804" s="87">
        <v>1.16844956613564E-2</v>
      </c>
      <c r="I804" s="53">
        <v>7.3425156977922103E-3</v>
      </c>
      <c r="J804" s="53">
        <v>1.1943836615609301E-2</v>
      </c>
      <c r="K804" s="53">
        <v>5.0167724931113903E-3</v>
      </c>
      <c r="L804" s="95">
        <f>IFERROR(B804*'Stock Statistics'!$C$41+C804*'Stock Statistics'!$C$42+D804*'Stock Statistics'!$C$43+E804*'Stock Statistics'!$C$44+F804*'Stock Statistics'!$C$45+G804*'Stock Statistics'!$C$46+H804*'Stock Statistics'!$C$47+I804*'Stock Statistics'!$C$48+J804*'Stock Statistics'!$C$49+K804*'Stock Statistics'!$C$50,"")</f>
        <v>1.5615768196210753E-4</v>
      </c>
      <c r="M804" s="96">
        <v>252.7884</v>
      </c>
      <c r="N804" s="97">
        <v>313.59039999999999</v>
      </c>
      <c r="O804" s="93">
        <f t="shared" si="36"/>
        <v>-6.0641519093055374E-3</v>
      </c>
      <c r="P804" s="93">
        <f t="shared" si="37"/>
        <v>1.1652950239668947E-3</v>
      </c>
      <c r="Q804" s="93">
        <f>B804*'Portfolio 2 &amp; 3'!$F$7+C804*'Portfolio 2 &amp; 3'!$F$8+D804*'Portfolio 2 &amp; 3'!$F$9+E804*'Portfolio 2 &amp; 3'!$F$10+F804*'Portfolio 2 &amp; 3'!$F$11+G804*'Portfolio 2 &amp; 3'!$F$12+H804*'Portfolio 2 &amp; 3'!$F$13+I804*'Portfolio 2 &amp; 3'!$F$14+J804*'Portfolio 2 &amp; 3'!$F$15+K804*'Portfolio 2 &amp; 3'!$F$16</f>
        <v>1.1366016660628933E-3</v>
      </c>
      <c r="R804" s="93">
        <f>B804*'Portfolio 2 &amp; 3'!$B$23+C804*'Portfolio 2 &amp; 3'!$B$24+D804*'Portfolio 2 &amp; 3'!$B$25+E804*'Portfolio 2 &amp; 3'!$B$26+F804*'Portfolio 2 &amp; 3'!$B$27+G804*'Portfolio 2 &amp; 3'!$B$28+H804*'Portfolio 2 &amp; 3'!$B$29+I804*'Portfolio 2 &amp; 3'!$B$30+J804*'Portfolio 2 &amp; 3'!$B$31+K804*'Portfolio 2 &amp; 3'!$B$32</f>
        <v>-8.9168265793027274E-5</v>
      </c>
      <c r="S804" s="93">
        <f t="shared" si="38"/>
        <v>-2.4494284426693214E-3</v>
      </c>
    </row>
    <row r="805" spans="1:19" ht="12.75" customHeight="1">
      <c r="A805" s="82">
        <v>44901</v>
      </c>
      <c r="B805" s="53">
        <v>6.7999999999999996E-3</v>
      </c>
      <c r="C805" s="53">
        <v>-7.0581862214006402E-3</v>
      </c>
      <c r="D805" s="53">
        <v>-3.9075219798110402E-3</v>
      </c>
      <c r="E805" s="53">
        <v>-2.2530000000000001E-2</v>
      </c>
      <c r="F805" s="53">
        <v>-7.9816180916677509E-3</v>
      </c>
      <c r="G805" s="53">
        <v>-3.00798035604666E-3</v>
      </c>
      <c r="H805" s="87">
        <v>-1.21517826435869E-3</v>
      </c>
      <c r="I805" s="53">
        <v>-5.48924812408724E-3</v>
      </c>
      <c r="J805" s="53">
        <v>-1.0018954779312399E-2</v>
      </c>
      <c r="K805" s="53">
        <v>1.97767291275333E-2</v>
      </c>
      <c r="L805" s="95">
        <f>IFERROR(B805*'Stock Statistics'!$C$41+C805*'Stock Statistics'!$C$42+D805*'Stock Statistics'!$C$43+E805*'Stock Statistics'!$C$44+F805*'Stock Statistics'!$C$45+G805*'Stock Statistics'!$C$46+H805*'Stock Statistics'!$C$47+I805*'Stock Statistics'!$C$48+J805*'Stock Statistics'!$C$49+K805*'Stock Statistics'!$C$50,"")</f>
        <v>-3.4631958689151122E-3</v>
      </c>
      <c r="M805" s="97">
        <v>254.33070000000001</v>
      </c>
      <c r="N805" s="96">
        <v>313.22539999999998</v>
      </c>
      <c r="O805" s="93">
        <f t="shared" si="36"/>
        <v>3.504540562992986E-4</v>
      </c>
      <c r="P805" s="93">
        <f t="shared" si="37"/>
        <v>3.7207075593073125E-3</v>
      </c>
      <c r="Q805" s="93">
        <f>B805*'Portfolio 2 &amp; 3'!$F$7+C805*'Portfolio 2 &amp; 3'!$F$8+D805*'Portfolio 2 &amp; 3'!$F$9+E805*'Portfolio 2 &amp; 3'!$F$10+F805*'Portfolio 2 &amp; 3'!$F$11+G805*'Portfolio 2 &amp; 3'!$F$12+H805*'Portfolio 2 &amp; 3'!$F$13+I805*'Portfolio 2 &amp; 3'!$F$14+J805*'Portfolio 2 &amp; 3'!$F$15+K805*'Portfolio 2 &amp; 3'!$F$16</f>
        <v>-3.9408031320090631E-3</v>
      </c>
      <c r="R805" s="93">
        <f>B805*'Portfolio 2 &amp; 3'!$B$23+C805*'Portfolio 2 &amp; 3'!$B$24+D805*'Portfolio 2 &amp; 3'!$B$25+E805*'Portfolio 2 &amp; 3'!$B$26+F805*'Portfolio 2 &amp; 3'!$B$27+G805*'Portfolio 2 &amp; 3'!$B$28+H805*'Portfolio 2 &amp; 3'!$B$29+I805*'Portfolio 2 &amp; 3'!$B$30+J805*'Portfolio 2 &amp; 3'!$B$31+K805*'Portfolio 2 &amp; 3'!$B$32</f>
        <v>-2.1058571240864573E-3</v>
      </c>
      <c r="S805" s="93">
        <f t="shared" si="38"/>
        <v>2.0355808078033055E-3</v>
      </c>
    </row>
    <row r="806" spans="1:19" ht="12.75" customHeight="1">
      <c r="A806" s="81">
        <v>44900</v>
      </c>
      <c r="B806" s="53">
        <v>-6.1000000000000004E-3</v>
      </c>
      <c r="C806" s="53">
        <v>1.24858848201321E-2</v>
      </c>
      <c r="D806" s="53">
        <v>-1.10562473164449E-2</v>
      </c>
      <c r="E806" s="53">
        <v>1.17E-3</v>
      </c>
      <c r="F806" s="53">
        <v>-4.9338146811071003E-3</v>
      </c>
      <c r="G806" s="53">
        <v>8.5750549484566695E-3</v>
      </c>
      <c r="H806" s="87">
        <v>-2.9033880481001998E-3</v>
      </c>
      <c r="I806" s="53">
        <v>1.22858890701469E-2</v>
      </c>
      <c r="J806" s="53">
        <v>3.6117381489853001E-4</v>
      </c>
      <c r="K806" s="53">
        <v>-4.0761076214085304E-3</v>
      </c>
      <c r="L806" s="95">
        <f>IFERROR(B806*'Stock Statistics'!$C$41+C806*'Stock Statistics'!$C$42+D806*'Stock Statistics'!$C$43+E806*'Stock Statistics'!$C$44+F806*'Stock Statistics'!$C$45+G806*'Stock Statistics'!$C$46+H806*'Stock Statistics'!$C$47+I806*'Stock Statistics'!$C$48+J806*'Stock Statistics'!$C$49+K806*'Stock Statistics'!$C$50,"")</f>
        <v>5.8084449865734682E-4</v>
      </c>
      <c r="M806" s="96">
        <v>254.24160000000001</v>
      </c>
      <c r="N806" s="97">
        <v>312.0643</v>
      </c>
      <c r="O806" s="93">
        <f t="shared" si="36"/>
        <v>-2.2361636881237379E-3</v>
      </c>
      <c r="P806" s="93">
        <f t="shared" si="37"/>
        <v>6.347064668017488E-3</v>
      </c>
      <c r="Q806" s="93">
        <f>B806*'Portfolio 2 &amp; 3'!$F$7+C806*'Portfolio 2 &amp; 3'!$F$8+D806*'Portfolio 2 &amp; 3'!$F$9+E806*'Portfolio 2 &amp; 3'!$F$10+F806*'Portfolio 2 &amp; 3'!$F$11+G806*'Portfolio 2 &amp; 3'!$F$12+H806*'Portfolio 2 &amp; 3'!$F$13+I806*'Portfolio 2 &amp; 3'!$F$14+J806*'Portfolio 2 &amp; 3'!$F$15+K806*'Portfolio 2 &amp; 3'!$F$16</f>
        <v>-3.2686604072593807E-4</v>
      </c>
      <c r="R806" s="93">
        <f>B806*'Portfolio 2 &amp; 3'!$B$23+C806*'Portfolio 2 &amp; 3'!$B$24+D806*'Portfolio 2 &amp; 3'!$B$25+E806*'Portfolio 2 &amp; 3'!$B$26+F806*'Portfolio 2 &amp; 3'!$B$27+G806*'Portfolio 2 &amp; 3'!$B$28+H806*'Portfolio 2 &amp; 3'!$B$29+I806*'Portfolio 2 &amp; 3'!$B$30+J806*'Portfolio 2 &amp; 3'!$B$31+K806*'Portfolio 2 &amp; 3'!$B$32</f>
        <v>4.2127475711257372E-3</v>
      </c>
      <c r="S806" s="93">
        <f t="shared" si="38"/>
        <v>2.0554504899468751E-3</v>
      </c>
    </row>
    <row r="807" spans="1:19" ht="12.75" customHeight="1">
      <c r="A807" s="82">
        <v>44897</v>
      </c>
      <c r="B807" s="53">
        <v>-1.8100000000000002E-2</v>
      </c>
      <c r="C807" s="53">
        <v>5.54762522709584E-3</v>
      </c>
      <c r="D807" s="53">
        <v>-1.07330685843121E-4</v>
      </c>
      <c r="E807" s="53">
        <v>3.46E-3</v>
      </c>
      <c r="F807" s="53">
        <v>1.0580080262677901E-2</v>
      </c>
      <c r="G807" s="53">
        <v>-2.9322797703561498E-3</v>
      </c>
      <c r="H807" s="87">
        <v>-2.3485288208242101E-2</v>
      </c>
      <c r="I807" s="53">
        <v>-3.6305576025546599E-2</v>
      </c>
      <c r="J807" s="53">
        <v>1.9904098434815301E-3</v>
      </c>
      <c r="K807" s="53">
        <v>-1.5217554107691199E-2</v>
      </c>
      <c r="L807" s="95">
        <f>IFERROR(B807*'Stock Statistics'!$C$41+C807*'Stock Statistics'!$C$42+D807*'Stock Statistics'!$C$43+E807*'Stock Statistics'!$C$44+F807*'Stock Statistics'!$C$45+G807*'Stock Statistics'!$C$46+H807*'Stock Statistics'!$C$47+I807*'Stock Statistics'!$C$48+J807*'Stock Statistics'!$C$49+K807*'Stock Statistics'!$C$50,"")</f>
        <v>-7.4569913464423909E-3</v>
      </c>
      <c r="M807" s="97">
        <v>254.81139999999999</v>
      </c>
      <c r="N807" s="96">
        <v>310.09609999999998</v>
      </c>
      <c r="O807" s="93">
        <f t="shared" si="36"/>
        <v>-5.1710830071067804E-3</v>
      </c>
      <c r="P807" s="93">
        <f t="shared" si="37"/>
        <v>4.0460228624898953E-3</v>
      </c>
      <c r="Q807" s="93">
        <f>B807*'Portfolio 2 &amp; 3'!$F$7+C807*'Portfolio 2 &amp; 3'!$F$8+D807*'Portfolio 2 &amp; 3'!$F$9+E807*'Portfolio 2 &amp; 3'!$F$10+F807*'Portfolio 2 &amp; 3'!$F$11+G807*'Portfolio 2 &amp; 3'!$F$12+H807*'Portfolio 2 &amp; 3'!$F$13+I807*'Portfolio 2 &amp; 3'!$F$14+J807*'Portfolio 2 &amp; 3'!$F$15+K807*'Portfolio 2 &amp; 3'!$F$16</f>
        <v>-7.3342281094503897E-3</v>
      </c>
      <c r="R807" s="93">
        <f>B807*'Portfolio 2 &amp; 3'!$B$23+C807*'Portfolio 2 &amp; 3'!$B$24+D807*'Portfolio 2 &amp; 3'!$B$25+E807*'Portfolio 2 &amp; 3'!$B$26+F807*'Portfolio 2 &amp; 3'!$B$27+G807*'Portfolio 2 &amp; 3'!$B$28+H807*'Portfolio 2 &amp; 3'!$B$29+I807*'Portfolio 2 &amp; 3'!$B$30+J807*'Portfolio 2 &amp; 3'!$B$31+K807*'Portfolio 2 &amp; 3'!$B$32</f>
        <v>-1.1027990477905291E-2</v>
      </c>
      <c r="S807" s="93">
        <f t="shared" si="38"/>
        <v>-5.6253007230844254E-4</v>
      </c>
    </row>
    <row r="808" spans="1:19" ht="12.75" customHeight="1">
      <c r="A808" s="81">
        <v>44896</v>
      </c>
      <c r="B808" s="53">
        <v>1.5699999999999999E-2</v>
      </c>
      <c r="C808" s="53">
        <v>-6.1903533660045999E-3</v>
      </c>
      <c r="D808" s="53">
        <v>-8.8297872340424906E-3</v>
      </c>
      <c r="E808" s="53">
        <v>-1.0149999999999999E-2</v>
      </c>
      <c r="F808" s="53">
        <v>3.0495242742132299E-3</v>
      </c>
      <c r="G808" s="53">
        <v>-7.4023810992529505E-4</v>
      </c>
      <c r="H808" s="87">
        <v>-6.8730046115643697E-3</v>
      </c>
      <c r="I808" s="53">
        <v>-1.5287117217357701E-2</v>
      </c>
      <c r="J808" s="53">
        <v>-3.8752703677000801E-3</v>
      </c>
      <c r="K808" s="53">
        <v>-5.2593939032749004E-3</v>
      </c>
      <c r="L808" s="95">
        <f>IFERROR(B808*'Stock Statistics'!$C$41+C808*'Stock Statistics'!$C$42+D808*'Stock Statistics'!$C$43+E808*'Stock Statistics'!$C$44+F808*'Stock Statistics'!$C$45+G808*'Stock Statistics'!$C$46+H808*'Stock Statistics'!$C$47+I808*'Stock Statistics'!$C$48+J808*'Stock Statistics'!$C$49+K808*'Stock Statistics'!$C$50,"")</f>
        <v>-3.8455640535656208E-3</v>
      </c>
      <c r="M808" s="96">
        <v>256.13589999999999</v>
      </c>
      <c r="N808" s="97">
        <v>308.84649999999999</v>
      </c>
      <c r="O808" s="93">
        <f t="shared" si="36"/>
        <v>2.0684080886610445E-3</v>
      </c>
      <c r="P808" s="93">
        <f t="shared" si="37"/>
        <v>-6.5200227796335941E-4</v>
      </c>
      <c r="Q808" s="93">
        <f>B808*'Portfolio 2 &amp; 3'!$F$7+C808*'Portfolio 2 &amp; 3'!$F$8+D808*'Portfolio 2 &amp; 3'!$F$9+E808*'Portfolio 2 &amp; 3'!$F$10+F808*'Portfolio 2 &amp; 3'!$F$11+G808*'Portfolio 2 &amp; 3'!$F$12+H808*'Portfolio 2 &amp; 3'!$F$13+I808*'Portfolio 2 &amp; 3'!$F$14+J808*'Portfolio 2 &amp; 3'!$F$15+K808*'Portfolio 2 &amp; 3'!$F$16</f>
        <v>-4.5950944148808034E-3</v>
      </c>
      <c r="R808" s="93">
        <f>B808*'Portfolio 2 &amp; 3'!$B$23+C808*'Portfolio 2 &amp; 3'!$B$24+D808*'Portfolio 2 &amp; 3'!$B$25+E808*'Portfolio 2 &amp; 3'!$B$26+F808*'Portfolio 2 &amp; 3'!$B$27+G808*'Portfolio 2 &amp; 3'!$B$28+H808*'Portfolio 2 &amp; 3'!$B$29+I808*'Portfolio 2 &amp; 3'!$B$30+J808*'Portfolio 2 &amp; 3'!$B$31+K808*'Portfolio 2 &amp; 3'!$B$32</f>
        <v>-3.3973760085878493E-3</v>
      </c>
      <c r="S808" s="93">
        <f t="shared" si="38"/>
        <v>7.0820290534884256E-4</v>
      </c>
    </row>
    <row r="809" spans="1:19" ht="12.75" customHeight="1">
      <c r="A809" s="82">
        <v>44895</v>
      </c>
      <c r="B809" s="53">
        <v>3.3999999999999998E-3</v>
      </c>
      <c r="C809" s="53">
        <v>-5.8496402070612498E-3</v>
      </c>
      <c r="D809" s="53">
        <v>2.3459159735552699E-3</v>
      </c>
      <c r="E809" s="53">
        <v>7.8600000000000007E-3</v>
      </c>
      <c r="F809" s="53">
        <v>1.1224867398544501E-2</v>
      </c>
      <c r="G809" s="53">
        <v>-1.25479685691662E-2</v>
      </c>
      <c r="H809" s="87">
        <v>8.0570362175509409E-3</v>
      </c>
      <c r="I809" s="53">
        <v>-5.6282470656149296E-3</v>
      </c>
      <c r="J809" s="53">
        <v>-5.1553324068678297E-3</v>
      </c>
      <c r="K809" s="53">
        <v>-3.8440417353101698E-3</v>
      </c>
      <c r="L809" s="95">
        <f>IFERROR(B809*'Stock Statistics'!$C$41+C809*'Stock Statistics'!$C$42+D809*'Stock Statistics'!$C$43+E809*'Stock Statistics'!$C$44+F809*'Stock Statistics'!$C$45+G809*'Stock Statistics'!$C$46+H809*'Stock Statistics'!$C$47+I809*'Stock Statistics'!$C$48+J809*'Stock Statistics'!$C$49+K809*'Stock Statistics'!$C$50,"")</f>
        <v>-1.3741039436966662E-5</v>
      </c>
      <c r="M809" s="97">
        <v>255.60720000000001</v>
      </c>
      <c r="N809" s="96">
        <v>309.048</v>
      </c>
      <c r="O809" s="93">
        <f t="shared" si="36"/>
        <v>1.1229426575409818E-4</v>
      </c>
      <c r="P809" s="93">
        <f t="shared" si="37"/>
        <v>-3.9317634856844697E-3</v>
      </c>
      <c r="Q809" s="93">
        <f>B809*'Portfolio 2 &amp; 3'!$F$7+C809*'Portfolio 2 &amp; 3'!$F$8+D809*'Portfolio 2 &amp; 3'!$F$9+E809*'Portfolio 2 &amp; 3'!$F$10+F809*'Portfolio 2 &amp; 3'!$F$11+G809*'Portfolio 2 &amp; 3'!$F$12+H809*'Portfolio 2 &amp; 3'!$F$13+I809*'Portfolio 2 &amp; 3'!$F$14+J809*'Portfolio 2 &amp; 3'!$F$15+K809*'Portfolio 2 &amp; 3'!$F$16</f>
        <v>8.0406627508729028E-4</v>
      </c>
      <c r="R809" s="93">
        <f>B809*'Portfolio 2 &amp; 3'!$B$23+C809*'Portfolio 2 &amp; 3'!$B$24+D809*'Portfolio 2 &amp; 3'!$B$25+E809*'Portfolio 2 &amp; 3'!$B$26+F809*'Portfolio 2 &amp; 3'!$B$27+G809*'Portfolio 2 &amp; 3'!$B$28+H809*'Portfolio 2 &amp; 3'!$B$29+I809*'Portfolio 2 &amp; 3'!$B$30+J809*'Portfolio 2 &amp; 3'!$B$31+K809*'Portfolio 2 &amp; 3'!$B$32</f>
        <v>-1.8620388239393079E-3</v>
      </c>
      <c r="S809" s="93">
        <f t="shared" si="38"/>
        <v>-1.9097346099651857E-3</v>
      </c>
    </row>
    <row r="810" spans="1:19" ht="12.75" customHeight="1">
      <c r="A810" s="81">
        <v>44894</v>
      </c>
      <c r="B810" s="53">
        <v>1.9E-3</v>
      </c>
      <c r="C810" s="53">
        <v>1.7338534893802701E-3</v>
      </c>
      <c r="D810" s="53">
        <v>3.3165721621910599E-3</v>
      </c>
      <c r="E810" s="53">
        <v>3.5799999999999998E-3</v>
      </c>
      <c r="F810" s="53">
        <v>1.3501687710963901E-2</v>
      </c>
      <c r="G810" s="53">
        <v>-1.0964515934694901E-2</v>
      </c>
      <c r="H810" s="87">
        <v>-2.8525901741638399E-3</v>
      </c>
      <c r="I810" s="53">
        <v>-5.7692307692303101E-4</v>
      </c>
      <c r="J810" s="53">
        <v>8.9738412527484701E-4</v>
      </c>
      <c r="K810" s="53">
        <v>-3.6672828096118199E-3</v>
      </c>
      <c r="L810" s="95">
        <f>IFERROR(B810*'Stock Statistics'!$C$41+C810*'Stock Statistics'!$C$42+D810*'Stock Statistics'!$C$43+E810*'Stock Statistics'!$C$44+F810*'Stock Statistics'!$C$45+G810*'Stock Statistics'!$C$46+H810*'Stock Statistics'!$C$47+I810*'Stock Statistics'!$C$48+J810*'Stock Statistics'!$C$49+K810*'Stock Statistics'!$C$50,"")</f>
        <v>6.8681854924164832E-4</v>
      </c>
      <c r="M810" s="96">
        <v>255.57849999999999</v>
      </c>
      <c r="N810" s="97">
        <v>310.2679</v>
      </c>
      <c r="O810" s="93">
        <f t="shared" si="36"/>
        <v>9.0785224679019727E-3</v>
      </c>
      <c r="P810" s="93">
        <f t="shared" si="37"/>
        <v>-2.8875225602764676E-3</v>
      </c>
      <c r="Q810" s="93">
        <f>B810*'Portfolio 2 &amp; 3'!$F$7+C810*'Portfolio 2 &amp; 3'!$F$8+D810*'Portfolio 2 &amp; 3'!$F$9+E810*'Portfolio 2 &amp; 3'!$F$10+F810*'Portfolio 2 &amp; 3'!$F$11+G810*'Portfolio 2 &amp; 3'!$F$12+H810*'Portfolio 2 &amp; 3'!$F$13+I810*'Portfolio 2 &amp; 3'!$F$14+J810*'Portfolio 2 &amp; 3'!$F$15+K810*'Portfolio 2 &amp; 3'!$F$16</f>
        <v>1.1162422774225239E-3</v>
      </c>
      <c r="R810" s="93">
        <f>B810*'Portfolio 2 &amp; 3'!$B$23+C810*'Portfolio 2 &amp; 3'!$B$24+D810*'Portfolio 2 &amp; 3'!$B$25+E810*'Portfolio 2 &amp; 3'!$B$26+F810*'Portfolio 2 &amp; 3'!$B$27+G810*'Portfolio 2 &amp; 3'!$B$28+H810*'Portfolio 2 &amp; 3'!$B$29+I810*'Portfolio 2 &amp; 3'!$B$30+J810*'Portfolio 2 &amp; 3'!$B$31+K810*'Portfolio 2 &amp; 3'!$B$32</f>
        <v>1.0763387116552996E-3</v>
      </c>
      <c r="S810" s="93">
        <f t="shared" si="38"/>
        <v>3.0954999538127526E-3</v>
      </c>
    </row>
    <row r="811" spans="1:19" ht="12.75" customHeight="1">
      <c r="A811" s="82">
        <v>44893</v>
      </c>
      <c r="B811" s="53">
        <v>-6.7000000000000002E-3</v>
      </c>
      <c r="C811" s="53">
        <v>-4.9998402606945599E-3</v>
      </c>
      <c r="D811" s="53">
        <v>1.6073724817831101E-3</v>
      </c>
      <c r="E811" s="53">
        <v>1.8280000000000001E-2</v>
      </c>
      <c r="F811" s="53">
        <v>-5.3469286247202997E-3</v>
      </c>
      <c r="G811" s="53">
        <v>1.52293577981653E-2</v>
      </c>
      <c r="H811" s="87">
        <v>7.5897919543712602E-3</v>
      </c>
      <c r="I811" s="53">
        <v>-6.1636963065603298E-3</v>
      </c>
      <c r="J811" s="53">
        <v>-9.3786114321274799E-3</v>
      </c>
      <c r="K811" s="53">
        <v>-8.1547645238410106E-3</v>
      </c>
      <c r="L811" s="95">
        <f>IFERROR(B811*'Stock Statistics'!$C$41+C811*'Stock Statistics'!$C$42+D811*'Stock Statistics'!$C$43+E811*'Stock Statistics'!$C$44+F811*'Stock Statistics'!$C$45+G811*'Stock Statistics'!$C$46+H811*'Stock Statistics'!$C$47+I811*'Stock Statistics'!$C$48+J811*'Stock Statistics'!$C$49+K811*'Stock Statistics'!$C$50,"")</f>
        <v>1.9626810863759955E-4</v>
      </c>
      <c r="M811" s="97">
        <v>253.2791</v>
      </c>
      <c r="N811" s="96">
        <v>311.16640000000001</v>
      </c>
      <c r="O811" s="93">
        <f t="shared" si="36"/>
        <v>1.9165757496402147E-3</v>
      </c>
      <c r="P811" s="93">
        <f t="shared" si="37"/>
        <v>-5.1585795634565557E-3</v>
      </c>
      <c r="Q811" s="93">
        <f>B811*'Portfolio 2 &amp; 3'!$F$7+C811*'Portfolio 2 &amp; 3'!$F$8+D811*'Portfolio 2 &amp; 3'!$F$9+E811*'Portfolio 2 &amp; 3'!$F$10+F811*'Portfolio 2 &amp; 3'!$F$11+G811*'Portfolio 2 &amp; 3'!$F$12+H811*'Portfolio 2 &amp; 3'!$F$13+I811*'Portfolio 2 &amp; 3'!$F$14+J811*'Portfolio 2 &amp; 3'!$F$15+K811*'Portfolio 2 &amp; 3'!$F$16</f>
        <v>-3.9560481644518265E-4</v>
      </c>
      <c r="R811" s="93">
        <f>B811*'Portfolio 2 &amp; 3'!$B$23+C811*'Portfolio 2 &amp; 3'!$B$24+D811*'Portfolio 2 &amp; 3'!$B$25+E811*'Portfolio 2 &amp; 3'!$B$26+F811*'Portfolio 2 &amp; 3'!$B$27+G811*'Portfolio 2 &amp; 3'!$B$28+H811*'Portfolio 2 &amp; 3'!$B$29+I811*'Portfolio 2 &amp; 3'!$B$30+J811*'Portfolio 2 &amp; 3'!$B$31+K811*'Portfolio 2 &amp; 3'!$B$32</f>
        <v>-3.3806317917478069E-3</v>
      </c>
      <c r="S811" s="93">
        <f t="shared" si="38"/>
        <v>-1.6210019069081705E-3</v>
      </c>
    </row>
    <row r="812" spans="1:19" ht="12.75" customHeight="1">
      <c r="A812" s="81">
        <v>44890</v>
      </c>
      <c r="B812" s="53">
        <v>3.5999999999999999E-3</v>
      </c>
      <c r="C812" s="53">
        <v>1.88848345176362E-3</v>
      </c>
      <c r="D812" s="53">
        <v>-1.6047929817053499E-3</v>
      </c>
      <c r="E812" s="53">
        <v>1.001E-2</v>
      </c>
      <c r="F812" s="53">
        <v>2.31552162849873E-2</v>
      </c>
      <c r="G812" s="53">
        <v>-7.3340667400079195E-4</v>
      </c>
      <c r="H812" s="87">
        <v>1.1665152203543999E-2</v>
      </c>
      <c r="I812" s="53">
        <v>3.82390899096752E-4</v>
      </c>
      <c r="J812" s="53">
        <v>-1.29425700873075E-2</v>
      </c>
      <c r="K812" s="53">
        <v>1.2776456075427301E-3</v>
      </c>
      <c r="L812" s="95">
        <f>IFERROR(B812*'Stock Statistics'!$C$41+C812*'Stock Statistics'!$C$42+D812*'Stock Statistics'!$C$43+E812*'Stock Statistics'!$C$44+F812*'Stock Statistics'!$C$45+G812*'Stock Statistics'!$C$46+H812*'Stock Statistics'!$C$47+I812*'Stock Statistics'!$C$48+J812*'Stock Statistics'!$C$49+K812*'Stock Statistics'!$C$50,"")</f>
        <v>3.6698118703920764E-3</v>
      </c>
      <c r="M812" s="96">
        <v>252.7946</v>
      </c>
      <c r="N812" s="97">
        <v>312.7799</v>
      </c>
      <c r="O812" s="93">
        <f t="shared" si="36"/>
        <v>-1.6180609886956576E-3</v>
      </c>
      <c r="P812" s="93">
        <f t="shared" si="37"/>
        <v>-4.1561957850304587E-3</v>
      </c>
      <c r="Q812" s="93">
        <f>B812*'Portfolio 2 &amp; 3'!$F$7+C812*'Portfolio 2 &amp; 3'!$F$8+D812*'Portfolio 2 &amp; 3'!$F$9+E812*'Portfolio 2 &amp; 3'!$F$10+F812*'Portfolio 2 &amp; 3'!$F$11+G812*'Portfolio 2 &amp; 3'!$F$12+H812*'Portfolio 2 &amp; 3'!$F$13+I812*'Portfolio 2 &amp; 3'!$F$14+J812*'Portfolio 2 &amp; 3'!$F$15+K812*'Portfolio 2 &amp; 3'!$F$16</f>
        <v>3.4422339351223947E-3</v>
      </c>
      <c r="R812" s="93">
        <f>B812*'Portfolio 2 &amp; 3'!$B$23+C812*'Portfolio 2 &amp; 3'!$B$24+D812*'Portfolio 2 &amp; 3'!$B$25+E812*'Portfolio 2 &amp; 3'!$B$26+F812*'Portfolio 2 &amp; 3'!$B$27+G812*'Portfolio 2 &amp; 3'!$B$28+H812*'Portfolio 2 &amp; 3'!$B$29+I812*'Portfolio 2 &amp; 3'!$B$30+J812*'Portfolio 2 &amp; 3'!$B$31+K812*'Portfolio 2 &amp; 3'!$B$32</f>
        <v>4.5260399150636827E-3</v>
      </c>
      <c r="S812" s="93">
        <f t="shared" si="38"/>
        <v>-2.8871283868630582E-3</v>
      </c>
    </row>
    <row r="813" spans="1:19" ht="12.75" customHeight="1">
      <c r="A813" s="82">
        <v>44889</v>
      </c>
      <c r="B813" s="53">
        <v>7.7999999999999996E-3</v>
      </c>
      <c r="C813" s="53">
        <v>8.1687569074029298E-4</v>
      </c>
      <c r="D813" s="53">
        <v>7.1113026613511803E-3</v>
      </c>
      <c r="E813" s="53">
        <v>1.9310000000000001E-2</v>
      </c>
      <c r="F813" s="53">
        <v>-2.6646364674534099E-3</v>
      </c>
      <c r="G813" s="53">
        <v>4.0808812248780404E-3</v>
      </c>
      <c r="H813" s="87">
        <v>-3.6441004051516201E-3</v>
      </c>
      <c r="I813" s="53">
        <v>-3.61956469971891E-3</v>
      </c>
      <c r="J813" s="53">
        <v>1.6500914239843099E-2</v>
      </c>
      <c r="K813" s="53">
        <v>9.4879473418922906E-3</v>
      </c>
      <c r="L813" s="95">
        <f>IFERROR(B813*'Stock Statistics'!$C$41+C813*'Stock Statistics'!$C$42+D813*'Stock Statistics'!$C$43+E813*'Stock Statistics'!$C$44+F813*'Stock Statistics'!$C$45+G813*'Stock Statistics'!$C$46+H813*'Stock Statistics'!$C$47+I813*'Stock Statistics'!$C$48+J813*'Stock Statistics'!$C$49+K813*'Stock Statistics'!$C$50,"")</f>
        <v>5.5179619586380978E-3</v>
      </c>
      <c r="M813" s="97">
        <v>253.20429999999999</v>
      </c>
      <c r="N813" s="96">
        <v>314.08530000000002</v>
      </c>
      <c r="O813" s="93">
        <f t="shared" si="36"/>
        <v>7.7394026976869146E-3</v>
      </c>
      <c r="P813" s="93">
        <f t="shared" si="37"/>
        <v>-3.0460148767741391E-4</v>
      </c>
      <c r="Q813" s="93">
        <f>B813*'Portfolio 2 &amp; 3'!$F$7+C813*'Portfolio 2 &amp; 3'!$F$8+D813*'Portfolio 2 &amp; 3'!$F$9+E813*'Portfolio 2 &amp; 3'!$F$10+F813*'Portfolio 2 &amp; 3'!$F$11+G813*'Portfolio 2 &amp; 3'!$F$12+H813*'Portfolio 2 &amp; 3'!$F$13+I813*'Portfolio 2 &amp; 3'!$F$14+J813*'Portfolio 2 &amp; 3'!$F$15+K813*'Portfolio 2 &amp; 3'!$F$16</f>
        <v>5.144051037239035E-3</v>
      </c>
      <c r="R813" s="93">
        <f>B813*'Portfolio 2 &amp; 3'!$B$23+C813*'Portfolio 2 &amp; 3'!$B$24+D813*'Portfolio 2 &amp; 3'!$B$25+E813*'Portfolio 2 &amp; 3'!$B$26+F813*'Portfolio 2 &amp; 3'!$B$27+G813*'Portfolio 2 &amp; 3'!$B$28+H813*'Portfolio 2 &amp; 3'!$B$29+I813*'Portfolio 2 &amp; 3'!$B$30+J813*'Portfolio 2 &amp; 3'!$B$31+K813*'Portfolio 2 &amp; 3'!$B$32</f>
        <v>1.6448637683100535E-3</v>
      </c>
      <c r="S813" s="93">
        <f t="shared" si="38"/>
        <v>3.7174006050047503E-3</v>
      </c>
    </row>
    <row r="814" spans="1:19" ht="12.75" customHeight="1">
      <c r="A814" s="81">
        <v>44888</v>
      </c>
      <c r="B814" s="53">
        <v>1.55E-2</v>
      </c>
      <c r="C814" s="53">
        <v>1.3308879619560799E-2</v>
      </c>
      <c r="D814" s="53">
        <v>1.6984440061363199E-2</v>
      </c>
      <c r="E814" s="53">
        <v>8.9999999999999998E-4</v>
      </c>
      <c r="F814" s="53">
        <v>4.5889101338432202E-3</v>
      </c>
      <c r="G814" s="53">
        <v>9.54062509679998E-3</v>
      </c>
      <c r="H814" s="87">
        <v>9.6287821289808796E-4</v>
      </c>
      <c r="I814" s="53">
        <v>1.4592896834984199E-2</v>
      </c>
      <c r="J814" s="53">
        <v>1.7608350351713299E-2</v>
      </c>
      <c r="K814" s="53">
        <v>-8.44306853698074E-4</v>
      </c>
      <c r="L814" s="95">
        <f>IFERROR(B814*'Stock Statistics'!$C$41+C814*'Stock Statistics'!$C$42+D814*'Stock Statistics'!$C$43+E814*'Stock Statistics'!$C$44+F814*'Stock Statistics'!$C$45+G814*'Stock Statistics'!$C$46+H814*'Stock Statistics'!$C$47+I814*'Stock Statistics'!$C$48+J814*'Stock Statistics'!$C$49+K814*'Stock Statistics'!$C$50,"")</f>
        <v>9.3142673457464725E-3</v>
      </c>
      <c r="M814" s="96">
        <v>251.25970000000001</v>
      </c>
      <c r="N814" s="97">
        <v>314.18099999999998</v>
      </c>
      <c r="O814" s="93">
        <f t="shared" si="36"/>
        <v>6.8830069154663942E-3</v>
      </c>
      <c r="P814" s="93">
        <f t="shared" si="37"/>
        <v>5.4332520916322569E-3</v>
      </c>
      <c r="Q814" s="93">
        <f>B814*'Portfolio 2 &amp; 3'!$F$7+C814*'Portfolio 2 &amp; 3'!$F$8+D814*'Portfolio 2 &amp; 3'!$F$9+E814*'Portfolio 2 &amp; 3'!$F$10+F814*'Portfolio 2 &amp; 3'!$F$11+G814*'Portfolio 2 &amp; 3'!$F$12+H814*'Portfolio 2 &amp; 3'!$F$13+I814*'Portfolio 2 &amp; 3'!$F$14+J814*'Portfolio 2 &amp; 3'!$F$15+K814*'Portfolio 2 &amp; 3'!$F$16</f>
        <v>9.5375729708519347E-3</v>
      </c>
      <c r="R814" s="93">
        <f>B814*'Portfolio 2 &amp; 3'!$B$23+C814*'Portfolio 2 &amp; 3'!$B$24+D814*'Portfolio 2 &amp; 3'!$B$25+E814*'Portfolio 2 &amp; 3'!$B$26+F814*'Portfolio 2 &amp; 3'!$B$27+G814*'Portfolio 2 &amp; 3'!$B$28+H814*'Portfolio 2 &amp; 3'!$B$29+I814*'Portfolio 2 &amp; 3'!$B$30+J814*'Portfolio 2 &amp; 3'!$B$31+K814*'Portfolio 2 &amp; 3'!$B$32</f>
        <v>1.0749949676379858E-2</v>
      </c>
      <c r="S814" s="93">
        <f t="shared" si="38"/>
        <v>6.1581295035493255E-3</v>
      </c>
    </row>
    <row r="815" spans="1:19" ht="12.75" customHeight="1">
      <c r="A815" s="82">
        <v>44887</v>
      </c>
      <c r="B815" s="53">
        <v>7.1000000000000004E-3</v>
      </c>
      <c r="C815" s="53">
        <v>4.0086691544316501E-3</v>
      </c>
      <c r="D815" s="53">
        <v>-7.2881540302402997E-3</v>
      </c>
      <c r="E815" s="53">
        <v>-1.5299999999999999E-3</v>
      </c>
      <c r="F815" s="53">
        <v>-1.22135482246286E-2</v>
      </c>
      <c r="G815" s="53">
        <v>-4.1336335873152202E-3</v>
      </c>
      <c r="H815" s="87">
        <v>1.86124635411367E-3</v>
      </c>
      <c r="I815" s="53">
        <v>8.7053247569768299E-4</v>
      </c>
      <c r="J815" s="53">
        <v>-3.2568869588817102E-3</v>
      </c>
      <c r="K815" s="53">
        <v>9.8424902397797904E-3</v>
      </c>
      <c r="L815" s="95">
        <f>IFERROR(B815*'Stock Statistics'!$C$41+C815*'Stock Statistics'!$C$42+D815*'Stock Statistics'!$C$43+E815*'Stock Statistics'!$C$44+F815*'Stock Statistics'!$C$45+G815*'Stock Statistics'!$C$46+H815*'Stock Statistics'!$C$47+I815*'Stock Statistics'!$C$48+J815*'Stock Statistics'!$C$49+K815*'Stock Statistics'!$C$50,"")</f>
        <v>-4.7392845770430369E-4</v>
      </c>
      <c r="M815" s="97">
        <v>249.5421</v>
      </c>
      <c r="N815" s="96">
        <v>312.48320000000001</v>
      </c>
      <c r="O815" s="93">
        <f t="shared" si="36"/>
        <v>2.5974307081244596E-4</v>
      </c>
      <c r="P815" s="93">
        <f t="shared" si="37"/>
        <v>2.9084303398518863E-3</v>
      </c>
      <c r="Q815" s="93">
        <f>B815*'Portfolio 2 &amp; 3'!$F$7+C815*'Portfolio 2 &amp; 3'!$F$8+D815*'Portfolio 2 &amp; 3'!$F$9+E815*'Portfolio 2 &amp; 3'!$F$10+F815*'Portfolio 2 &amp; 3'!$F$11+G815*'Portfolio 2 &amp; 3'!$F$12+H815*'Portfolio 2 &amp; 3'!$F$13+I815*'Portfolio 2 &amp; 3'!$F$14+J815*'Portfolio 2 &amp; 3'!$F$15+K815*'Portfolio 2 &amp; 3'!$F$16</f>
        <v>-1.0246394665096394E-3</v>
      </c>
      <c r="R815" s="93">
        <f>B815*'Portfolio 2 &amp; 3'!$B$23+C815*'Portfolio 2 &amp; 3'!$B$24+D815*'Portfolio 2 &amp; 3'!$B$25+E815*'Portfolio 2 &amp; 3'!$B$26+F815*'Portfolio 2 &amp; 3'!$B$27+G815*'Portfolio 2 &amp; 3'!$B$28+H815*'Portfolio 2 &amp; 3'!$B$29+I815*'Portfolio 2 &amp; 3'!$B$30+J815*'Portfolio 2 &amp; 3'!$B$31+K815*'Portfolio 2 &amp; 3'!$B$32</f>
        <v>2.727848305532517E-4</v>
      </c>
      <c r="S815" s="93">
        <f t="shared" si="38"/>
        <v>1.5840867053321661E-3</v>
      </c>
    </row>
    <row r="816" spans="1:19" ht="12.75" customHeight="1">
      <c r="A816" s="81">
        <v>44886</v>
      </c>
      <c r="B816" s="53">
        <v>-7.4999999999999997E-3</v>
      </c>
      <c r="C816" s="53">
        <v>-1.02096774193549E-2</v>
      </c>
      <c r="D816" s="53">
        <v>-2.3874118285405199E-3</v>
      </c>
      <c r="E816" s="53">
        <v>-9.5700000000000004E-3</v>
      </c>
      <c r="F816" s="53">
        <v>-1.0958904109589E-2</v>
      </c>
      <c r="G816" s="53">
        <v>-8.7453750420452003E-3</v>
      </c>
      <c r="H816" s="87">
        <v>9.8911174785098997E-3</v>
      </c>
      <c r="I816" s="53">
        <v>-1.2076127910346499E-3</v>
      </c>
      <c r="J816" s="53">
        <v>9.12950198566676E-3</v>
      </c>
      <c r="K816" s="53">
        <v>1.12694378895142E-2</v>
      </c>
      <c r="L816" s="95">
        <f>IFERROR(B816*'Stock Statistics'!$C$41+C816*'Stock Statistics'!$C$42+D816*'Stock Statistics'!$C$43+E816*'Stock Statistics'!$C$44+F816*'Stock Statistics'!$C$45+G816*'Stock Statistics'!$C$46+H816*'Stock Statistics'!$C$47+I816*'Stock Statistics'!$C$48+J816*'Stock Statistics'!$C$49+K816*'Stock Statistics'!$C$50,"")</f>
        <v>-2.0288923836873406E-3</v>
      </c>
      <c r="M816" s="96">
        <v>249.47730000000001</v>
      </c>
      <c r="N816" s="97">
        <v>311.577</v>
      </c>
      <c r="O816" s="93">
        <f t="shared" si="36"/>
        <v>-4.87595318223355E-3</v>
      </c>
      <c r="P816" s="93">
        <f t="shared" si="37"/>
        <v>-4.488757976100155E-3</v>
      </c>
      <c r="Q816" s="93">
        <f>B816*'Portfolio 2 &amp; 3'!$F$7+C816*'Portfolio 2 &amp; 3'!$F$8+D816*'Portfolio 2 &amp; 3'!$F$9+E816*'Portfolio 2 &amp; 3'!$F$10+F816*'Portfolio 2 &amp; 3'!$F$11+G816*'Portfolio 2 &amp; 3'!$F$12+H816*'Portfolio 2 &amp; 3'!$F$13+I816*'Portfolio 2 &amp; 3'!$F$14+J816*'Portfolio 2 &amp; 3'!$F$15+K816*'Portfolio 2 &amp; 3'!$F$16</f>
        <v>-3.7856552190315511E-4</v>
      </c>
      <c r="R816" s="93">
        <f>B816*'Portfolio 2 &amp; 3'!$B$23+C816*'Portfolio 2 &amp; 3'!$B$24+D816*'Portfolio 2 &amp; 3'!$B$25+E816*'Portfolio 2 &amp; 3'!$B$26+F816*'Portfolio 2 &amp; 3'!$B$27+G816*'Portfolio 2 &amp; 3'!$B$28+H816*'Portfolio 2 &amp; 3'!$B$29+I816*'Portfolio 2 &amp; 3'!$B$30+J816*'Portfolio 2 &amp; 3'!$B$31+K816*'Portfolio 2 &amp; 3'!$B$32</f>
        <v>-4.3789365801676057E-3</v>
      </c>
      <c r="S816" s="93">
        <f t="shared" si="38"/>
        <v>-4.6823555791668525E-3</v>
      </c>
    </row>
    <row r="817" spans="1:19" ht="12.75" customHeight="1">
      <c r="A817" s="82">
        <v>44883</v>
      </c>
      <c r="B817" s="53">
        <v>1.2699999999999999E-2</v>
      </c>
      <c r="C817" s="53">
        <v>-8.0952228586056406E-3</v>
      </c>
      <c r="D817" s="53">
        <v>-6.6831949983831001E-3</v>
      </c>
      <c r="E817" s="53">
        <v>-6.5599999999999999E-3</v>
      </c>
      <c r="F817" s="53">
        <v>-1.6895200783545498E-2</v>
      </c>
      <c r="G817" s="53">
        <v>6.1223234063501096E-3</v>
      </c>
      <c r="H817" s="87">
        <v>2.9081462579167998E-3</v>
      </c>
      <c r="I817" s="53">
        <v>1.7147349285117498E-2</v>
      </c>
      <c r="J817" s="53">
        <v>-1.1416967509025299E-2</v>
      </c>
      <c r="K817" s="53">
        <v>1.65154017485114E-3</v>
      </c>
      <c r="L817" s="95">
        <f>IFERROR(B817*'Stock Statistics'!$C$41+C817*'Stock Statistics'!$C$42+D817*'Stock Statistics'!$C$43+E817*'Stock Statistics'!$C$44+F817*'Stock Statistics'!$C$45+G817*'Stock Statistics'!$C$46+H817*'Stock Statistics'!$C$47+I817*'Stock Statistics'!$C$48+J817*'Stock Statistics'!$C$49+K817*'Stock Statistics'!$C$50,"")</f>
        <v>-9.1212270253239892E-4</v>
      </c>
      <c r="M817" s="97">
        <v>250.69970000000001</v>
      </c>
      <c r="N817" s="96">
        <v>312.9819</v>
      </c>
      <c r="O817" s="93">
        <f t="shared" si="36"/>
        <v>2.4776809225746099E-4</v>
      </c>
      <c r="P817" s="93">
        <f t="shared" si="37"/>
        <v>-1.0805911108343835E-2</v>
      </c>
      <c r="Q817" s="93">
        <f>B817*'Portfolio 2 &amp; 3'!$F$7+C817*'Portfolio 2 &amp; 3'!$F$8+D817*'Portfolio 2 &amp; 3'!$F$9+E817*'Portfolio 2 &amp; 3'!$F$10+F817*'Portfolio 2 &amp; 3'!$F$11+G817*'Portfolio 2 &amp; 3'!$F$12+H817*'Portfolio 2 &amp; 3'!$F$13+I817*'Portfolio 2 &amp; 3'!$F$14+J817*'Portfolio 2 &amp; 3'!$F$15+K817*'Portfolio 2 &amp; 3'!$F$16</f>
        <v>-2.3130043475962708E-3</v>
      </c>
      <c r="R817" s="93">
        <f>B817*'Portfolio 2 &amp; 3'!$B$23+C817*'Portfolio 2 &amp; 3'!$B$24+D817*'Portfolio 2 &amp; 3'!$B$25+E817*'Portfolio 2 &amp; 3'!$B$26+F817*'Portfolio 2 &amp; 3'!$B$27+G817*'Portfolio 2 &amp; 3'!$B$28+H817*'Portfolio 2 &amp; 3'!$B$29+I817*'Portfolio 2 &amp; 3'!$B$30+J817*'Portfolio 2 &amp; 3'!$B$31+K817*'Portfolio 2 &amp; 3'!$B$32</f>
        <v>2.1947301326335667E-3</v>
      </c>
      <c r="S817" s="93">
        <f t="shared" si="38"/>
        <v>-5.2790715080431871E-3</v>
      </c>
    </row>
    <row r="818" spans="1:19" ht="12.75" customHeight="1">
      <c r="A818" s="81">
        <v>44882</v>
      </c>
      <c r="B818" s="53">
        <v>-2E-3</v>
      </c>
      <c r="C818" s="53">
        <v>1.18824062682121E-2</v>
      </c>
      <c r="D818" s="53">
        <v>-1.09808102345416E-2</v>
      </c>
      <c r="E818" s="53">
        <v>-1.3999999999999999E-4</v>
      </c>
      <c r="F818" s="53">
        <v>-1.6022166004095999E-2</v>
      </c>
      <c r="G818" s="53">
        <v>2.1273315862495598E-3</v>
      </c>
      <c r="H818" s="87">
        <v>-1.3426928703462199E-2</v>
      </c>
      <c r="I818" s="53">
        <v>7.4745074745075097E-3</v>
      </c>
      <c r="J818" s="53">
        <v>3.53228874196176E-3</v>
      </c>
      <c r="K818" s="53">
        <v>-1.70922071636015E-3</v>
      </c>
      <c r="L818" s="95">
        <f>IFERROR(B818*'Stock Statistics'!$C$41+C818*'Stock Statistics'!$C$42+D818*'Stock Statistics'!$C$43+E818*'Stock Statistics'!$C$44+F818*'Stock Statistics'!$C$45+G818*'Stock Statistics'!$C$46+H818*'Stock Statistics'!$C$47+I818*'Stock Statistics'!$C$48+J818*'Stock Statistics'!$C$49+K818*'Stock Statistics'!$C$50,"")</f>
        <v>-1.9262591587529017E-3</v>
      </c>
      <c r="M818" s="96">
        <v>250.63759999999999</v>
      </c>
      <c r="N818" s="97">
        <v>316.40089999999998</v>
      </c>
      <c r="O818" s="93">
        <f t="shared" si="36"/>
        <v>-5.5223715963297337E-3</v>
      </c>
      <c r="P818" s="93">
        <f t="shared" si="37"/>
        <v>-7.4111417468699647E-3</v>
      </c>
      <c r="Q818" s="93">
        <f>B818*'Portfolio 2 &amp; 3'!$F$7+C818*'Portfolio 2 &amp; 3'!$F$8+D818*'Portfolio 2 &amp; 3'!$F$9+E818*'Portfolio 2 &amp; 3'!$F$10+F818*'Portfolio 2 &amp; 3'!$F$11+G818*'Portfolio 2 &amp; 3'!$F$12+H818*'Portfolio 2 &amp; 3'!$F$13+I818*'Portfolio 2 &amp; 3'!$F$14+J818*'Portfolio 2 &amp; 3'!$F$15+K818*'Portfolio 2 &amp; 3'!$F$16</f>
        <v>-3.1739337728356465E-3</v>
      </c>
      <c r="R818" s="93">
        <f>B818*'Portfolio 2 &amp; 3'!$B$23+C818*'Portfolio 2 &amp; 3'!$B$24+D818*'Portfolio 2 &amp; 3'!$B$25+E818*'Portfolio 2 &amp; 3'!$B$26+F818*'Portfolio 2 &amp; 3'!$B$27+G818*'Portfolio 2 &amp; 3'!$B$28+H818*'Portfolio 2 &amp; 3'!$B$29+I818*'Portfolio 2 &amp; 3'!$B$30+J818*'Portfolio 2 &amp; 3'!$B$31+K818*'Portfolio 2 &amp; 3'!$B$32</f>
        <v>1.0025903147858185E-3</v>
      </c>
      <c r="S818" s="93">
        <f t="shared" si="38"/>
        <v>-6.4667566715998492E-3</v>
      </c>
    </row>
    <row r="819" spans="1:19" ht="12.75" customHeight="1">
      <c r="A819" s="82">
        <v>44881</v>
      </c>
      <c r="B819" s="53">
        <v>-6.1000000000000004E-3</v>
      </c>
      <c r="C819" s="53">
        <v>1.3779240358584601E-3</v>
      </c>
      <c r="D819" s="53">
        <v>-1.1278591757141399E-2</v>
      </c>
      <c r="E819" s="53">
        <v>-2.0449999999999999E-2</v>
      </c>
      <c r="F819" s="53">
        <v>-4.0791841631673299E-3</v>
      </c>
      <c r="G819" s="53">
        <v>-3.8390663390663899E-3</v>
      </c>
      <c r="H819" s="87">
        <v>-2.7706783072851699E-3</v>
      </c>
      <c r="I819" s="53">
        <v>6.9281762448287799E-3</v>
      </c>
      <c r="J819" s="53">
        <v>-3.1689981438742798E-4</v>
      </c>
      <c r="K819" s="53">
        <v>1.21404185612151E-2</v>
      </c>
      <c r="L819" s="95">
        <f>IFERROR(B819*'Stock Statistics'!$C$41+C819*'Stock Statistics'!$C$42+D819*'Stock Statistics'!$C$43+E819*'Stock Statistics'!$C$44+F819*'Stock Statistics'!$C$45+G819*'Stock Statistics'!$C$46+H819*'Stock Statistics'!$C$47+I819*'Stock Statistics'!$C$48+J819*'Stock Statistics'!$C$49+K819*'Stock Statistics'!$C$50,"")</f>
        <v>-2.8387901539145373E-3</v>
      </c>
      <c r="M819" s="97">
        <v>252.02940000000001</v>
      </c>
      <c r="N819" s="96">
        <v>318.76330000000002</v>
      </c>
      <c r="O819" s="93">
        <f t="shared" si="36"/>
        <v>4.4581580386338082E-3</v>
      </c>
      <c r="P819" s="93">
        <f t="shared" si="37"/>
        <v>-7.286447027900711E-3</v>
      </c>
      <c r="Q819" s="93">
        <f>B819*'Portfolio 2 &amp; 3'!$F$7+C819*'Portfolio 2 &amp; 3'!$F$8+D819*'Portfolio 2 &amp; 3'!$F$9+E819*'Portfolio 2 &amp; 3'!$F$10+F819*'Portfolio 2 &amp; 3'!$F$11+G819*'Portfolio 2 &amp; 3'!$F$12+H819*'Portfolio 2 &amp; 3'!$F$13+I819*'Portfolio 2 &amp; 3'!$F$14+J819*'Portfolio 2 &amp; 3'!$F$15+K819*'Portfolio 2 &amp; 3'!$F$16</f>
        <v>-2.8489331092570675E-3</v>
      </c>
      <c r="R819" s="93">
        <f>B819*'Portfolio 2 &amp; 3'!$B$23+C819*'Portfolio 2 &amp; 3'!$B$24+D819*'Portfolio 2 &amp; 3'!$B$25+E819*'Portfolio 2 &amp; 3'!$B$26+F819*'Portfolio 2 &amp; 3'!$B$27+G819*'Portfolio 2 &amp; 3'!$B$28+H819*'Portfolio 2 &amp; 3'!$B$29+I819*'Portfolio 2 &amp; 3'!$B$30+J819*'Portfolio 2 &amp; 3'!$B$31+K819*'Portfolio 2 &amp; 3'!$B$32</f>
        <v>9.3778801263091644E-4</v>
      </c>
      <c r="S819" s="93">
        <f t="shared" si="38"/>
        <v>-1.4141444946334514E-3</v>
      </c>
    </row>
    <row r="820" spans="1:19" ht="12.75" customHeight="1">
      <c r="A820" s="81">
        <v>44880</v>
      </c>
      <c r="B820" s="53">
        <v>-1.44E-2</v>
      </c>
      <c r="C820" s="53">
        <v>-1.10934769714166E-2</v>
      </c>
      <c r="D820" s="53">
        <v>-7.4283322870892796E-3</v>
      </c>
      <c r="E820" s="53">
        <v>-5.2700000000000004E-3</v>
      </c>
      <c r="F820" s="53">
        <v>-1.66352052855121E-2</v>
      </c>
      <c r="G820" s="53">
        <v>5.5589870290302396E-3</v>
      </c>
      <c r="H820" s="87">
        <v>-1.33229189912966E-2</v>
      </c>
      <c r="I820" s="53">
        <v>-6.3886687797147798E-3</v>
      </c>
      <c r="J820" s="53">
        <v>1.859579100145E-3</v>
      </c>
      <c r="K820" s="53">
        <v>-6.5098027286416603E-3</v>
      </c>
      <c r="L820" s="95">
        <f>IFERROR(B820*'Stock Statistics'!$C$41+C820*'Stock Statistics'!$C$42+D820*'Stock Statistics'!$C$43+E820*'Stock Statistics'!$C$44+F820*'Stock Statistics'!$C$45+G820*'Stock Statistics'!$C$46+H820*'Stock Statistics'!$C$47+I820*'Stock Statistics'!$C$48+J820*'Stock Statistics'!$C$49+K820*'Stock Statistics'!$C$50,"")</f>
        <v>-7.3629838914495782E-3</v>
      </c>
      <c r="M820" s="96">
        <v>250.91079999999999</v>
      </c>
      <c r="N820" s="97">
        <v>321.10300000000001</v>
      </c>
      <c r="O820" s="93">
        <f t="shared" si="36"/>
        <v>4.5871100486016836E-3</v>
      </c>
      <c r="P820" s="93">
        <f t="shared" si="37"/>
        <v>4.5021396847255701E-4</v>
      </c>
      <c r="Q820" s="93">
        <f>B820*'Portfolio 2 &amp; 3'!$F$7+C820*'Portfolio 2 &amp; 3'!$F$8+D820*'Portfolio 2 &amp; 3'!$F$9+E820*'Portfolio 2 &amp; 3'!$F$10+F820*'Portfolio 2 &amp; 3'!$F$11+G820*'Portfolio 2 &amp; 3'!$F$12+H820*'Portfolio 2 &amp; 3'!$F$13+I820*'Portfolio 2 &amp; 3'!$F$14+J820*'Portfolio 2 &amp; 3'!$F$15+K820*'Portfolio 2 &amp; 3'!$F$16</f>
        <v>-7.7847530981875156E-3</v>
      </c>
      <c r="R820" s="93">
        <f>B820*'Portfolio 2 &amp; 3'!$B$23+C820*'Portfolio 2 &amp; 3'!$B$24+D820*'Portfolio 2 &amp; 3'!$B$25+E820*'Portfolio 2 &amp; 3'!$B$26+F820*'Portfolio 2 &amp; 3'!$B$27+G820*'Portfolio 2 &amp; 3'!$B$28+H820*'Portfolio 2 &amp; 3'!$B$29+I820*'Portfolio 2 &amp; 3'!$B$30+J820*'Portfolio 2 &amp; 3'!$B$31+K820*'Portfolio 2 &amp; 3'!$B$32</f>
        <v>-8.6677782350001488E-3</v>
      </c>
      <c r="S820" s="93">
        <f t="shared" si="38"/>
        <v>2.5186620085371203E-3</v>
      </c>
    </row>
    <row r="821" spans="1:19" ht="12.75" customHeight="1">
      <c r="A821" s="82">
        <v>44879</v>
      </c>
      <c r="B821" s="53">
        <v>3.2300000000000002E-2</v>
      </c>
      <c r="C821" s="53">
        <v>-3.8008847437597301E-3</v>
      </c>
      <c r="D821" s="53">
        <v>-2.9151853732859299E-2</v>
      </c>
      <c r="E821" s="53">
        <v>-1.7080000000000001E-2</v>
      </c>
      <c r="F821" s="53">
        <v>-1.31563627896145E-2</v>
      </c>
      <c r="G821" s="53">
        <v>-2.1722710655910998E-2</v>
      </c>
      <c r="H821" s="87">
        <v>1.06682905925075E-2</v>
      </c>
      <c r="I821" s="53">
        <v>-3.7005970296540899E-3</v>
      </c>
      <c r="J821" s="53">
        <v>-1.52746761947297E-2</v>
      </c>
      <c r="K821" s="53">
        <v>-8.0547112462003899E-4</v>
      </c>
      <c r="L821" s="95">
        <f>IFERROR(B821*'Stock Statistics'!$C$41+C821*'Stock Statistics'!$C$42+D821*'Stock Statistics'!$C$43+E821*'Stock Statistics'!$C$44+F821*'Stock Statistics'!$C$45+G821*'Stock Statistics'!$C$46+H821*'Stock Statistics'!$C$47+I821*'Stock Statistics'!$C$48+J821*'Stock Statistics'!$C$49+K821*'Stock Statistics'!$C$50,"")</f>
        <v>-6.1724265678640856E-3</v>
      </c>
      <c r="M821" s="97">
        <v>249.76509999999999</v>
      </c>
      <c r="N821" s="96">
        <v>320.95850000000002</v>
      </c>
      <c r="O821" s="93">
        <f t="shared" si="36"/>
        <v>7.1100290401118205E-3</v>
      </c>
      <c r="P821" s="93">
        <f t="shared" si="37"/>
        <v>4.1186702623561278E-3</v>
      </c>
      <c r="Q821" s="93">
        <f>B821*'Portfolio 2 &amp; 3'!$F$7+C821*'Portfolio 2 &amp; 3'!$F$8+D821*'Portfolio 2 &amp; 3'!$F$9+E821*'Portfolio 2 &amp; 3'!$F$10+F821*'Portfolio 2 &amp; 3'!$F$11+G821*'Portfolio 2 &amp; 3'!$F$12+H821*'Portfolio 2 &amp; 3'!$F$13+I821*'Portfolio 2 &amp; 3'!$F$14+J821*'Portfolio 2 &amp; 3'!$F$15+K821*'Portfolio 2 &amp; 3'!$F$16</f>
        <v>-6.7382143458226277E-3</v>
      </c>
      <c r="R821" s="93">
        <f>B821*'Portfolio 2 &amp; 3'!$B$23+C821*'Portfolio 2 &amp; 3'!$B$24+D821*'Portfolio 2 &amp; 3'!$B$25+E821*'Portfolio 2 &amp; 3'!$B$26+F821*'Portfolio 2 &amp; 3'!$B$27+G821*'Portfolio 2 &amp; 3'!$B$28+H821*'Portfolio 2 &amp; 3'!$B$29+I821*'Portfolio 2 &amp; 3'!$B$30+J821*'Portfolio 2 &amp; 3'!$B$31+K821*'Portfolio 2 &amp; 3'!$B$32</f>
        <v>-2.3250097889240362E-3</v>
      </c>
      <c r="S821" s="93">
        <f t="shared" si="38"/>
        <v>5.6143496512339741E-3</v>
      </c>
    </row>
    <row r="822" spans="1:19" ht="12.75" customHeight="1">
      <c r="A822" s="81">
        <v>44876</v>
      </c>
      <c r="B822" s="53">
        <v>4.0000000000000001E-3</v>
      </c>
      <c r="C822" s="53">
        <v>8.6176347411488496E-3</v>
      </c>
      <c r="D822" s="53">
        <v>6.0290210504803099E-3</v>
      </c>
      <c r="E822" s="53">
        <v>-9.7900000000000001E-3</v>
      </c>
      <c r="F822" s="53">
        <v>-1.0027662517289201E-2</v>
      </c>
      <c r="G822" s="53">
        <v>-8.4479194751504501E-3</v>
      </c>
      <c r="H822" s="87">
        <v>-2.32957737170803E-2</v>
      </c>
      <c r="I822" s="53">
        <v>-5.2029647081921499E-3</v>
      </c>
      <c r="J822" s="53">
        <v>-1.51623260792011E-3</v>
      </c>
      <c r="K822" s="53">
        <v>6.0793969238304198E-5</v>
      </c>
      <c r="L822" s="95">
        <f>IFERROR(B822*'Stock Statistics'!$C$41+C822*'Stock Statistics'!$C$42+D822*'Stock Statistics'!$C$43+E822*'Stock Statistics'!$C$44+F822*'Stock Statistics'!$C$45+G822*'Stock Statistics'!$C$46+H822*'Stock Statistics'!$C$47+I822*'Stock Statistics'!$C$48+J822*'Stock Statistics'!$C$49+K822*'Stock Statistics'!$C$50,"")</f>
        <v>-3.9573103264764747E-3</v>
      </c>
      <c r="M822" s="96">
        <v>248.0018</v>
      </c>
      <c r="N822" s="97">
        <v>319.642</v>
      </c>
      <c r="O822" s="93">
        <f t="shared" si="36"/>
        <v>-2.8976067705976938E-3</v>
      </c>
      <c r="P822" s="93">
        <f t="shared" si="37"/>
        <v>1.4495605487966801E-2</v>
      </c>
      <c r="Q822" s="93">
        <f>B822*'Portfolio 2 &amp; 3'!$F$7+C822*'Portfolio 2 &amp; 3'!$F$8+D822*'Portfolio 2 &amp; 3'!$F$9+E822*'Portfolio 2 &amp; 3'!$F$10+F822*'Portfolio 2 &amp; 3'!$F$11+G822*'Portfolio 2 &amp; 3'!$F$12+H822*'Portfolio 2 &amp; 3'!$F$13+I822*'Portfolio 2 &amp; 3'!$F$14+J822*'Portfolio 2 &amp; 3'!$F$15+K822*'Portfolio 2 &amp; 3'!$F$16</f>
        <v>-4.7690156143464536E-3</v>
      </c>
      <c r="R822" s="93">
        <f>B822*'Portfolio 2 &amp; 3'!$B$23+C822*'Portfolio 2 &amp; 3'!$B$24+D822*'Portfolio 2 &amp; 3'!$B$25+E822*'Portfolio 2 &amp; 3'!$B$26+F822*'Portfolio 2 &amp; 3'!$B$27+G822*'Portfolio 2 &amp; 3'!$B$28+H822*'Portfolio 2 &amp; 3'!$B$29+I822*'Portfolio 2 &amp; 3'!$B$30+J822*'Portfolio 2 &amp; 3'!$B$31+K822*'Portfolio 2 &amp; 3'!$B$32</f>
        <v>-2.2651560431073167E-3</v>
      </c>
      <c r="S822" s="93">
        <f t="shared" si="38"/>
        <v>5.7989993586845534E-3</v>
      </c>
    </row>
    <row r="823" spans="1:19" ht="12.75" customHeight="1">
      <c r="A823" s="82">
        <v>44875</v>
      </c>
      <c r="B823" s="53">
        <v>8.9999999999999998E-4</v>
      </c>
      <c r="C823" s="53">
        <v>-8.3381253594019301E-3</v>
      </c>
      <c r="D823" s="53">
        <v>3.7952610524156802E-3</v>
      </c>
      <c r="E823" s="53">
        <v>0</v>
      </c>
      <c r="F823" s="53">
        <v>-3.2560214094558303E-2</v>
      </c>
      <c r="G823" s="53">
        <v>1.2404464394031299E-2</v>
      </c>
      <c r="H823" s="87">
        <v>4.0287374101956E-2</v>
      </c>
      <c r="I823" s="53">
        <v>2.5589291865557601E-3</v>
      </c>
      <c r="J823" s="53">
        <v>2.1899441340782499E-3</v>
      </c>
      <c r="K823" s="53">
        <v>-1.1062345938796301E-2</v>
      </c>
      <c r="L823" s="95">
        <f>IFERROR(B823*'Stock Statistics'!$C$41+C823*'Stock Statistics'!$C$42+D823*'Stock Statistics'!$C$43+E823*'Stock Statistics'!$C$44+F823*'Stock Statistics'!$C$45+G823*'Stock Statistics'!$C$46+H823*'Stock Statistics'!$C$47+I823*'Stock Statistics'!$C$48+J823*'Stock Statistics'!$C$49+K823*'Stock Statistics'!$C$50,"")</f>
        <v>1.0175287476280456E-3</v>
      </c>
      <c r="M823" s="97">
        <v>248.7225</v>
      </c>
      <c r="N823" s="96">
        <v>315.07479999999998</v>
      </c>
      <c r="O823" s="93">
        <f t="shared" si="36"/>
        <v>-4.163955757970017E-3</v>
      </c>
      <c r="P823" s="93">
        <f t="shared" si="37"/>
        <v>1.1073601519780096E-2</v>
      </c>
      <c r="Q823" s="93">
        <f>B823*'Portfolio 2 &amp; 3'!$F$7+C823*'Portfolio 2 &amp; 3'!$F$8+D823*'Portfolio 2 &amp; 3'!$F$9+E823*'Portfolio 2 &amp; 3'!$F$10+F823*'Portfolio 2 &amp; 3'!$F$11+G823*'Portfolio 2 &amp; 3'!$F$12+H823*'Portfolio 2 &amp; 3'!$F$13+I823*'Portfolio 2 &amp; 3'!$F$14+J823*'Portfolio 2 &amp; 3'!$F$15+K823*'Portfolio 2 &amp; 3'!$F$16</f>
        <v>3.3359669619371117E-3</v>
      </c>
      <c r="R823" s="93">
        <f>B823*'Portfolio 2 &amp; 3'!$B$23+C823*'Portfolio 2 &amp; 3'!$B$24+D823*'Portfolio 2 &amp; 3'!$B$25+E823*'Portfolio 2 &amp; 3'!$B$26+F823*'Portfolio 2 &amp; 3'!$B$27+G823*'Portfolio 2 &amp; 3'!$B$28+H823*'Portfolio 2 &amp; 3'!$B$29+I823*'Portfolio 2 &amp; 3'!$B$30+J823*'Portfolio 2 &amp; 3'!$B$31+K823*'Portfolio 2 &amp; 3'!$B$32</f>
        <v>-4.2740128101672239E-3</v>
      </c>
      <c r="S823" s="93">
        <f t="shared" si="38"/>
        <v>3.4548228809050396E-3</v>
      </c>
    </row>
    <row r="824" spans="1:19" ht="12.75" customHeight="1">
      <c r="A824" s="81">
        <v>44874</v>
      </c>
      <c r="B824" s="53">
        <v>-5.5999999999999999E-3</v>
      </c>
      <c r="C824" s="53">
        <v>-5.1171216985030901E-3</v>
      </c>
      <c r="D824" s="53">
        <v>-3.7809115062333899E-3</v>
      </c>
      <c r="E824" s="53">
        <v>1.4019999999999999E-2</v>
      </c>
      <c r="F824" s="53">
        <v>-5.8751801352400204E-3</v>
      </c>
      <c r="G824" s="53">
        <v>-1.2252478955094299E-2</v>
      </c>
      <c r="H824" s="87">
        <v>-3.8727158576479598E-2</v>
      </c>
      <c r="I824" s="53">
        <v>2.4665778698633699E-3</v>
      </c>
      <c r="J824" s="53">
        <v>-2.3631175316569698E-3</v>
      </c>
      <c r="K824" s="53">
        <v>1.6873509812312702E-2</v>
      </c>
      <c r="L824" s="95">
        <f>IFERROR(B824*'Stock Statistics'!$C$41+C824*'Stock Statistics'!$C$42+D824*'Stock Statistics'!$C$43+E824*'Stock Statistics'!$C$44+F824*'Stock Statistics'!$C$45+G824*'Stock Statistics'!$C$46+H824*'Stock Statistics'!$C$47+I824*'Stock Statistics'!$C$48+J824*'Stock Statistics'!$C$49+K824*'Stock Statistics'!$C$50,"")</f>
        <v>-4.0355880721031296E-3</v>
      </c>
      <c r="M824" s="96">
        <v>249.76249999999999</v>
      </c>
      <c r="N824" s="97">
        <v>311.62400000000002</v>
      </c>
      <c r="O824" s="93">
        <f t="shared" si="36"/>
        <v>-9.1864350031062303E-3</v>
      </c>
      <c r="P824" s="93">
        <f t="shared" si="37"/>
        <v>-4.990310897422412E-3</v>
      </c>
      <c r="Q824" s="93">
        <f>B824*'Portfolio 2 &amp; 3'!$F$7+C824*'Portfolio 2 &amp; 3'!$F$8+D824*'Portfolio 2 &amp; 3'!$F$9+E824*'Portfolio 2 &amp; 3'!$F$10+F824*'Portfolio 2 &amp; 3'!$F$11+G824*'Portfolio 2 &amp; 3'!$F$12+H824*'Portfolio 2 &amp; 3'!$F$13+I824*'Portfolio 2 &amp; 3'!$F$14+J824*'Portfolio 2 &amp; 3'!$F$15+K824*'Portfolio 2 &amp; 3'!$F$16</f>
        <v>-6.7698470169374383E-3</v>
      </c>
      <c r="R824" s="93">
        <f>B824*'Portfolio 2 &amp; 3'!$B$23+C824*'Portfolio 2 &amp; 3'!$B$24+D824*'Portfolio 2 &amp; 3'!$B$25+E824*'Portfolio 2 &amp; 3'!$B$26+F824*'Portfolio 2 &amp; 3'!$B$27+G824*'Portfolio 2 &amp; 3'!$B$28+H824*'Portfolio 2 &amp; 3'!$B$29+I824*'Portfolio 2 &amp; 3'!$B$30+J824*'Portfolio 2 &amp; 3'!$B$31+K824*'Portfolio 2 &amp; 3'!$B$32</f>
        <v>-3.1757685075318497E-3</v>
      </c>
      <c r="S824" s="93">
        <f t="shared" si="38"/>
        <v>-7.0883729502643211E-3</v>
      </c>
    </row>
    <row r="825" spans="1:19" ht="12.75" customHeight="1">
      <c r="A825" s="82">
        <v>44872</v>
      </c>
      <c r="B825" s="53">
        <v>-7.7999999999999996E-3</v>
      </c>
      <c r="C825" s="53">
        <v>-8.5553577336966499E-3</v>
      </c>
      <c r="D825" s="53">
        <v>2.4068647969861998E-2</v>
      </c>
      <c r="E825" s="53">
        <v>3.0339999999999999E-2</v>
      </c>
      <c r="F825" s="53">
        <v>2.4880708929788699E-2</v>
      </c>
      <c r="G825" s="53">
        <v>2.6431982699064399E-3</v>
      </c>
      <c r="H825" s="87">
        <v>-2.1980678983173399E-3</v>
      </c>
      <c r="I825" s="53">
        <v>-3.29432589241818E-3</v>
      </c>
      <c r="J825" s="53">
        <v>-7.1713147410358297E-3</v>
      </c>
      <c r="K825" s="53">
        <v>-1.3126965228805699E-3</v>
      </c>
      <c r="L825" s="95">
        <f>IFERROR(B825*'Stock Statistics'!$C$41+C825*'Stock Statistics'!$C$42+D825*'Stock Statistics'!$C$43+E825*'Stock Statistics'!$C$44+F825*'Stock Statistics'!$C$45+G825*'Stock Statistics'!$C$46+H825*'Stock Statistics'!$C$47+I825*'Stock Statistics'!$C$48+J825*'Stock Statistics'!$C$49+K825*'Stock Statistics'!$C$50,"")</f>
        <v>5.1600792381208578E-3</v>
      </c>
      <c r="M825" s="97">
        <v>252.07820000000001</v>
      </c>
      <c r="N825" s="96">
        <v>313.18689999999998</v>
      </c>
      <c r="O825" s="93">
        <f t="shared" si="36"/>
        <v>-7.2409545173851564E-3</v>
      </c>
      <c r="P825" s="93">
        <f t="shared" si="37"/>
        <v>9.461030982595986E-3</v>
      </c>
      <c r="Q825" s="93">
        <f>B825*'Portfolio 2 &amp; 3'!$F$7+C825*'Portfolio 2 &amp; 3'!$F$8+D825*'Portfolio 2 &amp; 3'!$F$9+E825*'Portfolio 2 &amp; 3'!$F$10+F825*'Portfolio 2 &amp; 3'!$F$11+G825*'Portfolio 2 &amp; 3'!$F$12+H825*'Portfolio 2 &amp; 3'!$F$13+I825*'Portfolio 2 &amp; 3'!$F$14+J825*'Portfolio 2 &amp; 3'!$F$15+K825*'Portfolio 2 &amp; 3'!$F$16</f>
        <v>4.9880022030463845E-3</v>
      </c>
      <c r="R825" s="93">
        <f>B825*'Portfolio 2 &amp; 3'!$B$23+C825*'Portfolio 2 &amp; 3'!$B$24+D825*'Portfolio 2 &amp; 3'!$B$25+E825*'Portfolio 2 &amp; 3'!$B$26+F825*'Portfolio 2 &amp; 3'!$B$27+G825*'Portfolio 2 &amp; 3'!$B$28+H825*'Portfolio 2 &amp; 3'!$B$29+I825*'Portfolio 2 &amp; 3'!$B$30+J825*'Portfolio 2 &amp; 3'!$B$31+K825*'Portfolio 2 &amp; 3'!$B$32</f>
        <v>5.8520189428564622E-4</v>
      </c>
      <c r="S825" s="93">
        <f t="shared" si="38"/>
        <v>1.1100382326054148E-3</v>
      </c>
    </row>
    <row r="826" spans="1:19" ht="12.75" customHeight="1">
      <c r="A826" s="81">
        <v>44869</v>
      </c>
      <c r="B826" s="53">
        <v>-2.35E-2</v>
      </c>
      <c r="C826" s="53">
        <v>-7.71434868856114E-4</v>
      </c>
      <c r="D826" s="53">
        <v>-0.117473217584041</v>
      </c>
      <c r="E826" s="53">
        <v>3.0000000000000001E-3</v>
      </c>
      <c r="F826" s="53">
        <v>3.3055967172006501E-3</v>
      </c>
      <c r="G826" s="53">
        <v>7.8404068535449199E-3</v>
      </c>
      <c r="H826" s="87">
        <v>3.2084500209486099E-3</v>
      </c>
      <c r="I826" s="53">
        <v>3.3052143456169299E-3</v>
      </c>
      <c r="J826" s="53">
        <v>7.2231139646870002E-3</v>
      </c>
      <c r="K826" s="53">
        <v>1.3144219600169701E-3</v>
      </c>
      <c r="L826" s="95">
        <f>IFERROR(B826*'Stock Statistics'!$C$41+C826*'Stock Statistics'!$C$42+D826*'Stock Statistics'!$C$43+E826*'Stock Statistics'!$C$44+F826*'Stock Statistics'!$C$45+G826*'Stock Statistics'!$C$46+H826*'Stock Statistics'!$C$47+I826*'Stock Statistics'!$C$48+J826*'Stock Statistics'!$C$49+K826*'Stock Statistics'!$C$50,"")</f>
        <v>-1.1254744859088207E-2</v>
      </c>
      <c r="M826" s="96">
        <v>253.91679999999999</v>
      </c>
      <c r="N826" s="97">
        <v>310.2516</v>
      </c>
      <c r="O826" s="93">
        <f t="shared" si="36"/>
        <v>-1.5096301347184982E-3</v>
      </c>
      <c r="P826" s="93">
        <f t="shared" si="37"/>
        <v>6.8876929263137487E-3</v>
      </c>
      <c r="Q826" s="93">
        <f>B826*'Portfolio 2 &amp; 3'!$F$7+C826*'Portfolio 2 &amp; 3'!$F$8+D826*'Portfolio 2 &amp; 3'!$F$9+E826*'Portfolio 2 &amp; 3'!$F$10+F826*'Portfolio 2 &amp; 3'!$F$11+G826*'Portfolio 2 &amp; 3'!$F$12+H826*'Portfolio 2 &amp; 3'!$F$13+I826*'Portfolio 2 &amp; 3'!$F$14+J826*'Portfolio 2 &amp; 3'!$F$15+K826*'Portfolio 2 &amp; 3'!$F$16</f>
        <v>-1.4358494344480765E-2</v>
      </c>
      <c r="R826" s="93">
        <f>B826*'Portfolio 2 &amp; 3'!$B$23+C826*'Portfolio 2 &amp; 3'!$B$24+D826*'Portfolio 2 &amp; 3'!$B$25+E826*'Portfolio 2 &amp; 3'!$B$26+F826*'Portfolio 2 &amp; 3'!$B$27+G826*'Portfolio 2 &amp; 3'!$B$28+H826*'Portfolio 2 &amp; 3'!$B$29+I826*'Portfolio 2 &amp; 3'!$B$30+J826*'Portfolio 2 &amp; 3'!$B$31+K826*'Portfolio 2 &amp; 3'!$B$32</f>
        <v>-2.1214160519820342E-3</v>
      </c>
      <c r="S826" s="93">
        <f t="shared" si="38"/>
        <v>2.6890313957976253E-3</v>
      </c>
    </row>
    <row r="827" spans="1:19" ht="12.75" customHeight="1">
      <c r="A827" s="82">
        <v>44868</v>
      </c>
      <c r="B827" s="53">
        <v>1.7399999999999999E-2</v>
      </c>
      <c r="C827" s="53">
        <v>-3.6392156862744599E-3</v>
      </c>
      <c r="D827" s="53">
        <v>-2.8530414498474699E-2</v>
      </c>
      <c r="E827" s="53">
        <v>-2.63E-2</v>
      </c>
      <c r="F827" s="53">
        <v>3.4313164817567601E-3</v>
      </c>
      <c r="G827" s="53">
        <v>-1.7634638831891002E-2</v>
      </c>
      <c r="H827" s="87">
        <v>1.10245348850171E-2</v>
      </c>
      <c r="I827" s="53">
        <v>2.86944045911053E-3</v>
      </c>
      <c r="J827" s="53">
        <v>-8.0192461908568102E-4</v>
      </c>
      <c r="K827" s="53">
        <v>-4.67026698106032E-3</v>
      </c>
      <c r="L827" s="95">
        <f>IFERROR(B827*'Stock Statistics'!$C$41+C827*'Stock Statistics'!$C$42+D827*'Stock Statistics'!$C$43+E827*'Stock Statistics'!$C$44+F827*'Stock Statistics'!$C$45+G827*'Stock Statistics'!$C$46+H827*'Stock Statistics'!$C$47+I827*'Stock Statistics'!$C$48+J827*'Stock Statistics'!$C$49+K827*'Stock Statistics'!$C$50,"")</f>
        <v>-4.6851168790901787E-3</v>
      </c>
      <c r="M827" s="97">
        <v>254.30070000000001</v>
      </c>
      <c r="N827" s="96">
        <v>308.1293</v>
      </c>
      <c r="O827" s="93">
        <f t="shared" si="36"/>
        <v>-2.3981597858480086E-4</v>
      </c>
      <c r="P827" s="93">
        <f t="shared" si="37"/>
        <v>1.4733030850635487E-3</v>
      </c>
      <c r="Q827" s="93">
        <f>B827*'Portfolio 2 &amp; 3'!$F$7+C827*'Portfolio 2 &amp; 3'!$F$8+D827*'Portfolio 2 &amp; 3'!$F$9+E827*'Portfolio 2 &amp; 3'!$F$10+F827*'Portfolio 2 &amp; 3'!$F$11+G827*'Portfolio 2 &amp; 3'!$F$12+H827*'Portfolio 2 &amp; 3'!$F$13+I827*'Portfolio 2 &amp; 3'!$F$14+J827*'Portfolio 2 &amp; 3'!$F$15+K827*'Portfolio 2 &amp; 3'!$F$16</f>
        <v>-3.9551575305019401E-3</v>
      </c>
      <c r="R827" s="93">
        <f>B827*'Portfolio 2 &amp; 3'!$B$23+C827*'Portfolio 2 &amp; 3'!$B$24+D827*'Portfolio 2 &amp; 3'!$B$25+E827*'Portfolio 2 &amp; 3'!$B$26+F827*'Portfolio 2 &amp; 3'!$B$27+G827*'Portfolio 2 &amp; 3'!$B$28+H827*'Portfolio 2 &amp; 3'!$B$29+I827*'Portfolio 2 &amp; 3'!$B$30+J827*'Portfolio 2 &amp; 3'!$B$31+K827*'Portfolio 2 &amp; 3'!$B$32</f>
        <v>5.673816939165986E-4</v>
      </c>
      <c r="S827" s="93">
        <f t="shared" si="38"/>
        <v>6.1674355323937391E-4</v>
      </c>
    </row>
    <row r="828" spans="1:19" ht="12.75" customHeight="1">
      <c r="A828" s="81">
        <v>44867</v>
      </c>
      <c r="B828" s="53">
        <v>-3.8999999999999998E-3</v>
      </c>
      <c r="C828" s="53">
        <v>-1.22557753985839E-2</v>
      </c>
      <c r="D828" s="53">
        <v>6.6835260115605298E-3</v>
      </c>
      <c r="E828" s="53">
        <v>-3.0200000000000001E-3</v>
      </c>
      <c r="F828" s="53">
        <v>9.4677288996651808E-3</v>
      </c>
      <c r="G828" s="53">
        <v>8.6687863699082008E-3</v>
      </c>
      <c r="H828" s="87">
        <v>-8.7622372986233509E-3</v>
      </c>
      <c r="I828" s="53">
        <v>-2.8612303290415099E-3</v>
      </c>
      <c r="J828" s="53">
        <v>-6.2865238179565797E-3</v>
      </c>
      <c r="K828" s="53">
        <v>-3.63774156877605E-3</v>
      </c>
      <c r="L828" s="95">
        <f>IFERROR(B828*'Stock Statistics'!$C$41+C828*'Stock Statistics'!$C$42+D828*'Stock Statistics'!$C$43+E828*'Stock Statistics'!$C$44+F828*'Stock Statistics'!$C$45+G828*'Stock Statistics'!$C$46+H828*'Stock Statistics'!$C$47+I828*'Stock Statistics'!$C$48+J828*'Stock Statistics'!$C$49+K828*'Stock Statistics'!$C$50,"")</f>
        <v>-1.5903467131847479E-3</v>
      </c>
      <c r="M828" s="96">
        <v>254.36170000000001</v>
      </c>
      <c r="N828" s="97">
        <v>307.67599999999999</v>
      </c>
      <c r="O828" s="93">
        <f t="shared" si="36"/>
        <v>3.2215201331204923E-3</v>
      </c>
      <c r="P828" s="93">
        <f t="shared" si="37"/>
        <v>1.4839523846257308E-3</v>
      </c>
      <c r="Q828" s="93">
        <f>B828*'Portfolio 2 &amp; 3'!$F$7+C828*'Portfolio 2 &amp; 3'!$F$8+D828*'Portfolio 2 &amp; 3'!$F$9+E828*'Portfolio 2 &amp; 3'!$F$10+F828*'Portfolio 2 &amp; 3'!$F$11+G828*'Portfolio 2 &amp; 3'!$F$12+H828*'Portfolio 2 &amp; 3'!$F$13+I828*'Portfolio 2 &amp; 3'!$F$14+J828*'Portfolio 2 &amp; 3'!$F$15+K828*'Portfolio 2 &amp; 3'!$F$16</f>
        <v>-2.2062376314787094E-3</v>
      </c>
      <c r="R828" s="93">
        <f>B828*'Portfolio 2 &amp; 3'!$B$23+C828*'Portfolio 2 &amp; 3'!$B$24+D828*'Portfolio 2 &amp; 3'!$B$25+E828*'Portfolio 2 &amp; 3'!$B$26+F828*'Portfolio 2 &amp; 3'!$B$27+G828*'Portfolio 2 &amp; 3'!$B$28+H828*'Portfolio 2 &amp; 3'!$B$29+I828*'Portfolio 2 &amp; 3'!$B$30+J828*'Portfolio 2 &amp; 3'!$B$31+K828*'Portfolio 2 &amp; 3'!$B$32</f>
        <v>-1.8660459092921533E-3</v>
      </c>
      <c r="S828" s="93">
        <f t="shared" si="38"/>
        <v>2.3527362588731116E-3</v>
      </c>
    </row>
    <row r="829" spans="1:19" ht="12.75" customHeight="1">
      <c r="A829" s="82">
        <v>44866</v>
      </c>
      <c r="B829" s="53">
        <v>2.2800000000000001E-2</v>
      </c>
      <c r="C829" s="53">
        <v>-8.3887719513881E-3</v>
      </c>
      <c r="D829" s="53">
        <v>-6.6391530593933297E-3</v>
      </c>
      <c r="E829" s="53">
        <v>-4.6899999999999997E-3</v>
      </c>
      <c r="F829" s="53">
        <v>-6.9228106611285401E-4</v>
      </c>
      <c r="G829" s="53">
        <v>-1.6171870388951098E-2</v>
      </c>
      <c r="H829" s="87">
        <v>-6.7059585350057703E-3</v>
      </c>
      <c r="I829" s="53">
        <v>-1.4391987163903301E-2</v>
      </c>
      <c r="J829" s="53">
        <v>-1.3263772216818299E-3</v>
      </c>
      <c r="K829" s="53">
        <v>-3.3913692873145801E-2</v>
      </c>
      <c r="L829" s="95">
        <f>IFERROR(B829*'Stock Statistics'!$C$41+C829*'Stock Statistics'!$C$42+D829*'Stock Statistics'!$C$43+E829*'Stock Statistics'!$C$44+F829*'Stock Statistics'!$C$45+G829*'Stock Statistics'!$C$46+H829*'Stock Statistics'!$C$47+I829*'Stock Statistics'!$C$48+J829*'Stock Statistics'!$C$49+K829*'Stock Statistics'!$C$50,"")</f>
        <v>-7.0120092259582083E-3</v>
      </c>
      <c r="M829" s="97">
        <v>253.54490000000001</v>
      </c>
      <c r="N829" s="96">
        <v>307.2201</v>
      </c>
      <c r="O829" s="93">
        <f t="shared" si="36"/>
        <v>1.0345138131762299E-2</v>
      </c>
      <c r="P829" s="93">
        <f t="shared" si="37"/>
        <v>-1.0177766230691221E-3</v>
      </c>
      <c r="Q829" s="93">
        <f>B829*'Portfolio 2 &amp; 3'!$F$7+C829*'Portfolio 2 &amp; 3'!$F$8+D829*'Portfolio 2 &amp; 3'!$F$9+E829*'Portfolio 2 &amp; 3'!$F$10+F829*'Portfolio 2 &amp; 3'!$F$11+G829*'Portfolio 2 &amp; 3'!$F$12+H829*'Portfolio 2 &amp; 3'!$F$13+I829*'Portfolio 2 &amp; 3'!$F$14+J829*'Portfolio 2 &amp; 3'!$F$15+K829*'Portfolio 2 &amp; 3'!$F$16</f>
        <v>-6.6565884337236522E-3</v>
      </c>
      <c r="R829" s="93">
        <f>B829*'Portfolio 2 &amp; 3'!$B$23+C829*'Portfolio 2 &amp; 3'!$B$24+D829*'Portfolio 2 &amp; 3'!$B$25+E829*'Portfolio 2 &amp; 3'!$B$26+F829*'Portfolio 2 &amp; 3'!$B$27+G829*'Portfolio 2 &amp; 3'!$B$28+H829*'Portfolio 2 &amp; 3'!$B$29+I829*'Portfolio 2 &amp; 3'!$B$30+J829*'Portfolio 2 &amp; 3'!$B$31+K829*'Portfolio 2 &amp; 3'!$B$32</f>
        <v>-7.21824362989704E-3</v>
      </c>
      <c r="S829" s="93">
        <f t="shared" si="38"/>
        <v>4.6636807543465886E-3</v>
      </c>
    </row>
    <row r="830" spans="1:19" ht="12.75" customHeight="1">
      <c r="A830" s="81">
        <v>44865</v>
      </c>
      <c r="B830" s="53">
        <v>1.78E-2</v>
      </c>
      <c r="C830" s="53">
        <v>-1.2756340249969699E-2</v>
      </c>
      <c r="D830" s="53">
        <v>-1.88054087937684E-3</v>
      </c>
      <c r="E830" s="53">
        <v>0</v>
      </c>
      <c r="F830" s="53">
        <v>7.7906976744186503E-3</v>
      </c>
      <c r="G830" s="53">
        <v>2.8113994850700302E-3</v>
      </c>
      <c r="H830" s="87">
        <v>-7.4620362099392396E-3</v>
      </c>
      <c r="I830" s="53">
        <v>-1.11068371958843E-2</v>
      </c>
      <c r="J830" s="53">
        <v>-1.32623680307127E-2</v>
      </c>
      <c r="K830" s="53">
        <v>-8.8554039986119701E-2</v>
      </c>
      <c r="L830" s="95">
        <f>IFERROR(B830*'Stock Statistics'!$C$41+C830*'Stock Statistics'!$C$42+D830*'Stock Statistics'!$C$43+E830*'Stock Statistics'!$C$44+F830*'Stock Statistics'!$C$45+G830*'Stock Statistics'!$C$46+H830*'Stock Statistics'!$C$47+I830*'Stock Statistics'!$C$48+J830*'Stock Statistics'!$C$49+K830*'Stock Statistics'!$C$50,"")</f>
        <v>-1.066200653925138E-2</v>
      </c>
      <c r="M830" s="96">
        <v>250.94880000000001</v>
      </c>
      <c r="N830" s="97">
        <v>307.53309999999999</v>
      </c>
      <c r="O830" s="93">
        <f t="shared" si="36"/>
        <v>1.5121519870102684E-2</v>
      </c>
      <c r="P830" s="93">
        <f t="shared" si="37"/>
        <v>2.4904724758785246E-3</v>
      </c>
      <c r="Q830" s="93">
        <f>B830*'Portfolio 2 &amp; 3'!$F$7+C830*'Portfolio 2 &amp; 3'!$F$8+D830*'Portfolio 2 &amp; 3'!$F$9+E830*'Portfolio 2 &amp; 3'!$F$10+F830*'Portfolio 2 &amp; 3'!$F$11+G830*'Portfolio 2 &amp; 3'!$F$12+H830*'Portfolio 2 &amp; 3'!$F$13+I830*'Portfolio 2 &amp; 3'!$F$14+J830*'Portfolio 2 &amp; 3'!$F$15+K830*'Portfolio 2 &amp; 3'!$F$16</f>
        <v>-1.0414539021105812E-2</v>
      </c>
      <c r="R830" s="93">
        <f>B830*'Portfolio 2 &amp; 3'!$B$23+C830*'Portfolio 2 &amp; 3'!$B$24+D830*'Portfolio 2 &amp; 3'!$B$25+E830*'Portfolio 2 &amp; 3'!$B$26+F830*'Portfolio 2 &amp; 3'!$B$27+G830*'Portfolio 2 &amp; 3'!$B$28+H830*'Portfolio 2 &amp; 3'!$B$29+I830*'Portfolio 2 &amp; 3'!$B$30+J830*'Portfolio 2 &amp; 3'!$B$31+K830*'Portfolio 2 &amp; 3'!$B$32</f>
        <v>-9.5972216424156046E-3</v>
      </c>
      <c r="S830" s="93">
        <f t="shared" si="38"/>
        <v>8.8059961729906044E-3</v>
      </c>
    </row>
    <row r="831" spans="1:19" ht="12.75" customHeight="1">
      <c r="A831" s="82">
        <v>44862</v>
      </c>
      <c r="B831" s="53">
        <v>1.6999999999999999E-3</v>
      </c>
      <c r="C831" s="53">
        <v>-4.40954394442761E-3</v>
      </c>
      <c r="D831" s="53">
        <v>1.8840839763145699E-3</v>
      </c>
      <c r="E831" s="53">
        <v>1.0359999999999999E-2</v>
      </c>
      <c r="F831" s="53">
        <v>-8.3025830258303106E-3</v>
      </c>
      <c r="G831" s="53">
        <v>-2.80351767691667E-3</v>
      </c>
      <c r="H831" s="87">
        <v>7.5181368191146198E-3</v>
      </c>
      <c r="I831" s="53">
        <v>-1.14549170587955E-2</v>
      </c>
      <c r="J831" s="53">
        <v>-1.13435410825966E-2</v>
      </c>
      <c r="K831" s="53">
        <v>-9.2953761123377703E-3</v>
      </c>
      <c r="L831" s="95">
        <f>IFERROR(B831*'Stock Statistics'!$C$41+C831*'Stock Statistics'!$C$42+D831*'Stock Statistics'!$C$43+E831*'Stock Statistics'!$C$44+F831*'Stock Statistics'!$C$45+G831*'Stock Statistics'!$C$46+H831*'Stock Statistics'!$C$47+I831*'Stock Statistics'!$C$48+J831*'Stock Statistics'!$C$49+K831*'Stock Statistics'!$C$50,"")</f>
        <v>-2.6147258105475271E-3</v>
      </c>
      <c r="M831" s="97">
        <v>247.2106</v>
      </c>
      <c r="N831" s="96">
        <v>306.76909999999998</v>
      </c>
      <c r="O831" s="93">
        <f t="shared" si="36"/>
        <v>-3.7045127187463889E-3</v>
      </c>
      <c r="P831" s="93">
        <f t="shared" si="37"/>
        <v>-9.184139056985785E-4</v>
      </c>
      <c r="Q831" s="93">
        <f>B831*'Portfolio 2 &amp; 3'!$F$7+C831*'Portfolio 2 &amp; 3'!$F$8+D831*'Portfolio 2 &amp; 3'!$F$9+E831*'Portfolio 2 &amp; 3'!$F$10+F831*'Portfolio 2 &amp; 3'!$F$11+G831*'Portfolio 2 &amp; 3'!$F$12+H831*'Portfolio 2 &amp; 3'!$F$13+I831*'Portfolio 2 &amp; 3'!$F$14+J831*'Portfolio 2 &amp; 3'!$F$15+K831*'Portfolio 2 &amp; 3'!$F$16</f>
        <v>-2.4419542200790198E-3</v>
      </c>
      <c r="R831" s="93">
        <f>B831*'Portfolio 2 &amp; 3'!$B$23+C831*'Portfolio 2 &amp; 3'!$B$24+D831*'Portfolio 2 &amp; 3'!$B$25+E831*'Portfolio 2 &amp; 3'!$B$26+F831*'Portfolio 2 &amp; 3'!$B$27+G831*'Portfolio 2 &amp; 3'!$B$28+H831*'Portfolio 2 &amp; 3'!$B$29+I831*'Portfolio 2 &amp; 3'!$B$30+J831*'Portfolio 2 &amp; 3'!$B$31+K831*'Portfolio 2 &amp; 3'!$B$32</f>
        <v>-6.009193551122928E-3</v>
      </c>
      <c r="S831" s="93">
        <f t="shared" si="38"/>
        <v>-2.3114633122224837E-3</v>
      </c>
    </row>
    <row r="832" spans="1:19" ht="12.75" customHeight="1">
      <c r="A832" s="81">
        <v>44861</v>
      </c>
      <c r="B832" s="53">
        <v>2.1600000000000001E-2</v>
      </c>
      <c r="C832" s="53">
        <v>2.6141663954875698E-2</v>
      </c>
      <c r="D832" s="53">
        <v>1.37335152341973E-2</v>
      </c>
      <c r="E832" s="53">
        <v>-2.8900000000000002E-3</v>
      </c>
      <c r="F832" s="53">
        <v>3.8811691423095401E-2</v>
      </c>
      <c r="G832" s="53">
        <v>4.83349642677089E-3</v>
      </c>
      <c r="H832" s="87">
        <v>4.4870240116419201E-3</v>
      </c>
      <c r="I832" s="53">
        <v>7.4219498180425596E-3</v>
      </c>
      <c r="J832" s="53">
        <v>-3.3101195082106999E-3</v>
      </c>
      <c r="K832" s="53">
        <v>0</v>
      </c>
      <c r="L832" s="95">
        <f>IFERROR(B832*'Stock Statistics'!$C$41+C832*'Stock Statistics'!$C$42+D832*'Stock Statistics'!$C$43+E832*'Stock Statistics'!$C$44+F832*'Stock Statistics'!$C$45+G832*'Stock Statistics'!$C$46+H832*'Stock Statistics'!$C$47+I832*'Stock Statistics'!$C$48+J832*'Stock Statistics'!$C$49+K832*'Stock Statistics'!$C$50,"")</f>
        <v>1.1082922136041309E-2</v>
      </c>
      <c r="M832" s="96">
        <v>248.12979999999999</v>
      </c>
      <c r="N832" s="97">
        <v>307.05110000000002</v>
      </c>
      <c r="O832" s="93">
        <f t="shared" si="36"/>
        <v>9.9886155601325299E-4</v>
      </c>
      <c r="P832" s="93">
        <f t="shared" si="37"/>
        <v>5.8259404872891274E-3</v>
      </c>
      <c r="Q832" s="93">
        <f>B832*'Portfolio 2 &amp; 3'!$F$7+C832*'Portfolio 2 &amp; 3'!$F$8+D832*'Portfolio 2 &amp; 3'!$F$9+E832*'Portfolio 2 &amp; 3'!$F$10+F832*'Portfolio 2 &amp; 3'!$F$11+G832*'Portfolio 2 &amp; 3'!$F$12+H832*'Portfolio 2 &amp; 3'!$F$13+I832*'Portfolio 2 &amp; 3'!$F$14+J832*'Portfolio 2 &amp; 3'!$F$15+K832*'Portfolio 2 &amp; 3'!$F$16</f>
        <v>1.0740837927477471E-2</v>
      </c>
      <c r="R832" s="93">
        <f>B832*'Portfolio 2 &amp; 3'!$B$23+C832*'Portfolio 2 &amp; 3'!$B$24+D832*'Portfolio 2 &amp; 3'!$B$25+E832*'Portfolio 2 &amp; 3'!$B$26+F832*'Portfolio 2 &amp; 3'!$B$27+G832*'Portfolio 2 &amp; 3'!$B$28+H832*'Portfolio 2 &amp; 3'!$B$29+I832*'Portfolio 2 &amp; 3'!$B$30+J832*'Portfolio 2 &amp; 3'!$B$31+K832*'Portfolio 2 &amp; 3'!$B$32</f>
        <v>1.657377803806126E-2</v>
      </c>
      <c r="S832" s="93">
        <f t="shared" si="38"/>
        <v>3.4124010216511902E-3</v>
      </c>
    </row>
    <row r="833" spans="1:19" ht="12.75" customHeight="1">
      <c r="A833" s="82">
        <v>44859</v>
      </c>
      <c r="B833" s="53">
        <v>6.7000000000000002E-3</v>
      </c>
      <c r="C833" s="53">
        <v>2.2645157200811498E-2</v>
      </c>
      <c r="D833" s="53">
        <v>2.1555328440026101E-2</v>
      </c>
      <c r="E833" s="53">
        <v>1.321E-2</v>
      </c>
      <c r="F833" s="53">
        <v>1.04091019123698E-2</v>
      </c>
      <c r="G833" s="53">
        <v>2.1909090909090899E-2</v>
      </c>
      <c r="H833" s="87">
        <v>2.29153979746037E-2</v>
      </c>
      <c r="I833" s="53">
        <v>-7.3672703075241498E-3</v>
      </c>
      <c r="J833" s="53">
        <v>3.32111278844072E-3</v>
      </c>
      <c r="K833" s="53">
        <v>0</v>
      </c>
      <c r="L833" s="95">
        <f>IFERROR(B833*'Stock Statistics'!$C$41+C833*'Stock Statistics'!$C$42+D833*'Stock Statistics'!$C$43+E833*'Stock Statistics'!$C$44+F833*'Stock Statistics'!$C$45+G833*'Stock Statistics'!$C$46+H833*'Stock Statistics'!$C$47+I833*'Stock Statistics'!$C$48+J833*'Stock Statistics'!$C$49+K833*'Stock Statistics'!$C$50,"")</f>
        <v>1.1529791891781858E-2</v>
      </c>
      <c r="M833" s="97">
        <v>247.88220000000001</v>
      </c>
      <c r="N833" s="96">
        <v>305.27260000000001</v>
      </c>
      <c r="O833" s="93">
        <f t="shared" si="36"/>
        <v>1.2862520701021563E-2</v>
      </c>
      <c r="P833" s="93">
        <f t="shared" si="37"/>
        <v>9.2921323115713328E-4</v>
      </c>
      <c r="Q833" s="93">
        <f>B833*'Portfolio 2 &amp; 3'!$F$7+C833*'Portfolio 2 &amp; 3'!$F$8+D833*'Portfolio 2 &amp; 3'!$F$9+E833*'Portfolio 2 &amp; 3'!$F$10+F833*'Portfolio 2 &amp; 3'!$F$11+G833*'Portfolio 2 &amp; 3'!$F$12+H833*'Portfolio 2 &amp; 3'!$F$13+I833*'Portfolio 2 &amp; 3'!$F$14+J833*'Portfolio 2 &amp; 3'!$F$15+K833*'Portfolio 2 &amp; 3'!$F$16</f>
        <v>1.2352587633437587E-2</v>
      </c>
      <c r="R833" s="93">
        <f>B833*'Portfolio 2 &amp; 3'!$B$23+C833*'Portfolio 2 &amp; 3'!$B$24+D833*'Portfolio 2 &amp; 3'!$B$25+E833*'Portfolio 2 &amp; 3'!$B$26+F833*'Portfolio 2 &amp; 3'!$B$27+G833*'Portfolio 2 &amp; 3'!$B$28+H833*'Portfolio 2 &amp; 3'!$B$29+I833*'Portfolio 2 &amp; 3'!$B$30+J833*'Portfolio 2 &amp; 3'!$B$31+K833*'Portfolio 2 &amp; 3'!$B$32</f>
        <v>8.4166699286744272E-3</v>
      </c>
      <c r="S833" s="93">
        <f t="shared" si="38"/>
        <v>6.8958669660893479E-3</v>
      </c>
    </row>
    <row r="834" spans="1:19" ht="12.75" customHeight="1">
      <c r="A834" s="81">
        <v>44858</v>
      </c>
      <c r="B834" s="53">
        <v>-9.2999999999999992E-3</v>
      </c>
      <c r="C834" s="53">
        <v>1.36537411250683E-2</v>
      </c>
      <c r="D834" s="53">
        <v>3.04451890856869E-2</v>
      </c>
      <c r="E834" s="53">
        <v>5.7600000000000004E-3</v>
      </c>
      <c r="F834" s="53">
        <v>7.1924905522371399E-3</v>
      </c>
      <c r="G834" s="53">
        <v>3.0477142143392501E-2</v>
      </c>
      <c r="H834" s="87">
        <v>-5.8857162075808302E-3</v>
      </c>
      <c r="I834" s="53">
        <v>1.48080262396297E-2</v>
      </c>
      <c r="J834" s="53">
        <v>-1.20589739219363E-2</v>
      </c>
      <c r="K834" s="53">
        <v>-1.4336170157306901E-2</v>
      </c>
      <c r="L834" s="95">
        <f>IFERROR(B834*'Stock Statistics'!$C$41+C834*'Stock Statistics'!$C$42+D834*'Stock Statistics'!$C$43+E834*'Stock Statistics'!$C$44+F834*'Stock Statistics'!$C$45+G834*'Stock Statistics'!$C$46+H834*'Stock Statistics'!$C$47+I834*'Stock Statistics'!$C$48+J834*'Stock Statistics'!$C$49+K834*'Stock Statistics'!$C$50,"")</f>
        <v>6.0755728859190512E-3</v>
      </c>
      <c r="M834" s="96">
        <v>244.73429999999999</v>
      </c>
      <c r="N834" s="97">
        <v>304.98919999999998</v>
      </c>
      <c r="O834" s="93">
        <f t="shared" ref="O834:O897" si="39">M834/M835-1</f>
        <v>-3.3913180623290629E-5</v>
      </c>
      <c r="P834" s="93">
        <f t="shared" ref="P834:P897" si="40">N834/N835-1</f>
        <v>-1.5145783079606456E-4</v>
      </c>
      <c r="Q834" s="93">
        <f>B834*'Portfolio 2 &amp; 3'!$F$7+C834*'Portfolio 2 &amp; 3'!$F$8+D834*'Portfolio 2 &amp; 3'!$F$9+E834*'Portfolio 2 &amp; 3'!$F$10+F834*'Portfolio 2 &amp; 3'!$F$11+G834*'Portfolio 2 &amp; 3'!$F$12+H834*'Portfolio 2 &amp; 3'!$F$13+I834*'Portfolio 2 &amp; 3'!$F$14+J834*'Portfolio 2 &amp; 3'!$F$15+K834*'Portfolio 2 &amp; 3'!$F$16</f>
        <v>4.9954732129905517E-3</v>
      </c>
      <c r="R834" s="93">
        <f>B834*'Portfolio 2 &amp; 3'!$B$23+C834*'Portfolio 2 &amp; 3'!$B$24+D834*'Portfolio 2 &amp; 3'!$B$25+E834*'Portfolio 2 &amp; 3'!$B$26+F834*'Portfolio 2 &amp; 3'!$B$27+G834*'Portfolio 2 &amp; 3'!$B$28+H834*'Portfolio 2 &amp; 3'!$B$29+I834*'Portfolio 2 &amp; 3'!$B$30+J834*'Portfolio 2 &amp; 3'!$B$31+K834*'Portfolio 2 &amp; 3'!$B$32</f>
        <v>8.0119217186272896E-3</v>
      </c>
      <c r="S834" s="93">
        <f t="shared" ref="S834:S897" si="41">IFERROR(AVERAGE(O834,P834),"")</f>
        <v>-9.2685505709677596E-5</v>
      </c>
    </row>
    <row r="835" spans="1:19" ht="12.75" customHeight="1">
      <c r="A835" s="82">
        <v>44855</v>
      </c>
      <c r="B835" s="53">
        <v>1.9800000000000002E-2</v>
      </c>
      <c r="C835" s="53">
        <v>-3.8536883008455402E-4</v>
      </c>
      <c r="D835" s="53">
        <v>-1.3785289396657499E-2</v>
      </c>
      <c r="E835" s="53">
        <v>-1.478E-2</v>
      </c>
      <c r="F835" s="53">
        <v>-1.00168959691046E-2</v>
      </c>
      <c r="G835" s="53">
        <v>9.6896196042872695E-4</v>
      </c>
      <c r="H835" s="87">
        <v>-6.9580513003206796E-3</v>
      </c>
      <c r="I835" s="53">
        <v>1.9372603009145499E-2</v>
      </c>
      <c r="J835" s="53">
        <v>5.1396265204728397E-3</v>
      </c>
      <c r="K835" s="53">
        <v>6.3052453656238697E-2</v>
      </c>
      <c r="L835" s="95">
        <f>IFERROR(B835*'Stock Statistics'!$C$41+C835*'Stock Statistics'!$C$42+D835*'Stock Statistics'!$C$43+E835*'Stock Statistics'!$C$44+F835*'Stock Statistics'!$C$45+G835*'Stock Statistics'!$C$46+H835*'Stock Statistics'!$C$47+I835*'Stock Statistics'!$C$48+J835*'Stock Statistics'!$C$49+K835*'Stock Statistics'!$C$50,"")</f>
        <v>6.2408039650118426E-3</v>
      </c>
      <c r="M835" s="97">
        <v>244.74260000000001</v>
      </c>
      <c r="N835" s="96">
        <v>305.03539999999998</v>
      </c>
      <c r="O835" s="93">
        <f t="shared" si="39"/>
        <v>6.2680367949590199E-3</v>
      </c>
      <c r="P835" s="93">
        <f t="shared" si="40"/>
        <v>-1.3691605193911549E-2</v>
      </c>
      <c r="Q835" s="93">
        <f>B835*'Portfolio 2 &amp; 3'!$F$7+C835*'Portfolio 2 &amp; 3'!$F$8+D835*'Portfolio 2 &amp; 3'!$F$9+E835*'Portfolio 2 &amp; 3'!$F$10+F835*'Portfolio 2 &amp; 3'!$F$11+G835*'Portfolio 2 &amp; 3'!$F$12+H835*'Portfolio 2 &amp; 3'!$F$13+I835*'Portfolio 2 &amp; 3'!$F$14+J835*'Portfolio 2 &amp; 3'!$F$15+K835*'Portfolio 2 &amp; 3'!$F$16</f>
        <v>3.6109887830490439E-3</v>
      </c>
      <c r="R835" s="93">
        <f>B835*'Portfolio 2 &amp; 3'!$B$23+C835*'Portfolio 2 &amp; 3'!$B$24+D835*'Portfolio 2 &amp; 3'!$B$25+E835*'Portfolio 2 &amp; 3'!$B$26+F835*'Portfolio 2 &amp; 3'!$B$27+G835*'Portfolio 2 &amp; 3'!$B$28+H835*'Portfolio 2 &amp; 3'!$B$29+I835*'Portfolio 2 &amp; 3'!$B$30+J835*'Portfolio 2 &amp; 3'!$B$31+K835*'Portfolio 2 &amp; 3'!$B$32</f>
        <v>1.114756785191023E-2</v>
      </c>
      <c r="S835" s="93">
        <f t="shared" si="41"/>
        <v>-3.7117841994762646E-3</v>
      </c>
    </row>
    <row r="836" spans="1:19" ht="12.75" customHeight="1">
      <c r="A836" s="81">
        <v>44854</v>
      </c>
      <c r="B836" s="53">
        <v>-2.8999999999999998E-3</v>
      </c>
      <c r="C836" s="53">
        <v>-2.3068789849731699E-3</v>
      </c>
      <c r="D836" s="53">
        <v>1.8561261781111699E-2</v>
      </c>
      <c r="E836" s="53">
        <v>2.3730000000000001E-2</v>
      </c>
      <c r="F836" s="53">
        <v>9.8720292504570501E-3</v>
      </c>
      <c r="G836" s="53">
        <v>1.3784143481842899E-2</v>
      </c>
      <c r="H836" s="87">
        <v>1.09964320686122E-2</v>
      </c>
      <c r="I836" s="53">
        <v>2.7171717171717201E-2</v>
      </c>
      <c r="J836" s="53">
        <v>1.0560941828254801E-2</v>
      </c>
      <c r="K836" s="53">
        <v>1.7307963354475001E-2</v>
      </c>
      <c r="L836" s="95">
        <f>IFERROR(B836*'Stock Statistics'!$C$41+C836*'Stock Statistics'!$C$42+D836*'Stock Statistics'!$C$43+E836*'Stock Statistics'!$C$44+F836*'Stock Statistics'!$C$45+G836*'Stock Statistics'!$C$46+H836*'Stock Statistics'!$C$47+I836*'Stock Statistics'!$C$48+J836*'Stock Statistics'!$C$49+K836*'Stock Statistics'!$C$50,"")</f>
        <v>1.2677760995149768E-2</v>
      </c>
      <c r="M836" s="96">
        <v>243.21809999999999</v>
      </c>
      <c r="N836" s="97">
        <v>309.26979999999998</v>
      </c>
      <c r="O836" s="93">
        <f t="shared" si="39"/>
        <v>-1.9708787583340159E-3</v>
      </c>
      <c r="P836" s="93">
        <f t="shared" si="40"/>
        <v>-7.0722111672102406E-3</v>
      </c>
      <c r="Q836" s="93">
        <f>B836*'Portfolio 2 &amp; 3'!$F$7+C836*'Portfolio 2 &amp; 3'!$F$8+D836*'Portfolio 2 &amp; 3'!$F$9+E836*'Portfolio 2 &amp; 3'!$F$10+F836*'Portfolio 2 &amp; 3'!$F$11+G836*'Portfolio 2 &amp; 3'!$F$12+H836*'Portfolio 2 &amp; 3'!$F$13+I836*'Portfolio 2 &amp; 3'!$F$14+J836*'Portfolio 2 &amp; 3'!$F$15+K836*'Portfolio 2 &amp; 3'!$F$16</f>
        <v>1.2557292834921836E-2</v>
      </c>
      <c r="R836" s="93">
        <f>B836*'Portfolio 2 &amp; 3'!$B$23+C836*'Portfolio 2 &amp; 3'!$B$24+D836*'Portfolio 2 &amp; 3'!$B$25+E836*'Portfolio 2 &amp; 3'!$B$26+F836*'Portfolio 2 &amp; 3'!$B$27+G836*'Portfolio 2 &amp; 3'!$B$28+H836*'Portfolio 2 &amp; 3'!$B$29+I836*'Portfolio 2 &amp; 3'!$B$30+J836*'Portfolio 2 &amp; 3'!$B$31+K836*'Portfolio 2 &amp; 3'!$B$32</f>
        <v>1.137879072801436E-2</v>
      </c>
      <c r="S836" s="93">
        <f t="shared" si="41"/>
        <v>-4.5215449627721283E-3</v>
      </c>
    </row>
    <row r="837" spans="1:19" ht="12.75" customHeight="1">
      <c r="A837" s="82">
        <v>44853</v>
      </c>
      <c r="B837" s="53">
        <v>4.8999999999999998E-3</v>
      </c>
      <c r="C837" s="53">
        <v>5.28231391116707E-3</v>
      </c>
      <c r="D837" s="53">
        <v>-8.7702573879886499E-3</v>
      </c>
      <c r="E837" s="53">
        <v>5.5100000000000001E-3</v>
      </c>
      <c r="F837" s="53">
        <v>-1.2754181205631101E-2</v>
      </c>
      <c r="G837" s="53">
        <v>6.7632233777834604E-3</v>
      </c>
      <c r="H837" s="87">
        <v>1.4814391776128101E-2</v>
      </c>
      <c r="I837" s="53">
        <v>-2.14006820540701E-2</v>
      </c>
      <c r="J837" s="53">
        <v>-9.1774594733682307E-3</v>
      </c>
      <c r="K837" s="53">
        <v>-2.03117880172878E-2</v>
      </c>
      <c r="L837" s="95">
        <f>IFERROR(B837*'Stock Statistics'!$C$41+C837*'Stock Statistics'!$C$42+D837*'Stock Statistics'!$C$43+E837*'Stock Statistics'!$C$44+F837*'Stock Statistics'!$C$45+G837*'Stock Statistics'!$C$46+H837*'Stock Statistics'!$C$47+I837*'Stock Statistics'!$C$48+J837*'Stock Statistics'!$C$49+K837*'Stock Statistics'!$C$50,"")</f>
        <v>-3.5144439073267249E-3</v>
      </c>
      <c r="M837" s="97">
        <v>243.69839999999999</v>
      </c>
      <c r="N837" s="96">
        <v>311.4726</v>
      </c>
      <c r="O837" s="93">
        <f t="shared" si="39"/>
        <v>1.6111372327238804E-3</v>
      </c>
      <c r="P837" s="93">
        <f t="shared" si="40"/>
        <v>-2.4372777305198268E-3</v>
      </c>
      <c r="Q837" s="93">
        <f>B837*'Portfolio 2 &amp; 3'!$F$7+C837*'Portfolio 2 &amp; 3'!$F$8+D837*'Portfolio 2 &amp; 3'!$F$9+E837*'Portfolio 2 &amp; 3'!$F$10+F837*'Portfolio 2 &amp; 3'!$F$11+G837*'Portfolio 2 &amp; 3'!$F$12+H837*'Portfolio 2 &amp; 3'!$F$13+I837*'Portfolio 2 &amp; 3'!$F$14+J837*'Portfolio 2 &amp; 3'!$F$15+K837*'Portfolio 2 &amp; 3'!$F$16</f>
        <v>-3.2017815299385231E-3</v>
      </c>
      <c r="R837" s="93">
        <f>B837*'Portfolio 2 &amp; 3'!$B$23+C837*'Portfolio 2 &amp; 3'!$B$24+D837*'Portfolio 2 &amp; 3'!$B$25+E837*'Portfolio 2 &amp; 3'!$B$26+F837*'Portfolio 2 &amp; 3'!$B$27+G837*'Portfolio 2 &amp; 3'!$B$28+H837*'Portfolio 2 &amp; 3'!$B$29+I837*'Portfolio 2 &amp; 3'!$B$30+J837*'Portfolio 2 &amp; 3'!$B$31+K837*'Portfolio 2 &amp; 3'!$B$32</f>
        <v>-6.6886925927958554E-3</v>
      </c>
      <c r="S837" s="93">
        <f t="shared" si="41"/>
        <v>-4.1307024889797317E-4</v>
      </c>
    </row>
    <row r="838" spans="1:19" ht="12.75" customHeight="1">
      <c r="A838" s="81">
        <v>44852</v>
      </c>
      <c r="B838" s="53">
        <v>2.5000000000000001E-3</v>
      </c>
      <c r="C838" s="53">
        <v>2.6967235616128802E-3</v>
      </c>
      <c r="D838" s="53">
        <v>9.5337973114562101E-5</v>
      </c>
      <c r="E838" s="53">
        <v>-1.83E-3</v>
      </c>
      <c r="F838" s="53">
        <v>-7.8787155306195792E-3</v>
      </c>
      <c r="G838" s="53">
        <v>-4.0035587188611598E-3</v>
      </c>
      <c r="H838" s="87">
        <v>1.0783227117391801E-2</v>
      </c>
      <c r="I838" s="53">
        <v>2.0271292420957199E-2</v>
      </c>
      <c r="J838" s="53">
        <v>8.6512674106755706E-3</v>
      </c>
      <c r="K838" s="53">
        <v>6.64414884005393E-3</v>
      </c>
      <c r="L838" s="95">
        <f>IFERROR(B838*'Stock Statistics'!$C$41+C838*'Stock Statistics'!$C$42+D838*'Stock Statistics'!$C$43+E838*'Stock Statistics'!$C$44+F838*'Stock Statistics'!$C$45+G838*'Stock Statistics'!$C$46+H838*'Stock Statistics'!$C$47+I838*'Stock Statistics'!$C$48+J838*'Stock Statistics'!$C$49+K838*'Stock Statistics'!$C$50,"")</f>
        <v>3.7929723074325203E-3</v>
      </c>
      <c r="M838" s="96">
        <v>243.3064</v>
      </c>
      <c r="N838" s="97">
        <v>312.23360000000002</v>
      </c>
      <c r="O838" s="93">
        <f t="shared" si="39"/>
        <v>-2.1326648796029524E-3</v>
      </c>
      <c r="P838" s="93">
        <f t="shared" si="40"/>
        <v>-1.5221790440715921E-3</v>
      </c>
      <c r="Q838" s="93">
        <f>B838*'Portfolio 2 &amp; 3'!$F$7+C838*'Portfolio 2 &amp; 3'!$F$8+D838*'Portfolio 2 &amp; 3'!$F$9+E838*'Portfolio 2 &amp; 3'!$F$10+F838*'Portfolio 2 &amp; 3'!$F$11+G838*'Portfolio 2 &amp; 3'!$F$12+H838*'Portfolio 2 &amp; 3'!$F$13+I838*'Portfolio 2 &amp; 3'!$F$14+J838*'Portfolio 2 &amp; 3'!$F$15+K838*'Portfolio 2 &amp; 3'!$F$16</f>
        <v>4.544026659054165E-3</v>
      </c>
      <c r="R838" s="93">
        <f>B838*'Portfolio 2 &amp; 3'!$B$23+C838*'Portfolio 2 &amp; 3'!$B$24+D838*'Portfolio 2 &amp; 3'!$B$25+E838*'Portfolio 2 &amp; 3'!$B$26+F838*'Portfolio 2 &amp; 3'!$B$27+G838*'Portfolio 2 &amp; 3'!$B$28+H838*'Portfolio 2 &amp; 3'!$B$29+I838*'Portfolio 2 &amp; 3'!$B$30+J838*'Portfolio 2 &amp; 3'!$B$31+K838*'Portfolio 2 &amp; 3'!$B$32</f>
        <v>5.4303233626581526E-3</v>
      </c>
      <c r="S838" s="93">
        <f t="shared" si="41"/>
        <v>-1.8274219618372722E-3</v>
      </c>
    </row>
    <row r="839" spans="1:19" ht="12.75" customHeight="1">
      <c r="A839" s="82">
        <v>44851</v>
      </c>
      <c r="B839" s="53">
        <v>2.0000000000000001E-4</v>
      </c>
      <c r="C839" s="53">
        <v>-1.0485223899857599E-3</v>
      </c>
      <c r="D839" s="53">
        <v>-2.0930453810292802E-3</v>
      </c>
      <c r="E839" s="53">
        <v>-2.5000000000000001E-3</v>
      </c>
      <c r="F839" s="53">
        <v>1.69964793007162E-2</v>
      </c>
      <c r="G839" s="53">
        <v>-1.28289576863964E-2</v>
      </c>
      <c r="H839" s="87">
        <v>-4.1963187362756803E-3</v>
      </c>
      <c r="I839" s="53">
        <v>4.6099290780141598E-3</v>
      </c>
      <c r="J839" s="53">
        <v>7.8472403871305794E-3</v>
      </c>
      <c r="K839" s="53">
        <v>-4.2353527384461102E-3</v>
      </c>
      <c r="L839" s="95">
        <f>IFERROR(B839*'Stock Statistics'!$C$41+C839*'Stock Statistics'!$C$42+D839*'Stock Statistics'!$C$43+E839*'Stock Statistics'!$C$44+F839*'Stock Statistics'!$C$45+G839*'Stock Statistics'!$C$46+H839*'Stock Statistics'!$C$47+I839*'Stock Statistics'!$C$48+J839*'Stock Statistics'!$C$49+K839*'Stock Statistics'!$C$50,"")</f>
        <v>2.7514518337277088E-4</v>
      </c>
      <c r="M839" s="97">
        <v>243.82640000000001</v>
      </c>
      <c r="N839" s="96">
        <v>312.70960000000002</v>
      </c>
      <c r="O839" s="93">
        <f t="shared" si="39"/>
        <v>5.4012819746285246E-3</v>
      </c>
      <c r="P839" s="93">
        <f t="shared" si="40"/>
        <v>9.3693846069924369E-3</v>
      </c>
      <c r="Q839" s="93">
        <f>B839*'Portfolio 2 &amp; 3'!$F$7+C839*'Portfolio 2 &amp; 3'!$F$8+D839*'Portfolio 2 &amp; 3'!$F$9+E839*'Portfolio 2 &amp; 3'!$F$10+F839*'Portfolio 2 &amp; 3'!$F$11+G839*'Portfolio 2 &amp; 3'!$F$12+H839*'Portfolio 2 &amp; 3'!$F$13+I839*'Portfolio 2 &amp; 3'!$F$14+J839*'Portfolio 2 &amp; 3'!$F$15+K839*'Portfolio 2 &amp; 3'!$F$16</f>
        <v>1.0143561043410958E-3</v>
      </c>
      <c r="R839" s="93">
        <f>B839*'Portfolio 2 &amp; 3'!$B$23+C839*'Portfolio 2 &amp; 3'!$B$24+D839*'Portfolio 2 &amp; 3'!$B$25+E839*'Portfolio 2 &amp; 3'!$B$26+F839*'Portfolio 2 &amp; 3'!$B$27+G839*'Portfolio 2 &amp; 3'!$B$28+H839*'Portfolio 2 &amp; 3'!$B$29+I839*'Portfolio 2 &amp; 3'!$B$30+J839*'Portfolio 2 &amp; 3'!$B$31+K839*'Portfolio 2 &amp; 3'!$B$32</f>
        <v>2.0391883516569518E-3</v>
      </c>
      <c r="S839" s="93">
        <f t="shared" si="41"/>
        <v>7.3853332908104807E-3</v>
      </c>
    </row>
    <row r="840" spans="1:19" ht="12.75" customHeight="1">
      <c r="A840" s="81">
        <v>44848</v>
      </c>
      <c r="B840" s="53">
        <v>-5.1000000000000004E-3</v>
      </c>
      <c r="C840" s="53">
        <v>6.3963115685574702E-3</v>
      </c>
      <c r="D840" s="53">
        <v>6.9936769496070604E-3</v>
      </c>
      <c r="E840" s="53">
        <v>1.146E-2</v>
      </c>
      <c r="F840" s="53">
        <v>-6.9921639541892198E-3</v>
      </c>
      <c r="G840" s="53">
        <v>1.0395208062624599E-2</v>
      </c>
      <c r="H840" s="87">
        <v>7.4474738817207299E-3</v>
      </c>
      <c r="I840" s="53">
        <v>0</v>
      </c>
      <c r="J840" s="53">
        <v>1.0707204230006701E-2</v>
      </c>
      <c r="K840" s="53">
        <v>1.14940919527355E-2</v>
      </c>
      <c r="L840" s="95">
        <f>IFERROR(B840*'Stock Statistics'!$C$41+C840*'Stock Statistics'!$C$42+D840*'Stock Statistics'!$C$43+E840*'Stock Statistics'!$C$44+F840*'Stock Statistics'!$C$45+G840*'Stock Statistics'!$C$46+H840*'Stock Statistics'!$C$47+I840*'Stock Statistics'!$C$48+J840*'Stock Statistics'!$C$49+K840*'Stock Statistics'!$C$50,"")</f>
        <v>5.2801802691062848E-3</v>
      </c>
      <c r="M840" s="96">
        <v>242.51650000000001</v>
      </c>
      <c r="N840" s="97">
        <v>309.80689999999998</v>
      </c>
      <c r="O840" s="93">
        <f t="shared" si="39"/>
        <v>3.7112024759560214E-3</v>
      </c>
      <c r="P840" s="93">
        <f t="shared" si="40"/>
        <v>1.0626346031014977E-2</v>
      </c>
      <c r="Q840" s="93">
        <f>B840*'Portfolio 2 &amp; 3'!$F$7+C840*'Portfolio 2 &amp; 3'!$F$8+D840*'Portfolio 2 &amp; 3'!$F$9+E840*'Portfolio 2 &amp; 3'!$F$10+F840*'Portfolio 2 &amp; 3'!$F$11+G840*'Portfolio 2 &amp; 3'!$F$12+H840*'Portfolio 2 &amp; 3'!$F$13+I840*'Portfolio 2 &amp; 3'!$F$14+J840*'Portfolio 2 &amp; 3'!$F$15+K840*'Portfolio 2 &amp; 3'!$F$16</f>
        <v>5.5744839699567363E-3</v>
      </c>
      <c r="R840" s="93">
        <f>B840*'Portfolio 2 &amp; 3'!$B$23+C840*'Portfolio 2 &amp; 3'!$B$24+D840*'Portfolio 2 &amp; 3'!$B$25+E840*'Portfolio 2 &amp; 3'!$B$26+F840*'Portfolio 2 &amp; 3'!$B$27+G840*'Portfolio 2 &amp; 3'!$B$28+H840*'Portfolio 2 &amp; 3'!$B$29+I840*'Portfolio 2 &amp; 3'!$B$30+J840*'Portfolio 2 &amp; 3'!$B$31+K840*'Portfolio 2 &amp; 3'!$B$32</f>
        <v>2.1916569411172303E-3</v>
      </c>
      <c r="S840" s="93">
        <f t="shared" si="41"/>
        <v>7.1687742534854992E-3</v>
      </c>
    </row>
    <row r="841" spans="1:19" ht="12.75" customHeight="1">
      <c r="A841" s="82">
        <v>44847</v>
      </c>
      <c r="B841" s="53">
        <v>-1.18E-2</v>
      </c>
      <c r="C841" s="53">
        <v>-8.49885716125298E-3</v>
      </c>
      <c r="D841" s="53">
        <v>8.1128066447748708E-3</v>
      </c>
      <c r="E841" s="53">
        <v>-8.4200000000000004E-3</v>
      </c>
      <c r="F841" s="53">
        <v>-1.3908701854493701E-2</v>
      </c>
      <c r="G841" s="53">
        <v>9.3084255645832208E-3</v>
      </c>
      <c r="H841" s="87">
        <v>-9.1012383652203706E-3</v>
      </c>
      <c r="I841" s="53">
        <v>9.5121202822952E-3</v>
      </c>
      <c r="J841" s="53">
        <v>-1.8033075299084299E-3</v>
      </c>
      <c r="K841" s="53">
        <v>-2.20433199156603E-2</v>
      </c>
      <c r="L841" s="95">
        <f>IFERROR(B841*'Stock Statistics'!$C$41+C841*'Stock Statistics'!$C$42+D841*'Stock Statistics'!$C$43+E841*'Stock Statistics'!$C$44+F841*'Stock Statistics'!$C$45+G841*'Stock Statistics'!$C$46+H841*'Stock Statistics'!$C$47+I841*'Stock Statistics'!$C$48+J841*'Stock Statistics'!$C$49+K841*'Stock Statistics'!$C$50,"")</f>
        <v>-4.8642072334882493E-3</v>
      </c>
      <c r="M841" s="97">
        <v>241.6198</v>
      </c>
      <c r="N841" s="96">
        <v>306.54939999999999</v>
      </c>
      <c r="O841" s="93">
        <f t="shared" si="39"/>
        <v>9.7106121579848548E-4</v>
      </c>
      <c r="P841" s="93">
        <f t="shared" si="40"/>
        <v>8.0615485999739889E-3</v>
      </c>
      <c r="Q841" s="93">
        <f>B841*'Portfolio 2 &amp; 3'!$F$7+C841*'Portfolio 2 &amp; 3'!$F$8+D841*'Portfolio 2 &amp; 3'!$F$9+E841*'Portfolio 2 &amp; 3'!$F$10+F841*'Portfolio 2 &amp; 3'!$F$11+G841*'Portfolio 2 &amp; 3'!$F$12+H841*'Portfolio 2 &amp; 3'!$F$13+I841*'Portfolio 2 &amp; 3'!$F$14+J841*'Portfolio 2 &amp; 3'!$F$15+K841*'Portfolio 2 &amp; 3'!$F$16</f>
        <v>-4.7479900689111993E-3</v>
      </c>
      <c r="R841" s="93">
        <f>B841*'Portfolio 2 &amp; 3'!$B$23+C841*'Portfolio 2 &amp; 3'!$B$24+D841*'Portfolio 2 &amp; 3'!$B$25+E841*'Portfolio 2 &amp; 3'!$B$26+F841*'Portfolio 2 &amp; 3'!$B$27+G841*'Portfolio 2 &amp; 3'!$B$28+H841*'Portfolio 2 &amp; 3'!$B$29+I841*'Portfolio 2 &amp; 3'!$B$30+J841*'Portfolio 2 &amp; 3'!$B$31+K841*'Portfolio 2 &amp; 3'!$B$32</f>
        <v>-4.1559272532032971E-3</v>
      </c>
      <c r="S841" s="93">
        <f t="shared" si="41"/>
        <v>4.5163049078862372E-3</v>
      </c>
    </row>
    <row r="842" spans="1:19" ht="12.75" customHeight="1">
      <c r="A842" s="81">
        <v>44846</v>
      </c>
      <c r="B842" s="53">
        <v>-9.2999999999999992E-3</v>
      </c>
      <c r="C842" s="53">
        <v>-5.1562900333076396E-3</v>
      </c>
      <c r="D842" s="53">
        <v>-4.1358084062710397E-3</v>
      </c>
      <c r="E842" s="53">
        <v>-5.0000000000000001E-4</v>
      </c>
      <c r="F842" s="53">
        <v>1.1300793459966501E-2</v>
      </c>
      <c r="G842" s="53">
        <v>-1.10091743119267E-2</v>
      </c>
      <c r="H842" s="87">
        <v>4.9248016239158404E-3</v>
      </c>
      <c r="I842" s="53">
        <v>-2.70311623399799E-3</v>
      </c>
      <c r="J842" s="53">
        <v>1.31907308377897E-2</v>
      </c>
      <c r="K842" s="53">
        <v>1.21533792491788E-2</v>
      </c>
      <c r="L842" s="95">
        <f>IFERROR(B842*'Stock Statistics'!$C$41+C842*'Stock Statistics'!$C$42+D842*'Stock Statistics'!$C$43+E842*'Stock Statistics'!$C$44+F842*'Stock Statistics'!$C$45+G842*'Stock Statistics'!$C$46+H842*'Stock Statistics'!$C$47+I842*'Stock Statistics'!$C$48+J842*'Stock Statistics'!$C$49+K842*'Stock Statistics'!$C$50,"")</f>
        <v>8.7653161853474756E-4</v>
      </c>
      <c r="M842" s="96">
        <v>241.3854</v>
      </c>
      <c r="N842" s="97">
        <v>304.09789999999998</v>
      </c>
      <c r="O842" s="93">
        <f t="shared" si="39"/>
        <v>-1.1444835776885931E-2</v>
      </c>
      <c r="P842" s="93">
        <f t="shared" si="40"/>
        <v>1.4965927815765445E-2</v>
      </c>
      <c r="Q842" s="93">
        <f>B842*'Portfolio 2 &amp; 3'!$F$7+C842*'Portfolio 2 &amp; 3'!$F$8+D842*'Portfolio 2 &amp; 3'!$F$9+E842*'Portfolio 2 &amp; 3'!$F$10+F842*'Portfolio 2 &amp; 3'!$F$11+G842*'Portfolio 2 &amp; 3'!$F$12+H842*'Portfolio 2 &amp; 3'!$F$13+I842*'Portfolio 2 &amp; 3'!$F$14+J842*'Portfolio 2 &amp; 3'!$F$15+K842*'Portfolio 2 &amp; 3'!$F$16</f>
        <v>2.3087271603468972E-3</v>
      </c>
      <c r="R842" s="93">
        <f>B842*'Portfolio 2 &amp; 3'!$B$23+C842*'Portfolio 2 &amp; 3'!$B$24+D842*'Portfolio 2 &amp; 3'!$B$25+E842*'Portfolio 2 &amp; 3'!$B$26+F842*'Portfolio 2 &amp; 3'!$B$27+G842*'Portfolio 2 &amp; 3'!$B$28+H842*'Portfolio 2 &amp; 3'!$B$29+I842*'Portfolio 2 &amp; 3'!$B$30+J842*'Portfolio 2 &amp; 3'!$B$31+K842*'Portfolio 2 &amp; 3'!$B$32</f>
        <v>-7.1863054961036248E-4</v>
      </c>
      <c r="S842" s="93">
        <f t="shared" si="41"/>
        <v>1.7605460194397571E-3</v>
      </c>
    </row>
    <row r="843" spans="1:19" ht="12.75" customHeight="1">
      <c r="A843" s="82">
        <v>44845</v>
      </c>
      <c r="B843" s="53">
        <v>-1.37E-2</v>
      </c>
      <c r="C843" s="53">
        <v>5.5390957104213302E-3</v>
      </c>
      <c r="D843" s="53">
        <v>1.12829491294622E-2</v>
      </c>
      <c r="E843" s="53">
        <v>-5.1000000000000004E-4</v>
      </c>
      <c r="F843" s="53">
        <v>-2.1872060206961402E-2</v>
      </c>
      <c r="G843" s="53">
        <v>-9.1219710980846597E-3</v>
      </c>
      <c r="H843" s="87">
        <v>5.6602022826388598E-3</v>
      </c>
      <c r="I843" s="53">
        <v>3.5315794861296998E-3</v>
      </c>
      <c r="J843" s="53">
        <v>-3.41963849535898E-3</v>
      </c>
      <c r="K843" s="53">
        <v>1.0021695010147699E-2</v>
      </c>
      <c r="L843" s="95">
        <f>IFERROR(B843*'Stock Statistics'!$C$41+C843*'Stock Statistics'!$C$42+D843*'Stock Statistics'!$C$43+E843*'Stock Statistics'!$C$44+F843*'Stock Statistics'!$C$45+G843*'Stock Statistics'!$C$46+H843*'Stock Statistics'!$C$47+I843*'Stock Statistics'!$C$48+J843*'Stock Statistics'!$C$49+K843*'Stock Statistics'!$C$50,"")</f>
        <v>-1.2588148181605252E-3</v>
      </c>
      <c r="M843" s="97">
        <v>244.18</v>
      </c>
      <c r="N843" s="96">
        <v>299.6139</v>
      </c>
      <c r="O843" s="93">
        <f t="shared" si="39"/>
        <v>-3.791776243587508E-3</v>
      </c>
      <c r="P843" s="93">
        <f t="shared" si="40"/>
        <v>4.2605351964251081E-3</v>
      </c>
      <c r="Q843" s="93">
        <f>B843*'Portfolio 2 &amp; 3'!$F$7+C843*'Portfolio 2 &amp; 3'!$F$8+D843*'Portfolio 2 &amp; 3'!$F$9+E843*'Portfolio 2 &amp; 3'!$F$10+F843*'Portfolio 2 &amp; 3'!$F$11+G843*'Portfolio 2 &amp; 3'!$F$12+H843*'Portfolio 2 &amp; 3'!$F$13+I843*'Portfolio 2 &amp; 3'!$F$14+J843*'Portfolio 2 &amp; 3'!$F$15+K843*'Portfolio 2 &amp; 3'!$F$16</f>
        <v>-1.4190342730803951E-4</v>
      </c>
      <c r="R843" s="93">
        <f>B843*'Portfolio 2 &amp; 3'!$B$23+C843*'Portfolio 2 &amp; 3'!$B$24+D843*'Portfolio 2 &amp; 3'!$B$25+E843*'Portfolio 2 &amp; 3'!$B$26+F843*'Portfolio 2 &amp; 3'!$B$27+G843*'Portfolio 2 &amp; 3'!$B$28+H843*'Portfolio 2 &amp; 3'!$B$29+I843*'Portfolio 2 &amp; 3'!$B$30+J843*'Portfolio 2 &amp; 3'!$B$31+K843*'Portfolio 2 &amp; 3'!$B$32</f>
        <v>-3.2509951213305459E-3</v>
      </c>
      <c r="S843" s="93">
        <f t="shared" si="41"/>
        <v>2.3437947641880008E-4</v>
      </c>
    </row>
    <row r="844" spans="1:19" ht="12.75" customHeight="1">
      <c r="A844" s="81">
        <v>44844</v>
      </c>
      <c r="B844" s="53">
        <v>-1.23E-2</v>
      </c>
      <c r="C844" s="53">
        <v>-6.5108540896803299E-3</v>
      </c>
      <c r="D844" s="53">
        <v>-3.1995346131473701E-3</v>
      </c>
      <c r="E844" s="53">
        <v>-4.8300000000000001E-3</v>
      </c>
      <c r="F844" s="53">
        <v>7.5829383886256698E-3</v>
      </c>
      <c r="G844" s="53">
        <v>3.6810974075005601E-3</v>
      </c>
      <c r="H844" s="87">
        <v>1.31973252794002E-2</v>
      </c>
      <c r="I844" s="53">
        <v>-1.48208718761189E-3</v>
      </c>
      <c r="J844" s="53">
        <v>1.59725668907638E-2</v>
      </c>
      <c r="K844" s="53">
        <v>-1.7604895837700599E-3</v>
      </c>
      <c r="L844" s="95">
        <f>IFERROR(B844*'Stock Statistics'!$C$41+C844*'Stock Statistics'!$C$42+D844*'Stock Statistics'!$C$43+E844*'Stock Statistics'!$C$44+F844*'Stock Statistics'!$C$45+G844*'Stock Statistics'!$C$46+H844*'Stock Statistics'!$C$47+I844*'Stock Statistics'!$C$48+J844*'Stock Statistics'!$C$49+K844*'Stock Statistics'!$C$50,"")</f>
        <v>1.0350962492080584E-3</v>
      </c>
      <c r="M844" s="96">
        <v>245.10939999999999</v>
      </c>
      <c r="N844" s="97">
        <v>298.34280000000001</v>
      </c>
      <c r="O844" s="93">
        <f t="shared" si="39"/>
        <v>-7.0621062682320046E-3</v>
      </c>
      <c r="P844" s="93">
        <f t="shared" si="40"/>
        <v>7.1414754818344139E-3</v>
      </c>
      <c r="Q844" s="93">
        <f>B844*'Portfolio 2 &amp; 3'!$F$7+C844*'Portfolio 2 &amp; 3'!$F$8+D844*'Portfolio 2 &amp; 3'!$F$9+E844*'Portfolio 2 &amp; 3'!$F$10+F844*'Portfolio 2 &amp; 3'!$F$11+G844*'Portfolio 2 &amp; 3'!$F$12+H844*'Portfolio 2 &amp; 3'!$F$13+I844*'Portfolio 2 &amp; 3'!$F$14+J844*'Portfolio 2 &amp; 3'!$F$15+K844*'Portfolio 2 &amp; 3'!$F$16</f>
        <v>2.9712133639792321E-3</v>
      </c>
      <c r="R844" s="93">
        <f>B844*'Portfolio 2 &amp; 3'!$B$23+C844*'Portfolio 2 &amp; 3'!$B$24+D844*'Portfolio 2 &amp; 3'!$B$25+E844*'Portfolio 2 &amp; 3'!$B$26+F844*'Portfolio 2 &amp; 3'!$B$27+G844*'Portfolio 2 &amp; 3'!$B$28+H844*'Portfolio 2 &amp; 3'!$B$29+I844*'Portfolio 2 &amp; 3'!$B$30+J844*'Portfolio 2 &amp; 3'!$B$31+K844*'Portfolio 2 &amp; 3'!$B$32</f>
        <v>-9.4385824564776418E-4</v>
      </c>
      <c r="S844" s="93">
        <f t="shared" si="41"/>
        <v>3.9684606801204669E-5</v>
      </c>
    </row>
    <row r="845" spans="1:19" ht="12.75" customHeight="1">
      <c r="A845" s="82">
        <v>44841</v>
      </c>
      <c r="B845" s="53">
        <v>-4.1000000000000003E-3</v>
      </c>
      <c r="C845" s="53">
        <v>-9.0517104720838609E-3</v>
      </c>
      <c r="D845" s="53">
        <v>-2.80382867639939E-3</v>
      </c>
      <c r="E845" s="53">
        <v>1.1560000000000001E-2</v>
      </c>
      <c r="F845" s="53">
        <v>-2.9533372711163502E-3</v>
      </c>
      <c r="G845" s="53">
        <v>2.5176233635448901E-4</v>
      </c>
      <c r="H845" s="87">
        <v>3.1830989236409902E-3</v>
      </c>
      <c r="I845" s="53">
        <v>2.09976441667537E-3</v>
      </c>
      <c r="J845" s="53">
        <v>-6.7634592839749296E-4</v>
      </c>
      <c r="K845" s="53">
        <v>1.60938199731309E-3</v>
      </c>
      <c r="L845" s="95">
        <f>IFERROR(B845*'Stock Statistics'!$C$41+C845*'Stock Statistics'!$C$42+D845*'Stock Statistics'!$C$43+E845*'Stock Statistics'!$C$44+F845*'Stock Statistics'!$C$45+G845*'Stock Statistics'!$C$46+H845*'Stock Statistics'!$C$47+I845*'Stock Statistics'!$C$48+J845*'Stock Statistics'!$C$49+K845*'Stock Statistics'!$C$50,"")</f>
        <v>-8.8121467401315628E-5</v>
      </c>
      <c r="M845" s="97">
        <v>246.8527</v>
      </c>
      <c r="N845" s="96">
        <v>296.22730000000001</v>
      </c>
      <c r="O845" s="93">
        <f t="shared" si="39"/>
        <v>5.7926667780352492E-3</v>
      </c>
      <c r="P845" s="93">
        <f t="shared" si="40"/>
        <v>-6.9087570037154045E-3</v>
      </c>
      <c r="Q845" s="93">
        <f>B845*'Portfolio 2 &amp; 3'!$F$7+C845*'Portfolio 2 &amp; 3'!$F$8+D845*'Portfolio 2 &amp; 3'!$F$9+E845*'Portfolio 2 &amp; 3'!$F$10+F845*'Portfolio 2 &amp; 3'!$F$11+G845*'Portfolio 2 &amp; 3'!$F$12+H845*'Portfolio 2 &amp; 3'!$F$13+I845*'Portfolio 2 &amp; 3'!$F$14+J845*'Portfolio 2 &amp; 3'!$F$15+K845*'Portfolio 2 &amp; 3'!$F$16</f>
        <v>-2.4728748218559788E-4</v>
      </c>
      <c r="R845" s="93">
        <f>B845*'Portfolio 2 &amp; 3'!$B$23+C845*'Portfolio 2 &amp; 3'!$B$24+D845*'Portfolio 2 &amp; 3'!$B$25+E845*'Portfolio 2 &amp; 3'!$B$26+F845*'Portfolio 2 &amp; 3'!$B$27+G845*'Portfolio 2 &amp; 3'!$B$28+H845*'Portfolio 2 &amp; 3'!$B$29+I845*'Portfolio 2 &amp; 3'!$B$30+J845*'Portfolio 2 &amp; 3'!$B$31+K845*'Portfolio 2 &amp; 3'!$B$32</f>
        <v>-2.0166104409809985E-3</v>
      </c>
      <c r="S845" s="93">
        <f t="shared" si="41"/>
        <v>-5.5804511284007763E-4</v>
      </c>
    </row>
    <row r="846" spans="1:19" ht="12.75" customHeight="1">
      <c r="A846" s="81">
        <v>44840</v>
      </c>
      <c r="B846" s="53">
        <v>8.2000000000000007E-3</v>
      </c>
      <c r="C846" s="53">
        <v>-1.39277507698561E-2</v>
      </c>
      <c r="D846" s="53">
        <v>1.3324189281865399E-2</v>
      </c>
      <c r="E846" s="53">
        <v>-7.45E-3</v>
      </c>
      <c r="F846" s="53">
        <v>7.9780900214336797E-3</v>
      </c>
      <c r="G846" s="53">
        <v>4.4077828852096001E-4</v>
      </c>
      <c r="H846" s="87">
        <v>-9.7133850913548904E-3</v>
      </c>
      <c r="I846" s="53">
        <v>-3.77551020408173E-3</v>
      </c>
      <c r="J846" s="53">
        <v>4.7569428713814003E-3</v>
      </c>
      <c r="K846" s="53">
        <v>1.38910566567818E-2</v>
      </c>
      <c r="L846" s="95">
        <f>IFERROR(B846*'Stock Statistics'!$C$41+C846*'Stock Statistics'!$C$42+D846*'Stock Statistics'!$C$43+E846*'Stock Statistics'!$C$44+F846*'Stock Statistics'!$C$45+G846*'Stock Statistics'!$C$46+H846*'Stock Statistics'!$C$47+I846*'Stock Statistics'!$C$48+J846*'Stock Statistics'!$C$49+K846*'Stock Statistics'!$C$50,"")</f>
        <v>1.3724411054690517E-3</v>
      </c>
      <c r="M846" s="96">
        <v>245.43100000000001</v>
      </c>
      <c r="N846" s="97">
        <v>298.28809999999999</v>
      </c>
      <c r="O846" s="93">
        <f t="shared" si="39"/>
        <v>8.232861692771154E-3</v>
      </c>
      <c r="P846" s="93">
        <f t="shared" si="40"/>
        <v>-3.4065277973136521E-3</v>
      </c>
      <c r="Q846" s="93">
        <f>B846*'Portfolio 2 &amp; 3'!$F$7+C846*'Portfolio 2 &amp; 3'!$F$8+D846*'Portfolio 2 &amp; 3'!$F$9+E846*'Portfolio 2 &amp; 3'!$F$10+F846*'Portfolio 2 &amp; 3'!$F$11+G846*'Portfolio 2 &amp; 3'!$F$12+H846*'Portfolio 2 &amp; 3'!$F$13+I846*'Portfolio 2 &amp; 3'!$F$14+J846*'Portfolio 2 &amp; 3'!$F$15+K846*'Portfolio 2 &amp; 3'!$F$16</f>
        <v>1.1534212846787462E-3</v>
      </c>
      <c r="R846" s="93">
        <f>B846*'Portfolio 2 &amp; 3'!$B$23+C846*'Portfolio 2 &amp; 3'!$B$24+D846*'Portfolio 2 &amp; 3'!$B$25+E846*'Portfolio 2 &amp; 3'!$B$26+F846*'Portfolio 2 &amp; 3'!$B$27+G846*'Portfolio 2 &amp; 3'!$B$28+H846*'Portfolio 2 &amp; 3'!$B$29+I846*'Portfolio 2 &amp; 3'!$B$30+J846*'Portfolio 2 &amp; 3'!$B$31+K846*'Portfolio 2 &amp; 3'!$B$32</f>
        <v>1.881553404458735E-5</v>
      </c>
      <c r="S846" s="93">
        <f t="shared" si="41"/>
        <v>2.413166947728751E-3</v>
      </c>
    </row>
    <row r="847" spans="1:19" ht="12.75" customHeight="1">
      <c r="A847" s="82">
        <v>44838</v>
      </c>
      <c r="B847" s="53">
        <v>7.7000000000000002E-3</v>
      </c>
      <c r="C847" s="53">
        <v>7.5598884916448002E-3</v>
      </c>
      <c r="D847" s="53">
        <v>-4.6876459053132903E-2</v>
      </c>
      <c r="E847" s="53">
        <v>-3.8210000000000001E-2</v>
      </c>
      <c r="F847" s="53">
        <v>2.5772566263588599E-2</v>
      </c>
      <c r="G847" s="53">
        <v>-3.4825714554639299E-3</v>
      </c>
      <c r="H847" s="87">
        <v>-2.2203196347031901E-2</v>
      </c>
      <c r="I847" s="53">
        <v>3.7898187032674498E-3</v>
      </c>
      <c r="J847" s="53">
        <v>-4.3303712391176098E-3</v>
      </c>
      <c r="K847" s="53">
        <v>-1.1196779862804301E-3</v>
      </c>
      <c r="L847" s="95">
        <f>IFERROR(B847*'Stock Statistics'!$C$41+C847*'Stock Statistics'!$C$42+D847*'Stock Statistics'!$C$43+E847*'Stock Statistics'!$C$44+F847*'Stock Statistics'!$C$45+G847*'Stock Statistics'!$C$46+H847*'Stock Statistics'!$C$47+I847*'Stock Statistics'!$C$48+J847*'Stock Statistics'!$C$49+K847*'Stock Statistics'!$C$50,"")</f>
        <v>-7.1400002622525926E-3</v>
      </c>
      <c r="M847" s="97">
        <v>243.42689999999999</v>
      </c>
      <c r="N847" s="96">
        <v>299.30770000000001</v>
      </c>
      <c r="O847" s="93">
        <f t="shared" si="39"/>
        <v>5.9694424057286088E-3</v>
      </c>
      <c r="P847" s="93">
        <f t="shared" si="40"/>
        <v>-3.7064627929054295E-3</v>
      </c>
      <c r="Q847" s="93">
        <f>B847*'Portfolio 2 &amp; 3'!$F$7+C847*'Portfolio 2 &amp; 3'!$F$8+D847*'Portfolio 2 &amp; 3'!$F$9+E847*'Portfolio 2 &amp; 3'!$F$10+F847*'Portfolio 2 &amp; 3'!$F$11+G847*'Portfolio 2 &amp; 3'!$F$12+H847*'Portfolio 2 &amp; 3'!$F$13+I847*'Portfolio 2 &amp; 3'!$F$14+J847*'Portfolio 2 &amp; 3'!$F$15+K847*'Portfolio 2 &amp; 3'!$F$16</f>
        <v>-9.3470725030627977E-3</v>
      </c>
      <c r="R847" s="93">
        <f>B847*'Portfolio 2 &amp; 3'!$B$23+C847*'Portfolio 2 &amp; 3'!$B$24+D847*'Portfolio 2 &amp; 3'!$B$25+E847*'Portfolio 2 &amp; 3'!$B$26+F847*'Portfolio 2 &amp; 3'!$B$27+G847*'Portfolio 2 &amp; 3'!$B$28+H847*'Portfolio 2 &amp; 3'!$B$29+I847*'Portfolio 2 &amp; 3'!$B$30+J847*'Portfolio 2 &amp; 3'!$B$31+K847*'Portfolio 2 &amp; 3'!$B$32</f>
        <v>5.6316364311587387E-3</v>
      </c>
      <c r="S847" s="93">
        <f t="shared" si="41"/>
        <v>1.1314898064115897E-3</v>
      </c>
    </row>
    <row r="848" spans="1:19" ht="12.75" customHeight="1">
      <c r="A848" s="81">
        <v>44837</v>
      </c>
      <c r="B848" s="53">
        <v>-1.6E-2</v>
      </c>
      <c r="C848" s="53">
        <v>-8.0148736055994894E-3</v>
      </c>
      <c r="D848" s="53">
        <v>-8.2422670864973398E-3</v>
      </c>
      <c r="E848" s="53">
        <v>-1.532E-2</v>
      </c>
      <c r="F848" s="53">
        <v>5.8025329542517497E-2</v>
      </c>
      <c r="G848" s="53">
        <v>1.3514372933096E-2</v>
      </c>
      <c r="H848" s="87">
        <v>7.6542561091264005E-4</v>
      </c>
      <c r="I848" s="53">
        <v>8.1577860388268898E-3</v>
      </c>
      <c r="J848" s="53">
        <v>-1.4863525808485099E-3</v>
      </c>
      <c r="K848" s="53">
        <v>7.3096910513392697E-3</v>
      </c>
      <c r="L848" s="95">
        <f>IFERROR(B848*'Stock Statistics'!$C$41+C848*'Stock Statistics'!$C$42+D848*'Stock Statistics'!$C$43+E848*'Stock Statistics'!$C$44+F848*'Stock Statistics'!$C$45+G848*'Stock Statistics'!$C$46+H848*'Stock Statistics'!$C$47+I848*'Stock Statistics'!$C$48+J848*'Stock Statistics'!$C$49+K848*'Stock Statistics'!$C$50,"")</f>
        <v>3.8709111903746959E-3</v>
      </c>
      <c r="M848" s="96">
        <v>241.98240000000001</v>
      </c>
      <c r="N848" s="97">
        <v>300.4212</v>
      </c>
      <c r="O848" s="93">
        <f t="shared" si="39"/>
        <v>5.8116867192441468E-3</v>
      </c>
      <c r="P848" s="93">
        <f t="shared" si="40"/>
        <v>-1.1858505755254933E-2</v>
      </c>
      <c r="Q848" s="93">
        <f>B848*'Portfolio 2 &amp; 3'!$F$7+C848*'Portfolio 2 &amp; 3'!$F$8+D848*'Portfolio 2 &amp; 3'!$F$9+E848*'Portfolio 2 &amp; 3'!$F$10+F848*'Portfolio 2 &amp; 3'!$F$11+G848*'Portfolio 2 &amp; 3'!$F$12+H848*'Portfolio 2 &amp; 3'!$F$13+I848*'Portfolio 2 &amp; 3'!$F$14+J848*'Portfolio 2 &amp; 3'!$F$15+K848*'Portfolio 2 &amp; 3'!$F$16</f>
        <v>3.8356431684448008E-3</v>
      </c>
      <c r="R848" s="93">
        <f>B848*'Portfolio 2 &amp; 3'!$B$23+C848*'Portfolio 2 &amp; 3'!$B$24+D848*'Portfolio 2 &amp; 3'!$B$25+E848*'Portfolio 2 &amp; 3'!$B$26+F848*'Portfolio 2 &amp; 3'!$B$27+G848*'Portfolio 2 &amp; 3'!$B$28+H848*'Portfolio 2 &amp; 3'!$B$29+I848*'Portfolio 2 &amp; 3'!$B$30+J848*'Portfolio 2 &amp; 3'!$B$31+K848*'Portfolio 2 &amp; 3'!$B$32</f>
        <v>9.4517836685208429E-3</v>
      </c>
      <c r="S848" s="93">
        <f t="shared" si="41"/>
        <v>-3.0234095180053933E-3</v>
      </c>
    </row>
    <row r="849" spans="1:19" ht="12.75" customHeight="1">
      <c r="A849" s="82">
        <v>44834</v>
      </c>
      <c r="B849" s="53">
        <v>-2.2000000000000001E-3</v>
      </c>
      <c r="C849" s="53">
        <v>-2.4105386738225501E-2</v>
      </c>
      <c r="D849" s="53">
        <v>-4.7926267281106502E-3</v>
      </c>
      <c r="E849" s="53">
        <v>4.9500000000000004E-3</v>
      </c>
      <c r="F849" s="53">
        <v>1.05785555700666E-2</v>
      </c>
      <c r="G849" s="53">
        <v>-2.01894317048853E-2</v>
      </c>
      <c r="H849" s="87">
        <v>-4.75264635990502E-3</v>
      </c>
      <c r="I849" s="53">
        <v>1.34477526032129E-2</v>
      </c>
      <c r="J849" s="53">
        <v>-7.8205300084908096E-3</v>
      </c>
      <c r="K849" s="53">
        <v>-5.0018987685129898E-2</v>
      </c>
      <c r="L849" s="95">
        <f>IFERROR(B849*'Stock Statistics'!$C$41+C849*'Stock Statistics'!$C$42+D849*'Stock Statistics'!$C$43+E849*'Stock Statistics'!$C$44+F849*'Stock Statistics'!$C$45+G849*'Stock Statistics'!$C$46+H849*'Stock Statistics'!$C$47+I849*'Stock Statistics'!$C$48+J849*'Stock Statistics'!$C$49+K849*'Stock Statistics'!$C$50,"")</f>
        <v>-8.4903301051467671E-3</v>
      </c>
      <c r="M849" s="97">
        <v>240.58420000000001</v>
      </c>
      <c r="N849" s="96">
        <v>304.0265</v>
      </c>
      <c r="O849" s="93">
        <f t="shared" si="39"/>
        <v>1.1576287363716409E-2</v>
      </c>
      <c r="P849" s="93">
        <f t="shared" si="40"/>
        <v>2.5881337470694099E-2</v>
      </c>
      <c r="Q849" s="93">
        <f>B849*'Portfolio 2 &amp; 3'!$F$7+C849*'Portfolio 2 &amp; 3'!$F$8+D849*'Portfolio 2 &amp; 3'!$F$9+E849*'Portfolio 2 &amp; 3'!$F$10+F849*'Portfolio 2 &amp; 3'!$F$11+G849*'Portfolio 2 &amp; 3'!$F$12+H849*'Portfolio 2 &amp; 3'!$F$13+I849*'Portfolio 2 &amp; 3'!$F$14+J849*'Portfolio 2 &amp; 3'!$F$15+K849*'Portfolio 2 &amp; 3'!$F$16</f>
        <v>-7.489611465853337E-3</v>
      </c>
      <c r="R849" s="93">
        <f>B849*'Portfolio 2 &amp; 3'!$B$23+C849*'Portfolio 2 &amp; 3'!$B$24+D849*'Portfolio 2 &amp; 3'!$B$25+E849*'Portfolio 2 &amp; 3'!$B$26+F849*'Portfolio 2 &amp; 3'!$B$27+G849*'Portfolio 2 &amp; 3'!$B$28+H849*'Portfolio 2 &amp; 3'!$B$29+I849*'Portfolio 2 &amp; 3'!$B$30+J849*'Portfolio 2 &amp; 3'!$B$31+K849*'Portfolio 2 &amp; 3'!$B$32</f>
        <v>-6.7731856688625349E-3</v>
      </c>
      <c r="S849" s="93">
        <f t="shared" si="41"/>
        <v>1.8728812417205254E-2</v>
      </c>
    </row>
    <row r="850" spans="1:19" ht="12.75" customHeight="1">
      <c r="A850" s="81">
        <v>44833</v>
      </c>
      <c r="B850" s="53">
        <v>5.74E-2</v>
      </c>
      <c r="C850" s="53">
        <v>-6.5736659547720499E-3</v>
      </c>
      <c r="D850" s="53">
        <v>-3.2154340836012501E-3</v>
      </c>
      <c r="E850" s="53">
        <v>-2.92E-2</v>
      </c>
      <c r="F850" s="53">
        <v>3.7112284979005997E-2</v>
      </c>
      <c r="G850" s="53">
        <v>8.2301941320599408E-3</v>
      </c>
      <c r="H850" s="87">
        <v>-3.71549292583728E-3</v>
      </c>
      <c r="I850" s="53">
        <v>1.1431595660227599E-2</v>
      </c>
      <c r="J850" s="53">
        <v>-1.0305174701459601E-2</v>
      </c>
      <c r="K850" s="53">
        <v>-1.3156661982198999E-2</v>
      </c>
      <c r="L850" s="95">
        <f>IFERROR(B850*'Stock Statistics'!$C$41+C850*'Stock Statistics'!$C$42+D850*'Stock Statistics'!$C$43+E850*'Stock Statistics'!$C$44+F850*'Stock Statistics'!$C$45+G850*'Stock Statistics'!$C$46+H850*'Stock Statistics'!$C$47+I850*'Stock Statistics'!$C$48+J850*'Stock Statistics'!$C$49+K850*'Stock Statistics'!$C$50,"")</f>
        <v>4.8007645123424366E-3</v>
      </c>
      <c r="M850" s="96">
        <v>237.83099999999999</v>
      </c>
      <c r="N850" s="97">
        <v>296.35640000000001</v>
      </c>
      <c r="O850" s="93">
        <f t="shared" si="39"/>
        <v>4.0134194358922848E-3</v>
      </c>
      <c r="P850" s="93">
        <f t="shared" si="40"/>
        <v>1.5119513093553305E-3</v>
      </c>
      <c r="Q850" s="93">
        <f>B850*'Portfolio 2 &amp; 3'!$F$7+C850*'Portfolio 2 &amp; 3'!$F$8+D850*'Portfolio 2 &amp; 3'!$F$9+E850*'Portfolio 2 &amp; 3'!$F$10+F850*'Portfolio 2 &amp; 3'!$F$11+G850*'Portfolio 2 &amp; 3'!$F$12+H850*'Portfolio 2 &amp; 3'!$F$13+I850*'Portfolio 2 &amp; 3'!$F$14+J850*'Portfolio 2 &amp; 3'!$F$15+K850*'Portfolio 2 &amp; 3'!$F$16</f>
        <v>2.7359128385334762E-3</v>
      </c>
      <c r="R850" s="93">
        <f>B850*'Portfolio 2 &amp; 3'!$B$23+C850*'Portfolio 2 &amp; 3'!$B$24+D850*'Portfolio 2 &amp; 3'!$B$25+E850*'Portfolio 2 &amp; 3'!$B$26+F850*'Portfolio 2 &amp; 3'!$B$27+G850*'Portfolio 2 &amp; 3'!$B$28+H850*'Portfolio 2 &amp; 3'!$B$29+I850*'Portfolio 2 &amp; 3'!$B$30+J850*'Portfolio 2 &amp; 3'!$B$31+K850*'Portfolio 2 &amp; 3'!$B$32</f>
        <v>1.4387254260157807E-2</v>
      </c>
      <c r="S850" s="93">
        <f t="shared" si="41"/>
        <v>2.7626853726238076E-3</v>
      </c>
    </row>
    <row r="851" spans="1:19" ht="12.75" customHeight="1">
      <c r="A851" s="82">
        <v>44832</v>
      </c>
      <c r="B851" s="53">
        <v>3.3E-3</v>
      </c>
      <c r="C851" s="53">
        <v>9.2176465193065694E-3</v>
      </c>
      <c r="D851" s="53">
        <v>6.5902859381120199E-2</v>
      </c>
      <c r="E851" s="53">
        <v>2.3789999999999999E-2</v>
      </c>
      <c r="F851" s="53">
        <v>2.4420702095185199E-2</v>
      </c>
      <c r="G851" s="53">
        <v>2.0418629996474199E-2</v>
      </c>
      <c r="H851" s="87">
        <v>1.8047835412966701E-2</v>
      </c>
      <c r="I851" s="53">
        <v>-1.3741345594841001E-3</v>
      </c>
      <c r="J851" s="53">
        <v>-3.48186345806345E-3</v>
      </c>
      <c r="K851" s="53">
        <v>7.3667291722467898E-4</v>
      </c>
      <c r="L851" s="95">
        <f>IFERROR(B851*'Stock Statistics'!$C$41+C851*'Stock Statistics'!$C$42+D851*'Stock Statistics'!$C$43+E851*'Stock Statistics'!$C$44+F851*'Stock Statistics'!$C$45+G851*'Stock Statistics'!$C$46+H851*'Stock Statistics'!$C$47+I851*'Stock Statistics'!$C$48+J851*'Stock Statistics'!$C$49+K851*'Stock Statistics'!$C$50,"")</f>
        <v>1.6097834830473001E-2</v>
      </c>
      <c r="M851" s="97">
        <v>236.88030000000001</v>
      </c>
      <c r="N851" s="96">
        <v>295.90899999999999</v>
      </c>
      <c r="O851" s="93">
        <f t="shared" si="39"/>
        <v>3.7879301519070374E-3</v>
      </c>
      <c r="P851" s="93">
        <f t="shared" si="40"/>
        <v>-1.4350277066070838E-2</v>
      </c>
      <c r="Q851" s="93">
        <f>B851*'Portfolio 2 &amp; 3'!$F$7+C851*'Portfolio 2 &amp; 3'!$F$8+D851*'Portfolio 2 &amp; 3'!$F$9+E851*'Portfolio 2 &amp; 3'!$F$10+F851*'Portfolio 2 &amp; 3'!$F$11+G851*'Portfolio 2 &amp; 3'!$F$12+H851*'Portfolio 2 &amp; 3'!$F$13+I851*'Portfolio 2 &amp; 3'!$F$14+J851*'Portfolio 2 &amp; 3'!$F$15+K851*'Portfolio 2 &amp; 3'!$F$16</f>
        <v>1.7649154869864774E-2</v>
      </c>
      <c r="R851" s="93">
        <f>B851*'Portfolio 2 &amp; 3'!$B$23+C851*'Portfolio 2 &amp; 3'!$B$24+D851*'Portfolio 2 &amp; 3'!$B$25+E851*'Portfolio 2 &amp; 3'!$B$26+F851*'Portfolio 2 &amp; 3'!$B$27+G851*'Portfolio 2 &amp; 3'!$B$28+H851*'Portfolio 2 &amp; 3'!$B$29+I851*'Portfolio 2 &amp; 3'!$B$30+J851*'Portfolio 2 &amp; 3'!$B$31+K851*'Portfolio 2 &amp; 3'!$B$32</f>
        <v>9.1873810151908621E-3</v>
      </c>
      <c r="S851" s="93">
        <f t="shared" si="41"/>
        <v>-5.2811734570819002E-3</v>
      </c>
    </row>
    <row r="852" spans="1:19" ht="12.75" customHeight="1">
      <c r="A852" s="81">
        <v>44831</v>
      </c>
      <c r="B852" s="53">
        <v>2.81E-2</v>
      </c>
      <c r="C852" s="53">
        <v>-1.9223727572317299E-3</v>
      </c>
      <c r="D852" s="53">
        <v>-4.5964125560538201E-2</v>
      </c>
      <c r="E852" s="53">
        <v>0</v>
      </c>
      <c r="F852" s="53">
        <v>1.1224919320892399E-2</v>
      </c>
      <c r="G852" s="53">
        <v>-1.20340754346519E-2</v>
      </c>
      <c r="H852" s="87">
        <v>-1.8994716776215202E-2</v>
      </c>
      <c r="I852" s="53">
        <v>0</v>
      </c>
      <c r="J852" s="53">
        <v>-8.9110208360634307E-3</v>
      </c>
      <c r="K852" s="53">
        <v>-1.24599878310098E-2</v>
      </c>
      <c r="L852" s="95">
        <f>IFERROR(B852*'Stock Statistics'!$C$41+C852*'Stock Statistics'!$C$42+D852*'Stock Statistics'!$C$43+E852*'Stock Statistics'!$C$44+F852*'Stock Statistics'!$C$45+G852*'Stock Statistics'!$C$46+H852*'Stock Statistics'!$C$47+I852*'Stock Statistics'!$C$48+J852*'Stock Statistics'!$C$49+K852*'Stock Statistics'!$C$50,"")</f>
        <v>-6.096137987481787E-3</v>
      </c>
      <c r="M852" s="96">
        <v>235.9864</v>
      </c>
      <c r="N852" s="97">
        <v>300.21719999999999</v>
      </c>
      <c r="O852" s="93">
        <f t="shared" si="39"/>
        <v>-1.5818296241585483E-2</v>
      </c>
      <c r="P852" s="93">
        <f t="shared" si="40"/>
        <v>-9.4767387190911601E-3</v>
      </c>
      <c r="Q852" s="93">
        <f>B852*'Portfolio 2 &amp; 3'!$F$7+C852*'Portfolio 2 &amp; 3'!$F$8+D852*'Portfolio 2 &amp; 3'!$F$9+E852*'Portfolio 2 &amp; 3'!$F$10+F852*'Portfolio 2 &amp; 3'!$F$11+G852*'Portfolio 2 &amp; 3'!$F$12+H852*'Portfolio 2 &amp; 3'!$F$13+I852*'Portfolio 2 &amp; 3'!$F$14+J852*'Portfolio 2 &amp; 3'!$F$15+K852*'Portfolio 2 &amp; 3'!$F$16</f>
        <v>-9.3275967983679035E-3</v>
      </c>
      <c r="R852" s="93">
        <f>B852*'Portfolio 2 &amp; 3'!$B$23+C852*'Portfolio 2 &amp; 3'!$B$24+D852*'Portfolio 2 &amp; 3'!$B$25+E852*'Portfolio 2 &amp; 3'!$B$26+F852*'Portfolio 2 &amp; 3'!$B$27+G852*'Portfolio 2 &amp; 3'!$B$28+H852*'Portfolio 2 &amp; 3'!$B$29+I852*'Portfolio 2 &amp; 3'!$B$30+J852*'Portfolio 2 &amp; 3'!$B$31+K852*'Portfolio 2 &amp; 3'!$B$32</f>
        <v>1.3810910941346344E-3</v>
      </c>
      <c r="S852" s="93">
        <f t="shared" si="41"/>
        <v>-1.2647517480338322E-2</v>
      </c>
    </row>
    <row r="853" spans="1:19" ht="12.75" customHeight="1">
      <c r="A853" s="82">
        <v>44830</v>
      </c>
      <c r="B853" s="53">
        <v>-1.4999999999999999E-2</v>
      </c>
      <c r="C853" s="53">
        <v>5.3223307820911003E-3</v>
      </c>
      <c r="D853" s="53">
        <v>4.8178613396004703E-2</v>
      </c>
      <c r="E853" s="53">
        <v>6.3479999999999995E-2</v>
      </c>
      <c r="F853" s="53">
        <v>-1.1212333566923401E-3</v>
      </c>
      <c r="G853" s="53">
        <v>1.2180658396640599E-2</v>
      </c>
      <c r="H853" s="87">
        <v>1.9362502018128499E-2</v>
      </c>
      <c r="I853" s="53">
        <v>-9.5272993770612099E-3</v>
      </c>
      <c r="J853" s="53">
        <v>2.6637965828063999E-2</v>
      </c>
      <c r="K853" s="53">
        <v>2.0214833207384202E-2</v>
      </c>
      <c r="L853" s="95">
        <f>IFERROR(B853*'Stock Statistics'!$C$41+C853*'Stock Statistics'!$C$42+D853*'Stock Statistics'!$C$43+E853*'Stock Statistics'!$C$44+F853*'Stock Statistics'!$C$45+G853*'Stock Statistics'!$C$46+H853*'Stock Statistics'!$C$47+I853*'Stock Statistics'!$C$48+J853*'Stock Statistics'!$C$49+K853*'Stock Statistics'!$C$50,"")</f>
        <v>1.6972837089455954E-2</v>
      </c>
      <c r="M853" s="97">
        <v>239.77930000000001</v>
      </c>
      <c r="N853" s="96">
        <v>303.08949999999999</v>
      </c>
      <c r="O853" s="93">
        <f t="shared" si="39"/>
        <v>-6.8964117618797172E-3</v>
      </c>
      <c r="P853" s="93">
        <f t="shared" si="40"/>
        <v>-3.0085120562518552E-3</v>
      </c>
      <c r="Q853" s="93">
        <f>B853*'Portfolio 2 &amp; 3'!$F$7+C853*'Portfolio 2 &amp; 3'!$F$8+D853*'Portfolio 2 &amp; 3'!$F$9+E853*'Portfolio 2 &amp; 3'!$F$10+F853*'Portfolio 2 &amp; 3'!$F$11+G853*'Portfolio 2 &amp; 3'!$F$12+H853*'Portfolio 2 &amp; 3'!$F$13+I853*'Portfolio 2 &amp; 3'!$F$14+J853*'Portfolio 2 &amp; 3'!$F$15+K853*'Portfolio 2 &amp; 3'!$F$16</f>
        <v>1.893285527582848E-2</v>
      </c>
      <c r="R853" s="93">
        <f>B853*'Portfolio 2 &amp; 3'!$B$23+C853*'Portfolio 2 &amp; 3'!$B$24+D853*'Portfolio 2 &amp; 3'!$B$25+E853*'Portfolio 2 &amp; 3'!$B$26+F853*'Portfolio 2 &amp; 3'!$B$27+G853*'Portfolio 2 &amp; 3'!$B$28+H853*'Portfolio 2 &amp; 3'!$B$29+I853*'Portfolio 2 &amp; 3'!$B$30+J853*'Portfolio 2 &amp; 3'!$B$31+K853*'Portfolio 2 &amp; 3'!$B$32</f>
        <v>1.5367053375552875E-3</v>
      </c>
      <c r="S853" s="93">
        <f t="shared" si="41"/>
        <v>-4.9524619090657862E-3</v>
      </c>
    </row>
    <row r="854" spans="1:19" ht="12.75" customHeight="1">
      <c r="A854" s="81">
        <v>44827</v>
      </c>
      <c r="B854" s="53">
        <v>-3.0000000000000001E-3</v>
      </c>
      <c r="C854" s="53">
        <v>-1.12978071638713E-2</v>
      </c>
      <c r="D854" s="53">
        <v>1.7657445556209499E-3</v>
      </c>
      <c r="E854" s="53">
        <v>3.0079999999999999E-2</v>
      </c>
      <c r="F854" s="53">
        <v>-1.77588105726872E-2</v>
      </c>
      <c r="G854" s="53">
        <v>9.0891447794021508E-3</v>
      </c>
      <c r="H854" s="87">
        <v>-5.7330245144128203E-3</v>
      </c>
      <c r="I854" s="53">
        <v>1.3104098962155601E-3</v>
      </c>
      <c r="J854" s="53">
        <v>-1.3973026752155599E-2</v>
      </c>
      <c r="K854" s="53">
        <v>-5.8091954331406202E-3</v>
      </c>
      <c r="L854" s="95">
        <f>IFERROR(B854*'Stock Statistics'!$C$41+C854*'Stock Statistics'!$C$42+D854*'Stock Statistics'!$C$43+E854*'Stock Statistics'!$C$44+F854*'Stock Statistics'!$C$45+G854*'Stock Statistics'!$C$46+H854*'Stock Statistics'!$C$47+I854*'Stock Statistics'!$C$48+J854*'Stock Statistics'!$C$49+K854*'Stock Statistics'!$C$50,"")</f>
        <v>-1.532656520502888E-3</v>
      </c>
      <c r="M854" s="96">
        <v>241.4444</v>
      </c>
      <c r="N854" s="97">
        <v>304.00409999999999</v>
      </c>
      <c r="O854" s="93">
        <f t="shared" si="39"/>
        <v>-6.6890113683161223E-3</v>
      </c>
      <c r="P854" s="93">
        <f t="shared" si="40"/>
        <v>1.3079408577534313E-3</v>
      </c>
      <c r="Q854" s="93">
        <f>B854*'Portfolio 2 &amp; 3'!$F$7+C854*'Portfolio 2 &amp; 3'!$F$8+D854*'Portfolio 2 &amp; 3'!$F$9+E854*'Portfolio 2 &amp; 3'!$F$10+F854*'Portfolio 2 &amp; 3'!$F$11+G854*'Portfolio 2 &amp; 3'!$F$12+H854*'Portfolio 2 &amp; 3'!$F$13+I854*'Portfolio 2 &amp; 3'!$F$14+J854*'Portfolio 2 &amp; 3'!$F$15+K854*'Portfolio 2 &amp; 3'!$F$16</f>
        <v>-3.5234794978426286E-3</v>
      </c>
      <c r="R854" s="93">
        <f>B854*'Portfolio 2 &amp; 3'!$B$23+C854*'Portfolio 2 &amp; 3'!$B$24+D854*'Portfolio 2 &amp; 3'!$B$25+E854*'Portfolio 2 &amp; 3'!$B$26+F854*'Portfolio 2 &amp; 3'!$B$27+G854*'Portfolio 2 &amp; 3'!$B$28+H854*'Portfolio 2 &amp; 3'!$B$29+I854*'Portfolio 2 &amp; 3'!$B$30+J854*'Portfolio 2 &amp; 3'!$B$31+K854*'Portfolio 2 &amp; 3'!$B$32</f>
        <v>-5.1780534782139495E-3</v>
      </c>
      <c r="S854" s="93">
        <f t="shared" si="41"/>
        <v>-2.6905352552813455E-3</v>
      </c>
    </row>
    <row r="855" spans="1:19" ht="12.75" customHeight="1">
      <c r="A855" s="82">
        <v>44826</v>
      </c>
      <c r="B855" s="53">
        <v>-2.0000000000000001E-4</v>
      </c>
      <c r="C855" s="53">
        <v>-4.5492455834406101E-5</v>
      </c>
      <c r="D855" s="53">
        <v>1.8279892118669299E-2</v>
      </c>
      <c r="E855" s="53">
        <v>-2.7910000000000001E-2</v>
      </c>
      <c r="F855" s="53">
        <v>-8.5983349256176806E-3</v>
      </c>
      <c r="G855" s="53">
        <v>3.4464297664458202E-2</v>
      </c>
      <c r="H855" s="87">
        <v>2.1312972808394101E-2</v>
      </c>
      <c r="I855" s="53">
        <v>9.8988936530623999E-3</v>
      </c>
      <c r="J855" s="53">
        <v>1.41710390600476E-2</v>
      </c>
      <c r="K855" s="53">
        <v>5.8431393716937797E-3</v>
      </c>
      <c r="L855" s="95">
        <f>IFERROR(B855*'Stock Statistics'!$C$41+C855*'Stock Statistics'!$C$42+D855*'Stock Statistics'!$C$43+E855*'Stock Statistics'!$C$44+F855*'Stock Statistics'!$C$45+G855*'Stock Statistics'!$C$46+H855*'Stock Statistics'!$C$47+I855*'Stock Statistics'!$C$48+J855*'Stock Statistics'!$C$49+K855*'Stock Statistics'!$C$50,"")</f>
        <v>6.72164072948733E-3</v>
      </c>
      <c r="M855" s="97">
        <v>243.0703</v>
      </c>
      <c r="N855" s="96">
        <v>303.60700000000003</v>
      </c>
      <c r="O855" s="93">
        <f t="shared" si="39"/>
        <v>-8.326020323028982E-3</v>
      </c>
      <c r="P855" s="93">
        <f t="shared" si="40"/>
        <v>2.5088559511199371E-3</v>
      </c>
      <c r="Q855" s="93">
        <f>B855*'Portfolio 2 &amp; 3'!$F$7+C855*'Portfolio 2 &amp; 3'!$F$8+D855*'Portfolio 2 &amp; 3'!$F$9+E855*'Portfolio 2 &amp; 3'!$F$10+F855*'Portfolio 2 &amp; 3'!$F$11+G855*'Portfolio 2 &amp; 3'!$F$12+H855*'Portfolio 2 &amp; 3'!$F$13+I855*'Portfolio 2 &amp; 3'!$F$14+J855*'Portfolio 2 &amp; 3'!$F$15+K855*'Portfolio 2 &amp; 3'!$F$16</f>
        <v>8.232831871543474E-3</v>
      </c>
      <c r="R855" s="93">
        <f>B855*'Portfolio 2 &amp; 3'!$B$23+C855*'Portfolio 2 &amp; 3'!$B$24+D855*'Portfolio 2 &amp; 3'!$B$25+E855*'Portfolio 2 &amp; 3'!$B$26+F855*'Portfolio 2 &amp; 3'!$B$27+G855*'Portfolio 2 &amp; 3'!$B$28+H855*'Portfolio 2 &amp; 3'!$B$29+I855*'Portfolio 2 &amp; 3'!$B$30+J855*'Portfolio 2 &amp; 3'!$B$31+K855*'Portfolio 2 &amp; 3'!$B$32</f>
        <v>6.5776289535329976E-3</v>
      </c>
      <c r="S855" s="93">
        <f t="shared" si="41"/>
        <v>-2.9085821859545224E-3</v>
      </c>
    </row>
    <row r="856" spans="1:19" ht="12.75" customHeight="1">
      <c r="A856" s="81">
        <v>44825</v>
      </c>
      <c r="B856" s="53">
        <v>-1.11E-2</v>
      </c>
      <c r="C856" s="53">
        <v>2.0209080410866801E-3</v>
      </c>
      <c r="D856" s="53">
        <v>-4.6728971962616299E-3</v>
      </c>
      <c r="E856" s="53">
        <v>2.9489999999999999E-2</v>
      </c>
      <c r="F856" s="53">
        <v>-1.2267457535723799E-2</v>
      </c>
      <c r="G856" s="53">
        <v>-2.57847899077485E-2</v>
      </c>
      <c r="H856" s="87">
        <v>2.10684905299405E-2</v>
      </c>
      <c r="I856" s="53">
        <v>-4.3219311653402998E-3</v>
      </c>
      <c r="J856" s="53">
        <v>-8.0656002150814E-4</v>
      </c>
      <c r="K856" s="53">
        <v>3.1269882094946402E-3</v>
      </c>
      <c r="L856" s="95">
        <f>IFERROR(B856*'Stock Statistics'!$C$41+C856*'Stock Statistics'!$C$42+D856*'Stock Statistics'!$C$43+E856*'Stock Statistics'!$C$44+F856*'Stock Statistics'!$C$45+G856*'Stock Statistics'!$C$46+H856*'Stock Statistics'!$C$47+I856*'Stock Statistics'!$C$48+J856*'Stock Statistics'!$C$49+K856*'Stock Statistics'!$C$50,"")</f>
        <v>-3.2472490460605486E-4</v>
      </c>
      <c r="M856" s="96">
        <v>245.11109999999999</v>
      </c>
      <c r="N856" s="97">
        <v>302.84719999999999</v>
      </c>
      <c r="O856" s="93">
        <f t="shared" si="39"/>
        <v>2.1919620968790854E-2</v>
      </c>
      <c r="P856" s="93">
        <f t="shared" si="40"/>
        <v>-4.8152911732990411E-4</v>
      </c>
      <c r="Q856" s="93">
        <f>B856*'Portfolio 2 &amp; 3'!$F$7+C856*'Portfolio 2 &amp; 3'!$F$8+D856*'Portfolio 2 &amp; 3'!$F$9+E856*'Portfolio 2 &amp; 3'!$F$10+F856*'Portfolio 2 &amp; 3'!$F$11+G856*'Portfolio 2 &amp; 3'!$F$12+H856*'Portfolio 2 &amp; 3'!$F$13+I856*'Portfolio 2 &amp; 3'!$F$14+J856*'Portfolio 2 &amp; 3'!$F$15+K856*'Portfolio 2 &amp; 3'!$F$16</f>
        <v>1.5171910137179042E-3</v>
      </c>
      <c r="R856" s="93">
        <f>B856*'Portfolio 2 &amp; 3'!$B$23+C856*'Portfolio 2 &amp; 3'!$B$24+D856*'Portfolio 2 &amp; 3'!$B$25+E856*'Portfolio 2 &amp; 3'!$B$26+F856*'Portfolio 2 &amp; 3'!$B$27+G856*'Portfolio 2 &amp; 3'!$B$28+H856*'Portfolio 2 &amp; 3'!$B$29+I856*'Portfolio 2 &amp; 3'!$B$30+J856*'Portfolio 2 &amp; 3'!$B$31+K856*'Portfolio 2 &amp; 3'!$B$32</f>
        <v>-6.0360046623132929E-3</v>
      </c>
      <c r="S856" s="93">
        <f t="shared" si="41"/>
        <v>1.0719045925730475E-2</v>
      </c>
    </row>
    <row r="857" spans="1:19" ht="12.75" customHeight="1">
      <c r="A857" s="82">
        <v>44824</v>
      </c>
      <c r="B857" s="53">
        <v>4.2299999999999997E-2</v>
      </c>
      <c r="C857" s="53">
        <v>1.00526420798994E-2</v>
      </c>
      <c r="D857" s="53">
        <v>1.49357761625013E-3</v>
      </c>
      <c r="E857" s="53">
        <v>-5.3800000000000002E-3</v>
      </c>
      <c r="F857" s="53">
        <v>3.0707239127414101E-2</v>
      </c>
      <c r="G857" s="53">
        <v>1.39145954521418E-2</v>
      </c>
      <c r="H857" s="87">
        <v>1.30213064912728E-2</v>
      </c>
      <c r="I857" s="53">
        <v>4.3938591847538797E-3</v>
      </c>
      <c r="J857" s="53">
        <v>1.70441598687507E-2</v>
      </c>
      <c r="K857" s="53">
        <v>-2.6192501383881499E-3</v>
      </c>
      <c r="L857" s="95">
        <f>IFERROR(B857*'Stock Statistics'!$C$41+C857*'Stock Statistics'!$C$42+D857*'Stock Statistics'!$C$43+E857*'Stock Statistics'!$C$44+F857*'Stock Statistics'!$C$45+G857*'Stock Statistics'!$C$46+H857*'Stock Statistics'!$C$47+I857*'Stock Statistics'!$C$48+J857*'Stock Statistics'!$C$49+K857*'Stock Statistics'!$C$50,"")</f>
        <v>1.2492812968209468E-2</v>
      </c>
      <c r="M857" s="97">
        <v>239.8536</v>
      </c>
      <c r="N857" s="96">
        <v>302.99310000000003</v>
      </c>
      <c r="O857" s="93">
        <f t="shared" si="39"/>
        <v>3.2697293131223049E-4</v>
      </c>
      <c r="P857" s="93">
        <f t="shared" si="40"/>
        <v>1.55293823649294E-3</v>
      </c>
      <c r="Q857" s="93">
        <f>B857*'Portfolio 2 &amp; 3'!$F$7+C857*'Portfolio 2 &amp; 3'!$F$8+D857*'Portfolio 2 &amp; 3'!$F$9+E857*'Portfolio 2 &amp; 3'!$F$10+F857*'Portfolio 2 &amp; 3'!$F$11+G857*'Portfolio 2 &amp; 3'!$F$12+H857*'Portfolio 2 &amp; 3'!$F$13+I857*'Portfolio 2 &amp; 3'!$F$14+J857*'Portfolio 2 &amp; 3'!$F$15+K857*'Portfolio 2 &amp; 3'!$F$16</f>
        <v>1.2301783599836968E-2</v>
      </c>
      <c r="R857" s="93">
        <f>B857*'Portfolio 2 &amp; 3'!$B$23+C857*'Portfolio 2 &amp; 3'!$B$24+D857*'Portfolio 2 &amp; 3'!$B$25+E857*'Portfolio 2 &amp; 3'!$B$26+F857*'Portfolio 2 &amp; 3'!$B$27+G857*'Portfolio 2 &amp; 3'!$B$28+H857*'Portfolio 2 &amp; 3'!$B$29+I857*'Portfolio 2 &amp; 3'!$B$30+J857*'Portfolio 2 &amp; 3'!$B$31+K857*'Portfolio 2 &amp; 3'!$B$32</f>
        <v>1.574545043924994E-2</v>
      </c>
      <c r="S857" s="93">
        <f t="shared" si="41"/>
        <v>9.3995558390258527E-4</v>
      </c>
    </row>
    <row r="858" spans="1:19" ht="12.75" customHeight="1">
      <c r="A858" s="81">
        <v>44823</v>
      </c>
      <c r="B858" s="53">
        <v>-9.7000000000000003E-3</v>
      </c>
      <c r="C858" s="53">
        <v>-6.51073432544524E-3</v>
      </c>
      <c r="D858" s="53">
        <v>-2.8817329078425599E-2</v>
      </c>
      <c r="E858" s="53">
        <v>1.6240000000000001E-2</v>
      </c>
      <c r="F858" s="53">
        <v>-4.0132853584278197E-3</v>
      </c>
      <c r="G858" s="53">
        <v>-2.2424482258277499E-3</v>
      </c>
      <c r="H858" s="87">
        <v>-2.7420757634324402E-3</v>
      </c>
      <c r="I858" s="53">
        <v>-4.3746376429663102E-3</v>
      </c>
      <c r="J858" s="53">
        <v>-1.41075816874481E-3</v>
      </c>
      <c r="K858" s="53">
        <v>6.2904189989674304E-3</v>
      </c>
      <c r="L858" s="95">
        <f>IFERROR(B858*'Stock Statistics'!$C$41+C858*'Stock Statistics'!$C$42+D858*'Stock Statistics'!$C$43+E858*'Stock Statistics'!$C$44+F858*'Stock Statistics'!$C$45+G858*'Stock Statistics'!$C$46+H858*'Stock Statistics'!$C$47+I858*'Stock Statistics'!$C$48+J858*'Stock Statistics'!$C$49+K858*'Stock Statistics'!$C$50,"")</f>
        <v>-3.7280849564302536E-3</v>
      </c>
      <c r="M858" s="96">
        <v>239.77520000000001</v>
      </c>
      <c r="N858" s="97">
        <v>302.52330000000001</v>
      </c>
      <c r="O858" s="93">
        <f t="shared" si="39"/>
        <v>-7.852349187682961E-3</v>
      </c>
      <c r="P858" s="93">
        <f t="shared" si="40"/>
        <v>8.4227649322574649E-3</v>
      </c>
      <c r="Q858" s="93">
        <f>B858*'Portfolio 2 &amp; 3'!$F$7+C858*'Portfolio 2 &amp; 3'!$F$8+D858*'Portfolio 2 &amp; 3'!$F$9+E858*'Portfolio 2 &amp; 3'!$F$10+F858*'Portfolio 2 &amp; 3'!$F$11+G858*'Portfolio 2 &amp; 3'!$F$12+H858*'Portfolio 2 &amp; 3'!$F$13+I858*'Portfolio 2 &amp; 3'!$F$14+J858*'Portfolio 2 &amp; 3'!$F$15+K858*'Portfolio 2 &amp; 3'!$F$16</f>
        <v>-5.0045127014285611E-3</v>
      </c>
      <c r="R858" s="93">
        <f>B858*'Portfolio 2 &amp; 3'!$B$23+C858*'Portfolio 2 &amp; 3'!$B$24+D858*'Portfolio 2 &amp; 3'!$B$25+E858*'Portfolio 2 &amp; 3'!$B$26+F858*'Portfolio 2 &amp; 3'!$B$27+G858*'Portfolio 2 &amp; 3'!$B$28+H858*'Portfolio 2 &amp; 3'!$B$29+I858*'Portfolio 2 &amp; 3'!$B$30+J858*'Portfolio 2 &amp; 3'!$B$31+K858*'Portfolio 2 &amp; 3'!$B$32</f>
        <v>-4.4530790215895335E-3</v>
      </c>
      <c r="S858" s="93">
        <f t="shared" si="41"/>
        <v>2.8520787228725197E-4</v>
      </c>
    </row>
    <row r="859" spans="1:19" ht="12.75" customHeight="1">
      <c r="A859" s="82">
        <v>44820</v>
      </c>
      <c r="B859" s="53">
        <v>-1.9E-2</v>
      </c>
      <c r="C859" s="53">
        <v>1.03369124828616E-2</v>
      </c>
      <c r="D859" s="53">
        <v>-7.0097945073940302E-3</v>
      </c>
      <c r="E859" s="53">
        <v>-2.6939999999999999E-2</v>
      </c>
      <c r="F859" s="53">
        <v>-2.58829873281207E-2</v>
      </c>
      <c r="G859" s="53">
        <v>-1.39819210509202E-2</v>
      </c>
      <c r="H859" s="87">
        <v>-1.03289977046671E-2</v>
      </c>
      <c r="I859" s="53">
        <v>1.9286558504351601E-2</v>
      </c>
      <c r="J859" s="53">
        <v>3.10139351569465E-2</v>
      </c>
      <c r="K859" s="53">
        <v>2.7792915531335001E-3</v>
      </c>
      <c r="L859" s="95">
        <f>IFERROR(B859*'Stock Statistics'!$C$41+C859*'Stock Statistics'!$C$42+D859*'Stock Statistics'!$C$43+E859*'Stock Statistics'!$C$44+F859*'Stock Statistics'!$C$45+G859*'Stock Statistics'!$C$46+H859*'Stock Statistics'!$C$47+I859*'Stock Statistics'!$C$48+J859*'Stock Statistics'!$C$49+K859*'Stock Statistics'!$C$50,"")</f>
        <v>-3.972700289380883E-3</v>
      </c>
      <c r="M859" s="97">
        <v>241.6729</v>
      </c>
      <c r="N859" s="96">
        <v>299.99650000000003</v>
      </c>
      <c r="O859" s="93">
        <f t="shared" si="39"/>
        <v>-7.1218341013218334E-3</v>
      </c>
      <c r="P859" s="93">
        <f t="shared" si="40"/>
        <v>4.9376512658176885E-3</v>
      </c>
      <c r="Q859" s="93">
        <f>B859*'Portfolio 2 &amp; 3'!$F$7+C859*'Portfolio 2 &amp; 3'!$F$8+D859*'Portfolio 2 &amp; 3'!$F$9+E859*'Portfolio 2 &amp; 3'!$F$10+F859*'Portfolio 2 &amp; 3'!$F$11+G859*'Portfolio 2 &amp; 3'!$F$12+H859*'Portfolio 2 &amp; 3'!$F$13+I859*'Portfolio 2 &amp; 3'!$F$14+J859*'Portfolio 2 &amp; 3'!$F$15+K859*'Portfolio 2 &amp; 3'!$F$16</f>
        <v>-1.9112656877627542E-3</v>
      </c>
      <c r="R859" s="93">
        <f>B859*'Portfolio 2 &amp; 3'!$B$23+C859*'Portfolio 2 &amp; 3'!$B$24+D859*'Portfolio 2 &amp; 3'!$B$25+E859*'Portfolio 2 &amp; 3'!$B$26+F859*'Portfolio 2 &amp; 3'!$B$27+G859*'Portfolio 2 &amp; 3'!$B$28+H859*'Portfolio 2 &amp; 3'!$B$29+I859*'Portfolio 2 &amp; 3'!$B$30+J859*'Portfolio 2 &amp; 3'!$B$31+K859*'Portfolio 2 &amp; 3'!$B$32</f>
        <v>-4.484615963953136E-4</v>
      </c>
      <c r="S859" s="93">
        <f t="shared" si="41"/>
        <v>-1.0920914177520724E-3</v>
      </c>
    </row>
    <row r="860" spans="1:19" ht="12.75" customHeight="1">
      <c r="A860" s="81">
        <v>44819</v>
      </c>
      <c r="B860" s="53">
        <v>-5.1999999999999998E-3</v>
      </c>
      <c r="C860" s="53">
        <v>-2.23209579034566E-2</v>
      </c>
      <c r="D860" s="53">
        <v>-8.3793563130831802E-3</v>
      </c>
      <c r="E860" s="53">
        <v>1.1440000000000001E-2</v>
      </c>
      <c r="F860" s="53">
        <v>-1.1987213638785301E-2</v>
      </c>
      <c r="G860" s="53">
        <v>2.4791736087970799E-2</v>
      </c>
      <c r="H860" s="87">
        <v>7.1398470892780602E-3</v>
      </c>
      <c r="I860" s="53">
        <v>1.40001089502642E-2</v>
      </c>
      <c r="J860" s="53">
        <v>-2.2937927160376899E-3</v>
      </c>
      <c r="K860" s="53">
        <v>7.5220995991873698E-3</v>
      </c>
      <c r="L860" s="95">
        <f>IFERROR(B860*'Stock Statistics'!$C$41+C860*'Stock Statistics'!$C$42+D860*'Stock Statistics'!$C$43+E860*'Stock Statistics'!$C$44+F860*'Stock Statistics'!$C$45+G860*'Stock Statistics'!$C$46+H860*'Stock Statistics'!$C$47+I860*'Stock Statistics'!$C$48+J860*'Stock Statistics'!$C$49+K860*'Stock Statistics'!$C$50,"")</f>
        <v>1.4712471155337659E-3</v>
      </c>
      <c r="M860" s="96">
        <v>243.40639999999999</v>
      </c>
      <c r="N860" s="97">
        <v>298.52249999999998</v>
      </c>
      <c r="O860" s="93">
        <f t="shared" si="39"/>
        <v>3.047800523186428E-3</v>
      </c>
      <c r="P860" s="93">
        <f t="shared" si="40"/>
        <v>2.9218606376286704E-3</v>
      </c>
      <c r="Q860" s="93">
        <f>B860*'Portfolio 2 &amp; 3'!$F$7+C860*'Portfolio 2 &amp; 3'!$F$8+D860*'Portfolio 2 &amp; 3'!$F$9+E860*'Portfolio 2 &amp; 3'!$F$10+F860*'Portfolio 2 &amp; 3'!$F$11+G860*'Portfolio 2 &amp; 3'!$F$12+H860*'Portfolio 2 &amp; 3'!$F$13+I860*'Portfolio 2 &amp; 3'!$F$14+J860*'Portfolio 2 &amp; 3'!$F$15+K860*'Portfolio 2 &amp; 3'!$F$16</f>
        <v>-6.3906097527338711E-5</v>
      </c>
      <c r="R860" s="93">
        <f>B860*'Portfolio 2 &amp; 3'!$B$23+C860*'Portfolio 2 &amp; 3'!$B$24+D860*'Portfolio 2 &amp; 3'!$B$25+E860*'Portfolio 2 &amp; 3'!$B$26+F860*'Portfolio 2 &amp; 3'!$B$27+G860*'Portfolio 2 &amp; 3'!$B$28+H860*'Portfolio 2 &amp; 3'!$B$29+I860*'Portfolio 2 &amp; 3'!$B$30+J860*'Portfolio 2 &amp; 3'!$B$31+K860*'Portfolio 2 &amp; 3'!$B$32</f>
        <v>-4.0027162260130775E-5</v>
      </c>
      <c r="S860" s="93">
        <f t="shared" si="41"/>
        <v>2.9848305804075492E-3</v>
      </c>
    </row>
    <row r="861" spans="1:19" ht="12.75" customHeight="1">
      <c r="A861" s="82">
        <v>44818</v>
      </c>
      <c r="B861" s="53">
        <v>3.3999999999999998E-3</v>
      </c>
      <c r="C861" s="53">
        <v>2.17287598294937E-2</v>
      </c>
      <c r="D861" s="53">
        <v>-1.56528259443247E-2</v>
      </c>
      <c r="E861" s="53">
        <v>-1.291E-2</v>
      </c>
      <c r="F861" s="53">
        <v>-9.3147039254826201E-4</v>
      </c>
      <c r="G861" s="53">
        <v>-8.5893624050215108E-3</v>
      </c>
      <c r="H861" s="87">
        <v>-1.50023719165086E-2</v>
      </c>
      <c r="I861" s="53">
        <v>2.30730647048989E-2</v>
      </c>
      <c r="J861" s="53">
        <v>5.8385912044447404E-3</v>
      </c>
      <c r="K861" s="53">
        <v>1.7457612915840401E-2</v>
      </c>
      <c r="L861" s="95">
        <f>IFERROR(B861*'Stock Statistics'!$C$41+C861*'Stock Statistics'!$C$42+D861*'Stock Statistics'!$C$43+E861*'Stock Statistics'!$C$44+F861*'Stock Statistics'!$C$45+G861*'Stock Statistics'!$C$46+H861*'Stock Statistics'!$C$47+I861*'Stock Statistics'!$C$48+J861*'Stock Statistics'!$C$49+K861*'Stock Statistics'!$C$50,"")</f>
        <v>1.8411997996274666E-3</v>
      </c>
      <c r="M861" s="97">
        <v>242.66679999999999</v>
      </c>
      <c r="N861" s="96">
        <v>297.65280000000001</v>
      </c>
      <c r="O861" s="93">
        <f t="shared" si="39"/>
        <v>6.6175387799884966E-3</v>
      </c>
      <c r="P861" s="93">
        <f t="shared" si="40"/>
        <v>-2.7847388804759232E-3</v>
      </c>
      <c r="Q861" s="93">
        <f>B861*'Portfolio 2 &amp; 3'!$F$7+C861*'Portfolio 2 &amp; 3'!$F$8+D861*'Portfolio 2 &amp; 3'!$F$9+E861*'Portfolio 2 &amp; 3'!$F$10+F861*'Portfolio 2 &amp; 3'!$F$11+G861*'Portfolio 2 &amp; 3'!$F$12+H861*'Portfolio 2 &amp; 3'!$F$13+I861*'Portfolio 2 &amp; 3'!$F$14+J861*'Portfolio 2 &amp; 3'!$F$15+K861*'Portfolio 2 &amp; 3'!$F$16</f>
        <v>4.7074393402238204E-4</v>
      </c>
      <c r="R861" s="93">
        <f>B861*'Portfolio 2 &amp; 3'!$B$23+C861*'Portfolio 2 &amp; 3'!$B$24+D861*'Portfolio 2 &amp; 3'!$B$25+E861*'Portfolio 2 &amp; 3'!$B$26+F861*'Portfolio 2 &amp; 3'!$B$27+G861*'Portfolio 2 &amp; 3'!$B$28+H861*'Portfolio 2 &amp; 3'!$B$29+I861*'Portfolio 2 &amp; 3'!$B$30+J861*'Portfolio 2 &amp; 3'!$B$31+K861*'Portfolio 2 &amp; 3'!$B$32</f>
        <v>1.0366174288197813E-2</v>
      </c>
      <c r="S861" s="93">
        <f t="shared" si="41"/>
        <v>1.9163999497562867E-3</v>
      </c>
    </row>
    <row r="862" spans="1:19" ht="12.75" customHeight="1">
      <c r="A862" s="81">
        <v>44817</v>
      </c>
      <c r="B862" s="53">
        <v>-1.21E-2</v>
      </c>
      <c r="C862" s="53">
        <v>2.1520420033326101E-2</v>
      </c>
      <c r="D862" s="53">
        <v>2.6852743022136801E-2</v>
      </c>
      <c r="E862" s="53">
        <v>4.1509999999999998E-2</v>
      </c>
      <c r="F862" s="53">
        <v>-2.3894862604539901E-3</v>
      </c>
      <c r="G862" s="53">
        <v>2.2393352923295098E-2</v>
      </c>
      <c r="H862" s="87">
        <v>2.8505909761779899E-2</v>
      </c>
      <c r="I862" s="53">
        <v>-3.94137892750091E-3</v>
      </c>
      <c r="J862" s="53">
        <v>-7.9409566517190094E-3</v>
      </c>
      <c r="K862" s="53">
        <v>1.79086101239623E-3</v>
      </c>
      <c r="L862" s="95">
        <f>IFERROR(B862*'Stock Statistics'!$C$41+C862*'Stock Statistics'!$C$42+D862*'Stock Statistics'!$C$43+E862*'Stock Statistics'!$C$44+F862*'Stock Statistics'!$C$45+G862*'Stock Statistics'!$C$46+H862*'Stock Statistics'!$C$47+I862*'Stock Statistics'!$C$48+J862*'Stock Statistics'!$C$49+K862*'Stock Statistics'!$C$50,"")</f>
        <v>1.1620146491326019E-2</v>
      </c>
      <c r="M862" s="96">
        <v>241.07149999999999</v>
      </c>
      <c r="N862" s="97">
        <v>298.48399999999998</v>
      </c>
      <c r="O862" s="93">
        <f t="shared" si="39"/>
        <v>3.890274438831387E-3</v>
      </c>
      <c r="P862" s="93">
        <f t="shared" si="40"/>
        <v>-4.6731184645868451E-3</v>
      </c>
      <c r="Q862" s="93">
        <f>B862*'Portfolio 2 &amp; 3'!$F$7+C862*'Portfolio 2 &amp; 3'!$F$8+D862*'Portfolio 2 &amp; 3'!$F$9+E862*'Portfolio 2 &amp; 3'!$F$10+F862*'Portfolio 2 &amp; 3'!$F$11+G862*'Portfolio 2 &amp; 3'!$F$12+H862*'Portfolio 2 &amp; 3'!$F$13+I862*'Portfolio 2 &amp; 3'!$F$14+J862*'Portfolio 2 &amp; 3'!$F$15+K862*'Portfolio 2 &amp; 3'!$F$16</f>
        <v>1.2170936175788511E-2</v>
      </c>
      <c r="R862" s="93">
        <f>B862*'Portfolio 2 &amp; 3'!$B$23+C862*'Portfolio 2 &amp; 3'!$B$24+D862*'Portfolio 2 &amp; 3'!$B$25+E862*'Portfolio 2 &amp; 3'!$B$26+F862*'Portfolio 2 &amp; 3'!$B$27+G862*'Portfolio 2 &amp; 3'!$B$28+H862*'Portfolio 2 &amp; 3'!$B$29+I862*'Portfolio 2 &amp; 3'!$B$30+J862*'Portfolio 2 &amp; 3'!$B$31+K862*'Portfolio 2 &amp; 3'!$B$32</f>
        <v>4.5924604691282428E-3</v>
      </c>
      <c r="S862" s="93">
        <f t="shared" si="41"/>
        <v>-3.9142201287772904E-4</v>
      </c>
    </row>
    <row r="863" spans="1:19" ht="12.75" customHeight="1">
      <c r="A863" s="82">
        <v>44816</v>
      </c>
      <c r="B863" s="53">
        <v>-7.4999999999999997E-3</v>
      </c>
      <c r="C863" s="53">
        <v>-3.1497296873775902E-3</v>
      </c>
      <c r="D863" s="53">
        <v>-2.5511161132995699E-2</v>
      </c>
      <c r="E863" s="53">
        <v>1.303E-2</v>
      </c>
      <c r="F863" s="53">
        <v>6.8163592622292298E-3</v>
      </c>
      <c r="G863" s="53">
        <v>1.1158449989854299E-3</v>
      </c>
      <c r="H863" s="87">
        <v>5.3466099304695404E-3</v>
      </c>
      <c r="I863" s="53">
        <v>-2.2147432417761299E-2</v>
      </c>
      <c r="J863" s="53">
        <v>-2.0049436967865899E-2</v>
      </c>
      <c r="K863" s="53">
        <v>-1.5929837121890202E-2</v>
      </c>
      <c r="L863" s="95">
        <f>IFERROR(B863*'Stock Statistics'!$C$41+C863*'Stock Statistics'!$C$42+D863*'Stock Statistics'!$C$43+E863*'Stock Statistics'!$C$44+F863*'Stock Statistics'!$C$45+G863*'Stock Statistics'!$C$46+H863*'Stock Statistics'!$C$47+I863*'Stock Statistics'!$C$48+J863*'Stock Statistics'!$C$49+K863*'Stock Statistics'!$C$50,"")</f>
        <v>-6.7978783136206497E-3</v>
      </c>
      <c r="M863" s="97">
        <v>240.13730000000001</v>
      </c>
      <c r="N863" s="96">
        <v>299.8854</v>
      </c>
      <c r="O863" s="93">
        <f t="shared" si="39"/>
        <v>5.8111019104092332E-3</v>
      </c>
      <c r="P863" s="93">
        <f t="shared" si="40"/>
        <v>9.6386637375958095E-3</v>
      </c>
      <c r="Q863" s="93">
        <f>B863*'Portfolio 2 &amp; 3'!$F$7+C863*'Portfolio 2 &amp; 3'!$F$8+D863*'Portfolio 2 &amp; 3'!$F$9+E863*'Portfolio 2 &amp; 3'!$F$10+F863*'Portfolio 2 &amp; 3'!$F$11+G863*'Portfolio 2 &amp; 3'!$F$12+H863*'Portfolio 2 &amp; 3'!$F$13+I863*'Portfolio 2 &amp; 3'!$F$14+J863*'Portfolio 2 &amp; 3'!$F$15+K863*'Portfolio 2 &amp; 3'!$F$16</f>
        <v>-7.6717603819061557E-3</v>
      </c>
      <c r="R863" s="93">
        <f>B863*'Portfolio 2 &amp; 3'!$B$23+C863*'Portfolio 2 &amp; 3'!$B$24+D863*'Portfolio 2 &amp; 3'!$B$25+E863*'Portfolio 2 &amp; 3'!$B$26+F863*'Portfolio 2 &amp; 3'!$B$27+G863*'Portfolio 2 &amp; 3'!$B$28+H863*'Portfolio 2 &amp; 3'!$B$29+I863*'Portfolio 2 &amp; 3'!$B$30+J863*'Portfolio 2 &amp; 3'!$B$31+K863*'Portfolio 2 &amp; 3'!$B$32</f>
        <v>-8.1330834112693356E-3</v>
      </c>
      <c r="S863" s="93">
        <f t="shared" si="41"/>
        <v>7.7248828240025214E-3</v>
      </c>
    </row>
    <row r="864" spans="1:19" ht="12.75" customHeight="1">
      <c r="A864" s="81">
        <v>44813</v>
      </c>
      <c r="B864" s="53">
        <v>7.6E-3</v>
      </c>
      <c r="C864" s="53">
        <v>-6.2600246040768201E-3</v>
      </c>
      <c r="D864" s="53">
        <v>-2.5678515946266901E-2</v>
      </c>
      <c r="E864" s="53">
        <v>-4.6390000000000001E-2</v>
      </c>
      <c r="F864" s="53">
        <v>-1.4680368343786799E-3</v>
      </c>
      <c r="G864" s="53">
        <v>-1.38055222088835E-2</v>
      </c>
      <c r="H864" s="87">
        <v>-2.19836891340849E-2</v>
      </c>
      <c r="I864" s="53">
        <v>1.4427312775330501E-2</v>
      </c>
      <c r="J864" s="53">
        <v>5.4038405867026899E-2</v>
      </c>
      <c r="K864" s="53">
        <v>3.3153292536365299E-3</v>
      </c>
      <c r="L864" s="95">
        <f>IFERROR(B864*'Stock Statistics'!$C$41+C864*'Stock Statistics'!$C$42+D864*'Stock Statistics'!$C$43+E864*'Stock Statistics'!$C$44+F864*'Stock Statistics'!$C$45+G864*'Stock Statistics'!$C$46+H864*'Stock Statistics'!$C$47+I864*'Stock Statistics'!$C$48+J864*'Stock Statistics'!$C$49+K864*'Stock Statistics'!$C$50,"")</f>
        <v>-3.620474083169688E-3</v>
      </c>
      <c r="M864" s="96">
        <v>238.7499</v>
      </c>
      <c r="N864" s="97">
        <v>297.02249999999998</v>
      </c>
      <c r="O864" s="93">
        <f t="shared" si="39"/>
        <v>-2.8096827277790393E-4</v>
      </c>
      <c r="P864" s="93">
        <f t="shared" si="40"/>
        <v>-1.9113461986288716E-3</v>
      </c>
      <c r="Q864" s="93">
        <f>B864*'Portfolio 2 &amp; 3'!$F$7+C864*'Portfolio 2 &amp; 3'!$F$8+D864*'Portfolio 2 &amp; 3'!$F$9+E864*'Portfolio 2 &amp; 3'!$F$10+F864*'Portfolio 2 &amp; 3'!$F$11+G864*'Portfolio 2 &amp; 3'!$F$12+H864*'Portfolio 2 &amp; 3'!$F$13+I864*'Portfolio 2 &amp; 3'!$F$14+J864*'Portfolio 2 &amp; 3'!$F$15+K864*'Portfolio 2 &amp; 3'!$F$16</f>
        <v>-2.0541228921650604E-3</v>
      </c>
      <c r="R864" s="93">
        <f>B864*'Portfolio 2 &amp; 3'!$B$23+C864*'Portfolio 2 &amp; 3'!$B$24+D864*'Portfolio 2 &amp; 3'!$B$25+E864*'Portfolio 2 &amp; 3'!$B$26+F864*'Portfolio 2 &amp; 3'!$B$27+G864*'Portfolio 2 &amp; 3'!$B$28+H864*'Portfolio 2 &amp; 3'!$B$29+I864*'Portfolio 2 &amp; 3'!$B$30+J864*'Portfolio 2 &amp; 3'!$B$31+K864*'Portfolio 2 &amp; 3'!$B$32</f>
        <v>2.8138616863244981E-3</v>
      </c>
      <c r="S864" s="93">
        <f t="shared" si="41"/>
        <v>-1.0961572357033877E-3</v>
      </c>
    </row>
    <row r="865" spans="1:19" ht="12.75" customHeight="1">
      <c r="A865" s="82">
        <v>44812</v>
      </c>
      <c r="B865" s="53">
        <v>-7.3000000000000001E-3</v>
      </c>
      <c r="C865" s="53">
        <v>-4.5138996980365102E-4</v>
      </c>
      <c r="D865" s="53">
        <v>-9.1452372328867399E-3</v>
      </c>
      <c r="E865" s="53">
        <v>-1.023E-2</v>
      </c>
      <c r="F865" s="53">
        <v>-3.9877708361025803E-3</v>
      </c>
      <c r="G865" s="53">
        <v>-1.7642555174593999E-3</v>
      </c>
      <c r="H865" s="87">
        <v>-1.07139043460721E-2</v>
      </c>
      <c r="I865" s="53">
        <v>2.9824367612947301E-3</v>
      </c>
      <c r="J865" s="53">
        <v>-6.89985625299472E-3</v>
      </c>
      <c r="K865" s="53">
        <v>1.2829840221619201E-2</v>
      </c>
      <c r="L865" s="95">
        <f>IFERROR(B865*'Stock Statistics'!$C$41+C865*'Stock Statistics'!$C$42+D865*'Stock Statistics'!$C$43+E865*'Stock Statistics'!$C$44+F865*'Stock Statistics'!$C$45+G865*'Stock Statistics'!$C$46+H865*'Stock Statistics'!$C$47+I865*'Stock Statistics'!$C$48+J865*'Stock Statistics'!$C$49+K865*'Stock Statistics'!$C$50,"")</f>
        <v>-3.4680137172405272E-3</v>
      </c>
      <c r="M865" s="97">
        <v>238.81700000000001</v>
      </c>
      <c r="N865" s="96">
        <v>297.59129999999999</v>
      </c>
      <c r="O865" s="93">
        <f t="shared" si="39"/>
        <v>5.0827135133180157E-3</v>
      </c>
      <c r="P865" s="93">
        <f t="shared" si="40"/>
        <v>-3.5459532436432628E-3</v>
      </c>
      <c r="Q865" s="93">
        <f>B865*'Portfolio 2 &amp; 3'!$F$7+C865*'Portfolio 2 &amp; 3'!$F$8+D865*'Portfolio 2 &amp; 3'!$F$9+E865*'Portfolio 2 &amp; 3'!$F$10+F865*'Portfolio 2 &amp; 3'!$F$11+G865*'Portfolio 2 &amp; 3'!$F$12+H865*'Portfolio 2 &amp; 3'!$F$13+I865*'Portfolio 2 &amp; 3'!$F$14+J865*'Portfolio 2 &amp; 3'!$F$15+K865*'Portfolio 2 &amp; 3'!$F$16</f>
        <v>-4.4938048023508443E-3</v>
      </c>
      <c r="R865" s="93">
        <f>B865*'Portfolio 2 &amp; 3'!$B$23+C865*'Portfolio 2 &amp; 3'!$B$24+D865*'Portfolio 2 &amp; 3'!$B$25+E865*'Portfolio 2 &amp; 3'!$B$26+F865*'Portfolio 2 &amp; 3'!$B$27+G865*'Portfolio 2 &amp; 3'!$B$28+H865*'Portfolio 2 &amp; 3'!$B$29+I865*'Portfolio 2 &amp; 3'!$B$30+J865*'Portfolio 2 &amp; 3'!$B$31+K865*'Portfolio 2 &amp; 3'!$B$32</f>
        <v>-6.9341203646673612E-4</v>
      </c>
      <c r="S865" s="93">
        <f t="shared" si="41"/>
        <v>7.6838013483737644E-4</v>
      </c>
    </row>
    <row r="866" spans="1:19" ht="12.75" customHeight="1">
      <c r="A866" s="81">
        <v>44811</v>
      </c>
      <c r="B866" s="53">
        <v>8.9999999999999998E-4</v>
      </c>
      <c r="C866" s="53">
        <v>1.9806921505327599E-3</v>
      </c>
      <c r="D866" s="53">
        <v>-1.7174365000450799E-3</v>
      </c>
      <c r="E866" s="53">
        <v>5.9999999999999995E-4</v>
      </c>
      <c r="F866" s="53">
        <v>1.2653116166375E-2</v>
      </c>
      <c r="G866" s="53">
        <v>-6.4492657758963299E-3</v>
      </c>
      <c r="H866" s="87">
        <v>-9.1114298478685001E-3</v>
      </c>
      <c r="I866" s="53">
        <v>-7.2920664510116601E-3</v>
      </c>
      <c r="J866" s="53">
        <v>9.8712861705216905E-3</v>
      </c>
      <c r="K866" s="53">
        <v>-8.8061129678680405E-3</v>
      </c>
      <c r="L866" s="95">
        <f>IFERROR(B866*'Stock Statistics'!$C$41+C866*'Stock Statistics'!$C$42+D866*'Stock Statistics'!$C$43+E866*'Stock Statistics'!$C$44+F866*'Stock Statistics'!$C$45+G866*'Stock Statistics'!$C$46+H866*'Stock Statistics'!$C$47+I866*'Stock Statistics'!$C$48+J866*'Stock Statistics'!$C$49+K866*'Stock Statistics'!$C$50,"")</f>
        <v>-7.3712170552601628E-4</v>
      </c>
      <c r="M866" s="96">
        <v>237.60929999999999</v>
      </c>
      <c r="N866" s="97">
        <v>298.65030000000002</v>
      </c>
      <c r="O866" s="93">
        <f t="shared" si="39"/>
        <v>5.0542606541732482E-3</v>
      </c>
      <c r="P866" s="93">
        <f t="shared" si="40"/>
        <v>-4.4269868853846761E-3</v>
      </c>
      <c r="Q866" s="93">
        <f>B866*'Portfolio 2 &amp; 3'!$F$7+C866*'Portfolio 2 &amp; 3'!$F$8+D866*'Portfolio 2 &amp; 3'!$F$9+E866*'Portfolio 2 &amp; 3'!$F$10+F866*'Portfolio 2 &amp; 3'!$F$11+G866*'Portfolio 2 &amp; 3'!$F$12+H866*'Portfolio 2 &amp; 3'!$F$13+I866*'Portfolio 2 &amp; 3'!$F$14+J866*'Portfolio 2 &amp; 3'!$F$15+K866*'Portfolio 2 &amp; 3'!$F$16</f>
        <v>-3.4908534814264412E-4</v>
      </c>
      <c r="R866" s="93">
        <f>B866*'Portfolio 2 &amp; 3'!$B$23+C866*'Portfolio 2 &amp; 3'!$B$24+D866*'Portfolio 2 &amp; 3'!$B$25+E866*'Portfolio 2 &amp; 3'!$B$26+F866*'Portfolio 2 &amp; 3'!$B$27+G866*'Portfolio 2 &amp; 3'!$B$28+H866*'Portfolio 2 &amp; 3'!$B$29+I866*'Portfolio 2 &amp; 3'!$B$30+J866*'Portfolio 2 &amp; 3'!$B$31+K866*'Portfolio 2 &amp; 3'!$B$32</f>
        <v>-7.3972277650021889E-4</v>
      </c>
      <c r="S866" s="93">
        <f t="shared" si="41"/>
        <v>3.1363688439428605E-4</v>
      </c>
    </row>
    <row r="867" spans="1:19" ht="12.75" customHeight="1">
      <c r="A867" s="82">
        <v>44810</v>
      </c>
      <c r="B867" s="53">
        <v>2.5999999999999999E-3</v>
      </c>
      <c r="C867" s="53">
        <v>2.2822128085284699E-3</v>
      </c>
      <c r="D867" s="53">
        <v>3.6287761952280601E-3</v>
      </c>
      <c r="E867" s="53">
        <v>-6.9999999999999994E-5</v>
      </c>
      <c r="F867" s="53">
        <v>6.7349137931027603E-4</v>
      </c>
      <c r="G867" s="53">
        <v>5.2530088436730802E-3</v>
      </c>
      <c r="H867" s="87">
        <v>-1.9360970629994599E-3</v>
      </c>
      <c r="I867" s="53">
        <v>4.2407269817683002E-2</v>
      </c>
      <c r="J867" s="53">
        <v>-2.5142695410160901E-2</v>
      </c>
      <c r="K867" s="53">
        <v>-1.7200256232026399E-2</v>
      </c>
      <c r="L867" s="95">
        <f>IFERROR(B867*'Stock Statistics'!$C$41+C867*'Stock Statistics'!$C$42+D867*'Stock Statistics'!$C$43+E867*'Stock Statistics'!$C$44+F867*'Stock Statistics'!$C$45+G867*'Stock Statistics'!$C$46+H867*'Stock Statistics'!$C$47+I867*'Stock Statistics'!$C$48+J867*'Stock Statistics'!$C$49+K867*'Stock Statistics'!$C$50,"")</f>
        <v>1.2495710339236129E-3</v>
      </c>
      <c r="M867" s="97">
        <v>236.4144</v>
      </c>
      <c r="N867" s="96">
        <v>299.97829999999999</v>
      </c>
      <c r="O867" s="93">
        <f t="shared" si="39"/>
        <v>1.0406540383711693E-4</v>
      </c>
      <c r="P867" s="93">
        <f t="shared" si="40"/>
        <v>1.7742705720877883E-3</v>
      </c>
      <c r="Q867" s="93">
        <f>B867*'Portfolio 2 &amp; 3'!$F$7+C867*'Portfolio 2 &amp; 3'!$F$8+D867*'Portfolio 2 &amp; 3'!$F$9+E867*'Portfolio 2 &amp; 3'!$F$10+F867*'Portfolio 2 &amp; 3'!$F$11+G867*'Portfolio 2 &amp; 3'!$F$12+H867*'Portfolio 2 &amp; 3'!$F$13+I867*'Portfolio 2 &amp; 3'!$F$14+J867*'Portfolio 2 &amp; 3'!$F$15+K867*'Portfolio 2 &amp; 3'!$F$16</f>
        <v>-5.0161181721710855E-4</v>
      </c>
      <c r="R867" s="93">
        <f>B867*'Portfolio 2 &amp; 3'!$B$23+C867*'Portfolio 2 &amp; 3'!$B$24+D867*'Portfolio 2 &amp; 3'!$B$25+E867*'Portfolio 2 &amp; 3'!$B$26+F867*'Portfolio 2 &amp; 3'!$B$27+G867*'Portfolio 2 &amp; 3'!$B$28+H867*'Portfolio 2 &amp; 3'!$B$29+I867*'Portfolio 2 &amp; 3'!$B$30+J867*'Portfolio 2 &amp; 3'!$B$31+K867*'Portfolio 2 &amp; 3'!$B$32</f>
        <v>9.7323528967321899E-3</v>
      </c>
      <c r="S867" s="93">
        <f t="shared" si="41"/>
        <v>9.391679879624526E-4</v>
      </c>
    </row>
    <row r="868" spans="1:19" ht="12.75" customHeight="1">
      <c r="A868" s="81">
        <v>44809</v>
      </c>
      <c r="B868" s="53">
        <v>-1.26E-2</v>
      </c>
      <c r="C868" s="53">
        <v>9.0060250465284798E-3</v>
      </c>
      <c r="D868" s="53">
        <v>1.6319380416743599E-2</v>
      </c>
      <c r="E868" s="53">
        <v>4.64E-3</v>
      </c>
      <c r="F868" s="53">
        <v>6.7805804176836997E-3</v>
      </c>
      <c r="G868" s="53">
        <v>-1.28003150846791E-2</v>
      </c>
      <c r="H868" s="87">
        <v>1.42182322389584E-3</v>
      </c>
      <c r="I868" s="53">
        <v>7.8336501353608607E-3</v>
      </c>
      <c r="J868" s="53">
        <v>9.915950514685079E-4</v>
      </c>
      <c r="K868" s="53">
        <v>2.5902497546081998E-4</v>
      </c>
      <c r="L868" s="95">
        <f>IFERROR(B868*'Stock Statistics'!$C$41+C868*'Stock Statistics'!$C$42+D868*'Stock Statistics'!$C$43+E868*'Stock Statistics'!$C$44+F868*'Stock Statistics'!$C$45+G868*'Stock Statistics'!$C$46+H868*'Stock Statistics'!$C$47+I868*'Stock Statistics'!$C$48+J868*'Stock Statistics'!$C$49+K868*'Stock Statistics'!$C$50,"")</f>
        <v>2.1851764182462706E-3</v>
      </c>
      <c r="M868" s="96">
        <v>236.38980000000001</v>
      </c>
      <c r="N868" s="97">
        <v>299.447</v>
      </c>
      <c r="O868" s="93">
        <f t="shared" si="39"/>
        <v>-2.2934734347064278E-3</v>
      </c>
      <c r="P868" s="93">
        <f t="shared" si="40"/>
        <v>5.2530832658010951E-3</v>
      </c>
      <c r="Q868" s="93">
        <f>B868*'Portfolio 2 &amp; 3'!$F$7+C868*'Portfolio 2 &amp; 3'!$F$8+D868*'Portfolio 2 &amp; 3'!$F$9+E868*'Portfolio 2 &amp; 3'!$F$10+F868*'Portfolio 2 &amp; 3'!$F$11+G868*'Portfolio 2 &amp; 3'!$F$12+H868*'Portfolio 2 &amp; 3'!$F$13+I868*'Portfolio 2 &amp; 3'!$F$14+J868*'Portfolio 2 &amp; 3'!$F$15+K868*'Portfolio 2 &amp; 3'!$F$16</f>
        <v>3.6090650673200027E-3</v>
      </c>
      <c r="R868" s="93">
        <f>B868*'Portfolio 2 &amp; 3'!$B$23+C868*'Portfolio 2 &amp; 3'!$B$24+D868*'Portfolio 2 &amp; 3'!$B$25+E868*'Portfolio 2 &amp; 3'!$B$26+F868*'Portfolio 2 &amp; 3'!$B$27+G868*'Portfolio 2 &amp; 3'!$B$28+H868*'Portfolio 2 &amp; 3'!$B$29+I868*'Portfolio 2 &amp; 3'!$B$30+J868*'Portfolio 2 &amp; 3'!$B$31+K868*'Portfolio 2 &amp; 3'!$B$32</f>
        <v>2.0042773290821539E-3</v>
      </c>
      <c r="S868" s="93">
        <f t="shared" si="41"/>
        <v>1.4798049155473336E-3</v>
      </c>
    </row>
    <row r="869" spans="1:19" ht="12.75" customHeight="1">
      <c r="A869" s="82">
        <v>44806</v>
      </c>
      <c r="B869" s="53">
        <v>-2.9999999999999997E-4</v>
      </c>
      <c r="C869" s="53">
        <v>2.18876926052478E-2</v>
      </c>
      <c r="D869" s="53">
        <v>3.68935620734145E-4</v>
      </c>
      <c r="E869" s="53">
        <v>-6.7000000000000002E-4</v>
      </c>
      <c r="F869" s="53">
        <v>-1.0201342281879199E-2</v>
      </c>
      <c r="G869" s="53">
        <v>9.2752086921956706E-3</v>
      </c>
      <c r="H869" s="87">
        <v>-3.8743810939565501E-3</v>
      </c>
      <c r="I869" s="53">
        <v>-7.14857600366003E-3</v>
      </c>
      <c r="J869" s="53">
        <v>-5.4942474759331903E-3</v>
      </c>
      <c r="K869" s="53">
        <v>-2.8276237085372901E-3</v>
      </c>
      <c r="L869" s="95">
        <f>IFERROR(B869*'Stock Statistics'!$C$41+C869*'Stock Statistics'!$C$42+D869*'Stock Statistics'!$C$43+E869*'Stock Statistics'!$C$44+F869*'Stock Statistics'!$C$45+G869*'Stock Statistics'!$C$46+H869*'Stock Statistics'!$C$47+I869*'Stock Statistics'!$C$48+J869*'Stock Statistics'!$C$49+K869*'Stock Statistics'!$C$50,"")</f>
        <v>1.0156663542113529E-4</v>
      </c>
      <c r="M869" s="97">
        <v>236.9332</v>
      </c>
      <c r="N869" s="96">
        <v>297.88220000000001</v>
      </c>
      <c r="O869" s="93">
        <f t="shared" si="39"/>
        <v>2.3598715453099217E-4</v>
      </c>
      <c r="P869" s="93">
        <f t="shared" si="40"/>
        <v>-1.4012843423893528E-2</v>
      </c>
      <c r="Q869" s="93">
        <f>B869*'Portfolio 2 &amp; 3'!$F$7+C869*'Portfolio 2 &amp; 3'!$F$8+D869*'Portfolio 2 &amp; 3'!$F$9+E869*'Portfolio 2 &amp; 3'!$F$10+F869*'Portfolio 2 &amp; 3'!$F$11+G869*'Portfolio 2 &amp; 3'!$F$12+H869*'Portfolio 2 &amp; 3'!$F$13+I869*'Portfolio 2 &amp; 3'!$F$14+J869*'Portfolio 2 &amp; 3'!$F$15+K869*'Portfolio 2 &amp; 3'!$F$16</f>
        <v>-7.0470106935465479E-4</v>
      </c>
      <c r="R869" s="93">
        <f>B869*'Portfolio 2 &amp; 3'!$B$23+C869*'Portfolio 2 &amp; 3'!$B$24+D869*'Portfolio 2 &amp; 3'!$B$25+E869*'Portfolio 2 &amp; 3'!$B$26+F869*'Portfolio 2 &amp; 3'!$B$27+G869*'Portfolio 2 &amp; 3'!$B$28+H869*'Portfolio 2 &amp; 3'!$B$29+I869*'Portfolio 2 &amp; 3'!$B$30+J869*'Portfolio 2 &amp; 3'!$B$31+K869*'Portfolio 2 &amp; 3'!$B$32</f>
        <v>1.1986080608240531E-3</v>
      </c>
      <c r="S869" s="93">
        <f t="shared" si="41"/>
        <v>-6.8884281346812681E-3</v>
      </c>
    </row>
    <row r="870" spans="1:19" ht="12.75" customHeight="1">
      <c r="A870" s="81">
        <v>44805</v>
      </c>
      <c r="B870" s="53">
        <v>-1.5599999999999999E-2</v>
      </c>
      <c r="C870" s="53">
        <v>1.7715373007020498E-2</v>
      </c>
      <c r="D870" s="53">
        <v>-4.8646167966957003E-3</v>
      </c>
      <c r="E870" s="53">
        <v>-9.2899999999999996E-3</v>
      </c>
      <c r="F870" s="53">
        <v>-1.50713907985193E-2</v>
      </c>
      <c r="G870" s="53">
        <v>-8.0830649930997405E-3</v>
      </c>
      <c r="H870" s="87">
        <v>5.25968983126623E-3</v>
      </c>
      <c r="I870" s="53">
        <v>-1.0693069306930701E-2</v>
      </c>
      <c r="J870" s="53">
        <v>6.0946801474062199E-3</v>
      </c>
      <c r="K870" s="53">
        <v>2.08159866777686E-2</v>
      </c>
      <c r="L870" s="95">
        <f>IFERROR(B870*'Stock Statistics'!$C$41+C870*'Stock Statistics'!$C$42+D870*'Stock Statistics'!$C$43+E870*'Stock Statistics'!$C$44+F870*'Stock Statistics'!$C$45+G870*'Stock Statistics'!$C$46+H870*'Stock Statistics'!$C$47+I870*'Stock Statistics'!$C$48+J870*'Stock Statistics'!$C$49+K870*'Stock Statistics'!$C$50,"")</f>
        <v>-1.3716412231783892E-3</v>
      </c>
      <c r="M870" s="96">
        <v>236.87729999999999</v>
      </c>
      <c r="N870" s="97">
        <v>302.1157</v>
      </c>
      <c r="O870" s="93">
        <f t="shared" si="39"/>
        <v>1.368585650755394E-2</v>
      </c>
      <c r="P870" s="93">
        <f t="shared" si="40"/>
        <v>-6.0165609236425555E-3</v>
      </c>
      <c r="Q870" s="93">
        <f>B870*'Portfolio 2 &amp; 3'!$F$7+C870*'Portfolio 2 &amp; 3'!$F$8+D870*'Portfolio 2 &amp; 3'!$F$9+E870*'Portfolio 2 &amp; 3'!$F$10+F870*'Portfolio 2 &amp; 3'!$F$11+G870*'Portfolio 2 &amp; 3'!$F$12+H870*'Portfolio 2 &amp; 3'!$F$13+I870*'Portfolio 2 &amp; 3'!$F$14+J870*'Portfolio 2 &amp; 3'!$F$15+K870*'Portfolio 2 &amp; 3'!$F$16</f>
        <v>-1.6016984504123441E-4</v>
      </c>
      <c r="R870" s="93">
        <f>B870*'Portfolio 2 &amp; 3'!$B$23+C870*'Portfolio 2 &amp; 3'!$B$24+D870*'Portfolio 2 &amp; 3'!$B$25+E870*'Portfolio 2 &amp; 3'!$B$26+F870*'Portfolio 2 &amp; 3'!$B$27+G870*'Portfolio 2 &amp; 3'!$B$28+H870*'Portfolio 2 &amp; 3'!$B$29+I870*'Portfolio 2 &amp; 3'!$B$30+J870*'Portfolio 2 &amp; 3'!$B$31+K870*'Portfolio 2 &amp; 3'!$B$32</f>
        <v>-2.5224701598550951E-3</v>
      </c>
      <c r="S870" s="93">
        <f t="shared" si="41"/>
        <v>3.8346477919556921E-3</v>
      </c>
    </row>
    <row r="871" spans="1:19" ht="12.75" customHeight="1">
      <c r="A871" s="82">
        <v>44803</v>
      </c>
      <c r="B871" s="53">
        <v>-1.4E-3</v>
      </c>
      <c r="C871" s="53">
        <v>4.3988994513732803E-3</v>
      </c>
      <c r="D871" s="53">
        <v>1.33941028741513E-2</v>
      </c>
      <c r="E871" s="53">
        <v>2.1069999999999998E-2</v>
      </c>
      <c r="F871" s="53">
        <v>1.9870181480989898E-3</v>
      </c>
      <c r="G871" s="53">
        <v>1.2509148978641299E-2</v>
      </c>
      <c r="H871" s="87">
        <v>2.3825250047180301E-3</v>
      </c>
      <c r="I871" s="53">
        <v>-7.1897994719990503E-3</v>
      </c>
      <c r="J871" s="53">
        <v>2.1305809384024599E-3</v>
      </c>
      <c r="K871" s="53">
        <v>9.6962223965921801E-3</v>
      </c>
      <c r="L871" s="95">
        <f>IFERROR(B871*'Stock Statistics'!$C$41+C871*'Stock Statistics'!$C$42+D871*'Stock Statistics'!$C$43+E871*'Stock Statistics'!$C$44+F871*'Stock Statistics'!$C$45+G871*'Stock Statistics'!$C$46+H871*'Stock Statistics'!$C$47+I871*'Stock Statistics'!$C$48+J871*'Stock Statistics'!$C$49+K871*'Stock Statistics'!$C$50,"")</f>
        <v>5.8978698319978491E-3</v>
      </c>
      <c r="M871" s="97">
        <v>233.67920000000001</v>
      </c>
      <c r="N871" s="96">
        <v>303.94439999999997</v>
      </c>
      <c r="O871" s="93">
        <f t="shared" si="39"/>
        <v>-3.3314808519820938E-3</v>
      </c>
      <c r="P871" s="93">
        <f t="shared" si="40"/>
        <v>-5.0608635431381721E-4</v>
      </c>
      <c r="Q871" s="93">
        <f>B871*'Portfolio 2 &amp; 3'!$F$7+C871*'Portfolio 2 &amp; 3'!$F$8+D871*'Portfolio 2 &amp; 3'!$F$9+E871*'Portfolio 2 &amp; 3'!$F$10+F871*'Portfolio 2 &amp; 3'!$F$11+G871*'Portfolio 2 &amp; 3'!$F$12+H871*'Portfolio 2 &amp; 3'!$F$13+I871*'Portfolio 2 &amp; 3'!$F$14+J871*'Portfolio 2 &amp; 3'!$F$15+K871*'Portfolio 2 &amp; 3'!$F$16</f>
        <v>5.3921825453061402E-3</v>
      </c>
      <c r="R871" s="93">
        <f>B871*'Portfolio 2 &amp; 3'!$B$23+C871*'Portfolio 2 &amp; 3'!$B$24+D871*'Portfolio 2 &amp; 3'!$B$25+E871*'Portfolio 2 &amp; 3'!$B$26+F871*'Portfolio 2 &amp; 3'!$B$27+G871*'Portfolio 2 &amp; 3'!$B$28+H871*'Portfolio 2 &amp; 3'!$B$29+I871*'Portfolio 2 &amp; 3'!$B$30+J871*'Portfolio 2 &amp; 3'!$B$31+K871*'Portfolio 2 &amp; 3'!$B$32</f>
        <v>1.6386883331114513E-3</v>
      </c>
      <c r="S871" s="93">
        <f t="shared" si="41"/>
        <v>-1.9187836031479555E-3</v>
      </c>
    </row>
    <row r="872" spans="1:19" ht="12.75" customHeight="1">
      <c r="A872" s="81">
        <v>44802</v>
      </c>
      <c r="B872" s="53">
        <v>1.0200000000000001E-2</v>
      </c>
      <c r="C872" s="53">
        <v>1.9141326796178401E-2</v>
      </c>
      <c r="D872" s="53">
        <v>-3.70679269761842E-3</v>
      </c>
      <c r="E872" s="53">
        <v>-1.4499999999999999E-3</v>
      </c>
      <c r="F872" s="53">
        <v>-1.3331590641746299E-2</v>
      </c>
      <c r="G872" s="53">
        <v>-1.1737629459148399E-2</v>
      </c>
      <c r="H872" s="87">
        <v>5.92038915584037E-3</v>
      </c>
      <c r="I872" s="53">
        <v>2.7599414216514799E-3</v>
      </c>
      <c r="J872" s="53">
        <v>4.3271516880645199E-3</v>
      </c>
      <c r="K872" s="53">
        <v>-6.2796752948383102E-3</v>
      </c>
      <c r="L872" s="95">
        <f>IFERROR(B872*'Stock Statistics'!$C$41+C872*'Stock Statistics'!$C$42+D872*'Stock Statistics'!$C$43+E872*'Stock Statistics'!$C$44+F872*'Stock Statistics'!$C$45+G872*'Stock Statistics'!$C$46+H872*'Stock Statistics'!$C$47+I872*'Stock Statistics'!$C$48+J872*'Stock Statistics'!$C$49+K872*'Stock Statistics'!$C$50,"")</f>
        <v>5.8431209683833425E-4</v>
      </c>
      <c r="M872" s="96">
        <v>234.46029999999999</v>
      </c>
      <c r="N872" s="97">
        <v>304.09829999999999</v>
      </c>
      <c r="O872" s="93">
        <f t="shared" si="39"/>
        <v>4.5401420671886683E-4</v>
      </c>
      <c r="P872" s="93">
        <f t="shared" si="40"/>
        <v>5.4255307248229911E-4</v>
      </c>
      <c r="Q872" s="93">
        <f>B872*'Portfolio 2 &amp; 3'!$F$7+C872*'Portfolio 2 &amp; 3'!$F$8+D872*'Portfolio 2 &amp; 3'!$F$9+E872*'Portfolio 2 &amp; 3'!$F$10+F872*'Portfolio 2 &amp; 3'!$F$11+G872*'Portfolio 2 &amp; 3'!$F$12+H872*'Portfolio 2 &amp; 3'!$F$13+I872*'Portfolio 2 &amp; 3'!$F$14+J872*'Portfolio 2 &amp; 3'!$F$15+K872*'Portfolio 2 &amp; 3'!$F$16</f>
        <v>1.2602523160041676E-3</v>
      </c>
      <c r="R872" s="93">
        <f>B872*'Portfolio 2 &amp; 3'!$B$23+C872*'Portfolio 2 &amp; 3'!$B$24+D872*'Portfolio 2 &amp; 3'!$B$25+E872*'Portfolio 2 &amp; 3'!$B$26+F872*'Portfolio 2 &amp; 3'!$B$27+G872*'Portfolio 2 &amp; 3'!$B$28+H872*'Portfolio 2 &amp; 3'!$B$29+I872*'Portfolio 2 &amp; 3'!$B$30+J872*'Portfolio 2 &amp; 3'!$B$31+K872*'Portfolio 2 &amp; 3'!$B$32</f>
        <v>2.1002255740126836E-3</v>
      </c>
      <c r="S872" s="93">
        <f t="shared" si="41"/>
        <v>4.9828363960058297E-4</v>
      </c>
    </row>
    <row r="873" spans="1:19" ht="12.75" customHeight="1">
      <c r="A873" s="82">
        <v>44799</v>
      </c>
      <c r="B873" s="53">
        <v>-1.3100000000000001E-2</v>
      </c>
      <c r="C873" s="53">
        <v>6.0813892595907902E-3</v>
      </c>
      <c r="D873" s="53">
        <v>8.6932136848008098E-3</v>
      </c>
      <c r="E873" s="53">
        <v>-8.4000000000000003E-4</v>
      </c>
      <c r="F873" s="53">
        <v>-6.2345759189504904E-3</v>
      </c>
      <c r="G873" s="53">
        <v>5.9216370036518895E-4</v>
      </c>
      <c r="H873" s="87">
        <v>5.79959188057133E-3</v>
      </c>
      <c r="I873" s="53">
        <v>-2.5842696629212502E-3</v>
      </c>
      <c r="J873" s="53">
        <v>1.0232021905173701E-2</v>
      </c>
      <c r="K873" s="53">
        <v>1.52001115604517E-3</v>
      </c>
      <c r="L873" s="95">
        <f>IFERROR(B873*'Stock Statistics'!$C$41+C873*'Stock Statistics'!$C$42+D873*'Stock Statistics'!$C$43+E873*'Stock Statistics'!$C$44+F873*'Stock Statistics'!$C$45+G873*'Stock Statistics'!$C$46+H873*'Stock Statistics'!$C$47+I873*'Stock Statistics'!$C$48+J873*'Stock Statistics'!$C$49+K873*'Stock Statistics'!$C$50,"")</f>
        <v>1.015954600467525E-3</v>
      </c>
      <c r="M873" s="97">
        <v>234.35390000000001</v>
      </c>
      <c r="N873" s="96">
        <v>303.93340000000001</v>
      </c>
      <c r="O873" s="93">
        <f t="shared" si="39"/>
        <v>-1.6350164460160466E-3</v>
      </c>
      <c r="P873" s="93">
        <f t="shared" si="40"/>
        <v>5.6640557789382484E-3</v>
      </c>
      <c r="Q873" s="93">
        <f>B873*'Portfolio 2 &amp; 3'!$F$7+C873*'Portfolio 2 &amp; 3'!$F$8+D873*'Portfolio 2 &amp; 3'!$F$9+E873*'Portfolio 2 &amp; 3'!$F$10+F873*'Portfolio 2 &amp; 3'!$F$11+G873*'Portfolio 2 &amp; 3'!$F$12+H873*'Portfolio 2 &amp; 3'!$F$13+I873*'Portfolio 2 &amp; 3'!$F$14+J873*'Portfolio 2 &amp; 3'!$F$15+K873*'Portfolio 2 &amp; 3'!$F$16</f>
        <v>2.542136291802929E-3</v>
      </c>
      <c r="R873" s="93">
        <f>B873*'Portfolio 2 &amp; 3'!$B$23+C873*'Portfolio 2 &amp; 3'!$B$24+D873*'Portfolio 2 &amp; 3'!$B$25+E873*'Portfolio 2 &amp; 3'!$B$26+F873*'Portfolio 2 &amp; 3'!$B$27+G873*'Portfolio 2 &amp; 3'!$B$28+H873*'Portfolio 2 &amp; 3'!$B$29+I873*'Portfolio 2 &amp; 3'!$B$30+J873*'Portfolio 2 &amp; 3'!$B$31+K873*'Portfolio 2 &amp; 3'!$B$32</f>
        <v>-1.4074045416430979E-3</v>
      </c>
      <c r="S873" s="93">
        <f t="shared" si="41"/>
        <v>2.0145196664611009E-3</v>
      </c>
    </row>
    <row r="874" spans="1:19" ht="12.75" customHeight="1">
      <c r="A874" s="81">
        <v>44798</v>
      </c>
      <c r="B874" s="53">
        <v>-1.34E-2</v>
      </c>
      <c r="C874" s="53">
        <v>-4.9753752542316398E-3</v>
      </c>
      <c r="D874" s="53">
        <v>-7.6987292458955397E-3</v>
      </c>
      <c r="E874" s="53">
        <v>-1.2019999999999999E-2</v>
      </c>
      <c r="F874" s="53">
        <v>-1.5850696663684001E-2</v>
      </c>
      <c r="G874" s="53">
        <v>-1.00954179828704E-2</v>
      </c>
      <c r="H874" s="87">
        <v>-2.8914114371386699E-3</v>
      </c>
      <c r="I874" s="53">
        <v>-4.8082299004808E-3</v>
      </c>
      <c r="J874" s="53">
        <v>1.48198703261344E-2</v>
      </c>
      <c r="K874" s="53">
        <v>-2.0179528216547299E-3</v>
      </c>
      <c r="L874" s="95">
        <f>IFERROR(B874*'Stock Statistics'!$C$41+C874*'Stock Statistics'!$C$42+D874*'Stock Statistics'!$C$43+E874*'Stock Statistics'!$C$44+F874*'Stock Statistics'!$C$45+G874*'Stock Statistics'!$C$46+H874*'Stock Statistics'!$C$47+I874*'Stock Statistics'!$C$48+J874*'Stock Statistics'!$C$49+K874*'Stock Statistics'!$C$50,"")</f>
        <v>-5.8937942979821372E-3</v>
      </c>
      <c r="M874" s="96">
        <v>234.73769999999999</v>
      </c>
      <c r="N874" s="97">
        <v>302.22160000000002</v>
      </c>
      <c r="O874" s="93">
        <f t="shared" si="39"/>
        <v>4.1605868455127926E-3</v>
      </c>
      <c r="P874" s="93">
        <f t="shared" si="40"/>
        <v>-5.704126329060033E-3</v>
      </c>
      <c r="Q874" s="93">
        <f>B874*'Portfolio 2 &amp; 3'!$F$7+C874*'Portfolio 2 &amp; 3'!$F$8+D874*'Portfolio 2 &amp; 3'!$F$9+E874*'Portfolio 2 &amp; 3'!$F$10+F874*'Portfolio 2 &amp; 3'!$F$11+G874*'Portfolio 2 &amp; 3'!$F$12+H874*'Portfolio 2 &amp; 3'!$F$13+I874*'Portfolio 2 &amp; 3'!$F$14+J874*'Portfolio 2 &amp; 3'!$F$15+K874*'Portfolio 2 &amp; 3'!$F$16</f>
        <v>-4.3447180537553396E-3</v>
      </c>
      <c r="R874" s="93">
        <f>B874*'Portfolio 2 &amp; 3'!$B$23+C874*'Portfolio 2 &amp; 3'!$B$24+D874*'Portfolio 2 &amp; 3'!$B$25+E874*'Portfolio 2 &amp; 3'!$B$26+F874*'Portfolio 2 &amp; 3'!$B$27+G874*'Portfolio 2 &amp; 3'!$B$28+H874*'Portfolio 2 &amp; 3'!$B$29+I874*'Portfolio 2 &amp; 3'!$B$30+J874*'Portfolio 2 &amp; 3'!$B$31+K874*'Portfolio 2 &amp; 3'!$B$32</f>
        <v>-7.3860324767866768E-3</v>
      </c>
      <c r="S874" s="93">
        <f t="shared" si="41"/>
        <v>-7.7176974177362023E-4</v>
      </c>
    </row>
    <row r="875" spans="1:19" ht="12.75" customHeight="1">
      <c r="A875" s="82">
        <v>44797</v>
      </c>
      <c r="B875" s="53">
        <v>2.3E-2</v>
      </c>
      <c r="C875" s="53">
        <v>2.1602129303683399E-2</v>
      </c>
      <c r="D875" s="53">
        <v>-1.16428309497617E-2</v>
      </c>
      <c r="E875" s="53">
        <v>-7.9600000000000001E-3</v>
      </c>
      <c r="F875" s="53">
        <v>1.9150599270453299E-2</v>
      </c>
      <c r="G875" s="53">
        <v>-9.8029731385638197E-3</v>
      </c>
      <c r="H875" s="87">
        <v>-1.0117666458581099E-2</v>
      </c>
      <c r="I875" s="53">
        <v>6.1538461538446199E-4</v>
      </c>
      <c r="J875" s="53">
        <v>9.8956282000788303E-3</v>
      </c>
      <c r="K875" s="53">
        <v>-1.5007712296597499E-3</v>
      </c>
      <c r="L875" s="95">
        <f>IFERROR(B875*'Stock Statistics'!$C$41+C875*'Stock Statistics'!$C$42+D875*'Stock Statistics'!$C$43+E875*'Stock Statistics'!$C$44+F875*'Stock Statistics'!$C$45+G875*'Stock Statistics'!$C$46+H875*'Stock Statistics'!$C$47+I875*'Stock Statistics'!$C$48+J875*'Stock Statistics'!$C$49+K875*'Stock Statistics'!$C$50,"")</f>
        <v>3.3239499613033621E-3</v>
      </c>
      <c r="M875" s="97">
        <v>233.76509999999999</v>
      </c>
      <c r="N875" s="96">
        <v>303.9554</v>
      </c>
      <c r="O875" s="93">
        <f t="shared" si="39"/>
        <v>6.2306945319683393E-3</v>
      </c>
      <c r="P875" s="93">
        <f t="shared" si="40"/>
        <v>4.9540926478806036E-3</v>
      </c>
      <c r="Q875" s="93">
        <f>B875*'Portfolio 2 &amp; 3'!$F$7+C875*'Portfolio 2 &amp; 3'!$F$8+D875*'Portfolio 2 &amp; 3'!$F$9+E875*'Portfolio 2 &amp; 3'!$F$10+F875*'Portfolio 2 &amp; 3'!$F$11+G875*'Portfolio 2 &amp; 3'!$F$12+H875*'Portfolio 2 &amp; 3'!$F$13+I875*'Portfolio 2 &amp; 3'!$F$14+J875*'Portfolio 2 &amp; 3'!$F$15+K875*'Portfolio 2 &amp; 3'!$F$16</f>
        <v>2.652900959786768E-3</v>
      </c>
      <c r="R875" s="93">
        <f>B875*'Portfolio 2 &amp; 3'!$B$23+C875*'Portfolio 2 &amp; 3'!$B$24+D875*'Portfolio 2 &amp; 3'!$B$25+E875*'Portfolio 2 &amp; 3'!$B$26+F875*'Portfolio 2 &amp; 3'!$B$27+G875*'Portfolio 2 &amp; 3'!$B$28+H875*'Portfolio 2 &amp; 3'!$B$29+I875*'Portfolio 2 &amp; 3'!$B$30+J875*'Portfolio 2 &amp; 3'!$B$31+K875*'Portfolio 2 &amp; 3'!$B$32</f>
        <v>9.0892958559657313E-3</v>
      </c>
      <c r="S875" s="93">
        <f t="shared" si="41"/>
        <v>5.5923935899244714E-3</v>
      </c>
    </row>
    <row r="876" spans="1:19" ht="12.75" customHeight="1">
      <c r="A876" s="81">
        <v>44796</v>
      </c>
      <c r="B876" s="53">
        <v>3.3E-3</v>
      </c>
      <c r="C876" s="53">
        <v>5.8418240236424201E-4</v>
      </c>
      <c r="D876" s="53">
        <v>1.05614230127848E-2</v>
      </c>
      <c r="E876" s="53">
        <v>6.3200000000000001E-3</v>
      </c>
      <c r="F876" s="53">
        <v>1.43509458577951E-3</v>
      </c>
      <c r="G876" s="53">
        <v>5.9035323883356297E-3</v>
      </c>
      <c r="H876" s="87">
        <v>8.2894908732469297E-3</v>
      </c>
      <c r="I876" s="53">
        <v>6.7586595325259697E-3</v>
      </c>
      <c r="J876" s="53">
        <v>-7.2336265884652704E-3</v>
      </c>
      <c r="K876" s="53">
        <v>-2.9173149588790403E-4</v>
      </c>
      <c r="L876" s="95">
        <f>IFERROR(B876*'Stock Statistics'!$C$41+C876*'Stock Statistics'!$C$42+D876*'Stock Statistics'!$C$43+E876*'Stock Statistics'!$C$44+F876*'Stock Statistics'!$C$45+G876*'Stock Statistics'!$C$46+H876*'Stock Statistics'!$C$47+I876*'Stock Statistics'!$C$48+J876*'Stock Statistics'!$C$49+K876*'Stock Statistics'!$C$50,"")</f>
        <v>3.5627024710683914E-3</v>
      </c>
      <c r="M876" s="96">
        <v>232.3176</v>
      </c>
      <c r="N876" s="97">
        <v>302.45699999999999</v>
      </c>
      <c r="O876" s="93">
        <f t="shared" si="39"/>
        <v>-1.1829079373505413E-2</v>
      </c>
      <c r="P876" s="93">
        <f t="shared" si="40"/>
        <v>-2.4625534861655307E-4</v>
      </c>
      <c r="Q876" s="93">
        <f>B876*'Portfolio 2 &amp; 3'!$F$7+C876*'Portfolio 2 &amp; 3'!$F$8+D876*'Portfolio 2 &amp; 3'!$F$9+E876*'Portfolio 2 &amp; 3'!$F$10+F876*'Portfolio 2 &amp; 3'!$F$11+G876*'Portfolio 2 &amp; 3'!$F$12+H876*'Portfolio 2 &amp; 3'!$F$13+I876*'Portfolio 2 &amp; 3'!$F$14+J876*'Portfolio 2 &amp; 3'!$F$15+K876*'Portfolio 2 &amp; 3'!$F$16</f>
        <v>3.4691185674890139E-3</v>
      </c>
      <c r="R876" s="93">
        <f>B876*'Portfolio 2 &amp; 3'!$B$23+C876*'Portfolio 2 &amp; 3'!$B$24+D876*'Portfolio 2 &amp; 3'!$B$25+E876*'Portfolio 2 &amp; 3'!$B$26+F876*'Portfolio 2 &amp; 3'!$B$27+G876*'Portfolio 2 &amp; 3'!$B$28+H876*'Portfolio 2 &amp; 3'!$B$29+I876*'Portfolio 2 &amp; 3'!$B$30+J876*'Portfolio 2 &amp; 3'!$B$31+K876*'Portfolio 2 &amp; 3'!$B$32</f>
        <v>3.2127704355808689E-3</v>
      </c>
      <c r="S876" s="93">
        <f t="shared" si="41"/>
        <v>-6.0376673610609832E-3</v>
      </c>
    </row>
    <row r="877" spans="1:19" ht="12.75" customHeight="1">
      <c r="A877" s="82">
        <v>44795</v>
      </c>
      <c r="B877" s="53">
        <v>-1.23E-2</v>
      </c>
      <c r="C877" s="53">
        <v>-3.5952132303846999E-3</v>
      </c>
      <c r="D877" s="53">
        <v>-1.84595798854232E-2</v>
      </c>
      <c r="E877" s="53">
        <v>3.4299999999999997E-2</v>
      </c>
      <c r="F877" s="53">
        <v>-1.3005408189544199E-2</v>
      </c>
      <c r="G877" s="53">
        <v>-4.1025972347847901E-3</v>
      </c>
      <c r="H877" s="87">
        <v>-3.1136788767078798E-3</v>
      </c>
      <c r="I877" s="53">
        <v>3.5609314944606801E-3</v>
      </c>
      <c r="J877" s="53">
        <v>-1.4877943088256599E-2</v>
      </c>
      <c r="K877" s="53">
        <v>-7.62369549333442E-3</v>
      </c>
      <c r="L877" s="95">
        <f>IFERROR(B877*'Stock Statistics'!$C$41+C877*'Stock Statistics'!$C$42+D877*'Stock Statistics'!$C$43+E877*'Stock Statistics'!$C$44+F877*'Stock Statistics'!$C$45+G877*'Stock Statistics'!$C$46+H877*'Stock Statistics'!$C$47+I877*'Stock Statistics'!$C$48+J877*'Stock Statistics'!$C$49+K877*'Stock Statistics'!$C$50,"")</f>
        <v>-3.9217184503975112E-3</v>
      </c>
      <c r="M877" s="97">
        <v>235.0986</v>
      </c>
      <c r="N877" s="96">
        <v>302.53149999999999</v>
      </c>
      <c r="O877" s="93">
        <f t="shared" si="39"/>
        <v>-9.4279760104020172E-3</v>
      </c>
      <c r="P877" s="93">
        <f t="shared" si="40"/>
        <v>2.6699729787862392E-3</v>
      </c>
      <c r="Q877" s="93">
        <f>B877*'Portfolio 2 &amp; 3'!$F$7+C877*'Portfolio 2 &amp; 3'!$F$8+D877*'Portfolio 2 &amp; 3'!$F$9+E877*'Portfolio 2 &amp; 3'!$F$10+F877*'Portfolio 2 &amp; 3'!$F$11+G877*'Portfolio 2 &amp; 3'!$F$12+H877*'Portfolio 2 &amp; 3'!$F$13+I877*'Portfolio 2 &amp; 3'!$F$14+J877*'Portfolio 2 &amp; 3'!$F$15+K877*'Portfolio 2 &amp; 3'!$F$16</f>
        <v>-5.6711784713996917E-3</v>
      </c>
      <c r="R877" s="93">
        <f>B877*'Portfolio 2 &amp; 3'!$B$23+C877*'Portfolio 2 &amp; 3'!$B$24+D877*'Portfolio 2 &amp; 3'!$B$25+E877*'Portfolio 2 &amp; 3'!$B$26+F877*'Portfolio 2 &amp; 3'!$B$27+G877*'Portfolio 2 &amp; 3'!$B$28+H877*'Portfolio 2 &amp; 3'!$B$29+I877*'Portfolio 2 &amp; 3'!$B$30+J877*'Portfolio 2 &amp; 3'!$B$31+K877*'Portfolio 2 &amp; 3'!$B$32</f>
        <v>-5.3962295212212031E-3</v>
      </c>
      <c r="S877" s="93">
        <f t="shared" si="41"/>
        <v>-3.379001515807889E-3</v>
      </c>
    </row>
    <row r="878" spans="1:19" ht="12.75" customHeight="1">
      <c r="A878" s="81">
        <v>44792</v>
      </c>
      <c r="B878" s="53">
        <v>-9.9000000000000008E-3</v>
      </c>
      <c r="C878" s="53">
        <v>-5.6686640337735303E-3</v>
      </c>
      <c r="D878" s="53">
        <v>-9.1900171186594104E-3</v>
      </c>
      <c r="E878" s="53">
        <v>-2.8719999999999999E-2</v>
      </c>
      <c r="F878" s="53">
        <v>-1.4592056845578001E-2</v>
      </c>
      <c r="G878" s="53">
        <v>1.0049595405899199E-2</v>
      </c>
      <c r="H878" s="87">
        <v>-3.4451025271949902E-3</v>
      </c>
      <c r="I878" s="53">
        <v>1.73078028865505E-2</v>
      </c>
      <c r="J878" s="53">
        <v>2.0790327337068901E-2</v>
      </c>
      <c r="K878" s="53">
        <v>1.2393752878616699E-2</v>
      </c>
      <c r="L878" s="95">
        <f>IFERROR(B878*'Stock Statistics'!$C$41+C878*'Stock Statistics'!$C$42+D878*'Stock Statistics'!$C$43+E878*'Stock Statistics'!$C$44+F878*'Stock Statistics'!$C$45+G878*'Stock Statistics'!$C$46+H878*'Stock Statistics'!$C$47+I878*'Stock Statistics'!$C$48+J878*'Stock Statistics'!$C$49+K878*'Stock Statistics'!$C$50,"")</f>
        <v>-1.0974362017070638E-3</v>
      </c>
      <c r="M878" s="96">
        <v>237.33619999999999</v>
      </c>
      <c r="N878" s="97">
        <v>301.72590000000002</v>
      </c>
      <c r="O878" s="93">
        <f t="shared" si="39"/>
        <v>-4.1000649145473966E-3</v>
      </c>
      <c r="P878" s="93">
        <f t="shared" si="40"/>
        <v>-1.5912944381131222E-3</v>
      </c>
      <c r="Q878" s="93">
        <f>B878*'Portfolio 2 &amp; 3'!$F$7+C878*'Portfolio 2 &amp; 3'!$F$8+D878*'Portfolio 2 &amp; 3'!$F$9+E878*'Portfolio 2 &amp; 3'!$F$10+F878*'Portfolio 2 &amp; 3'!$F$11+G878*'Portfolio 2 &amp; 3'!$F$12+H878*'Portfolio 2 &amp; 3'!$F$13+I878*'Portfolio 2 &amp; 3'!$F$14+J878*'Portfolio 2 &amp; 3'!$F$15+K878*'Portfolio 2 &amp; 3'!$F$16</f>
        <v>-5.7369389808184176E-4</v>
      </c>
      <c r="R878" s="93">
        <f>B878*'Portfolio 2 &amp; 3'!$B$23+C878*'Portfolio 2 &amp; 3'!$B$24+D878*'Portfolio 2 &amp; 3'!$B$25+E878*'Portfolio 2 &amp; 3'!$B$26+F878*'Portfolio 2 &amp; 3'!$B$27+G878*'Portfolio 2 &amp; 3'!$B$28+H878*'Portfolio 2 &amp; 3'!$B$29+I878*'Portfolio 2 &amp; 3'!$B$30+J878*'Portfolio 2 &amp; 3'!$B$31+K878*'Portfolio 2 &amp; 3'!$B$32</f>
        <v>2.2158976795144851E-3</v>
      </c>
      <c r="S878" s="93">
        <f t="shared" si="41"/>
        <v>-2.8456796763302594E-3</v>
      </c>
    </row>
    <row r="879" spans="1:19" ht="12.75" customHeight="1">
      <c r="A879" s="82">
        <v>44791</v>
      </c>
      <c r="B879" s="53">
        <v>-1.0800000000000001E-2</v>
      </c>
      <c r="C879" s="53">
        <v>1.0906612133605401E-3</v>
      </c>
      <c r="D879" s="53">
        <v>-1.1401086666072899E-2</v>
      </c>
      <c r="E879" s="53">
        <v>-2.3640000000000001E-2</v>
      </c>
      <c r="F879" s="53">
        <v>-1.45054395398274E-2</v>
      </c>
      <c r="G879" s="53">
        <v>-1.3963065439804301E-2</v>
      </c>
      <c r="H879" s="87">
        <v>4.7059660269555001E-3</v>
      </c>
      <c r="I879" s="53">
        <v>-2.6380684750818601E-3</v>
      </c>
      <c r="J879" s="53">
        <v>-3.4286833855798901E-3</v>
      </c>
      <c r="K879" s="53">
        <v>-1.4076655052265301E-3</v>
      </c>
      <c r="L879" s="95">
        <f>IFERROR(B879*'Stock Statistics'!$C$41+C879*'Stock Statistics'!$C$42+D879*'Stock Statistics'!$C$43+E879*'Stock Statistics'!$C$44+F879*'Stock Statistics'!$C$45+G879*'Stock Statistics'!$C$46+H879*'Stock Statistics'!$C$47+I879*'Stock Statistics'!$C$48+J879*'Stock Statistics'!$C$49+K879*'Stock Statistics'!$C$50,"")</f>
        <v>-7.5987381771276856E-3</v>
      </c>
      <c r="M879" s="97">
        <v>238.3133</v>
      </c>
      <c r="N879" s="96">
        <v>302.20679999999999</v>
      </c>
      <c r="O879" s="93">
        <f t="shared" si="39"/>
        <v>-3.0292330823544766E-3</v>
      </c>
      <c r="P879" s="93">
        <f t="shared" si="40"/>
        <v>1.8144942574817691E-2</v>
      </c>
      <c r="Q879" s="93">
        <f>B879*'Portfolio 2 &amp; 3'!$F$7+C879*'Portfolio 2 &amp; 3'!$F$8+D879*'Portfolio 2 &amp; 3'!$F$9+E879*'Portfolio 2 &amp; 3'!$F$10+F879*'Portfolio 2 &amp; 3'!$F$11+G879*'Portfolio 2 &amp; 3'!$F$12+H879*'Portfolio 2 &amp; 3'!$F$13+I879*'Portfolio 2 &amp; 3'!$F$14+J879*'Portfolio 2 &amp; 3'!$F$15+K879*'Portfolio 2 &amp; 3'!$F$16</f>
        <v>-6.1731716189112086E-3</v>
      </c>
      <c r="R879" s="93">
        <f>B879*'Portfolio 2 &amp; 3'!$B$23+C879*'Portfolio 2 &amp; 3'!$B$24+D879*'Portfolio 2 &amp; 3'!$B$25+E879*'Portfolio 2 &amp; 3'!$B$26+F879*'Portfolio 2 &amp; 3'!$B$27+G879*'Portfolio 2 &amp; 3'!$B$28+H879*'Portfolio 2 &amp; 3'!$B$29+I879*'Portfolio 2 &amp; 3'!$B$30+J879*'Portfolio 2 &amp; 3'!$B$31+K879*'Portfolio 2 &amp; 3'!$B$32</f>
        <v>-5.9003247040491039E-3</v>
      </c>
      <c r="S879" s="93">
        <f t="shared" si="41"/>
        <v>7.557854746231607E-3</v>
      </c>
    </row>
    <row r="880" spans="1:19" ht="12.75" customHeight="1">
      <c r="A880" s="81">
        <v>44790</v>
      </c>
      <c r="B880" s="53">
        <v>7.7000000000000002E-3</v>
      </c>
      <c r="C880" s="53">
        <v>1.02259944779748E-4</v>
      </c>
      <c r="D880" s="53">
        <v>3.3961926892482901E-3</v>
      </c>
      <c r="E880" s="53">
        <v>-2.9229999999999999E-2</v>
      </c>
      <c r="F880" s="53">
        <v>3.2618241124076101E-3</v>
      </c>
      <c r="G880" s="53">
        <v>1.35655122937455E-2</v>
      </c>
      <c r="H880" s="87">
        <v>-1.68041371312244E-3</v>
      </c>
      <c r="I880" s="53">
        <v>-2.3738872403560801E-2</v>
      </c>
      <c r="J880" s="53">
        <v>-4.8257372654155802E-3</v>
      </c>
      <c r="K880" s="53">
        <v>1.4607520115389501E-2</v>
      </c>
      <c r="L880" s="95">
        <f>IFERROR(B880*'Stock Statistics'!$C$41+C880*'Stock Statistics'!$C$42+D880*'Stock Statistics'!$C$43+E880*'Stock Statistics'!$C$44+F880*'Stock Statistics'!$C$45+G880*'Stock Statistics'!$C$46+H880*'Stock Statistics'!$C$47+I880*'Stock Statistics'!$C$48+J880*'Stock Statistics'!$C$49+K880*'Stock Statistics'!$C$50,"")</f>
        <v>-1.6841714226528174E-3</v>
      </c>
      <c r="M880" s="96">
        <v>239.03739999999999</v>
      </c>
      <c r="N880" s="97">
        <v>296.82100000000003</v>
      </c>
      <c r="O880" s="93">
        <f t="shared" si="39"/>
        <v>1.5076409705669702E-2</v>
      </c>
      <c r="P880" s="93">
        <f t="shared" si="40"/>
        <v>-7.7545449348749296E-3</v>
      </c>
      <c r="Q880" s="93">
        <f>B880*'Portfolio 2 &amp; 3'!$F$7+C880*'Portfolio 2 &amp; 3'!$F$8+D880*'Portfolio 2 &amp; 3'!$F$9+E880*'Portfolio 2 &amp; 3'!$F$10+F880*'Portfolio 2 &amp; 3'!$F$11+G880*'Portfolio 2 &amp; 3'!$F$12+H880*'Portfolio 2 &amp; 3'!$F$13+I880*'Portfolio 2 &amp; 3'!$F$14+J880*'Portfolio 2 &amp; 3'!$F$15+K880*'Portfolio 2 &amp; 3'!$F$16</f>
        <v>-1.9139533208453964E-3</v>
      </c>
      <c r="R880" s="93">
        <f>B880*'Portfolio 2 &amp; 3'!$B$23+C880*'Portfolio 2 &amp; 3'!$B$24+D880*'Portfolio 2 &amp; 3'!$B$25+E880*'Portfolio 2 &amp; 3'!$B$26+F880*'Portfolio 2 &amp; 3'!$B$27+G880*'Portfolio 2 &amp; 3'!$B$28+H880*'Portfolio 2 &amp; 3'!$B$29+I880*'Portfolio 2 &amp; 3'!$B$30+J880*'Portfolio 2 &amp; 3'!$B$31+K880*'Portfolio 2 &amp; 3'!$B$32</f>
        <v>-1.8421393314930685E-3</v>
      </c>
      <c r="S880" s="93">
        <f t="shared" si="41"/>
        <v>3.6609323853973863E-3</v>
      </c>
    </row>
    <row r="881" spans="1:19" ht="12.75" customHeight="1">
      <c r="A881" s="82">
        <v>44789</v>
      </c>
      <c r="B881" s="53">
        <v>1.47E-2</v>
      </c>
      <c r="C881" s="53">
        <v>-7.6636182496292503E-4</v>
      </c>
      <c r="D881" s="53">
        <v>1.39555958314455E-2</v>
      </c>
      <c r="E881" s="53">
        <v>3.0300000000000001E-2</v>
      </c>
      <c r="F881" s="53">
        <v>3.0244280728964699E-2</v>
      </c>
      <c r="G881" s="53">
        <v>4.2901588341246501E-3</v>
      </c>
      <c r="H881" s="87">
        <v>9.1235863814949098E-3</v>
      </c>
      <c r="I881" s="53">
        <v>1.5695194768268399E-2</v>
      </c>
      <c r="J881" s="53">
        <v>-1.1182339615366001E-2</v>
      </c>
      <c r="K881" s="53">
        <v>1.12107302704017E-2</v>
      </c>
      <c r="L881" s="95">
        <f>IFERROR(B881*'Stock Statistics'!$C$41+C881*'Stock Statistics'!$C$42+D881*'Stock Statistics'!$C$43+E881*'Stock Statistics'!$C$44+F881*'Stock Statistics'!$C$45+G881*'Stock Statistics'!$C$46+H881*'Stock Statistics'!$C$47+I881*'Stock Statistics'!$C$48+J881*'Stock Statistics'!$C$49+K881*'Stock Statistics'!$C$50,"")</f>
        <v>1.1757084537437094E-2</v>
      </c>
      <c r="M881" s="97">
        <v>235.4871</v>
      </c>
      <c r="N881" s="96">
        <v>299.14069999999998</v>
      </c>
      <c r="O881" s="93">
        <f t="shared" si="39"/>
        <v>-6.8616754549813974E-3</v>
      </c>
      <c r="P881" s="93">
        <f t="shared" si="40"/>
        <v>3.2537083246086951E-4</v>
      </c>
      <c r="Q881" s="93">
        <f>B881*'Portfolio 2 &amp; 3'!$F$7+C881*'Portfolio 2 &amp; 3'!$F$8+D881*'Portfolio 2 &amp; 3'!$F$9+E881*'Portfolio 2 &amp; 3'!$F$10+F881*'Portfolio 2 &amp; 3'!$F$11+G881*'Portfolio 2 &amp; 3'!$F$12+H881*'Portfolio 2 &amp; 3'!$F$13+I881*'Portfolio 2 &amp; 3'!$F$14+J881*'Portfolio 2 &amp; 3'!$F$15+K881*'Portfolio 2 &amp; 3'!$F$16</f>
        <v>1.0401566198754391E-2</v>
      </c>
      <c r="R881" s="93">
        <f>B881*'Portfolio 2 &amp; 3'!$B$23+C881*'Portfolio 2 &amp; 3'!$B$24+D881*'Portfolio 2 &amp; 3'!$B$25+E881*'Portfolio 2 &amp; 3'!$B$26+F881*'Portfolio 2 &amp; 3'!$B$27+G881*'Portfolio 2 &amp; 3'!$B$28+H881*'Portfolio 2 &amp; 3'!$B$29+I881*'Portfolio 2 &amp; 3'!$B$30+J881*'Portfolio 2 &amp; 3'!$B$31+K881*'Portfolio 2 &amp; 3'!$B$32</f>
        <v>1.2011127986912696E-2</v>
      </c>
      <c r="S881" s="93">
        <f t="shared" si="41"/>
        <v>-3.268152311260264E-3</v>
      </c>
    </row>
    <row r="882" spans="1:19" ht="12.75" customHeight="1">
      <c r="A882" s="81">
        <v>44785</v>
      </c>
      <c r="B882" s="53">
        <v>-6.6E-3</v>
      </c>
      <c r="C882" s="53">
        <v>4.1040373467398101E-3</v>
      </c>
      <c r="D882" s="53">
        <v>-3.0827331810995801E-2</v>
      </c>
      <c r="E882" s="53">
        <v>-1.6100000000000001E-3</v>
      </c>
      <c r="F882" s="53">
        <v>1.3492271417343601E-2</v>
      </c>
      <c r="G882" s="53">
        <v>-1.0371090584994301E-2</v>
      </c>
      <c r="H882" s="87">
        <v>-4.0556612749762496E-3</v>
      </c>
      <c r="I882" s="53">
        <v>-1.02255297392484E-3</v>
      </c>
      <c r="J882" s="53">
        <v>-3.1710949887091599E-3</v>
      </c>
      <c r="K882" s="53">
        <v>-1.00925742434108E-2</v>
      </c>
      <c r="L882" s="95">
        <f>IFERROR(B882*'Stock Statistics'!$C$41+C882*'Stock Statistics'!$C$42+D882*'Stock Statistics'!$C$43+E882*'Stock Statistics'!$C$44+F882*'Stock Statistics'!$C$45+G882*'Stock Statistics'!$C$46+H882*'Stock Statistics'!$C$47+I882*'Stock Statistics'!$C$48+J882*'Stock Statistics'!$C$49+K882*'Stock Statistics'!$C$50,"")</f>
        <v>-5.0153997112927749E-3</v>
      </c>
      <c r="M882" s="96">
        <v>237.11410000000001</v>
      </c>
      <c r="N882" s="97">
        <v>299.04340000000002</v>
      </c>
      <c r="O882" s="93">
        <f t="shared" si="39"/>
        <v>3.2953181348702731E-3</v>
      </c>
      <c r="P882" s="93">
        <f t="shared" si="40"/>
        <v>3.1606716108489863E-3</v>
      </c>
      <c r="Q882" s="93">
        <f>B882*'Portfolio 2 &amp; 3'!$F$7+C882*'Portfolio 2 &amp; 3'!$F$8+D882*'Portfolio 2 &amp; 3'!$F$9+E882*'Portfolio 2 &amp; 3'!$F$10+F882*'Portfolio 2 &amp; 3'!$F$11+G882*'Portfolio 2 &amp; 3'!$F$12+H882*'Portfolio 2 &amp; 3'!$F$13+I882*'Portfolio 2 &amp; 3'!$F$14+J882*'Portfolio 2 &amp; 3'!$F$15+K882*'Portfolio 2 &amp; 3'!$F$16</f>
        <v>-5.4518560267687562E-3</v>
      </c>
      <c r="R882" s="93">
        <f>B882*'Portfolio 2 &amp; 3'!$B$23+C882*'Portfolio 2 &amp; 3'!$B$24+D882*'Portfolio 2 &amp; 3'!$B$25+E882*'Portfolio 2 &amp; 3'!$B$26+F882*'Portfolio 2 &amp; 3'!$B$27+G882*'Portfolio 2 &amp; 3'!$B$28+H882*'Portfolio 2 &amp; 3'!$B$29+I882*'Portfolio 2 &amp; 3'!$B$30+J882*'Portfolio 2 &amp; 3'!$B$31+K882*'Portfolio 2 &amp; 3'!$B$32</f>
        <v>-8.0291482573902171E-4</v>
      </c>
      <c r="S882" s="93">
        <f t="shared" si="41"/>
        <v>3.2279948728596297E-3</v>
      </c>
    </row>
    <row r="883" spans="1:19" ht="12.75" customHeight="1">
      <c r="A883" s="82">
        <v>44784</v>
      </c>
      <c r="B883" s="53">
        <v>-3.5000000000000003E-2</v>
      </c>
      <c r="C883" s="53">
        <v>-4.7482895946084902E-3</v>
      </c>
      <c r="D883" s="53">
        <v>-2.36666095009434E-2</v>
      </c>
      <c r="E883" s="53">
        <v>5.77E-3</v>
      </c>
      <c r="F883" s="53">
        <v>4.7044301193252001E-2</v>
      </c>
      <c r="G883" s="53">
        <v>-1.16912235746316E-2</v>
      </c>
      <c r="H883" s="87">
        <v>-4.9939646398902103E-3</v>
      </c>
      <c r="I883" s="53">
        <v>3.2486036703522898E-3</v>
      </c>
      <c r="J883" s="53">
        <v>1.7700845924404799E-2</v>
      </c>
      <c r="K883" s="53">
        <v>-1.35031349056736E-2</v>
      </c>
      <c r="L883" s="95">
        <f>IFERROR(B883*'Stock Statistics'!$C$41+C883*'Stock Statistics'!$C$42+D883*'Stock Statistics'!$C$43+E883*'Stock Statistics'!$C$44+F883*'Stock Statistics'!$C$45+G883*'Stock Statistics'!$C$46+H883*'Stock Statistics'!$C$47+I883*'Stock Statistics'!$C$48+J883*'Stock Statistics'!$C$49+K883*'Stock Statistics'!$C$50,"")</f>
        <v>-1.9839471427738216E-3</v>
      </c>
      <c r="M883" s="97">
        <v>236.33529999999999</v>
      </c>
      <c r="N883" s="96">
        <v>298.10120000000001</v>
      </c>
      <c r="O883" s="93">
        <f t="shared" si="39"/>
        <v>1.7200053405783677E-3</v>
      </c>
      <c r="P883" s="93">
        <f t="shared" si="40"/>
        <v>9.318809042457854E-3</v>
      </c>
      <c r="Q883" s="93">
        <f>B883*'Portfolio 2 &amp; 3'!$F$7+C883*'Portfolio 2 &amp; 3'!$F$8+D883*'Portfolio 2 &amp; 3'!$F$9+E883*'Portfolio 2 &amp; 3'!$F$10+F883*'Portfolio 2 &amp; 3'!$F$11+G883*'Portfolio 2 &amp; 3'!$F$12+H883*'Portfolio 2 &amp; 3'!$F$13+I883*'Portfolio 2 &amp; 3'!$F$14+J883*'Portfolio 2 &amp; 3'!$F$15+K883*'Portfolio 2 &amp; 3'!$F$16</f>
        <v>-3.5116957515779522E-4</v>
      </c>
      <c r="R883" s="93">
        <f>B883*'Portfolio 2 &amp; 3'!$B$23+C883*'Portfolio 2 &amp; 3'!$B$24+D883*'Portfolio 2 &amp; 3'!$B$25+E883*'Portfolio 2 &amp; 3'!$B$26+F883*'Portfolio 2 &amp; 3'!$B$27+G883*'Portfolio 2 &amp; 3'!$B$28+H883*'Portfolio 2 &amp; 3'!$B$29+I883*'Portfolio 2 &amp; 3'!$B$30+J883*'Portfolio 2 &amp; 3'!$B$31+K883*'Portfolio 2 &amp; 3'!$B$32</f>
        <v>3.7770994715604516E-4</v>
      </c>
      <c r="S883" s="93">
        <f t="shared" si="41"/>
        <v>5.5194071915181109E-3</v>
      </c>
    </row>
    <row r="884" spans="1:19" ht="12.75" customHeight="1">
      <c r="A884" s="81">
        <v>44783</v>
      </c>
      <c r="B884" s="53">
        <v>-3.4299999999999997E-2</v>
      </c>
      <c r="C884" s="53">
        <v>-3.2062700391877201E-3</v>
      </c>
      <c r="D884" s="53">
        <v>5.5181927918608303E-3</v>
      </c>
      <c r="E884" s="53">
        <v>1.24E-3</v>
      </c>
      <c r="F884" s="53">
        <v>1.06736900471307E-2</v>
      </c>
      <c r="G884" s="53">
        <v>2.1506756973646E-3</v>
      </c>
      <c r="H884" s="87">
        <v>-2.1038485599758901E-2</v>
      </c>
      <c r="I884" s="53">
        <v>-4.1997729852440999E-3</v>
      </c>
      <c r="J884" s="53">
        <v>-7.3293854965537104E-3</v>
      </c>
      <c r="K884" s="53">
        <v>-3.12618364807098E-2</v>
      </c>
      <c r="L884" s="95">
        <f>IFERROR(B884*'Stock Statistics'!$C$41+C884*'Stock Statistics'!$C$42+D884*'Stock Statistics'!$C$43+E884*'Stock Statistics'!$C$44+F884*'Stock Statistics'!$C$45+G884*'Stock Statistics'!$C$46+H884*'Stock Statistics'!$C$47+I884*'Stock Statistics'!$C$48+J884*'Stock Statistics'!$C$49+K884*'Stock Statistics'!$C$50,"")</f>
        <v>-8.1753192065098096E-3</v>
      </c>
      <c r="M884" s="96">
        <v>235.92949999999999</v>
      </c>
      <c r="N884" s="97">
        <v>295.34890000000001</v>
      </c>
      <c r="O884" s="93">
        <f t="shared" si="39"/>
        <v>4.2416348490845746E-3</v>
      </c>
      <c r="P884" s="93">
        <f t="shared" si="40"/>
        <v>7.0801046808004475E-3</v>
      </c>
      <c r="Q884" s="93">
        <f>B884*'Portfolio 2 &amp; 3'!$F$7+C884*'Portfolio 2 &amp; 3'!$F$8+D884*'Portfolio 2 &amp; 3'!$F$9+E884*'Portfolio 2 &amp; 3'!$F$10+F884*'Portfolio 2 &amp; 3'!$F$11+G884*'Portfolio 2 &amp; 3'!$F$12+H884*'Portfolio 2 &amp; 3'!$F$13+I884*'Portfolio 2 &amp; 3'!$F$14+J884*'Portfolio 2 &amp; 3'!$F$15+K884*'Portfolio 2 &amp; 3'!$F$16</f>
        <v>-7.8827656138302192E-3</v>
      </c>
      <c r="R884" s="93">
        <f>B884*'Portfolio 2 &amp; 3'!$B$23+C884*'Portfolio 2 &amp; 3'!$B$24+D884*'Portfolio 2 &amp; 3'!$B$25+E884*'Portfolio 2 &amp; 3'!$B$26+F884*'Portfolio 2 &amp; 3'!$B$27+G884*'Portfolio 2 &amp; 3'!$B$28+H884*'Portfolio 2 &amp; 3'!$B$29+I884*'Portfolio 2 &amp; 3'!$B$30+J884*'Portfolio 2 &amp; 3'!$B$31+K884*'Portfolio 2 &amp; 3'!$B$32</f>
        <v>-7.8299369122143674E-3</v>
      </c>
      <c r="S884" s="93">
        <f t="shared" si="41"/>
        <v>5.660869764942511E-3</v>
      </c>
    </row>
    <row r="885" spans="1:19" ht="12.75" customHeight="1">
      <c r="A885" s="82">
        <v>44781</v>
      </c>
      <c r="B885" s="53">
        <v>-6.1999999999999998E-3</v>
      </c>
      <c r="C885" s="53">
        <v>-3.24658854562976E-3</v>
      </c>
      <c r="D885" s="53">
        <v>-7.0205479452055703E-3</v>
      </c>
      <c r="E885" s="53">
        <v>4.3099999999999996E-3</v>
      </c>
      <c r="F885" s="53">
        <v>8.6689038031317906E-3</v>
      </c>
      <c r="G885" s="53">
        <v>-1.0198894325474901E-2</v>
      </c>
      <c r="H885" s="87">
        <v>4.2114570245239697E-3</v>
      </c>
      <c r="I885" s="53">
        <v>-8.3295812696982906E-3</v>
      </c>
      <c r="J885" s="53">
        <v>-2.03448944003115E-3</v>
      </c>
      <c r="K885" s="53">
        <v>-1.2661609146276301E-2</v>
      </c>
      <c r="L885" s="95">
        <f>IFERROR(B885*'Stock Statistics'!$C$41+C885*'Stock Statistics'!$C$42+D885*'Stock Statistics'!$C$43+E885*'Stock Statistics'!$C$44+F885*'Stock Statistics'!$C$45+G885*'Stock Statistics'!$C$46+H885*'Stock Statistics'!$C$47+I885*'Stock Statistics'!$C$48+J885*'Stock Statistics'!$C$49+K885*'Stock Statistics'!$C$50,"")</f>
        <v>-3.2501349844660217E-3</v>
      </c>
      <c r="M885" s="97">
        <v>234.93299999999999</v>
      </c>
      <c r="N885" s="96">
        <v>293.27249999999998</v>
      </c>
      <c r="O885" s="93">
        <f t="shared" si="39"/>
        <v>-2.1826577457592089E-3</v>
      </c>
      <c r="P885" s="93">
        <f t="shared" si="40"/>
        <v>1.3941008200104799E-2</v>
      </c>
      <c r="Q885" s="93">
        <f>B885*'Portfolio 2 &amp; 3'!$F$7+C885*'Portfolio 2 &amp; 3'!$F$8+D885*'Portfolio 2 &amp; 3'!$F$9+E885*'Portfolio 2 &amp; 3'!$F$10+F885*'Portfolio 2 &amp; 3'!$F$11+G885*'Portfolio 2 &amp; 3'!$F$12+H885*'Portfolio 2 &amp; 3'!$F$13+I885*'Portfolio 2 &amp; 3'!$F$14+J885*'Portfolio 2 &amp; 3'!$F$15+K885*'Portfolio 2 &amp; 3'!$F$16</f>
        <v>-2.3250279962218224E-3</v>
      </c>
      <c r="R885" s="93">
        <f>B885*'Portfolio 2 &amp; 3'!$B$23+C885*'Portfolio 2 &amp; 3'!$B$24+D885*'Portfolio 2 &amp; 3'!$B$25+E885*'Portfolio 2 &amp; 3'!$B$26+F885*'Portfolio 2 &amp; 3'!$B$27+G885*'Portfolio 2 &amp; 3'!$B$28+H885*'Portfolio 2 &amp; 3'!$B$29+I885*'Portfolio 2 &amp; 3'!$B$30+J885*'Portfolio 2 &amp; 3'!$B$31+K885*'Portfolio 2 &amp; 3'!$B$32</f>
        <v>-4.3640175069875227E-3</v>
      </c>
      <c r="S885" s="93">
        <f t="shared" si="41"/>
        <v>5.8791752271727948E-3</v>
      </c>
    </row>
    <row r="886" spans="1:19" ht="12.75" customHeight="1">
      <c r="A886" s="81">
        <v>44778</v>
      </c>
      <c r="B886" s="53">
        <v>5.9999999999999995E-4</v>
      </c>
      <c r="C886" s="53">
        <v>-6.0338162627315804E-3</v>
      </c>
      <c r="D886" s="53">
        <v>-1.5923835200943801E-2</v>
      </c>
      <c r="E886" s="53">
        <v>-6.4000000000000003E-3</v>
      </c>
      <c r="F886" s="53">
        <v>-1.9199122325836499E-2</v>
      </c>
      <c r="G886" s="53">
        <v>2.1916295983635901E-2</v>
      </c>
      <c r="H886" s="87">
        <v>8.6838152459631796E-3</v>
      </c>
      <c r="I886" s="53">
        <v>8.9148827437397493E-3</v>
      </c>
      <c r="J886" s="53">
        <v>6.28808189129915E-3</v>
      </c>
      <c r="K886" s="53">
        <v>-1.2805463664497E-3</v>
      </c>
      <c r="L886" s="95">
        <f>IFERROR(B886*'Stock Statistics'!$C$41+C886*'Stock Statistics'!$C$42+D886*'Stock Statistics'!$C$43+E886*'Stock Statistics'!$C$44+F886*'Stock Statistics'!$C$45+G886*'Stock Statistics'!$C$46+H886*'Stock Statistics'!$C$47+I886*'Stock Statistics'!$C$48+J886*'Stock Statistics'!$C$49+K886*'Stock Statistics'!$C$50,"")</f>
        <v>-2.4342442913236065E-4</v>
      </c>
      <c r="M886" s="96">
        <v>235.4469</v>
      </c>
      <c r="N886" s="97">
        <v>289.24020000000002</v>
      </c>
      <c r="O886" s="93">
        <f t="shared" si="39"/>
        <v>1.4053078592840107E-2</v>
      </c>
      <c r="P886" s="93">
        <f t="shared" si="40"/>
        <v>-1.28950814401948E-2</v>
      </c>
      <c r="Q886" s="93">
        <f>B886*'Portfolio 2 &amp; 3'!$F$7+C886*'Portfolio 2 &amp; 3'!$F$8+D886*'Portfolio 2 &amp; 3'!$F$9+E886*'Portfolio 2 &amp; 3'!$F$10+F886*'Portfolio 2 &amp; 3'!$F$11+G886*'Portfolio 2 &amp; 3'!$F$12+H886*'Portfolio 2 &amp; 3'!$F$13+I886*'Portfolio 2 &amp; 3'!$F$14+J886*'Portfolio 2 &amp; 3'!$F$15+K886*'Portfolio 2 &amp; 3'!$F$16</f>
        <v>-9.2524616745618348E-4</v>
      </c>
      <c r="R886" s="93">
        <f>B886*'Portfolio 2 &amp; 3'!$B$23+C886*'Portfolio 2 &amp; 3'!$B$24+D886*'Portfolio 2 &amp; 3'!$B$25+E886*'Portfolio 2 &amp; 3'!$B$26+F886*'Portfolio 2 &amp; 3'!$B$27+G886*'Portfolio 2 &amp; 3'!$B$28+H886*'Portfolio 2 &amp; 3'!$B$29+I886*'Portfolio 2 &amp; 3'!$B$30+J886*'Portfolio 2 &amp; 3'!$B$31+K886*'Portfolio 2 &amp; 3'!$B$32</f>
        <v>6.1508192141128035E-4</v>
      </c>
      <c r="S886" s="93">
        <f t="shared" si="41"/>
        <v>5.789985763226535E-4</v>
      </c>
    </row>
    <row r="887" spans="1:19" ht="12.75" customHeight="1">
      <c r="A887" s="82">
        <v>44777</v>
      </c>
      <c r="B887" s="53">
        <v>-1.01E-2</v>
      </c>
      <c r="C887" s="53">
        <v>5.50936253633472E-3</v>
      </c>
      <c r="D887" s="53">
        <v>3.0832030571478201E-2</v>
      </c>
      <c r="E887" s="53">
        <v>-1.529E-2</v>
      </c>
      <c r="F887" s="53">
        <v>5.2388512050801E-2</v>
      </c>
      <c r="G887" s="53">
        <v>2.8001172142089201E-3</v>
      </c>
      <c r="H887" s="87">
        <v>5.8708874433466296E-4</v>
      </c>
      <c r="I887" s="53">
        <v>-2.3076496366561401E-2</v>
      </c>
      <c r="J887" s="53">
        <v>-8.5061137692715692E-3</v>
      </c>
      <c r="K887" s="53">
        <v>4.3944265809217099E-3</v>
      </c>
      <c r="L887" s="95">
        <f>IFERROR(B887*'Stock Statistics'!$C$41+C887*'Stock Statistics'!$C$42+D887*'Stock Statistics'!$C$43+E887*'Stock Statistics'!$C$44+F887*'Stock Statistics'!$C$45+G887*'Stock Statistics'!$C$46+H887*'Stock Statistics'!$C$47+I887*'Stock Statistics'!$C$48+J887*'Stock Statistics'!$C$49+K887*'Stock Statistics'!$C$50,"")</f>
        <v>3.9538927562246251E-3</v>
      </c>
      <c r="M887" s="97">
        <v>232.184</v>
      </c>
      <c r="N887" s="96">
        <v>293.01870000000002</v>
      </c>
      <c r="O887" s="93">
        <f t="shared" si="39"/>
        <v>-7.7585635866743718E-3</v>
      </c>
      <c r="P887" s="93">
        <f t="shared" si="40"/>
        <v>-8.8775899876641917E-3</v>
      </c>
      <c r="Q887" s="93">
        <f>B887*'Portfolio 2 &amp; 3'!$F$7+C887*'Portfolio 2 &amp; 3'!$F$8+D887*'Portfolio 2 &amp; 3'!$F$9+E887*'Portfolio 2 &amp; 3'!$F$10+F887*'Portfolio 2 &amp; 3'!$F$11+G887*'Portfolio 2 &amp; 3'!$F$12+H887*'Portfolio 2 &amp; 3'!$F$13+I887*'Portfolio 2 &amp; 3'!$F$14+J887*'Portfolio 2 &amp; 3'!$F$15+K887*'Portfolio 2 &amp; 3'!$F$16</f>
        <v>5.6572211818182675E-3</v>
      </c>
      <c r="R887" s="93">
        <f>B887*'Portfolio 2 &amp; 3'!$B$23+C887*'Portfolio 2 &amp; 3'!$B$24+D887*'Portfolio 2 &amp; 3'!$B$25+E887*'Portfolio 2 &amp; 3'!$B$26+F887*'Portfolio 2 &amp; 3'!$B$27+G887*'Portfolio 2 &amp; 3'!$B$28+H887*'Portfolio 2 &amp; 3'!$B$29+I887*'Portfolio 2 &amp; 3'!$B$30+J887*'Portfolio 2 &amp; 3'!$B$31+K887*'Portfolio 2 &amp; 3'!$B$32</f>
        <v>2.9894867655756632E-3</v>
      </c>
      <c r="S887" s="93">
        <f t="shared" si="41"/>
        <v>-8.3180767871692818E-3</v>
      </c>
    </row>
    <row r="888" spans="1:19" ht="12.75" customHeight="1">
      <c r="A888" s="81">
        <v>44776</v>
      </c>
      <c r="B888" s="53">
        <v>5.4999999999999997E-3</v>
      </c>
      <c r="C888" s="53">
        <v>-8.6615624319388296E-3</v>
      </c>
      <c r="D888" s="53">
        <v>1.98405668733392E-2</v>
      </c>
      <c r="E888" s="53">
        <v>2.563E-2</v>
      </c>
      <c r="F888" s="53">
        <v>-1.07081667618504E-2</v>
      </c>
      <c r="G888" s="53">
        <v>-4.6989435478643803E-3</v>
      </c>
      <c r="H888" s="87">
        <v>3.5349845639007799E-3</v>
      </c>
      <c r="I888" s="53">
        <v>-1.6798472866103E-2</v>
      </c>
      <c r="J888" s="53">
        <v>7.2044005257263502E-3</v>
      </c>
      <c r="K888" s="53">
        <v>1.55654554237561E-3</v>
      </c>
      <c r="L888" s="95">
        <f>IFERROR(B888*'Stock Statistics'!$C$41+C888*'Stock Statistics'!$C$42+D888*'Stock Statistics'!$C$43+E888*'Stock Statistics'!$C$44+F888*'Stock Statistics'!$C$45+G888*'Stock Statistics'!$C$46+H888*'Stock Statistics'!$C$47+I888*'Stock Statistics'!$C$48+J888*'Stock Statistics'!$C$49+K888*'Stock Statistics'!$C$50,"")</f>
        <v>2.2399351897585333E-3</v>
      </c>
      <c r="M888" s="96">
        <v>233.99950000000001</v>
      </c>
      <c r="N888" s="97">
        <v>295.64330000000001</v>
      </c>
      <c r="O888" s="93">
        <f t="shared" si="39"/>
        <v>2.150039410266924E-4</v>
      </c>
      <c r="P888" s="93">
        <f t="shared" si="40"/>
        <v>-1.5201284459565034E-3</v>
      </c>
      <c r="Q888" s="93">
        <f>B888*'Portfolio 2 &amp; 3'!$F$7+C888*'Portfolio 2 &amp; 3'!$F$8+D888*'Portfolio 2 &amp; 3'!$F$9+E888*'Portfolio 2 &amp; 3'!$F$10+F888*'Portfolio 2 &amp; 3'!$F$11+G888*'Portfolio 2 &amp; 3'!$F$12+H888*'Portfolio 2 &amp; 3'!$F$13+I888*'Portfolio 2 &amp; 3'!$F$14+J888*'Portfolio 2 &amp; 3'!$F$15+K888*'Portfolio 2 &amp; 3'!$F$16</f>
        <v>3.0002715950812075E-3</v>
      </c>
      <c r="R888" s="93">
        <f>B888*'Portfolio 2 &amp; 3'!$B$23+C888*'Portfolio 2 &amp; 3'!$B$24+D888*'Portfolio 2 &amp; 3'!$B$25+E888*'Portfolio 2 &amp; 3'!$B$26+F888*'Portfolio 2 &amp; 3'!$B$27+G888*'Portfolio 2 &amp; 3'!$B$28+H888*'Portfolio 2 &amp; 3'!$B$29+I888*'Portfolio 2 &amp; 3'!$B$30+J888*'Portfolio 2 &amp; 3'!$B$31+K888*'Portfolio 2 &amp; 3'!$B$32</f>
        <v>-6.5847100511065683E-3</v>
      </c>
      <c r="S888" s="93">
        <f t="shared" si="41"/>
        <v>-6.5256225246490551E-4</v>
      </c>
    </row>
    <row r="889" spans="1:19" ht="12.75" customHeight="1">
      <c r="A889" s="82">
        <v>44775</v>
      </c>
      <c r="B889" s="53">
        <v>-1.6999999999999999E-3</v>
      </c>
      <c r="C889" s="53">
        <v>-4.1232973528656E-2</v>
      </c>
      <c r="D889" s="53">
        <v>-5.8994452760412503E-3</v>
      </c>
      <c r="E889" s="53">
        <v>4.8799999999999998E-3</v>
      </c>
      <c r="F889" s="53">
        <v>1.4279594459520899E-4</v>
      </c>
      <c r="G889" s="53">
        <v>-7.84515465243385E-3</v>
      </c>
      <c r="H889" s="87">
        <v>4.72373826464767E-3</v>
      </c>
      <c r="I889" s="53">
        <v>-4.39834926151173E-3</v>
      </c>
      <c r="J889" s="53">
        <v>-1.0833975346687201E-2</v>
      </c>
      <c r="K889" s="53">
        <v>-5.6192297463304799E-2</v>
      </c>
      <c r="L889" s="95">
        <f>IFERROR(B889*'Stock Statistics'!$C$41+C889*'Stock Statistics'!$C$42+D889*'Stock Statistics'!$C$43+E889*'Stock Statistics'!$C$44+F889*'Stock Statistics'!$C$45+G889*'Stock Statistics'!$C$46+H889*'Stock Statistics'!$C$47+I889*'Stock Statistics'!$C$48+J889*'Stock Statistics'!$C$49+K889*'Stock Statistics'!$C$50,"")</f>
        <v>-1.1835566131939196E-2</v>
      </c>
      <c r="M889" s="97">
        <v>233.94919999999999</v>
      </c>
      <c r="N889" s="96">
        <v>296.09339999999997</v>
      </c>
      <c r="O889" s="93">
        <f t="shared" si="39"/>
        <v>1.4627098873110089E-3</v>
      </c>
      <c r="P889" s="93">
        <f t="shared" si="40"/>
        <v>-3.7740343609730109E-3</v>
      </c>
      <c r="Q889" s="93">
        <f>B889*'Portfolio 2 &amp; 3'!$F$7+C889*'Portfolio 2 &amp; 3'!$F$8+D889*'Portfolio 2 &amp; 3'!$F$9+E889*'Portfolio 2 &amp; 3'!$F$10+F889*'Portfolio 2 &amp; 3'!$F$11+G889*'Portfolio 2 &amp; 3'!$F$12+H889*'Portfolio 2 &amp; 3'!$F$13+I889*'Portfolio 2 &amp; 3'!$F$14+J889*'Portfolio 2 &amp; 3'!$F$15+K889*'Portfolio 2 &amp; 3'!$F$16</f>
        <v>-1.0559911910329223E-2</v>
      </c>
      <c r="R889" s="93">
        <f>B889*'Portfolio 2 &amp; 3'!$B$23+C889*'Portfolio 2 &amp; 3'!$B$24+D889*'Portfolio 2 &amp; 3'!$B$25+E889*'Portfolio 2 &amp; 3'!$B$26+F889*'Portfolio 2 &amp; 3'!$B$27+G889*'Portfolio 2 &amp; 3'!$B$28+H889*'Portfolio 2 &amp; 3'!$B$29+I889*'Portfolio 2 &amp; 3'!$B$30+J889*'Portfolio 2 &amp; 3'!$B$31+K889*'Portfolio 2 &amp; 3'!$B$32</f>
        <v>-1.5136225472170143E-2</v>
      </c>
      <c r="S889" s="93">
        <f t="shared" si="41"/>
        <v>-1.155662236831001E-3</v>
      </c>
    </row>
    <row r="890" spans="1:19" ht="12.75" customHeight="1">
      <c r="A890" s="81">
        <v>44774</v>
      </c>
      <c r="B890" s="53">
        <v>2.64E-2</v>
      </c>
      <c r="C890" s="53">
        <v>-1.2342545293016399E-2</v>
      </c>
      <c r="D890" s="53">
        <v>-1.40684076321107E-3</v>
      </c>
      <c r="E890" s="53">
        <v>-5.0000000000000001E-3</v>
      </c>
      <c r="F890" s="53">
        <v>9.6597462514416092E-3</v>
      </c>
      <c r="G890" s="53">
        <v>-9.3154733224121199E-4</v>
      </c>
      <c r="H890" s="87">
        <v>1.5997690558957001E-2</v>
      </c>
      <c r="I890" s="53">
        <v>6.7789197463370404E-3</v>
      </c>
      <c r="J890" s="53">
        <v>4.8153320171495698E-5</v>
      </c>
      <c r="K890" s="53">
        <v>-1.89931118314446E-4</v>
      </c>
      <c r="L890" s="95">
        <f>IFERROR(B890*'Stock Statistics'!$C$41+C890*'Stock Statistics'!$C$42+D890*'Stock Statistics'!$C$43+E890*'Stock Statistics'!$C$44+F890*'Stock Statistics'!$C$45+G890*'Stock Statistics'!$C$46+H890*'Stock Statistics'!$C$47+I890*'Stock Statistics'!$C$48+J890*'Stock Statistics'!$C$49+K890*'Stock Statistics'!$C$50,"")</f>
        <v>3.9013645370124025E-3</v>
      </c>
      <c r="M890" s="96">
        <v>233.60749999999999</v>
      </c>
      <c r="N890" s="97">
        <v>297.21510000000001</v>
      </c>
      <c r="O890" s="93">
        <f t="shared" si="39"/>
        <v>1.0926833490203514E-2</v>
      </c>
      <c r="P890" s="93">
        <f t="shared" si="40"/>
        <v>5.2798185447113788E-3</v>
      </c>
      <c r="Q890" s="93">
        <f>B890*'Portfolio 2 &amp; 3'!$F$7+C890*'Portfolio 2 &amp; 3'!$F$8+D890*'Portfolio 2 &amp; 3'!$F$9+E890*'Portfolio 2 &amp; 3'!$F$10+F890*'Portfolio 2 &amp; 3'!$F$11+G890*'Portfolio 2 &amp; 3'!$F$12+H890*'Portfolio 2 &amp; 3'!$F$13+I890*'Portfolio 2 &amp; 3'!$F$14+J890*'Portfolio 2 &amp; 3'!$F$15+K890*'Portfolio 2 &amp; 3'!$F$16</f>
        <v>4.1413917302546436E-3</v>
      </c>
      <c r="R890" s="93">
        <f>B890*'Portfolio 2 &amp; 3'!$B$23+C890*'Portfolio 2 &amp; 3'!$B$24+D890*'Portfolio 2 &amp; 3'!$B$25+E890*'Portfolio 2 &amp; 3'!$B$26+F890*'Portfolio 2 &amp; 3'!$B$27+G890*'Portfolio 2 &amp; 3'!$B$28+H890*'Portfolio 2 &amp; 3'!$B$29+I890*'Portfolio 2 &amp; 3'!$B$30+J890*'Portfolio 2 &amp; 3'!$B$31+K890*'Portfolio 2 &amp; 3'!$B$32</f>
        <v>4.7393219862031724E-3</v>
      </c>
      <c r="S890" s="93">
        <f t="shared" si="41"/>
        <v>8.1033260174574462E-3</v>
      </c>
    </row>
    <row r="891" spans="1:19" ht="12.75" customHeight="1">
      <c r="A891" s="82">
        <v>44771</v>
      </c>
      <c r="B891" s="53">
        <v>1.2800000000000001E-2</v>
      </c>
      <c r="C891" s="53">
        <v>1.4746128336391899E-2</v>
      </c>
      <c r="D891" s="53">
        <v>0</v>
      </c>
      <c r="E891" s="53">
        <v>0</v>
      </c>
      <c r="F891" s="53">
        <v>-8.0091533180778295E-3</v>
      </c>
      <c r="G891" s="53">
        <v>0</v>
      </c>
      <c r="H891" s="87">
        <v>0</v>
      </c>
      <c r="I891" s="53">
        <v>1.2589632711150799E-3</v>
      </c>
      <c r="J891" s="53">
        <v>8.5474236316835893E-3</v>
      </c>
      <c r="K891" s="53">
        <v>2.8443722064201999E-3</v>
      </c>
      <c r="L891" s="95">
        <f>IFERROR(B891*'Stock Statistics'!$C$41+C891*'Stock Statistics'!$C$42+D891*'Stock Statistics'!$C$43+E891*'Stock Statistics'!$C$44+F891*'Stock Statistics'!$C$45+G891*'Stock Statistics'!$C$46+H891*'Stock Statistics'!$C$47+I891*'Stock Statistics'!$C$48+J891*'Stock Statistics'!$C$49+K891*'Stock Statistics'!$C$50,"")</f>
        <v>3.2187734127532941E-3</v>
      </c>
      <c r="M891" s="97">
        <v>231.08250000000001</v>
      </c>
      <c r="N891" s="96">
        <v>295.65410000000003</v>
      </c>
      <c r="O891" s="93">
        <f t="shared" si="39"/>
        <v>4.0940243842559898E-3</v>
      </c>
      <c r="P891" s="93">
        <f t="shared" si="40"/>
        <v>-1.0075948049734773E-3</v>
      </c>
      <c r="Q891" s="93">
        <f>B891*'Portfolio 2 &amp; 3'!$F$7+C891*'Portfolio 2 &amp; 3'!$F$8+D891*'Portfolio 2 &amp; 3'!$F$9+E891*'Portfolio 2 &amp; 3'!$F$10+F891*'Portfolio 2 &amp; 3'!$F$11+G891*'Portfolio 2 &amp; 3'!$F$12+H891*'Portfolio 2 &amp; 3'!$F$13+I891*'Portfolio 2 &amp; 3'!$F$14+J891*'Portfolio 2 &amp; 3'!$F$15+K891*'Portfolio 2 &amp; 3'!$F$16</f>
        <v>3.0322602340268315E-3</v>
      </c>
      <c r="R891" s="93">
        <f>B891*'Portfolio 2 &amp; 3'!$B$23+C891*'Portfolio 2 &amp; 3'!$B$24+D891*'Portfolio 2 &amp; 3'!$B$25+E891*'Portfolio 2 &amp; 3'!$B$26+F891*'Portfolio 2 &amp; 3'!$B$27+G891*'Portfolio 2 &amp; 3'!$B$28+H891*'Portfolio 2 &amp; 3'!$B$29+I891*'Portfolio 2 &amp; 3'!$B$30+J891*'Portfolio 2 &amp; 3'!$B$31+K891*'Portfolio 2 &amp; 3'!$B$32</f>
        <v>4.1093388874499127E-3</v>
      </c>
      <c r="S891" s="93">
        <f t="shared" si="41"/>
        <v>1.5432147896412562E-3</v>
      </c>
    </row>
    <row r="892" spans="1:19" ht="12.75" customHeight="1">
      <c r="A892" s="81">
        <v>44770</v>
      </c>
      <c r="B892" s="53">
        <v>-5.0000000000000001E-3</v>
      </c>
      <c r="C892" s="53">
        <v>-2.6790750141003999E-2</v>
      </c>
      <c r="D892" s="53">
        <v>-4.28996673087034E-3</v>
      </c>
      <c r="E892" s="53">
        <v>1.396E-2</v>
      </c>
      <c r="F892" s="53">
        <v>-5.2639066723573196E-3</v>
      </c>
      <c r="G892" s="53">
        <v>-2.65906324085352E-3</v>
      </c>
      <c r="H892" s="87">
        <v>2.1456382068252302E-3</v>
      </c>
      <c r="I892" s="53">
        <v>-8.2514521470060699E-3</v>
      </c>
      <c r="J892" s="53">
        <v>-4.4962289692517298E-3</v>
      </c>
      <c r="K892" s="53">
        <v>6.4925106078421698E-3</v>
      </c>
      <c r="L892" s="95">
        <f>IFERROR(B892*'Stock Statistics'!$C$41+C892*'Stock Statistics'!$C$42+D892*'Stock Statistics'!$C$43+E892*'Stock Statistics'!$C$44+F892*'Stock Statistics'!$C$45+G892*'Stock Statistics'!$C$46+H892*'Stock Statistics'!$C$47+I892*'Stock Statistics'!$C$48+J892*'Stock Statistics'!$C$49+K892*'Stock Statistics'!$C$50,"")</f>
        <v>-3.4153219086675577E-3</v>
      </c>
      <c r="M892" s="96">
        <v>230.1403</v>
      </c>
      <c r="N892" s="97">
        <v>295.95229999999998</v>
      </c>
      <c r="O892" s="93">
        <f t="shared" si="39"/>
        <v>1.1770265933360502E-2</v>
      </c>
      <c r="P892" s="93">
        <f t="shared" si="40"/>
        <v>3.3669063382324449E-3</v>
      </c>
      <c r="Q892" s="93">
        <f>B892*'Portfolio 2 &amp; 3'!$F$7+C892*'Portfolio 2 &amp; 3'!$F$8+D892*'Portfolio 2 &amp; 3'!$F$9+E892*'Portfolio 2 &amp; 3'!$F$10+F892*'Portfolio 2 &amp; 3'!$F$11+G892*'Portfolio 2 &amp; 3'!$F$12+H892*'Portfolio 2 &amp; 3'!$F$13+I892*'Portfolio 2 &amp; 3'!$F$14+J892*'Portfolio 2 &amp; 3'!$F$15+K892*'Portfolio 2 &amp; 3'!$F$16</f>
        <v>-3.6668133864658468E-3</v>
      </c>
      <c r="R892" s="93">
        <f>B892*'Portfolio 2 &amp; 3'!$B$23+C892*'Portfolio 2 &amp; 3'!$B$24+D892*'Portfolio 2 &amp; 3'!$B$25+E892*'Portfolio 2 &amp; 3'!$B$26+F892*'Portfolio 2 &amp; 3'!$B$27+G892*'Portfolio 2 &amp; 3'!$B$28+H892*'Portfolio 2 &amp; 3'!$B$29+I892*'Portfolio 2 &amp; 3'!$B$30+J892*'Portfolio 2 &amp; 3'!$B$31+K892*'Portfolio 2 &amp; 3'!$B$32</f>
        <v>-8.5458107752536521E-3</v>
      </c>
      <c r="S892" s="93">
        <f t="shared" si="41"/>
        <v>7.5685861357964734E-3</v>
      </c>
    </row>
    <row r="893" spans="1:19" ht="12.75" customHeight="1">
      <c r="A893" s="82">
        <v>44769</v>
      </c>
      <c r="B893" s="53">
        <v>2.24E-2</v>
      </c>
      <c r="C893" s="53">
        <v>-7.1398572028559303E-3</v>
      </c>
      <c r="D893" s="53">
        <v>2.4946159368269799E-2</v>
      </c>
      <c r="E893" s="53">
        <v>7.8350000000000003E-2</v>
      </c>
      <c r="F893" s="53">
        <v>2.5981608524303E-2</v>
      </c>
      <c r="G893" s="53">
        <v>3.1594950095842303E-2</v>
      </c>
      <c r="H893" s="87">
        <v>1.26089397749187E-2</v>
      </c>
      <c r="I893" s="53">
        <v>1.4678699575947399E-3</v>
      </c>
      <c r="J893" s="53">
        <v>0</v>
      </c>
      <c r="K893" s="53">
        <v>0</v>
      </c>
      <c r="L893" s="95">
        <f>IFERROR(B893*'Stock Statistics'!$C$41+C893*'Stock Statistics'!$C$42+D893*'Stock Statistics'!$C$43+E893*'Stock Statistics'!$C$44+F893*'Stock Statistics'!$C$45+G893*'Stock Statistics'!$C$46+H893*'Stock Statistics'!$C$47+I893*'Stock Statistics'!$C$48+J893*'Stock Statistics'!$C$49+K893*'Stock Statistics'!$C$50,"")</f>
        <v>1.9020967051807263E-2</v>
      </c>
      <c r="M893" s="97">
        <v>227.46299999999999</v>
      </c>
      <c r="N893" s="96">
        <v>294.95920000000001</v>
      </c>
      <c r="O893" s="93">
        <f t="shared" si="39"/>
        <v>-1.1073431589930904E-2</v>
      </c>
      <c r="P893" s="93">
        <f t="shared" si="40"/>
        <v>6.5815652017229276E-3</v>
      </c>
      <c r="Q893" s="93">
        <f>B893*'Portfolio 2 &amp; 3'!$F$7+C893*'Portfolio 2 &amp; 3'!$F$8+D893*'Portfolio 2 &amp; 3'!$F$9+E893*'Portfolio 2 &amp; 3'!$F$10+F893*'Portfolio 2 &amp; 3'!$F$11+G893*'Portfolio 2 &amp; 3'!$F$12+H893*'Portfolio 2 &amp; 3'!$F$13+I893*'Portfolio 2 &amp; 3'!$F$14+J893*'Portfolio 2 &amp; 3'!$F$15+K893*'Portfolio 2 &amp; 3'!$F$16</f>
        <v>1.6413401454309719E-2</v>
      </c>
      <c r="R893" s="93">
        <f>B893*'Portfolio 2 &amp; 3'!$B$23+C893*'Portfolio 2 &amp; 3'!$B$24+D893*'Portfolio 2 &amp; 3'!$B$25+E893*'Portfolio 2 &amp; 3'!$B$26+F893*'Portfolio 2 &amp; 3'!$B$27+G893*'Portfolio 2 &amp; 3'!$B$28+H893*'Portfolio 2 &amp; 3'!$B$29+I893*'Portfolio 2 &amp; 3'!$B$30+J893*'Portfolio 2 &amp; 3'!$B$31+K893*'Portfolio 2 &amp; 3'!$B$32</f>
        <v>1.0139230726087774E-2</v>
      </c>
      <c r="S893" s="93">
        <f t="shared" si="41"/>
        <v>-2.2459331941039884E-3</v>
      </c>
    </row>
    <row r="894" spans="1:19" ht="12.75" customHeight="1">
      <c r="A894" s="81">
        <v>44768</v>
      </c>
      <c r="B894" s="53">
        <v>-1.5800000000000002E-2</v>
      </c>
      <c r="C894" s="53">
        <v>-3.3486814566764402E-3</v>
      </c>
      <c r="D894" s="53">
        <v>-3.1293463143254499E-2</v>
      </c>
      <c r="E894" s="53">
        <v>-1.7840000000000002E-2</v>
      </c>
      <c r="F894" s="53">
        <v>-1.3676936366254E-2</v>
      </c>
      <c r="G894" s="53">
        <v>-2.8670291646069098E-3</v>
      </c>
      <c r="H894" s="87">
        <v>2.6680374014784701E-3</v>
      </c>
      <c r="I894" s="53">
        <v>1.0215289982425499E-2</v>
      </c>
      <c r="J894" s="53">
        <v>-9.8611775969362804E-3</v>
      </c>
      <c r="K894" s="53">
        <v>6.1854609518665598E-3</v>
      </c>
      <c r="L894" s="95">
        <f>IFERROR(B894*'Stock Statistics'!$C$41+C894*'Stock Statistics'!$C$42+D894*'Stock Statistics'!$C$43+E894*'Stock Statistics'!$C$44+F894*'Stock Statistics'!$C$45+G894*'Stock Statistics'!$C$46+H894*'Stock Statistics'!$C$47+I894*'Stock Statistics'!$C$48+J894*'Stock Statistics'!$C$49+K894*'Stock Statistics'!$C$50,"")</f>
        <v>-7.5618499391957583E-3</v>
      </c>
      <c r="M894" s="96">
        <v>230.01</v>
      </c>
      <c r="N894" s="97">
        <v>293.03059999999999</v>
      </c>
      <c r="O894" s="93">
        <f t="shared" si="39"/>
        <v>-5.4761292219486224E-3</v>
      </c>
      <c r="P894" s="93">
        <f t="shared" si="40"/>
        <v>5.3066413982527649E-3</v>
      </c>
      <c r="Q894" s="93">
        <f>B894*'Portfolio 2 &amp; 3'!$F$7+C894*'Portfolio 2 &amp; 3'!$F$8+D894*'Portfolio 2 &amp; 3'!$F$9+E894*'Portfolio 2 &amp; 3'!$F$10+F894*'Portfolio 2 &amp; 3'!$F$11+G894*'Portfolio 2 &amp; 3'!$F$12+H894*'Portfolio 2 &amp; 3'!$F$13+I894*'Portfolio 2 &amp; 3'!$F$14+J894*'Portfolio 2 &amp; 3'!$F$15+K894*'Portfolio 2 &amp; 3'!$F$16</f>
        <v>-8.0571665062092856E-3</v>
      </c>
      <c r="R894" s="93">
        <f>B894*'Portfolio 2 &amp; 3'!$B$23+C894*'Portfolio 2 &amp; 3'!$B$24+D894*'Portfolio 2 &amp; 3'!$B$25+E894*'Portfolio 2 &amp; 3'!$B$26+F894*'Portfolio 2 &amp; 3'!$B$27+G894*'Portfolio 2 &amp; 3'!$B$28+H894*'Portfolio 2 &amp; 3'!$B$29+I894*'Portfolio 2 &amp; 3'!$B$30+J894*'Portfolio 2 &amp; 3'!$B$31+K894*'Portfolio 2 &amp; 3'!$B$32</f>
        <v>-2.762916229255538E-3</v>
      </c>
      <c r="S894" s="93">
        <f t="shared" si="41"/>
        <v>-8.4743911847928732E-5</v>
      </c>
    </row>
    <row r="895" spans="1:19" ht="12.75" customHeight="1">
      <c r="A895" s="82">
        <v>44767</v>
      </c>
      <c r="B895" s="53">
        <v>-1.06E-2</v>
      </c>
      <c r="C895" s="53">
        <v>-7.9003624872186996E-4</v>
      </c>
      <c r="D895" s="53">
        <v>3.0547343903968498E-2</v>
      </c>
      <c r="E895" s="53">
        <v>-1.49E-3</v>
      </c>
      <c r="F895" s="53">
        <v>-8.7055801341515693E-3</v>
      </c>
      <c r="G895" s="53">
        <v>-5.5058499655884496E-3</v>
      </c>
      <c r="H895" s="87">
        <v>-6.0942232602269096E-3</v>
      </c>
      <c r="I895" s="53">
        <v>-6.0592827119384501E-3</v>
      </c>
      <c r="J895" s="53">
        <v>3.2267628601077201E-2</v>
      </c>
      <c r="K895" s="53">
        <v>1.7613881727887901E-2</v>
      </c>
      <c r="L895" s="95">
        <f>IFERROR(B895*'Stock Statistics'!$C$41+C895*'Stock Statistics'!$C$42+D895*'Stock Statistics'!$C$43+E895*'Stock Statistics'!$C$44+F895*'Stock Statistics'!$C$45+G895*'Stock Statistics'!$C$46+H895*'Stock Statistics'!$C$47+I895*'Stock Statistics'!$C$48+J895*'Stock Statistics'!$C$49+K895*'Stock Statistics'!$C$50,"")</f>
        <v>4.1183881912306361E-3</v>
      </c>
      <c r="M895" s="97">
        <v>231.2765</v>
      </c>
      <c r="N895" s="96">
        <v>291.48379999999997</v>
      </c>
      <c r="O895" s="93">
        <f t="shared" si="39"/>
        <v>-4.0985530187319652E-3</v>
      </c>
      <c r="P895" s="93">
        <f t="shared" si="40"/>
        <v>9.8370174512305564E-3</v>
      </c>
      <c r="Q895" s="93">
        <f>B895*'Portfolio 2 &amp; 3'!$F$7+C895*'Portfolio 2 &amp; 3'!$F$8+D895*'Portfolio 2 &amp; 3'!$F$9+E895*'Portfolio 2 &amp; 3'!$F$10+F895*'Portfolio 2 &amp; 3'!$F$11+G895*'Portfolio 2 &amp; 3'!$F$12+H895*'Portfolio 2 &amp; 3'!$F$13+I895*'Portfolio 2 &amp; 3'!$F$14+J895*'Portfolio 2 &amp; 3'!$F$15+K895*'Portfolio 2 &amp; 3'!$F$16</f>
        <v>6.5539577989819084E-3</v>
      </c>
      <c r="R895" s="93">
        <f>B895*'Portfolio 2 &amp; 3'!$B$23+C895*'Portfolio 2 &amp; 3'!$B$24+D895*'Portfolio 2 &amp; 3'!$B$25+E895*'Portfolio 2 &amp; 3'!$B$26+F895*'Portfolio 2 &amp; 3'!$B$27+G895*'Portfolio 2 &amp; 3'!$B$28+H895*'Portfolio 2 &amp; 3'!$B$29+I895*'Portfolio 2 &amp; 3'!$B$30+J895*'Portfolio 2 &amp; 3'!$B$31+K895*'Portfolio 2 &amp; 3'!$B$32</f>
        <v>-2.2711490742380173E-3</v>
      </c>
      <c r="S895" s="93">
        <f t="shared" si="41"/>
        <v>2.8692322162492956E-3</v>
      </c>
    </row>
    <row r="896" spans="1:19" ht="12.75" customHeight="1">
      <c r="A896" s="81">
        <v>44764</v>
      </c>
      <c r="B896" s="53">
        <v>-8.3000000000000001E-3</v>
      </c>
      <c r="C896" s="53">
        <v>2.9323128438172499E-2</v>
      </c>
      <c r="D896" s="53">
        <v>2.0383912248628899E-2</v>
      </c>
      <c r="E896" s="53">
        <v>-1.225E-2</v>
      </c>
      <c r="F896" s="53">
        <v>-1.2124629916819301E-2</v>
      </c>
      <c r="G896" s="53">
        <v>-2.0604395604394399E-3</v>
      </c>
      <c r="H896" s="87">
        <v>4.9140049140048402E-3</v>
      </c>
      <c r="I896" s="53">
        <v>0</v>
      </c>
      <c r="J896" s="53">
        <v>7.6180043815972098E-3</v>
      </c>
      <c r="K896" s="53">
        <v>-1.0588512117963901E-3</v>
      </c>
      <c r="L896" s="95">
        <f>IFERROR(B896*'Stock Statistics'!$C$41+C896*'Stock Statistics'!$C$42+D896*'Stock Statistics'!$C$43+E896*'Stock Statistics'!$C$44+F896*'Stock Statistics'!$C$45+G896*'Stock Statistics'!$C$46+H896*'Stock Statistics'!$C$47+I896*'Stock Statistics'!$C$48+J896*'Stock Statistics'!$C$49+K896*'Stock Statistics'!$C$50,"")</f>
        <v>2.6445129293348317E-3</v>
      </c>
      <c r="M896" s="96">
        <v>232.22829999999999</v>
      </c>
      <c r="N896" s="97">
        <v>288.64440000000002</v>
      </c>
      <c r="O896" s="93">
        <f t="shared" si="39"/>
        <v>-1.327530672538213E-3</v>
      </c>
      <c r="P896" s="93">
        <f t="shared" si="40"/>
        <v>-5.8886697695434975E-3</v>
      </c>
      <c r="Q896" s="93">
        <f>B896*'Portfolio 2 &amp; 3'!$F$7+C896*'Portfolio 2 &amp; 3'!$F$8+D896*'Portfolio 2 &amp; 3'!$F$9+E896*'Portfolio 2 &amp; 3'!$F$10+F896*'Portfolio 2 &amp; 3'!$F$11+G896*'Portfolio 2 &amp; 3'!$F$12+H896*'Portfolio 2 &amp; 3'!$F$13+I896*'Portfolio 2 &amp; 3'!$F$14+J896*'Portfolio 2 &amp; 3'!$F$15+K896*'Portfolio 2 &amp; 3'!$F$16</f>
        <v>4.5842341329322637E-3</v>
      </c>
      <c r="R896" s="93">
        <f>B896*'Portfolio 2 &amp; 3'!$B$23+C896*'Portfolio 2 &amp; 3'!$B$24+D896*'Portfolio 2 &amp; 3'!$B$25+E896*'Portfolio 2 &amp; 3'!$B$26+F896*'Portfolio 2 &amp; 3'!$B$27+G896*'Portfolio 2 &amp; 3'!$B$28+H896*'Portfolio 2 &amp; 3'!$B$29+I896*'Portfolio 2 &amp; 3'!$B$30+J896*'Portfolio 2 &amp; 3'!$B$31+K896*'Portfolio 2 &amp; 3'!$B$32</f>
        <v>2.9250270225418913E-3</v>
      </c>
      <c r="S896" s="93">
        <f t="shared" si="41"/>
        <v>-3.6081002210408553E-3</v>
      </c>
    </row>
    <row r="897" spans="1:19" ht="12.75" customHeight="1">
      <c r="A897" s="82">
        <v>44763</v>
      </c>
      <c r="B897" s="53">
        <v>5.1999999999999998E-3</v>
      </c>
      <c r="C897" s="53">
        <v>1.9176078654424399E-2</v>
      </c>
      <c r="D897" s="53">
        <v>5.9770114942527802E-3</v>
      </c>
      <c r="E897" s="53">
        <v>3.1099999999999999E-3</v>
      </c>
      <c r="F897" s="53">
        <v>-1.15663322185062E-2</v>
      </c>
      <c r="G897" s="53">
        <v>1.7301038062283801E-2</v>
      </c>
      <c r="H897" s="87">
        <v>-3.9835213201723001E-2</v>
      </c>
      <c r="I897" s="53">
        <v>-2.7762656505171401E-3</v>
      </c>
      <c r="J897" s="53">
        <v>-3.4841471305546701E-4</v>
      </c>
      <c r="K897" s="53">
        <v>7.8256745362563808E-3</v>
      </c>
      <c r="L897" s="95">
        <f>IFERROR(B897*'Stock Statistics'!$C$41+C897*'Stock Statistics'!$C$42+D897*'Stock Statistics'!$C$43+E897*'Stock Statistics'!$C$44+F897*'Stock Statistics'!$C$45+G897*'Stock Statistics'!$C$46+H897*'Stock Statistics'!$C$47+I897*'Stock Statistics'!$C$48+J897*'Stock Statistics'!$C$49+K897*'Stock Statistics'!$C$50,"")</f>
        <v>4.0635769634155569E-4</v>
      </c>
      <c r="M897" s="97">
        <v>232.53700000000001</v>
      </c>
      <c r="N897" s="96">
        <v>290.35419999999999</v>
      </c>
      <c r="O897" s="93">
        <f t="shared" si="39"/>
        <v>-1.6053349156265329E-3</v>
      </c>
      <c r="P897" s="93">
        <f t="shared" si="40"/>
        <v>4.5752751081369336E-3</v>
      </c>
      <c r="Q897" s="93">
        <f>B897*'Portfolio 2 &amp; 3'!$F$7+C897*'Portfolio 2 &amp; 3'!$F$8+D897*'Portfolio 2 &amp; 3'!$F$9+E897*'Portfolio 2 &amp; 3'!$F$10+F897*'Portfolio 2 &amp; 3'!$F$11+G897*'Portfolio 2 &amp; 3'!$F$12+H897*'Portfolio 2 &amp; 3'!$F$13+I897*'Portfolio 2 &amp; 3'!$F$14+J897*'Portfolio 2 &amp; 3'!$F$15+K897*'Portfolio 2 &amp; 3'!$F$16</f>
        <v>-3.2068694151846005E-3</v>
      </c>
      <c r="R897" s="93">
        <f>B897*'Portfolio 2 &amp; 3'!$B$23+C897*'Portfolio 2 &amp; 3'!$B$24+D897*'Portfolio 2 &amp; 3'!$B$25+E897*'Portfolio 2 &amp; 3'!$B$26+F897*'Portfolio 2 &amp; 3'!$B$27+G897*'Portfolio 2 &amp; 3'!$B$28+H897*'Portfolio 2 &amp; 3'!$B$29+I897*'Portfolio 2 &amp; 3'!$B$30+J897*'Portfolio 2 &amp; 3'!$B$31+K897*'Portfolio 2 &amp; 3'!$B$32</f>
        <v>3.2213406225347152E-3</v>
      </c>
      <c r="S897" s="93">
        <f t="shared" si="41"/>
        <v>1.4849700962552004E-3</v>
      </c>
    </row>
    <row r="898" spans="1:19" ht="12.75" customHeight="1">
      <c r="A898" s="81">
        <v>44762</v>
      </c>
      <c r="B898" s="53">
        <v>9.4999999999999998E-3</v>
      </c>
      <c r="C898" s="53">
        <v>-1.04049403364317E-2</v>
      </c>
      <c r="D898" s="53">
        <v>3.0437188710570298E-3</v>
      </c>
      <c r="E898" s="53">
        <v>-5.2700000000000004E-3</v>
      </c>
      <c r="F898" s="53">
        <v>4.1981528127623697E-3</v>
      </c>
      <c r="G898" s="53">
        <v>5.4527815876626003E-3</v>
      </c>
      <c r="H898" s="87">
        <v>-6.06619148166732E-3</v>
      </c>
      <c r="I898" s="53">
        <v>2.3968784838350101E-2</v>
      </c>
      <c r="J898" s="53">
        <v>2.77777777777777E-2</v>
      </c>
      <c r="K898" s="53">
        <v>-9.5128730442499698E-3</v>
      </c>
      <c r="L898" s="95">
        <f>IFERROR(B898*'Stock Statistics'!$C$41+C898*'Stock Statistics'!$C$42+D898*'Stock Statistics'!$C$43+E898*'Stock Statistics'!$C$44+F898*'Stock Statistics'!$C$45+G898*'Stock Statistics'!$C$46+H898*'Stock Statistics'!$C$47+I898*'Stock Statistics'!$C$48+J898*'Stock Statistics'!$C$49+K898*'Stock Statistics'!$C$50,"")</f>
        <v>4.2687211025260819E-3</v>
      </c>
      <c r="M898" s="96">
        <v>232.9109</v>
      </c>
      <c r="N898" s="97">
        <v>289.03179999999998</v>
      </c>
      <c r="O898" s="93">
        <f t="shared" ref="O898:O961" si="42">M898/M899-1</f>
        <v>2.15394928710122E-3</v>
      </c>
      <c r="P898" s="93">
        <f t="shared" ref="P898:P961" si="43">N898/N899-1</f>
        <v>2.8545247183382472E-3</v>
      </c>
      <c r="Q898" s="93">
        <f>B898*'Portfolio 2 &amp; 3'!$F$7+C898*'Portfolio 2 &amp; 3'!$F$8+D898*'Portfolio 2 &amp; 3'!$F$9+E898*'Portfolio 2 &amp; 3'!$F$10+F898*'Portfolio 2 &amp; 3'!$F$11+G898*'Portfolio 2 &amp; 3'!$F$12+H898*'Portfolio 2 &amp; 3'!$F$13+I898*'Portfolio 2 &amp; 3'!$F$14+J898*'Portfolio 2 &amp; 3'!$F$15+K898*'Portfolio 2 &amp; 3'!$F$16</f>
        <v>4.7088577982398192E-3</v>
      </c>
      <c r="R898" s="93">
        <f>B898*'Portfolio 2 &amp; 3'!$B$23+C898*'Portfolio 2 &amp; 3'!$B$24+D898*'Portfolio 2 &amp; 3'!$B$25+E898*'Portfolio 2 &amp; 3'!$B$26+F898*'Portfolio 2 &amp; 3'!$B$27+G898*'Portfolio 2 &amp; 3'!$B$28+H898*'Portfolio 2 &amp; 3'!$B$29+I898*'Portfolio 2 &amp; 3'!$B$30+J898*'Portfolio 2 &amp; 3'!$B$31+K898*'Portfolio 2 &amp; 3'!$B$32</f>
        <v>6.4674951843830793E-3</v>
      </c>
      <c r="S898" s="93">
        <f t="shared" ref="S898:S961" si="44">IFERROR(AVERAGE(O898,P898),"")</f>
        <v>2.5042370027197336E-3</v>
      </c>
    </row>
    <row r="899" spans="1:19" ht="12.75" customHeight="1">
      <c r="A899" s="82">
        <v>44761</v>
      </c>
      <c r="B899" s="53">
        <v>-2.0999999999999999E-3</v>
      </c>
      <c r="C899" s="53">
        <v>-2.04319538745097E-2</v>
      </c>
      <c r="D899" s="53">
        <v>3.0314549082961301E-2</v>
      </c>
      <c r="E899" s="53">
        <v>2.4879999999999999E-2</v>
      </c>
      <c r="F899" s="53">
        <v>-2.6517794836008498E-3</v>
      </c>
      <c r="G899" s="53">
        <v>1.83967567199264E-2</v>
      </c>
      <c r="H899" s="87">
        <v>1.7580721747388499E-2</v>
      </c>
      <c r="I899" s="53">
        <v>-2.2076860179885499E-2</v>
      </c>
      <c r="J899" s="53">
        <v>1.0284769238720201E-2</v>
      </c>
      <c r="K899" s="53">
        <v>-4.6757497434831699E-3</v>
      </c>
      <c r="L899" s="95">
        <f>IFERROR(B899*'Stock Statistics'!$C$41+C899*'Stock Statistics'!$C$42+D899*'Stock Statistics'!$C$43+E899*'Stock Statistics'!$C$44+F899*'Stock Statistics'!$C$45+G899*'Stock Statistics'!$C$46+H899*'Stock Statistics'!$C$47+I899*'Stock Statistics'!$C$48+J899*'Stock Statistics'!$C$49+K899*'Stock Statistics'!$C$50,"")</f>
        <v>4.952045350751718E-3</v>
      </c>
      <c r="M899" s="97">
        <v>232.41030000000001</v>
      </c>
      <c r="N899" s="96">
        <v>288.20909999999998</v>
      </c>
      <c r="O899" s="93">
        <f t="shared" si="42"/>
        <v>6.2776995536897306E-3</v>
      </c>
      <c r="P899" s="93">
        <f t="shared" si="43"/>
        <v>5.9183968358895722E-3</v>
      </c>
      <c r="Q899" s="93">
        <f>B899*'Portfolio 2 &amp; 3'!$F$7+C899*'Portfolio 2 &amp; 3'!$F$8+D899*'Portfolio 2 &amp; 3'!$F$9+E899*'Portfolio 2 &amp; 3'!$F$10+F899*'Portfolio 2 &amp; 3'!$F$11+G899*'Portfolio 2 &amp; 3'!$F$12+H899*'Portfolio 2 &amp; 3'!$F$13+I899*'Portfolio 2 &amp; 3'!$F$14+J899*'Portfolio 2 &amp; 3'!$F$15+K899*'Portfolio 2 &amp; 3'!$F$16</f>
        <v>6.5915911322194714E-3</v>
      </c>
      <c r="R899" s="93">
        <f>B899*'Portfolio 2 &amp; 3'!$B$23+C899*'Portfolio 2 &amp; 3'!$B$24+D899*'Portfolio 2 &amp; 3'!$B$25+E899*'Portfolio 2 &amp; 3'!$B$26+F899*'Portfolio 2 &amp; 3'!$B$27+G899*'Portfolio 2 &amp; 3'!$B$28+H899*'Portfolio 2 &amp; 3'!$B$29+I899*'Portfolio 2 &amp; 3'!$B$30+J899*'Portfolio 2 &amp; 3'!$B$31+K899*'Portfolio 2 &amp; 3'!$B$32</f>
        <v>-7.3311906206462354E-3</v>
      </c>
      <c r="S899" s="93">
        <f t="shared" si="44"/>
        <v>6.0980481947896514E-3</v>
      </c>
    </row>
    <row r="900" spans="1:19" ht="12.75" customHeight="1">
      <c r="A900" s="81">
        <v>44760</v>
      </c>
      <c r="B900" s="53">
        <v>6.1000000000000004E-3</v>
      </c>
      <c r="C900" s="53">
        <v>-1.2752919952098801E-2</v>
      </c>
      <c r="D900" s="53">
        <v>-3.2545738714719198E-2</v>
      </c>
      <c r="E900" s="53">
        <v>-1.251E-2</v>
      </c>
      <c r="F900" s="53">
        <v>-3.4236420002695798E-2</v>
      </c>
      <c r="G900" s="53">
        <v>-1.1317322914210601E-2</v>
      </c>
      <c r="H900" s="87">
        <v>-2.7375275657826399E-2</v>
      </c>
      <c r="I900" s="53">
        <v>-1.5783171873299301E-3</v>
      </c>
      <c r="J900" s="53">
        <v>-6.7758328627892696E-3</v>
      </c>
      <c r="K900" s="53">
        <v>1.66910958813664E-2</v>
      </c>
      <c r="L900" s="95">
        <f>IFERROR(B900*'Stock Statistics'!$C$41+C900*'Stock Statistics'!$C$42+D900*'Stock Statistics'!$C$43+E900*'Stock Statistics'!$C$44+F900*'Stock Statistics'!$C$45+G900*'Stock Statistics'!$C$46+H900*'Stock Statistics'!$C$47+I900*'Stock Statistics'!$C$48+J900*'Stock Statistics'!$C$49+K900*'Stock Statistics'!$C$50,"")</f>
        <v>-1.163007314103036E-2</v>
      </c>
      <c r="M900" s="96">
        <v>230.96039999999999</v>
      </c>
      <c r="N900" s="97">
        <v>286.51339999999999</v>
      </c>
      <c r="O900" s="93">
        <f t="shared" si="42"/>
        <v>5.9189534558585777E-3</v>
      </c>
      <c r="P900" s="93">
        <f t="shared" si="43"/>
        <v>6.3384061188132002E-3</v>
      </c>
      <c r="Q900" s="93">
        <f>B900*'Portfolio 2 &amp; 3'!$F$7+C900*'Portfolio 2 &amp; 3'!$F$8+D900*'Portfolio 2 &amp; 3'!$F$9+E900*'Portfolio 2 &amp; 3'!$F$10+F900*'Portfolio 2 &amp; 3'!$F$11+G900*'Portfolio 2 &amp; 3'!$F$12+H900*'Portfolio 2 &amp; 3'!$F$13+I900*'Portfolio 2 &amp; 3'!$F$14+J900*'Portfolio 2 &amp; 3'!$F$15+K900*'Portfolio 2 &amp; 3'!$F$16</f>
        <v>-1.4507955411298415E-2</v>
      </c>
      <c r="R900" s="93">
        <f>B900*'Portfolio 2 &amp; 3'!$B$23+C900*'Portfolio 2 &amp; 3'!$B$24+D900*'Portfolio 2 &amp; 3'!$B$25+E900*'Portfolio 2 &amp; 3'!$B$26+F900*'Portfolio 2 &amp; 3'!$B$27+G900*'Portfolio 2 &amp; 3'!$B$28+H900*'Portfolio 2 &amp; 3'!$B$29+I900*'Portfolio 2 &amp; 3'!$B$30+J900*'Portfolio 2 &amp; 3'!$B$31+K900*'Portfolio 2 &amp; 3'!$B$32</f>
        <v>-8.6317259143617719E-3</v>
      </c>
      <c r="S900" s="93">
        <f t="shared" si="44"/>
        <v>6.1286797873358889E-3</v>
      </c>
    </row>
    <row r="901" spans="1:19" ht="12.75" customHeight="1">
      <c r="A901" s="82">
        <v>44757</v>
      </c>
      <c r="B901" s="53">
        <v>1.38E-2</v>
      </c>
      <c r="C901" s="53">
        <v>5.9135495377105104E-3</v>
      </c>
      <c r="D901" s="53">
        <v>-1.28868318359198E-2</v>
      </c>
      <c r="E901" s="53">
        <v>-1.694E-2</v>
      </c>
      <c r="F901" s="53">
        <v>2.9741787211030601E-3</v>
      </c>
      <c r="G901" s="53">
        <v>2.8034857799095199E-3</v>
      </c>
      <c r="H901" s="87">
        <v>-9.8205098891047705E-3</v>
      </c>
      <c r="I901" s="53">
        <v>-2.5975402883799899E-2</v>
      </c>
      <c r="J901" s="53">
        <v>1.92005859579365E-2</v>
      </c>
      <c r="K901" s="53">
        <v>2.6973148901545899E-2</v>
      </c>
      <c r="L901" s="95">
        <f>IFERROR(B901*'Stock Statistics'!$C$41+C901*'Stock Statistics'!$C$42+D901*'Stock Statistics'!$C$43+E901*'Stock Statistics'!$C$44+F901*'Stock Statistics'!$C$45+G901*'Stock Statistics'!$C$46+H901*'Stock Statistics'!$C$47+I901*'Stock Statistics'!$C$48+J901*'Stock Statistics'!$C$49+K901*'Stock Statistics'!$C$50,"")</f>
        <v>6.0422042893810198E-4</v>
      </c>
      <c r="M901" s="97">
        <v>229.60140000000001</v>
      </c>
      <c r="N901" s="96">
        <v>284.7088</v>
      </c>
      <c r="O901" s="93">
        <f t="shared" si="42"/>
        <v>6.9115107352075711E-3</v>
      </c>
      <c r="P901" s="93">
        <f t="shared" si="43"/>
        <v>1.9954189677218181E-4</v>
      </c>
      <c r="Q901" s="93">
        <f>B901*'Portfolio 2 &amp; 3'!$F$7+C901*'Portfolio 2 &amp; 3'!$F$8+D901*'Portfolio 2 &amp; 3'!$F$9+E901*'Portfolio 2 &amp; 3'!$F$10+F901*'Portfolio 2 &amp; 3'!$F$11+G901*'Portfolio 2 &amp; 3'!$F$12+H901*'Portfolio 2 &amp; 3'!$F$13+I901*'Portfolio 2 &amp; 3'!$F$14+J901*'Portfolio 2 &amp; 3'!$F$15+K901*'Portfolio 2 &amp; 3'!$F$16</f>
        <v>1.095423868037299E-4</v>
      </c>
      <c r="R901" s="93">
        <f>B901*'Portfolio 2 &amp; 3'!$B$23+C901*'Portfolio 2 &amp; 3'!$B$24+D901*'Portfolio 2 &amp; 3'!$B$25+E901*'Portfolio 2 &amp; 3'!$B$26+F901*'Portfolio 2 &amp; 3'!$B$27+G901*'Portfolio 2 &amp; 3'!$B$28+H901*'Portfolio 2 &amp; 3'!$B$29+I901*'Portfolio 2 &amp; 3'!$B$30+J901*'Portfolio 2 &amp; 3'!$B$31+K901*'Portfolio 2 &amp; 3'!$B$32</f>
        <v>-2.5570111797502655E-4</v>
      </c>
      <c r="S901" s="93">
        <f t="shared" si="44"/>
        <v>3.5555263159898765E-3</v>
      </c>
    </row>
    <row r="902" spans="1:19" ht="12.75" customHeight="1">
      <c r="A902" s="81">
        <v>44756</v>
      </c>
      <c r="B902" s="53">
        <v>-4.1000000000000003E-3</v>
      </c>
      <c r="C902" s="53">
        <v>-1.5600455847475801E-2</v>
      </c>
      <c r="D902" s="53">
        <v>0</v>
      </c>
      <c r="E902" s="53">
        <v>0</v>
      </c>
      <c r="F902" s="53">
        <v>4.0722139269715497E-3</v>
      </c>
      <c r="G902" s="53">
        <v>0</v>
      </c>
      <c r="H902" s="87">
        <v>0</v>
      </c>
      <c r="I902" s="53">
        <v>5.4031401910934897E-2</v>
      </c>
      <c r="J902" s="53">
        <v>-4.27172327568237E-3</v>
      </c>
      <c r="K902" s="53">
        <v>-2.31301168428584E-2</v>
      </c>
      <c r="L902" s="95">
        <f>IFERROR(B902*'Stock Statistics'!$C$41+C902*'Stock Statistics'!$C$42+D902*'Stock Statistics'!$C$43+E902*'Stock Statistics'!$C$44+F902*'Stock Statistics'!$C$45+G902*'Stock Statistics'!$C$46+H902*'Stock Statistics'!$C$47+I902*'Stock Statistics'!$C$48+J902*'Stock Statistics'!$C$49+K902*'Stock Statistics'!$C$50,"")</f>
        <v>1.1001319871889875E-3</v>
      </c>
      <c r="M902" s="96">
        <v>228.02539999999999</v>
      </c>
      <c r="N902" s="97">
        <v>284.65199999999999</v>
      </c>
      <c r="O902" s="93">
        <f t="shared" si="42"/>
        <v>6.257074456935463E-3</v>
      </c>
      <c r="P902" s="93">
        <f t="shared" si="43"/>
        <v>-1.2459338732262459E-3</v>
      </c>
      <c r="Q902" s="93">
        <f>B902*'Portfolio 2 &amp; 3'!$F$7+C902*'Portfolio 2 &amp; 3'!$F$8+D902*'Portfolio 2 &amp; 3'!$F$9+E902*'Portfolio 2 &amp; 3'!$F$10+F902*'Portfolio 2 &amp; 3'!$F$11+G902*'Portfolio 2 &amp; 3'!$F$12+H902*'Portfolio 2 &amp; 3'!$F$13+I902*'Portfolio 2 &amp; 3'!$F$14+J902*'Portfolio 2 &amp; 3'!$F$15+K902*'Portfolio 2 &amp; 3'!$F$16</f>
        <v>7.7422480229367291E-4</v>
      </c>
      <c r="R902" s="93">
        <f>B902*'Portfolio 2 &amp; 3'!$B$23+C902*'Portfolio 2 &amp; 3'!$B$24+D902*'Portfolio 2 &amp; 3'!$B$25+E902*'Portfolio 2 &amp; 3'!$B$26+F902*'Portfolio 2 &amp; 3'!$B$27+G902*'Portfolio 2 &amp; 3'!$B$28+H902*'Portfolio 2 &amp; 3'!$B$29+I902*'Portfolio 2 &amp; 3'!$B$30+J902*'Portfolio 2 &amp; 3'!$B$31+K902*'Portfolio 2 &amp; 3'!$B$32</f>
        <v>8.4912347234082763E-3</v>
      </c>
      <c r="S902" s="93">
        <f t="shared" si="44"/>
        <v>2.5055702918546086E-3</v>
      </c>
    </row>
    <row r="903" spans="1:19" ht="12.75" customHeight="1">
      <c r="A903" s="82">
        <v>44755</v>
      </c>
      <c r="B903" s="53">
        <v>4.7999999999999996E-3</v>
      </c>
      <c r="C903" s="53">
        <v>-1.04612165779516E-3</v>
      </c>
      <c r="D903" s="53">
        <v>-7.0289267369558796E-3</v>
      </c>
      <c r="E903" s="53">
        <v>-2.0750000000000001E-2</v>
      </c>
      <c r="F903" s="53">
        <v>1.36213538800221E-2</v>
      </c>
      <c r="G903" s="53">
        <v>-2.9971375652466702E-3</v>
      </c>
      <c r="H903" s="87">
        <v>5.4906087712458496E-4</v>
      </c>
      <c r="I903" s="53">
        <v>9.5078299776285601E-4</v>
      </c>
      <c r="J903" s="53">
        <v>-1.26530192367041E-2</v>
      </c>
      <c r="K903" s="53">
        <v>-5.9129518667280197E-3</v>
      </c>
      <c r="L903" s="95">
        <f>IFERROR(B903*'Stock Statistics'!$C$41+C903*'Stock Statistics'!$C$42+D903*'Stock Statistics'!$C$43+E903*'Stock Statistics'!$C$44+F903*'Stock Statistics'!$C$45+G903*'Stock Statistics'!$C$46+H903*'Stock Statistics'!$C$47+I903*'Stock Statistics'!$C$48+J903*'Stock Statistics'!$C$49+K903*'Stock Statistics'!$C$50,"")</f>
        <v>-3.046695930852029E-3</v>
      </c>
      <c r="M903" s="97">
        <v>226.60749999999999</v>
      </c>
      <c r="N903" s="96">
        <v>285.00709999999998</v>
      </c>
      <c r="O903" s="93">
        <f t="shared" si="42"/>
        <v>-6.0494756930997706E-3</v>
      </c>
      <c r="P903" s="93">
        <f t="shared" si="43"/>
        <v>8.3503480844826505E-3</v>
      </c>
      <c r="Q903" s="93">
        <f>B903*'Portfolio 2 &amp; 3'!$F$7+C903*'Portfolio 2 &amp; 3'!$F$8+D903*'Portfolio 2 &amp; 3'!$F$9+E903*'Portfolio 2 &amp; 3'!$F$10+F903*'Portfolio 2 &amp; 3'!$F$11+G903*'Portfolio 2 &amp; 3'!$F$12+H903*'Portfolio 2 &amp; 3'!$F$13+I903*'Portfolio 2 &amp; 3'!$F$14+J903*'Portfolio 2 &amp; 3'!$F$15+K903*'Portfolio 2 &amp; 3'!$F$16</f>
        <v>-3.1235805282540307E-3</v>
      </c>
      <c r="R903" s="93">
        <f>B903*'Portfolio 2 &amp; 3'!$B$23+C903*'Portfolio 2 &amp; 3'!$B$24+D903*'Portfolio 2 &amp; 3'!$B$25+E903*'Portfolio 2 &amp; 3'!$B$26+F903*'Portfolio 2 &amp; 3'!$B$27+G903*'Portfolio 2 &amp; 3'!$B$28+H903*'Portfolio 2 &amp; 3'!$B$29+I903*'Portfolio 2 &amp; 3'!$B$30+J903*'Portfolio 2 &amp; 3'!$B$31+K903*'Portfolio 2 &amp; 3'!$B$32</f>
        <v>1.514815022456551E-3</v>
      </c>
      <c r="S903" s="93">
        <f t="shared" si="44"/>
        <v>1.15043619569144E-3</v>
      </c>
    </row>
    <row r="904" spans="1:19" ht="12.75" customHeight="1">
      <c r="A904" s="81">
        <v>44754</v>
      </c>
      <c r="B904" s="53">
        <v>6.1000000000000004E-3</v>
      </c>
      <c r="C904" s="53">
        <v>1.18775198866732E-2</v>
      </c>
      <c r="D904" s="53">
        <v>-9.1079560675060307E-3</v>
      </c>
      <c r="E904" s="53">
        <v>-1.515E-2</v>
      </c>
      <c r="F904" s="53">
        <v>-1.9692473698408399E-2</v>
      </c>
      <c r="G904" s="53">
        <v>-7.9179473473205402E-3</v>
      </c>
      <c r="H904" s="87">
        <v>-1.96579758901037E-2</v>
      </c>
      <c r="I904" s="53">
        <v>3.0369388578343801E-2</v>
      </c>
      <c r="J904" s="53">
        <v>0</v>
      </c>
      <c r="K904" s="53">
        <v>0</v>
      </c>
      <c r="L904" s="95">
        <f>IFERROR(B904*'Stock Statistics'!$C$41+C904*'Stock Statistics'!$C$42+D904*'Stock Statistics'!$C$43+E904*'Stock Statistics'!$C$44+F904*'Stock Statistics'!$C$45+G904*'Stock Statistics'!$C$46+H904*'Stock Statistics'!$C$47+I904*'Stock Statistics'!$C$48+J904*'Stock Statistics'!$C$49+K904*'Stock Statistics'!$C$50,"")</f>
        <v>-2.3179444538321669E-3</v>
      </c>
      <c r="M904" s="96">
        <v>227.98670000000001</v>
      </c>
      <c r="N904" s="97">
        <v>282.64690000000002</v>
      </c>
      <c r="O904" s="93">
        <f t="shared" si="42"/>
        <v>6.1266981585041957E-3</v>
      </c>
      <c r="P904" s="93">
        <f t="shared" si="43"/>
        <v>-2.4884242920465427E-3</v>
      </c>
      <c r="Q904" s="93">
        <f>B904*'Portfolio 2 &amp; 3'!$F$7+C904*'Portfolio 2 &amp; 3'!$F$8+D904*'Portfolio 2 &amp; 3'!$F$9+E904*'Portfolio 2 &amp; 3'!$F$10+F904*'Portfolio 2 &amp; 3'!$F$11+G904*'Portfolio 2 &amp; 3'!$F$12+H904*'Portfolio 2 &amp; 3'!$F$13+I904*'Portfolio 2 &amp; 3'!$F$14+J904*'Portfolio 2 &amp; 3'!$F$15+K904*'Portfolio 2 &amp; 3'!$F$16</f>
        <v>-3.8585588074737925E-3</v>
      </c>
      <c r="R904" s="93">
        <f>B904*'Portfolio 2 &amp; 3'!$B$23+C904*'Portfolio 2 &amp; 3'!$B$24+D904*'Portfolio 2 &amp; 3'!$B$25+E904*'Portfolio 2 &amp; 3'!$B$26+F904*'Portfolio 2 &amp; 3'!$B$27+G904*'Portfolio 2 &amp; 3'!$B$28+H904*'Portfolio 2 &amp; 3'!$B$29+I904*'Portfolio 2 &amp; 3'!$B$30+J904*'Portfolio 2 &amp; 3'!$B$31+K904*'Portfolio 2 &amp; 3'!$B$32</f>
        <v>6.0304419044532346E-3</v>
      </c>
      <c r="S904" s="93">
        <f t="shared" si="44"/>
        <v>1.8191369332288265E-3</v>
      </c>
    </row>
    <row r="905" spans="1:19" ht="12.75" customHeight="1">
      <c r="A905" s="82">
        <v>44753</v>
      </c>
      <c r="B905" s="53">
        <v>-6.7000000000000002E-3</v>
      </c>
      <c r="C905" s="53">
        <v>7.3071676101170704E-3</v>
      </c>
      <c r="D905" s="53">
        <v>5.38647993536223E-3</v>
      </c>
      <c r="E905" s="53">
        <v>1.6230000000000001E-2</v>
      </c>
      <c r="F905" s="53">
        <v>1.29799152889738E-2</v>
      </c>
      <c r="G905" s="53">
        <v>-9.67924969126566E-4</v>
      </c>
      <c r="H905" s="87">
        <v>2.4393534027293798E-3</v>
      </c>
      <c r="I905" s="53">
        <v>-8.0612656187029096E-4</v>
      </c>
      <c r="J905" s="53">
        <v>3.7170882808465998E-3</v>
      </c>
      <c r="K905" s="53">
        <v>5.9296349980231299E-4</v>
      </c>
      <c r="L905" s="95">
        <f>IFERROR(B905*'Stock Statistics'!$C$41+C905*'Stock Statistics'!$C$42+D905*'Stock Statistics'!$C$43+E905*'Stock Statistics'!$C$44+F905*'Stock Statistics'!$C$45+G905*'Stock Statistics'!$C$46+H905*'Stock Statistics'!$C$47+I905*'Stock Statistics'!$C$48+J905*'Stock Statistics'!$C$49+K905*'Stock Statistics'!$C$50,"")</f>
        <v>4.0178916486834533E-3</v>
      </c>
      <c r="M905" s="97">
        <v>226.5984</v>
      </c>
      <c r="N905" s="96">
        <v>283.35199999999998</v>
      </c>
      <c r="O905" s="93">
        <f t="shared" si="42"/>
        <v>2.7498373728298553E-3</v>
      </c>
      <c r="P905" s="93">
        <f t="shared" si="43"/>
        <v>-7.201394291502794E-4</v>
      </c>
      <c r="Q905" s="93">
        <f>B905*'Portfolio 2 &amp; 3'!$F$7+C905*'Portfolio 2 &amp; 3'!$F$8+D905*'Portfolio 2 &amp; 3'!$F$9+E905*'Portfolio 2 &amp; 3'!$F$10+F905*'Portfolio 2 &amp; 3'!$F$11+G905*'Portfolio 2 &amp; 3'!$F$12+H905*'Portfolio 2 &amp; 3'!$F$13+I905*'Portfolio 2 &amp; 3'!$F$14+J905*'Portfolio 2 &amp; 3'!$F$15+K905*'Portfolio 2 &amp; 3'!$F$16</f>
        <v>4.3631508471243356E-3</v>
      </c>
      <c r="R905" s="93">
        <f>B905*'Portfolio 2 &amp; 3'!$B$23+C905*'Portfolio 2 &amp; 3'!$B$24+D905*'Portfolio 2 &amp; 3'!$B$25+E905*'Portfolio 2 &amp; 3'!$B$26+F905*'Portfolio 2 &amp; 3'!$B$27+G905*'Portfolio 2 &amp; 3'!$B$28+H905*'Portfolio 2 &amp; 3'!$B$29+I905*'Portfolio 2 &amp; 3'!$B$30+J905*'Portfolio 2 &amp; 3'!$B$31+K905*'Portfolio 2 &amp; 3'!$B$32</f>
        <v>2.5564785382899825E-3</v>
      </c>
      <c r="S905" s="93">
        <f t="shared" si="44"/>
        <v>1.0148489718397879E-3</v>
      </c>
    </row>
    <row r="906" spans="1:19" ht="12.75" customHeight="1">
      <c r="A906" s="81">
        <v>44750</v>
      </c>
      <c r="B906" s="53">
        <v>9.7000000000000003E-3</v>
      </c>
      <c r="C906" s="53">
        <v>1.5315788635748499E-2</v>
      </c>
      <c r="D906" s="53">
        <v>6.4148897723166299E-3</v>
      </c>
      <c r="E906" s="53">
        <v>-1.8600000000000001E-3</v>
      </c>
      <c r="F906" s="53">
        <v>-4.2176870748299499E-3</v>
      </c>
      <c r="G906" s="53">
        <v>-5.3119086351715002E-3</v>
      </c>
      <c r="H906" s="87">
        <v>-4.0751438615348502E-3</v>
      </c>
      <c r="I906" s="53">
        <v>-7.0325900514579499E-3</v>
      </c>
      <c r="J906" s="53">
        <v>-1.32450331125827E-2</v>
      </c>
      <c r="K906" s="53">
        <v>1.41247845201984E-2</v>
      </c>
      <c r="L906" s="95">
        <f>IFERROR(B906*'Stock Statistics'!$C$41+C906*'Stock Statistics'!$C$42+D906*'Stock Statistics'!$C$43+E906*'Stock Statistics'!$C$44+F906*'Stock Statistics'!$C$45+G906*'Stock Statistics'!$C$46+H906*'Stock Statistics'!$C$47+I906*'Stock Statistics'!$C$48+J906*'Stock Statistics'!$C$49+K906*'Stock Statistics'!$C$50,"")</f>
        <v>9.8131001926865828E-4</v>
      </c>
      <c r="M906" s="96">
        <v>225.977</v>
      </c>
      <c r="N906" s="97">
        <v>283.55619999999999</v>
      </c>
      <c r="O906" s="93">
        <f t="shared" si="42"/>
        <v>7.7591977420328195E-3</v>
      </c>
      <c r="P906" s="93">
        <f t="shared" si="43"/>
        <v>1.0584050351554186E-3</v>
      </c>
      <c r="Q906" s="93">
        <f>B906*'Portfolio 2 &amp; 3'!$F$7+C906*'Portfolio 2 &amp; 3'!$F$8+D906*'Portfolio 2 &amp; 3'!$F$9+E906*'Portfolio 2 &amp; 3'!$F$10+F906*'Portfolio 2 &amp; 3'!$F$11+G906*'Portfolio 2 &amp; 3'!$F$12+H906*'Portfolio 2 &amp; 3'!$F$13+I906*'Portfolio 2 &amp; 3'!$F$14+J906*'Portfolio 2 &amp; 3'!$F$15+K906*'Portfolio 2 &amp; 3'!$F$16</f>
        <v>5.0355116685038342E-5</v>
      </c>
      <c r="R906" s="93">
        <f>B906*'Portfolio 2 &amp; 3'!$B$23+C906*'Portfolio 2 &amp; 3'!$B$24+D906*'Portfolio 2 &amp; 3'!$B$25+E906*'Portfolio 2 &amp; 3'!$B$26+F906*'Portfolio 2 &amp; 3'!$B$27+G906*'Portfolio 2 &amp; 3'!$B$28+H906*'Portfolio 2 &amp; 3'!$B$29+I906*'Portfolio 2 &amp; 3'!$B$30+J906*'Portfolio 2 &amp; 3'!$B$31+K906*'Portfolio 2 &amp; 3'!$B$32</f>
        <v>1.9736850437464828E-3</v>
      </c>
      <c r="S906" s="93">
        <f t="shared" si="44"/>
        <v>4.4088013885941191E-3</v>
      </c>
    </row>
    <row r="907" spans="1:19" ht="12.75" customHeight="1">
      <c r="A907" s="82">
        <v>44749</v>
      </c>
      <c r="B907" s="53">
        <v>5.0000000000000001E-3</v>
      </c>
      <c r="C907" s="53">
        <v>1.62605572274537E-2</v>
      </c>
      <c r="D907" s="53">
        <v>8.4738041002276904E-3</v>
      </c>
      <c r="E907" s="53">
        <v>5.1399999999999996E-3</v>
      </c>
      <c r="F907" s="53">
        <v>4.6473482777473797E-3</v>
      </c>
      <c r="G907" s="53">
        <v>-7.8722002635046601E-3</v>
      </c>
      <c r="H907" s="87">
        <v>-1.7575890893092801E-2</v>
      </c>
      <c r="I907" s="53">
        <v>0</v>
      </c>
      <c r="J907" s="53">
        <v>2.1704054546400901E-2</v>
      </c>
      <c r="K907" s="53">
        <v>-3.09065476586956E-3</v>
      </c>
      <c r="L907" s="95">
        <f>IFERROR(B907*'Stock Statistics'!$C$41+C907*'Stock Statistics'!$C$42+D907*'Stock Statistics'!$C$43+E907*'Stock Statistics'!$C$44+F907*'Stock Statistics'!$C$45+G907*'Stock Statistics'!$C$46+H907*'Stock Statistics'!$C$47+I907*'Stock Statistics'!$C$48+J907*'Stock Statistics'!$C$49+K907*'Stock Statistics'!$C$50,"")</f>
        <v>3.2687018229362653E-3</v>
      </c>
      <c r="M907" s="97">
        <v>224.2371</v>
      </c>
      <c r="N907" s="96">
        <v>283.25639999999999</v>
      </c>
      <c r="O907" s="93">
        <f t="shared" si="42"/>
        <v>6.7692006533488502E-3</v>
      </c>
      <c r="P907" s="93">
        <f t="shared" si="43"/>
        <v>1.5448015430334916E-3</v>
      </c>
      <c r="Q907" s="93">
        <f>B907*'Portfolio 2 &amp; 3'!$F$7+C907*'Portfolio 2 &amp; 3'!$F$8+D907*'Portfolio 2 &amp; 3'!$F$9+E907*'Portfolio 2 &amp; 3'!$F$10+F907*'Portfolio 2 &amp; 3'!$F$11+G907*'Portfolio 2 &amp; 3'!$F$12+H907*'Portfolio 2 &amp; 3'!$F$13+I907*'Portfolio 2 &amp; 3'!$F$14+J907*'Portfolio 2 &amp; 3'!$F$15+K907*'Portfolio 2 &amp; 3'!$F$16</f>
        <v>3.5005907105348098E-3</v>
      </c>
      <c r="R907" s="93">
        <f>B907*'Portfolio 2 &amp; 3'!$B$23+C907*'Portfolio 2 &amp; 3'!$B$24+D907*'Portfolio 2 &amp; 3'!$B$25+E907*'Portfolio 2 &amp; 3'!$B$26+F907*'Portfolio 2 &amp; 3'!$B$27+G907*'Portfolio 2 &amp; 3'!$B$28+H907*'Portfolio 2 &amp; 3'!$B$29+I907*'Portfolio 2 &amp; 3'!$B$30+J907*'Portfolio 2 &amp; 3'!$B$31+K907*'Portfolio 2 &amp; 3'!$B$32</f>
        <v>3.7012522915441477E-3</v>
      </c>
      <c r="S907" s="93">
        <f t="shared" si="44"/>
        <v>4.1570010981911709E-3</v>
      </c>
    </row>
    <row r="908" spans="1:19" ht="12.75" customHeight="1">
      <c r="A908" s="81">
        <v>44748</v>
      </c>
      <c r="B908" s="53">
        <v>2.98E-2</v>
      </c>
      <c r="C908" s="53">
        <v>-2.5971569956188701E-2</v>
      </c>
      <c r="D908" s="53">
        <v>-7.14673421385936E-3</v>
      </c>
      <c r="E908" s="53">
        <v>-3.7299999999999998E-3</v>
      </c>
      <c r="F908" s="53">
        <v>1.2455023526155601E-2</v>
      </c>
      <c r="G908" s="53">
        <v>1.2101210121012101E-2</v>
      </c>
      <c r="H908" s="87">
        <v>-6.4256677011844702E-3</v>
      </c>
      <c r="I908" s="53">
        <v>5.57695624676602E-3</v>
      </c>
      <c r="J908" s="53">
        <v>-6.9261384193932702E-3</v>
      </c>
      <c r="K908" s="53">
        <v>3.9588599553290801E-3</v>
      </c>
      <c r="L908" s="95">
        <f>IFERROR(B908*'Stock Statistics'!$C$41+C908*'Stock Statistics'!$C$42+D908*'Stock Statistics'!$C$43+E908*'Stock Statistics'!$C$44+F908*'Stock Statistics'!$C$45+G908*'Stock Statistics'!$C$46+H908*'Stock Statistics'!$C$47+I908*'Stock Statistics'!$C$48+J908*'Stock Statistics'!$C$49+K908*'Stock Statistics'!$C$50,"")</f>
        <v>1.3691939558637001E-3</v>
      </c>
      <c r="M908" s="96">
        <v>222.7294</v>
      </c>
      <c r="N908" s="97">
        <v>282.81950000000001</v>
      </c>
      <c r="O908" s="93">
        <f t="shared" si="42"/>
        <v>2.4303589640188861E-3</v>
      </c>
      <c r="P908" s="93">
        <f t="shared" si="43"/>
        <v>3.4166322224253864E-3</v>
      </c>
      <c r="Q908" s="93">
        <f>B908*'Portfolio 2 &amp; 3'!$F$7+C908*'Portfolio 2 &amp; 3'!$F$8+D908*'Portfolio 2 &amp; 3'!$F$9+E908*'Portfolio 2 &amp; 3'!$F$10+F908*'Portfolio 2 &amp; 3'!$F$11+G908*'Portfolio 2 &amp; 3'!$F$12+H908*'Portfolio 2 &amp; 3'!$F$13+I908*'Portfolio 2 &amp; 3'!$F$14+J908*'Portfolio 2 &amp; 3'!$F$15+K908*'Portfolio 2 &amp; 3'!$F$16</f>
        <v>-1.0864531157187144E-3</v>
      </c>
      <c r="R908" s="93">
        <f>B908*'Portfolio 2 &amp; 3'!$B$23+C908*'Portfolio 2 &amp; 3'!$B$24+D908*'Portfolio 2 &amp; 3'!$B$25+E908*'Portfolio 2 &amp; 3'!$B$26+F908*'Portfolio 2 &amp; 3'!$B$27+G908*'Portfolio 2 &amp; 3'!$B$28+H908*'Portfolio 2 &amp; 3'!$B$29+I908*'Portfolio 2 &amp; 3'!$B$30+J908*'Portfolio 2 &amp; 3'!$B$31+K908*'Portfolio 2 &amp; 3'!$B$32</f>
        <v>3.495827191871788E-3</v>
      </c>
      <c r="S908" s="93">
        <f t="shared" si="44"/>
        <v>2.9234955932221363E-3</v>
      </c>
    </row>
    <row r="909" spans="1:19" ht="12.75" customHeight="1">
      <c r="A909" s="82">
        <v>44747</v>
      </c>
      <c r="B909" s="53">
        <v>-1.6400000000000001E-2</v>
      </c>
      <c r="C909" s="53">
        <v>1.52964894876635E-2</v>
      </c>
      <c r="D909" s="53">
        <v>-1.2065421396013999E-2</v>
      </c>
      <c r="E909" s="53">
        <v>-1.0160000000000001E-2</v>
      </c>
      <c r="F909" s="53">
        <v>1.5246015246015399E-3</v>
      </c>
      <c r="G909" s="53">
        <v>9.52413003971175E-3</v>
      </c>
      <c r="H909" s="87">
        <v>1.6394170961435701E-2</v>
      </c>
      <c r="I909" s="53">
        <v>2.47838616714691E-3</v>
      </c>
      <c r="J909" s="53">
        <v>1.3456860410952E-3</v>
      </c>
      <c r="K909" s="53">
        <v>2.87036416068665E-3</v>
      </c>
      <c r="L909" s="95">
        <f>IFERROR(B909*'Stock Statistics'!$C$41+C909*'Stock Statistics'!$C$42+D909*'Stock Statistics'!$C$43+E909*'Stock Statistics'!$C$44+F909*'Stock Statistics'!$C$45+G909*'Stock Statistics'!$C$46+H909*'Stock Statistics'!$C$47+I909*'Stock Statistics'!$C$48+J909*'Stock Statistics'!$C$49+K909*'Stock Statistics'!$C$50,"")</f>
        <v>1.080840698632725E-3</v>
      </c>
      <c r="M909" s="97">
        <v>222.18940000000001</v>
      </c>
      <c r="N909" s="96">
        <v>281.85649999999998</v>
      </c>
      <c r="O909" s="93">
        <f t="shared" si="42"/>
        <v>5.4848163352061441E-4</v>
      </c>
      <c r="P909" s="93">
        <f t="shared" si="43"/>
        <v>1.0563615099053347E-2</v>
      </c>
      <c r="Q909" s="93">
        <f>B909*'Portfolio 2 &amp; 3'!$F$7+C909*'Portfolio 2 &amp; 3'!$F$8+D909*'Portfolio 2 &amp; 3'!$F$9+E909*'Portfolio 2 &amp; 3'!$F$10+F909*'Portfolio 2 &amp; 3'!$F$11+G909*'Portfolio 2 &amp; 3'!$F$12+H909*'Portfolio 2 &amp; 3'!$F$13+I909*'Portfolio 2 &amp; 3'!$F$14+J909*'Portfolio 2 &amp; 3'!$F$15+K909*'Portfolio 2 &amp; 3'!$F$16</f>
        <v>2.0337647196361931E-3</v>
      </c>
      <c r="R909" s="93">
        <f>B909*'Portfolio 2 &amp; 3'!$B$23+C909*'Portfolio 2 &amp; 3'!$B$24+D909*'Portfolio 2 &amp; 3'!$B$25+E909*'Portfolio 2 &amp; 3'!$B$26+F909*'Portfolio 2 &amp; 3'!$B$27+G909*'Portfolio 2 &amp; 3'!$B$28+H909*'Portfolio 2 &amp; 3'!$B$29+I909*'Portfolio 2 &amp; 3'!$B$30+J909*'Portfolio 2 &amp; 3'!$B$31+K909*'Portfolio 2 &amp; 3'!$B$32</f>
        <v>3.2349088581625518E-3</v>
      </c>
      <c r="S909" s="93">
        <f t="shared" si="44"/>
        <v>5.5560483662869808E-3</v>
      </c>
    </row>
    <row r="910" spans="1:19" ht="12.75" customHeight="1">
      <c r="A910" s="81">
        <v>44746</v>
      </c>
      <c r="B910" s="53">
        <v>-8.0999999999999996E-3</v>
      </c>
      <c r="C910" s="53">
        <v>5.6478993354467403E-3</v>
      </c>
      <c r="D910" s="53">
        <v>4.5212517515179899E-2</v>
      </c>
      <c r="E910" s="53">
        <v>1.1809999999999999E-2</v>
      </c>
      <c r="F910" s="53">
        <v>-1.52228065319682E-3</v>
      </c>
      <c r="G910" s="53">
        <v>1.5167346388487201E-3</v>
      </c>
      <c r="H910" s="87">
        <v>3.9922385529809201E-3</v>
      </c>
      <c r="I910" s="53">
        <v>-8.91123043527931E-3</v>
      </c>
      <c r="J910" s="53">
        <v>1.56652473321768E-2</v>
      </c>
      <c r="K910" s="53">
        <v>-1.6203331726392101E-3</v>
      </c>
      <c r="L910" s="95">
        <f>IFERROR(B910*'Stock Statistics'!$C$41+C910*'Stock Statistics'!$C$42+D910*'Stock Statistics'!$C$43+E910*'Stock Statistics'!$C$44+F910*'Stock Statistics'!$C$45+G910*'Stock Statistics'!$C$46+H910*'Stock Statistics'!$C$47+I910*'Stock Statistics'!$C$48+J910*'Stock Statistics'!$C$49+K910*'Stock Statistics'!$C$50,"")</f>
        <v>6.3690793113517739E-3</v>
      </c>
      <c r="M910" s="96">
        <v>222.0676</v>
      </c>
      <c r="N910" s="97">
        <v>278.91019999999997</v>
      </c>
      <c r="O910" s="93">
        <f t="shared" si="42"/>
        <v>2.0770976407364916E-3</v>
      </c>
      <c r="P910" s="93">
        <f t="shared" si="43"/>
        <v>-8.8771368861544353E-3</v>
      </c>
      <c r="Q910" s="93">
        <f>B910*'Portfolio 2 &amp; 3'!$F$7+C910*'Portfolio 2 &amp; 3'!$F$8+D910*'Portfolio 2 &amp; 3'!$F$9+E910*'Portfolio 2 &amp; 3'!$F$10+F910*'Portfolio 2 &amp; 3'!$F$11+G910*'Portfolio 2 &amp; 3'!$F$12+H910*'Portfolio 2 &amp; 3'!$F$13+I910*'Portfolio 2 &amp; 3'!$F$14+J910*'Portfolio 2 &amp; 3'!$F$15+K910*'Portfolio 2 &amp; 3'!$F$16</f>
        <v>8.8688996055206418E-3</v>
      </c>
      <c r="R910" s="93">
        <f>B910*'Portfolio 2 &amp; 3'!$B$23+C910*'Portfolio 2 &amp; 3'!$B$24+D910*'Portfolio 2 &amp; 3'!$B$25+E910*'Portfolio 2 &amp; 3'!$B$26+F910*'Portfolio 2 &amp; 3'!$B$27+G910*'Portfolio 2 &amp; 3'!$B$28+H910*'Portfolio 2 &amp; 3'!$B$29+I910*'Portfolio 2 &amp; 3'!$B$30+J910*'Portfolio 2 &amp; 3'!$B$31+K910*'Portfolio 2 &amp; 3'!$B$32</f>
        <v>-1.2540933047692484E-3</v>
      </c>
      <c r="S910" s="93">
        <f t="shared" si="44"/>
        <v>-3.4000196227089718E-3</v>
      </c>
    </row>
    <row r="911" spans="1:19" ht="12.75" customHeight="1">
      <c r="A911" s="82">
        <v>44743</v>
      </c>
      <c r="B911" s="53">
        <v>1.8100000000000002E-2</v>
      </c>
      <c r="C911" s="53">
        <v>9.5190136612464098E-3</v>
      </c>
      <c r="D911" s="53">
        <v>-1.5994117106351801E-2</v>
      </c>
      <c r="E911" s="53">
        <v>-1.554E-2</v>
      </c>
      <c r="F911" s="53">
        <v>1.20448179271708E-2</v>
      </c>
      <c r="G911" s="53">
        <v>-4.0429904652805598E-4</v>
      </c>
      <c r="H911" s="87">
        <v>-3.84359031326376E-3</v>
      </c>
      <c r="I911" s="53">
        <v>-8.4956955142727608E-3</v>
      </c>
      <c r="J911" s="53">
        <v>-2.3076519641265199E-3</v>
      </c>
      <c r="K911" s="53">
        <v>-1.1908542394411E-2</v>
      </c>
      <c r="L911" s="95">
        <f>IFERROR(B911*'Stock Statistics'!$C$41+C911*'Stock Statistics'!$C$42+D911*'Stock Statistics'!$C$43+E911*'Stock Statistics'!$C$44+F911*'Stock Statistics'!$C$45+G911*'Stock Statistics'!$C$46+H911*'Stock Statistics'!$C$47+I911*'Stock Statistics'!$C$48+J911*'Stock Statistics'!$C$49+K911*'Stock Statistics'!$C$50,"")</f>
        <v>-1.8830064750536689E-3</v>
      </c>
      <c r="M911" s="97">
        <v>221.60730000000001</v>
      </c>
      <c r="N911" s="96">
        <v>281.4083</v>
      </c>
      <c r="O911" s="93">
        <f t="shared" si="42"/>
        <v>-1.6560430931604753E-3</v>
      </c>
      <c r="P911" s="93">
        <f t="shared" si="43"/>
        <v>1.8679585488551753E-2</v>
      </c>
      <c r="Q911" s="93">
        <f>B911*'Portfolio 2 &amp; 3'!$F$7+C911*'Portfolio 2 &amp; 3'!$F$8+D911*'Portfolio 2 &amp; 3'!$F$9+E911*'Portfolio 2 &amp; 3'!$F$10+F911*'Portfolio 2 &amp; 3'!$F$11+G911*'Portfolio 2 &amp; 3'!$F$12+H911*'Portfolio 2 &amp; 3'!$F$13+I911*'Portfolio 2 &amp; 3'!$F$14+J911*'Portfolio 2 &amp; 3'!$F$15+K911*'Portfolio 2 &amp; 3'!$F$16</f>
        <v>-2.5377849596422159E-3</v>
      </c>
      <c r="R911" s="93">
        <f>B911*'Portfolio 2 &amp; 3'!$B$23+C911*'Portfolio 2 &amp; 3'!$B$24+D911*'Portfolio 2 &amp; 3'!$B$25+E911*'Portfolio 2 &amp; 3'!$B$26+F911*'Portfolio 2 &amp; 3'!$B$27+G911*'Portfolio 2 &amp; 3'!$B$28+H911*'Portfolio 2 &amp; 3'!$B$29+I911*'Portfolio 2 &amp; 3'!$B$30+J911*'Portfolio 2 &amp; 3'!$B$31+K911*'Portfolio 2 &amp; 3'!$B$32</f>
        <v>2.5619224590193368E-3</v>
      </c>
      <c r="S911" s="93">
        <f t="shared" si="44"/>
        <v>8.5117711976956389E-3</v>
      </c>
    </row>
    <row r="912" spans="1:19" ht="12.75" customHeight="1">
      <c r="A912" s="81">
        <v>44742</v>
      </c>
      <c r="B912" s="53">
        <v>-1.2200000000000001E-2</v>
      </c>
      <c r="C912" s="53">
        <v>9.1140070486026604E-3</v>
      </c>
      <c r="D912" s="53">
        <v>-4.7571127984629199E-3</v>
      </c>
      <c r="E912" s="53">
        <v>1.7340000000000001E-2</v>
      </c>
      <c r="F912" s="53">
        <v>1.9646365422396599E-3</v>
      </c>
      <c r="G912" s="53">
        <v>1.18292766073498E-2</v>
      </c>
      <c r="H912" s="87">
        <v>2.1515137760428599E-2</v>
      </c>
      <c r="I912" s="53">
        <v>5.0091074681237798E-3</v>
      </c>
      <c r="J912" s="53">
        <v>1.8808442425861702E-2</v>
      </c>
      <c r="K912" s="53">
        <v>2.4773217263963001E-2</v>
      </c>
      <c r="L912" s="95">
        <f>IFERROR(B912*'Stock Statistics'!$C$41+C912*'Stock Statistics'!$C$42+D912*'Stock Statistics'!$C$43+E912*'Stock Statistics'!$C$44+F912*'Stock Statistics'!$C$45+G912*'Stock Statistics'!$C$46+H912*'Stock Statistics'!$C$47+I912*'Stock Statistics'!$C$48+J912*'Stock Statistics'!$C$49+K912*'Stock Statistics'!$C$50,"")</f>
        <v>9.3396712318106288E-3</v>
      </c>
      <c r="M912" s="96">
        <v>221.97489999999999</v>
      </c>
      <c r="N912" s="97">
        <v>276.24810000000002</v>
      </c>
      <c r="O912" s="93">
        <f t="shared" si="42"/>
        <v>-1.4368339629041715E-3</v>
      </c>
      <c r="P912" s="93">
        <f t="shared" si="43"/>
        <v>4.6437590554937458E-3</v>
      </c>
      <c r="Q912" s="93">
        <f>B912*'Portfolio 2 &amp; 3'!$F$7+C912*'Portfolio 2 &amp; 3'!$F$8+D912*'Portfolio 2 &amp; 3'!$F$9+E912*'Portfolio 2 &amp; 3'!$F$10+F912*'Portfolio 2 &amp; 3'!$F$11+G912*'Portfolio 2 &amp; 3'!$F$12+H912*'Portfolio 2 &amp; 3'!$F$13+I912*'Portfolio 2 &amp; 3'!$F$14+J912*'Portfolio 2 &amp; 3'!$F$15+K912*'Portfolio 2 &amp; 3'!$F$16</f>
        <v>1.0178185506867792E-2</v>
      </c>
      <c r="R912" s="93">
        <f>B912*'Portfolio 2 &amp; 3'!$B$23+C912*'Portfolio 2 &amp; 3'!$B$24+D912*'Portfolio 2 &amp; 3'!$B$25+E912*'Portfolio 2 &amp; 3'!$B$26+F912*'Portfolio 2 &amp; 3'!$B$27+G912*'Portfolio 2 &amp; 3'!$B$28+H912*'Portfolio 2 &amp; 3'!$B$29+I912*'Portfolio 2 &amp; 3'!$B$30+J912*'Portfolio 2 &amp; 3'!$B$31+K912*'Portfolio 2 &amp; 3'!$B$32</f>
        <v>6.2618904260327065E-3</v>
      </c>
      <c r="S912" s="93">
        <f t="shared" si="44"/>
        <v>1.6034625462947871E-3</v>
      </c>
    </row>
    <row r="913" spans="1:19" ht="12.75" customHeight="1">
      <c r="A913" s="82">
        <v>44741</v>
      </c>
      <c r="B913" s="53">
        <v>4.7199999999999999E-2</v>
      </c>
      <c r="C913" s="53">
        <v>3.2067094227923301E-3</v>
      </c>
      <c r="D913" s="53">
        <v>0</v>
      </c>
      <c r="E913" s="53">
        <v>-7.8100000000000001E-3</v>
      </c>
      <c r="F913" s="53">
        <v>-4.0531097134870499E-3</v>
      </c>
      <c r="G913" s="53">
        <v>-0.50256905936816398</v>
      </c>
      <c r="H913" s="87">
        <v>1.6084585317483101E-2</v>
      </c>
      <c r="I913" s="53">
        <v>-1.70473917490621E-3</v>
      </c>
      <c r="J913" s="53">
        <v>-1.24531686982217E-2</v>
      </c>
      <c r="K913" s="53">
        <v>-1.24929701936209E-2</v>
      </c>
      <c r="L913" s="95">
        <f>IFERROR(B913*'Stock Statistics'!$C$41+C913*'Stock Statistics'!$C$42+D913*'Stock Statistics'!$C$43+E913*'Stock Statistics'!$C$44+F913*'Stock Statistics'!$C$45+G913*'Stock Statistics'!$C$46+H913*'Stock Statistics'!$C$47+I913*'Stock Statistics'!$C$48+J913*'Stock Statistics'!$C$49+K913*'Stock Statistics'!$C$50,"")</f>
        <v>-4.7459175240812439E-2</v>
      </c>
      <c r="M913" s="97">
        <v>222.29429999999999</v>
      </c>
      <c r="N913" s="96">
        <v>274.97120000000001</v>
      </c>
      <c r="O913" s="93">
        <f t="shared" si="42"/>
        <v>1.1759502632939789E-3</v>
      </c>
      <c r="P913" s="93">
        <f t="shared" si="43"/>
        <v>-1.4321084661480521E-2</v>
      </c>
      <c r="Q913" s="93">
        <f>B913*'Portfolio 2 &amp; 3'!$F$7+C913*'Portfolio 2 &amp; 3'!$F$8+D913*'Portfolio 2 &amp; 3'!$F$9+E913*'Portfolio 2 &amp; 3'!$F$10+F913*'Portfolio 2 &amp; 3'!$F$11+G913*'Portfolio 2 &amp; 3'!$F$12+H913*'Portfolio 2 &amp; 3'!$F$13+I913*'Portfolio 2 &amp; 3'!$F$14+J913*'Portfolio 2 &amp; 3'!$F$15+K913*'Portfolio 2 &amp; 3'!$F$16</f>
        <v>-2.5249116695934024E-2</v>
      </c>
      <c r="R913" s="93">
        <f>B913*'Portfolio 2 &amp; 3'!$B$23+C913*'Portfolio 2 &amp; 3'!$B$24+D913*'Portfolio 2 &amp; 3'!$B$25+E913*'Portfolio 2 &amp; 3'!$B$26+F913*'Portfolio 2 &amp; 3'!$B$27+G913*'Portfolio 2 &amp; 3'!$B$28+H913*'Portfolio 2 &amp; 3'!$B$29+I913*'Portfolio 2 &amp; 3'!$B$30+J913*'Portfolio 2 &amp; 3'!$B$31+K913*'Portfolio 2 &amp; 3'!$B$32</f>
        <v>-4.8510029289083614E-2</v>
      </c>
      <c r="S913" s="93">
        <f t="shared" si="44"/>
        <v>-6.572567199093271E-3</v>
      </c>
    </row>
    <row r="914" spans="1:19" ht="12.75" customHeight="1">
      <c r="A914" s="81">
        <v>44740</v>
      </c>
      <c r="B914" s="53">
        <v>7.6E-3</v>
      </c>
      <c r="C914" s="53">
        <v>6.6880773433102298E-3</v>
      </c>
      <c r="D914" s="53">
        <v>4.6874999999999599E-3</v>
      </c>
      <c r="E914" s="53">
        <v>-1.8599999999999998E-2</v>
      </c>
      <c r="F914" s="53">
        <v>1.0878779316191099E-2</v>
      </c>
      <c r="G914" s="53">
        <v>1.6916709777548E-2</v>
      </c>
      <c r="H914" s="87">
        <v>-1.21981776765376E-2</v>
      </c>
      <c r="I914" s="53">
        <v>2.29611114340522E-2</v>
      </c>
      <c r="J914" s="53">
        <v>1.29349510930568E-2</v>
      </c>
      <c r="K914" s="53">
        <v>1.7105657396562501E-2</v>
      </c>
      <c r="L914" s="95">
        <f>IFERROR(B914*'Stock Statistics'!$C$41+C914*'Stock Statistics'!$C$42+D914*'Stock Statistics'!$C$43+E914*'Stock Statistics'!$C$44+F914*'Stock Statistics'!$C$45+G914*'Stock Statistics'!$C$46+H914*'Stock Statistics'!$C$47+I914*'Stock Statistics'!$C$48+J914*'Stock Statistics'!$C$49+K914*'Stock Statistics'!$C$50,"")</f>
        <v>6.8974608684183201E-3</v>
      </c>
      <c r="M914" s="96">
        <v>222.03319999999999</v>
      </c>
      <c r="N914" s="97">
        <v>278.96629999999999</v>
      </c>
      <c r="O914" s="93">
        <f t="shared" si="42"/>
        <v>2.3434174167693556E-3</v>
      </c>
      <c r="P914" s="93">
        <f t="shared" si="43"/>
        <v>-1.3990653340147929E-2</v>
      </c>
      <c r="Q914" s="93">
        <f>B914*'Portfolio 2 &amp; 3'!$F$7+C914*'Portfolio 2 &amp; 3'!$F$8+D914*'Portfolio 2 &amp; 3'!$F$9+E914*'Portfolio 2 &amp; 3'!$F$10+F914*'Portfolio 2 &amp; 3'!$F$11+G914*'Portfolio 2 &amp; 3'!$F$12+H914*'Portfolio 2 &amp; 3'!$F$13+I914*'Portfolio 2 &amp; 3'!$F$14+J914*'Portfolio 2 &amp; 3'!$F$15+K914*'Portfolio 2 &amp; 3'!$F$16</f>
        <v>5.6523697519093022E-3</v>
      </c>
      <c r="R914" s="93">
        <f>B914*'Portfolio 2 &amp; 3'!$B$23+C914*'Portfolio 2 &amp; 3'!$B$24+D914*'Portfolio 2 &amp; 3'!$B$25+E914*'Portfolio 2 &amp; 3'!$B$26+F914*'Portfolio 2 &amp; 3'!$B$27+G914*'Portfolio 2 &amp; 3'!$B$28+H914*'Portfolio 2 &amp; 3'!$B$29+I914*'Portfolio 2 &amp; 3'!$B$30+J914*'Portfolio 2 &amp; 3'!$B$31+K914*'Portfolio 2 &amp; 3'!$B$32</f>
        <v>1.3135171854123062E-2</v>
      </c>
      <c r="S914" s="93">
        <f t="shared" si="44"/>
        <v>-5.8236179616892869E-3</v>
      </c>
    </row>
    <row r="915" spans="1:19" ht="12.75" customHeight="1">
      <c r="A915" s="82">
        <v>44739</v>
      </c>
      <c r="B915" s="53">
        <v>-3.2000000000000002E-3</v>
      </c>
      <c r="C915" s="53">
        <v>7.2535058611662402E-3</v>
      </c>
      <c r="D915" s="53">
        <v>1.9872515935508199E-2</v>
      </c>
      <c r="E915" s="53">
        <v>6.3099999999999996E-3</v>
      </c>
      <c r="F915" s="53">
        <v>1.55653035234171E-3</v>
      </c>
      <c r="G915" s="53">
        <v>2.5586943743301001E-3</v>
      </c>
      <c r="H915" s="87">
        <v>-9.5580537981876401E-4</v>
      </c>
      <c r="I915" s="53">
        <v>1.0039924847346201E-2</v>
      </c>
      <c r="J915" s="53">
        <v>2.13846565089604E-4</v>
      </c>
      <c r="K915" s="53">
        <v>4.0750464938190704E-3</v>
      </c>
      <c r="L915" s="95">
        <f>IFERROR(B915*'Stock Statistics'!$C$41+C915*'Stock Statistics'!$C$42+D915*'Stock Statistics'!$C$43+E915*'Stock Statistics'!$C$44+F915*'Stock Statistics'!$C$45+G915*'Stock Statistics'!$C$46+H915*'Stock Statistics'!$C$47+I915*'Stock Statistics'!$C$48+J915*'Stock Statistics'!$C$49+K915*'Stock Statistics'!$C$50,"")</f>
        <v>4.7724259049782359E-3</v>
      </c>
      <c r="M915" s="97">
        <v>221.51410000000001</v>
      </c>
      <c r="N915" s="96">
        <v>282.9246</v>
      </c>
      <c r="O915" s="93">
        <f t="shared" si="42"/>
        <v>5.4203002089234786E-3</v>
      </c>
      <c r="P915" s="93">
        <f t="shared" si="43"/>
        <v>4.4216983084652828E-3</v>
      </c>
      <c r="Q915" s="93">
        <f>B915*'Portfolio 2 &amp; 3'!$F$7+C915*'Portfolio 2 &amp; 3'!$F$8+D915*'Portfolio 2 &amp; 3'!$F$9+E915*'Portfolio 2 &amp; 3'!$F$10+F915*'Portfolio 2 &amp; 3'!$F$11+G915*'Portfolio 2 &amp; 3'!$F$12+H915*'Portfolio 2 &amp; 3'!$F$13+I915*'Portfolio 2 &amp; 3'!$F$14+J915*'Portfolio 2 &amp; 3'!$F$15+K915*'Portfolio 2 &amp; 3'!$F$16</f>
        <v>4.9461868745949017E-3</v>
      </c>
      <c r="R915" s="93">
        <f>B915*'Portfolio 2 &amp; 3'!$B$23+C915*'Portfolio 2 &amp; 3'!$B$24+D915*'Portfolio 2 &amp; 3'!$B$25+E915*'Portfolio 2 &amp; 3'!$B$26+F915*'Portfolio 2 &amp; 3'!$B$27+G915*'Portfolio 2 &amp; 3'!$B$28+H915*'Portfolio 2 &amp; 3'!$B$29+I915*'Portfolio 2 &amp; 3'!$B$30+J915*'Portfolio 2 &amp; 3'!$B$31+K915*'Portfolio 2 &amp; 3'!$B$32</f>
        <v>4.5607167936259248E-3</v>
      </c>
      <c r="S915" s="93">
        <f t="shared" si="44"/>
        <v>4.9209992586943807E-3</v>
      </c>
    </row>
    <row r="916" spans="1:19" ht="12.75" customHeight="1">
      <c r="A916" s="81">
        <v>44736</v>
      </c>
      <c r="B916" s="53">
        <v>1E-3</v>
      </c>
      <c r="C916" s="53">
        <v>1.08891698272229E-2</v>
      </c>
      <c r="D916" s="53">
        <v>7.8412848370335003E-3</v>
      </c>
      <c r="E916" s="53">
        <v>-7.9000000000000008E-3</v>
      </c>
      <c r="F916" s="53">
        <v>2.0063510392609899E-2</v>
      </c>
      <c r="G916" s="53">
        <v>-4.1492347158377197E-3</v>
      </c>
      <c r="H916" s="87">
        <v>9.1285925891904096E-3</v>
      </c>
      <c r="I916" s="53">
        <v>-6.5908428113152801E-3</v>
      </c>
      <c r="J916" s="53">
        <v>-1.09454314720813E-2</v>
      </c>
      <c r="K916" s="53">
        <v>3.1826163301140699E-3</v>
      </c>
      <c r="L916" s="95">
        <f>IFERROR(B916*'Stock Statistics'!$C$41+C916*'Stock Statistics'!$C$42+D916*'Stock Statistics'!$C$43+E916*'Stock Statistics'!$C$44+F916*'Stock Statistics'!$C$45+G916*'Stock Statistics'!$C$46+H916*'Stock Statistics'!$C$47+I916*'Stock Statistics'!$C$48+J916*'Stock Statistics'!$C$49+K916*'Stock Statistics'!$C$50,"")</f>
        <v>2.2519664976936478E-3</v>
      </c>
      <c r="M916" s="96">
        <v>220.31989999999999</v>
      </c>
      <c r="N916" s="97">
        <v>281.67910000000001</v>
      </c>
      <c r="O916" s="93">
        <f t="shared" si="42"/>
        <v>1.2109301606595624E-2</v>
      </c>
      <c r="P916" s="93">
        <f t="shared" si="43"/>
        <v>4.3294932610482562E-4</v>
      </c>
      <c r="Q916" s="93">
        <f>B916*'Portfolio 2 &amp; 3'!$F$7+C916*'Portfolio 2 &amp; 3'!$F$8+D916*'Portfolio 2 &amp; 3'!$F$9+E916*'Portfolio 2 &amp; 3'!$F$10+F916*'Portfolio 2 &amp; 3'!$F$11+G916*'Portfolio 2 &amp; 3'!$F$12+H916*'Portfolio 2 &amp; 3'!$F$13+I916*'Portfolio 2 &amp; 3'!$F$14+J916*'Portfolio 2 &amp; 3'!$F$15+K916*'Portfolio 2 &amp; 3'!$F$16</f>
        <v>3.0276085175357033E-3</v>
      </c>
      <c r="R916" s="93">
        <f>B916*'Portfolio 2 &amp; 3'!$B$23+C916*'Portfolio 2 &amp; 3'!$B$24+D916*'Portfolio 2 &amp; 3'!$B$25+E916*'Portfolio 2 &amp; 3'!$B$26+F916*'Portfolio 2 &amp; 3'!$B$27+G916*'Portfolio 2 &amp; 3'!$B$28+H916*'Portfolio 2 &amp; 3'!$B$29+I916*'Portfolio 2 &amp; 3'!$B$30+J916*'Portfolio 2 &amp; 3'!$B$31+K916*'Portfolio 2 &amp; 3'!$B$32</f>
        <v>3.5758371872090665E-3</v>
      </c>
      <c r="S916" s="93">
        <f t="shared" si="44"/>
        <v>6.2711254663502247E-3</v>
      </c>
    </row>
    <row r="917" spans="1:19" ht="12.75" customHeight="1">
      <c r="A917" s="82">
        <v>44735</v>
      </c>
      <c r="B917" s="53">
        <v>4.4999999999999997E-3</v>
      </c>
      <c r="C917" s="53">
        <v>-5.3817523387990097E-3</v>
      </c>
      <c r="D917" s="53">
        <v>1.3015599578907E-2</v>
      </c>
      <c r="E917" s="53">
        <v>2.2300000000000002E-3</v>
      </c>
      <c r="F917" s="53">
        <v>1.05017502917153E-2</v>
      </c>
      <c r="G917" s="53">
        <v>-4.3881451516137896E-3</v>
      </c>
      <c r="H917" s="87">
        <v>-7.1707061264506501E-3</v>
      </c>
      <c r="I917" s="53">
        <v>-5.24658971668424E-4</v>
      </c>
      <c r="J917" s="53">
        <v>8.7475997439727705E-3</v>
      </c>
      <c r="K917" s="53">
        <v>9.6259054583731594E-3</v>
      </c>
      <c r="L917" s="95">
        <f>IFERROR(B917*'Stock Statistics'!$C$41+C917*'Stock Statistics'!$C$42+D917*'Stock Statistics'!$C$43+E917*'Stock Statistics'!$C$44+F917*'Stock Statistics'!$C$45+G917*'Stock Statistics'!$C$46+H917*'Stock Statistics'!$C$47+I917*'Stock Statistics'!$C$48+J917*'Stock Statistics'!$C$49+K917*'Stock Statistics'!$C$50,"")</f>
        <v>3.1155592484436358E-3</v>
      </c>
      <c r="M917" s="97">
        <v>217.68389999999999</v>
      </c>
      <c r="N917" s="96">
        <v>281.55720000000002</v>
      </c>
      <c r="O917" s="93">
        <f t="shared" si="42"/>
        <v>-7.7064563110116335E-3</v>
      </c>
      <c r="P917" s="93">
        <f t="shared" si="43"/>
        <v>-1.8163596159794348E-2</v>
      </c>
      <c r="Q917" s="93">
        <f>B917*'Portfolio 2 &amp; 3'!$F$7+C917*'Portfolio 2 &amp; 3'!$F$8+D917*'Portfolio 2 &amp; 3'!$F$9+E917*'Portfolio 2 &amp; 3'!$F$10+F917*'Portfolio 2 &amp; 3'!$F$11+G917*'Portfolio 2 &amp; 3'!$F$12+H917*'Portfolio 2 &amp; 3'!$F$13+I917*'Portfolio 2 &amp; 3'!$F$14+J917*'Portfolio 2 &amp; 3'!$F$15+K917*'Portfolio 2 &amp; 3'!$F$16</f>
        <v>3.3312513679180479E-3</v>
      </c>
      <c r="R917" s="93">
        <f>B917*'Portfolio 2 &amp; 3'!$B$23+C917*'Portfolio 2 &amp; 3'!$B$24+D917*'Portfolio 2 &amp; 3'!$B$25+E917*'Portfolio 2 &amp; 3'!$B$26+F917*'Portfolio 2 &amp; 3'!$B$27+G917*'Portfolio 2 &amp; 3'!$B$28+H917*'Portfolio 2 &amp; 3'!$B$29+I917*'Portfolio 2 &amp; 3'!$B$30+J917*'Portfolio 2 &amp; 3'!$B$31+K917*'Portfolio 2 &amp; 3'!$B$32</f>
        <v>1.6929827772425277E-3</v>
      </c>
      <c r="S917" s="93">
        <f t="shared" si="44"/>
        <v>-1.2935026235402991E-2</v>
      </c>
    </row>
    <row r="918" spans="1:19" ht="12.75" customHeight="1">
      <c r="A918" s="81">
        <v>44734</v>
      </c>
      <c r="B918" s="53">
        <v>-9.1000000000000004E-3</v>
      </c>
      <c r="C918" s="53">
        <v>-1.6456698106984899E-2</v>
      </c>
      <c r="D918" s="53">
        <v>1.8222568700058599E-2</v>
      </c>
      <c r="E918" s="53">
        <v>2.479E-2</v>
      </c>
      <c r="F918" s="53">
        <v>-9.5348165270153808E-3</v>
      </c>
      <c r="G918" s="53">
        <v>1.9823442006817502E-2</v>
      </c>
      <c r="H918" s="87">
        <v>-1.79798807410458E-3</v>
      </c>
      <c r="I918" s="53">
        <v>9.7121666960975402E-3</v>
      </c>
      <c r="J918" s="53">
        <v>7.2529952183957302E-3</v>
      </c>
      <c r="K918" s="53">
        <v>-8.1053976453132597E-3</v>
      </c>
      <c r="L918" s="95">
        <f>IFERROR(B918*'Stock Statistics'!$C$41+C918*'Stock Statistics'!$C$42+D918*'Stock Statistics'!$C$43+E918*'Stock Statistics'!$C$44+F918*'Stock Statistics'!$C$45+G918*'Stock Statistics'!$C$46+H918*'Stock Statistics'!$C$47+I918*'Stock Statistics'!$C$48+J918*'Stock Statistics'!$C$49+K918*'Stock Statistics'!$C$50,"")</f>
        <v>3.4806272267951252E-3</v>
      </c>
      <c r="M918" s="96">
        <v>219.37450000000001</v>
      </c>
      <c r="N918" s="97">
        <v>286.76589999999999</v>
      </c>
      <c r="O918" s="93">
        <f t="shared" si="42"/>
        <v>1.4768588290041018E-2</v>
      </c>
      <c r="P918" s="93">
        <f t="shared" si="43"/>
        <v>-1.0269604999918469E-3</v>
      </c>
      <c r="Q918" s="93">
        <f>B918*'Portfolio 2 &amp; 3'!$F$7+C918*'Portfolio 2 &amp; 3'!$F$8+D918*'Portfolio 2 &amp; 3'!$F$9+E918*'Portfolio 2 &amp; 3'!$F$10+F918*'Portfolio 2 &amp; 3'!$F$11+G918*'Portfolio 2 &amp; 3'!$F$12+H918*'Portfolio 2 &amp; 3'!$F$13+I918*'Portfolio 2 &amp; 3'!$F$14+J918*'Portfolio 2 &amp; 3'!$F$15+K918*'Portfolio 2 &amp; 3'!$F$16</f>
        <v>3.0752412750823877E-3</v>
      </c>
      <c r="R918" s="93">
        <f>B918*'Portfolio 2 &amp; 3'!$B$23+C918*'Portfolio 2 &amp; 3'!$B$24+D918*'Portfolio 2 &amp; 3'!$B$25+E918*'Portfolio 2 &amp; 3'!$B$26+F918*'Portfolio 2 &amp; 3'!$B$27+G918*'Portfolio 2 &amp; 3'!$B$28+H918*'Portfolio 2 &amp; 3'!$B$29+I918*'Portfolio 2 &amp; 3'!$B$30+J918*'Portfolio 2 &amp; 3'!$B$31+K918*'Portfolio 2 &amp; 3'!$B$32</f>
        <v>-1.6200599346070344E-3</v>
      </c>
      <c r="S918" s="93">
        <f t="shared" si="44"/>
        <v>6.8708138950245856E-3</v>
      </c>
    </row>
    <row r="919" spans="1:19" ht="12.75" customHeight="1">
      <c r="A919" s="82">
        <v>44733</v>
      </c>
      <c r="B919" s="53">
        <v>1.6500000000000001E-2</v>
      </c>
      <c r="C919" s="53">
        <v>8.9340675794831199E-3</v>
      </c>
      <c r="D919" s="53">
        <v>-2.62416172611535E-3</v>
      </c>
      <c r="E919" s="53">
        <v>-6.5900000000000004E-3</v>
      </c>
      <c r="F919" s="53">
        <v>3.4678624813154098E-2</v>
      </c>
      <c r="G919" s="53">
        <v>7.1125508353726604E-3</v>
      </c>
      <c r="H919" s="87">
        <v>6.74785477791651E-3</v>
      </c>
      <c r="I919" s="53">
        <v>1.40265011340575E-2</v>
      </c>
      <c r="J919" s="53">
        <v>-1.96460549878857E-2</v>
      </c>
      <c r="K919" s="53">
        <v>5.4982062102237905E-4</v>
      </c>
      <c r="L919" s="95">
        <f>IFERROR(B919*'Stock Statistics'!$C$41+C919*'Stock Statistics'!$C$42+D919*'Stock Statistics'!$C$43+E919*'Stock Statistics'!$C$44+F919*'Stock Statistics'!$C$45+G919*'Stock Statistics'!$C$46+H919*'Stock Statistics'!$C$47+I919*'Stock Statistics'!$C$48+J919*'Stock Statistics'!$C$49+K919*'Stock Statistics'!$C$50,"")</f>
        <v>5.9689203047005217E-3</v>
      </c>
      <c r="M919" s="97">
        <v>216.18180000000001</v>
      </c>
      <c r="N919" s="96">
        <v>287.0607</v>
      </c>
      <c r="O919" s="93">
        <f t="shared" si="42"/>
        <v>4.3825802539974035E-3</v>
      </c>
      <c r="P919" s="93">
        <f t="shared" si="43"/>
        <v>8.8638237483420479E-3</v>
      </c>
      <c r="Q919" s="93">
        <f>B919*'Portfolio 2 &amp; 3'!$F$7+C919*'Portfolio 2 &amp; 3'!$F$8+D919*'Portfolio 2 &amp; 3'!$F$9+E919*'Portfolio 2 &amp; 3'!$F$10+F919*'Portfolio 2 &amp; 3'!$F$11+G919*'Portfolio 2 &amp; 3'!$F$12+H919*'Portfolio 2 &amp; 3'!$F$13+I919*'Portfolio 2 &amp; 3'!$F$14+J919*'Portfolio 2 &amp; 3'!$F$15+K919*'Portfolio 2 &amp; 3'!$F$16</f>
        <v>4.57811239929546E-3</v>
      </c>
      <c r="R919" s="93">
        <f>B919*'Portfolio 2 &amp; 3'!$B$23+C919*'Portfolio 2 &amp; 3'!$B$24+D919*'Portfolio 2 &amp; 3'!$B$25+E919*'Portfolio 2 &amp; 3'!$B$26+F919*'Portfolio 2 &amp; 3'!$B$27+G919*'Portfolio 2 &amp; 3'!$B$28+H919*'Portfolio 2 &amp; 3'!$B$29+I919*'Portfolio 2 &amp; 3'!$B$30+J919*'Portfolio 2 &amp; 3'!$B$31+K919*'Portfolio 2 &amp; 3'!$B$32</f>
        <v>1.3217461456640574E-2</v>
      </c>
      <c r="S919" s="93">
        <f t="shared" si="44"/>
        <v>6.6232020011697257E-3</v>
      </c>
    </row>
    <row r="920" spans="1:19" ht="12.75" customHeight="1">
      <c r="A920" s="81">
        <v>44732</v>
      </c>
      <c r="B920" s="53">
        <v>-4.5999999999999999E-3</v>
      </c>
      <c r="C920" s="53">
        <v>-9.5898762543459304E-3</v>
      </c>
      <c r="D920" s="53">
        <v>-1.32348710079601E-2</v>
      </c>
      <c r="E920" s="53">
        <v>-1.32E-2</v>
      </c>
      <c r="F920" s="53">
        <v>-3.57462019660404E-3</v>
      </c>
      <c r="G920" s="53">
        <v>-1.51538794971824E-2</v>
      </c>
      <c r="H920" s="87">
        <v>-2.3430713665248998E-3</v>
      </c>
      <c r="I920" s="53">
        <v>2.2732711174924302E-3</v>
      </c>
      <c r="J920" s="53">
        <v>3.49978194505014E-2</v>
      </c>
      <c r="K920" s="53">
        <v>1.9694799471132699E-3</v>
      </c>
      <c r="L920" s="95">
        <f>IFERROR(B920*'Stock Statistics'!$C$41+C920*'Stock Statistics'!$C$42+D920*'Stock Statistics'!$C$43+E920*'Stock Statistics'!$C$44+F920*'Stock Statistics'!$C$45+G920*'Stock Statistics'!$C$46+H920*'Stock Statistics'!$C$47+I920*'Stock Statistics'!$C$48+J920*'Stock Statistics'!$C$49+K920*'Stock Statistics'!$C$50,"")</f>
        <v>-2.2455747807510269E-3</v>
      </c>
      <c r="M920" s="96">
        <v>215.23849999999999</v>
      </c>
      <c r="N920" s="97">
        <v>284.53859999999997</v>
      </c>
      <c r="O920" s="93">
        <f t="shared" si="42"/>
        <v>-1.1898252906046625E-2</v>
      </c>
      <c r="P920" s="93">
        <f t="shared" si="43"/>
        <v>1.7172984550650749E-3</v>
      </c>
      <c r="Q920" s="93">
        <f>B920*'Portfolio 2 &amp; 3'!$F$7+C920*'Portfolio 2 &amp; 3'!$F$8+D920*'Portfolio 2 &amp; 3'!$F$9+E920*'Portfolio 2 &amp; 3'!$F$10+F920*'Portfolio 2 &amp; 3'!$F$11+G920*'Portfolio 2 &amp; 3'!$F$12+H920*'Portfolio 2 &amp; 3'!$F$13+I920*'Portfolio 2 &amp; 3'!$F$14+J920*'Portfolio 2 &amp; 3'!$F$15+K920*'Portfolio 2 &amp; 3'!$F$16</f>
        <v>-1.0087797689902722E-4</v>
      </c>
      <c r="R920" s="93">
        <f>B920*'Portfolio 2 &amp; 3'!$B$23+C920*'Portfolio 2 &amp; 3'!$B$24+D920*'Portfolio 2 &amp; 3'!$B$25+E920*'Portfolio 2 &amp; 3'!$B$26+F920*'Portfolio 2 &amp; 3'!$B$27+G920*'Portfolio 2 &amp; 3'!$B$28+H920*'Portfolio 2 &amp; 3'!$B$29+I920*'Portfolio 2 &amp; 3'!$B$30+J920*'Portfolio 2 &amp; 3'!$B$31+K920*'Portfolio 2 &amp; 3'!$B$32</f>
        <v>-2.9676041221789878E-3</v>
      </c>
      <c r="S920" s="93">
        <f t="shared" si="44"/>
        <v>-5.0904772254907749E-3</v>
      </c>
    </row>
    <row r="921" spans="1:19" ht="12.75" customHeight="1">
      <c r="A921" s="82">
        <v>44729</v>
      </c>
      <c r="B921" s="53">
        <v>-2.5000000000000001E-3</v>
      </c>
      <c r="C921" s="53">
        <v>1.8271812080536701E-2</v>
      </c>
      <c r="D921" s="53">
        <v>1.91846522781924E-4</v>
      </c>
      <c r="E921" s="53">
        <v>1.3520000000000001E-2</v>
      </c>
      <c r="F921" s="53">
        <v>-2.1853146853146901E-2</v>
      </c>
      <c r="G921" s="53">
        <v>7.3707927968840199E-3</v>
      </c>
      <c r="H921" s="87">
        <v>1.2509981368112899E-2</v>
      </c>
      <c r="I921" s="53">
        <v>7.7164215095248999E-3</v>
      </c>
      <c r="J921" s="53">
        <v>-3.2132116287658899E-2</v>
      </c>
      <c r="K921" s="53">
        <v>1.3130171487574499E-2</v>
      </c>
      <c r="L921" s="95">
        <f>IFERROR(B921*'Stock Statistics'!$C$41+C921*'Stock Statistics'!$C$42+D921*'Stock Statistics'!$C$43+E921*'Stock Statistics'!$C$44+F921*'Stock Statistics'!$C$45+G921*'Stock Statistics'!$C$46+H921*'Stock Statistics'!$C$47+I921*'Stock Statistics'!$C$48+J921*'Stock Statistics'!$C$49+K921*'Stock Statistics'!$C$50,"")</f>
        <v>1.6225762624609143E-3</v>
      </c>
      <c r="M921" s="97">
        <v>217.83029999999999</v>
      </c>
      <c r="N921" s="96">
        <v>284.05079999999998</v>
      </c>
      <c r="O921" s="93">
        <f t="shared" si="42"/>
        <v>-1.2607672213214571E-2</v>
      </c>
      <c r="P921" s="93">
        <f t="shared" si="43"/>
        <v>-7.2437277062974426E-3</v>
      </c>
      <c r="Q921" s="93">
        <f>B921*'Portfolio 2 &amp; 3'!$F$7+C921*'Portfolio 2 &amp; 3'!$F$8+D921*'Portfolio 2 &amp; 3'!$F$9+E921*'Portfolio 2 &amp; 3'!$F$10+F921*'Portfolio 2 &amp; 3'!$F$11+G921*'Portfolio 2 &amp; 3'!$F$12+H921*'Portfolio 2 &amp; 3'!$F$13+I921*'Portfolio 2 &amp; 3'!$F$14+J921*'Portfolio 2 &amp; 3'!$F$15+K921*'Portfolio 2 &amp; 3'!$F$16</f>
        <v>-1.7294489717999822E-4</v>
      </c>
      <c r="R921" s="93">
        <f>B921*'Portfolio 2 &amp; 3'!$B$23+C921*'Portfolio 2 &amp; 3'!$B$24+D921*'Portfolio 2 &amp; 3'!$B$25+E921*'Portfolio 2 &amp; 3'!$B$26+F921*'Portfolio 2 &amp; 3'!$B$27+G921*'Portfolio 2 &amp; 3'!$B$28+H921*'Portfolio 2 &amp; 3'!$B$29+I921*'Portfolio 2 &amp; 3'!$B$30+J921*'Portfolio 2 &amp; 3'!$B$31+K921*'Portfolio 2 &amp; 3'!$B$32</f>
        <v>2.873126226312213E-3</v>
      </c>
      <c r="S921" s="93">
        <f t="shared" si="44"/>
        <v>-9.9256999597560069E-3</v>
      </c>
    </row>
    <row r="922" spans="1:19" ht="12.75" customHeight="1">
      <c r="A922" s="81">
        <v>44728</v>
      </c>
      <c r="B922" s="53">
        <v>2.5000000000000001E-3</v>
      </c>
      <c r="C922" s="53">
        <v>-3.1114868160093598E-2</v>
      </c>
      <c r="D922" s="53">
        <v>-9.9715099715099696E-3</v>
      </c>
      <c r="E922" s="53">
        <v>-5.5999999999999995E-4</v>
      </c>
      <c r="F922" s="53">
        <v>-2.6797107613781301E-2</v>
      </c>
      <c r="G922" s="53">
        <v>-2.30025267927159E-3</v>
      </c>
      <c r="H922" s="87">
        <v>2.5292077082827999E-3</v>
      </c>
      <c r="I922" s="53">
        <v>1.80886343080999E-4</v>
      </c>
      <c r="J922" s="53">
        <v>2.6981271823087699E-3</v>
      </c>
      <c r="K922" s="53">
        <v>-8.3299893453624395E-3</v>
      </c>
      <c r="L922" s="95">
        <f>IFERROR(B922*'Stock Statistics'!$C$41+C922*'Stock Statistics'!$C$42+D922*'Stock Statistics'!$C$43+E922*'Stock Statistics'!$C$44+F922*'Stock Statistics'!$C$45+G922*'Stock Statistics'!$C$46+H922*'Stock Statistics'!$C$47+I922*'Stock Statistics'!$C$48+J922*'Stock Statistics'!$C$49+K922*'Stock Statistics'!$C$50,"")</f>
        <v>-7.1165506536346318E-3</v>
      </c>
      <c r="M922" s="96">
        <v>220.61170000000001</v>
      </c>
      <c r="N922" s="97">
        <v>286.1234</v>
      </c>
      <c r="O922" s="93">
        <f t="shared" si="42"/>
        <v>5.3674477826808342E-3</v>
      </c>
      <c r="P922" s="93">
        <f t="shared" si="43"/>
        <v>2.204599746404412E-3</v>
      </c>
      <c r="Q922" s="93">
        <f>B922*'Portfolio 2 &amp; 3'!$F$7+C922*'Portfolio 2 &amp; 3'!$F$8+D922*'Portfolio 2 &amp; 3'!$F$9+E922*'Portfolio 2 &amp; 3'!$F$10+F922*'Portfolio 2 &amp; 3'!$F$11+G922*'Portfolio 2 &amp; 3'!$F$12+H922*'Portfolio 2 &amp; 3'!$F$13+I922*'Portfolio 2 &amp; 3'!$F$14+J922*'Portfolio 2 &amp; 3'!$F$15+K922*'Portfolio 2 &amp; 3'!$F$16</f>
        <v>-6.9418060949695461E-3</v>
      </c>
      <c r="R922" s="93">
        <f>B922*'Portfolio 2 &amp; 3'!$B$23+C922*'Portfolio 2 &amp; 3'!$B$24+D922*'Portfolio 2 &amp; 3'!$B$25+E922*'Portfolio 2 &amp; 3'!$B$26+F922*'Portfolio 2 &amp; 3'!$B$27+G922*'Portfolio 2 &amp; 3'!$B$28+H922*'Portfolio 2 &amp; 3'!$B$29+I922*'Portfolio 2 &amp; 3'!$B$30+J922*'Portfolio 2 &amp; 3'!$B$31+K922*'Portfolio 2 &amp; 3'!$B$32</f>
        <v>-1.0714180104538515E-2</v>
      </c>
      <c r="S922" s="93">
        <f t="shared" si="44"/>
        <v>3.7860237645426231E-3</v>
      </c>
    </row>
    <row r="923" spans="1:19" ht="12.75" customHeight="1">
      <c r="A923" s="82">
        <v>44727</v>
      </c>
      <c r="B923" s="53">
        <v>9.7000000000000003E-3</v>
      </c>
      <c r="C923" s="53">
        <v>-1.36296581361042E-2</v>
      </c>
      <c r="D923" s="53">
        <v>1.7391304347826E-2</v>
      </c>
      <c r="E923" s="53">
        <v>-6.94E-3</v>
      </c>
      <c r="F923" s="53">
        <v>2.4161455372369001E-3</v>
      </c>
      <c r="G923" s="53">
        <v>4.8504587798556802E-3</v>
      </c>
      <c r="H923" s="87">
        <v>3.4343058045589502E-3</v>
      </c>
      <c r="I923" s="53">
        <v>-1.62533108596197E-3</v>
      </c>
      <c r="J923" s="53">
        <v>1.3675122003539399E-2</v>
      </c>
      <c r="K923" s="53">
        <v>-1.6333419537492001E-2</v>
      </c>
      <c r="L923" s="95">
        <f>IFERROR(B923*'Stock Statistics'!$C$41+C923*'Stock Statistics'!$C$42+D923*'Stock Statistics'!$C$43+E923*'Stock Statistics'!$C$44+F923*'Stock Statistics'!$C$45+G923*'Stock Statistics'!$C$46+H923*'Stock Statistics'!$C$47+I923*'Stock Statistics'!$C$48+J923*'Stock Statistics'!$C$49+K923*'Stock Statistics'!$C$50,"")</f>
        <v>1.2938927713458757E-3</v>
      </c>
      <c r="M923" s="97">
        <v>219.43389999999999</v>
      </c>
      <c r="N923" s="96">
        <v>285.49400000000003</v>
      </c>
      <c r="O923" s="93">
        <f t="shared" si="42"/>
        <v>-6.0255175887735657E-4</v>
      </c>
      <c r="P923" s="93">
        <f t="shared" si="43"/>
        <v>-7.5276524945820933E-3</v>
      </c>
      <c r="Q923" s="93">
        <f>B923*'Portfolio 2 &amp; 3'!$F$7+C923*'Portfolio 2 &amp; 3'!$F$8+D923*'Portfolio 2 &amp; 3'!$F$9+E923*'Portfolio 2 &amp; 3'!$F$10+F923*'Portfolio 2 &amp; 3'!$F$11+G923*'Portfolio 2 &amp; 3'!$F$12+H923*'Portfolio 2 &amp; 3'!$F$13+I923*'Portfolio 2 &amp; 3'!$F$14+J923*'Portfolio 2 &amp; 3'!$F$15+K923*'Portfolio 2 &amp; 3'!$F$16</f>
        <v>2.778926449960042E-3</v>
      </c>
      <c r="R923" s="93">
        <f>B923*'Portfolio 2 &amp; 3'!$B$23+C923*'Portfolio 2 &amp; 3'!$B$24+D923*'Portfolio 2 &amp; 3'!$B$25+E923*'Portfolio 2 &amp; 3'!$B$26+F923*'Portfolio 2 &amp; 3'!$B$27+G923*'Portfolio 2 &amp; 3'!$B$28+H923*'Portfolio 2 &amp; 3'!$B$29+I923*'Portfolio 2 &amp; 3'!$B$30+J923*'Portfolio 2 &amp; 3'!$B$31+K923*'Portfolio 2 &amp; 3'!$B$32</f>
        <v>-1.4527664097749888E-3</v>
      </c>
      <c r="S923" s="93">
        <f t="shared" si="44"/>
        <v>-4.0651021267297249E-3</v>
      </c>
    </row>
    <row r="924" spans="1:19" ht="12.75" customHeight="1">
      <c r="A924" s="81">
        <v>44726</v>
      </c>
      <c r="B924" s="53">
        <v>-9.4000000000000004E-3</v>
      </c>
      <c r="C924" s="53">
        <v>6.4066357900172096E-3</v>
      </c>
      <c r="D924" s="53">
        <v>-1.9286403085824199E-3</v>
      </c>
      <c r="E924" s="53">
        <v>2.1690000000000001E-2</v>
      </c>
      <c r="F924" s="53">
        <v>1.42146410803123E-4</v>
      </c>
      <c r="G924" s="53">
        <v>1.3253845744397599E-2</v>
      </c>
      <c r="H924" s="87">
        <v>7.9795348400573101E-3</v>
      </c>
      <c r="I924" s="53">
        <v>-9.6578037438893594E-3</v>
      </c>
      <c r="J924" s="53">
        <v>-1.44586055478202E-3</v>
      </c>
      <c r="K924" s="53">
        <v>-2.0510730779680401E-3</v>
      </c>
      <c r="L924" s="95">
        <f>IFERROR(B924*'Stock Statistics'!$C$41+C924*'Stock Statistics'!$C$42+D924*'Stock Statistics'!$C$43+E924*'Stock Statistics'!$C$44+F924*'Stock Statistics'!$C$45+G924*'Stock Statistics'!$C$46+H924*'Stock Statistics'!$C$47+I924*'Stock Statistics'!$C$48+J924*'Stock Statistics'!$C$49+K924*'Stock Statistics'!$C$50,"")</f>
        <v>2.4988785100053409E-3</v>
      </c>
      <c r="M924" s="96">
        <v>219.56620000000001</v>
      </c>
      <c r="N924" s="97">
        <v>287.65940000000001</v>
      </c>
      <c r="O924" s="93">
        <f t="shared" si="42"/>
        <v>-1.6929239798287199E-2</v>
      </c>
      <c r="P924" s="93">
        <f t="shared" si="43"/>
        <v>3.4622064842506628E-3</v>
      </c>
      <c r="Q924" s="93">
        <f>B924*'Portfolio 2 &amp; 3'!$F$7+C924*'Portfolio 2 &amp; 3'!$F$8+D924*'Portfolio 2 &amp; 3'!$F$9+E924*'Portfolio 2 &amp; 3'!$F$10+F924*'Portfolio 2 &amp; 3'!$F$11+G924*'Portfolio 2 &amp; 3'!$F$12+H924*'Portfolio 2 &amp; 3'!$F$13+I924*'Portfolio 2 &amp; 3'!$F$14+J924*'Portfolio 2 &amp; 3'!$F$15+K924*'Portfolio 2 &amp; 3'!$F$16</f>
        <v>2.166853160445072E-3</v>
      </c>
      <c r="R924" s="93">
        <f>B924*'Portfolio 2 &amp; 3'!$B$23+C924*'Portfolio 2 &amp; 3'!$B$24+D924*'Portfolio 2 &amp; 3'!$B$25+E924*'Portfolio 2 &amp; 3'!$B$26+F924*'Portfolio 2 &amp; 3'!$B$27+G924*'Portfolio 2 &amp; 3'!$B$28+H924*'Portfolio 2 &amp; 3'!$B$29+I924*'Portfolio 2 &amp; 3'!$B$30+J924*'Portfolio 2 &amp; 3'!$B$31+K924*'Portfolio 2 &amp; 3'!$B$32</f>
        <v>-1.0255323501568579E-3</v>
      </c>
      <c r="S924" s="93">
        <f t="shared" si="44"/>
        <v>-6.7335166570182681E-3</v>
      </c>
    </row>
    <row r="925" spans="1:19" ht="12.75" customHeight="1">
      <c r="A925" s="82">
        <v>44725</v>
      </c>
      <c r="B925" s="53">
        <v>-1.5800000000000002E-2</v>
      </c>
      <c r="C925" s="53">
        <v>1.54030183361462E-2</v>
      </c>
      <c r="D925" s="53">
        <v>-2.91171238648066E-2</v>
      </c>
      <c r="E925" s="53">
        <v>-2.6509999999999999E-2</v>
      </c>
      <c r="F925" s="53">
        <v>-1.9921983839509601E-2</v>
      </c>
      <c r="G925" s="53">
        <v>-1.9655758606034199E-3</v>
      </c>
      <c r="H925" s="87">
        <v>-1.81556229721336E-3</v>
      </c>
      <c r="I925" s="53">
        <v>1.21892348539705E-2</v>
      </c>
      <c r="J925" s="53">
        <v>3.7499330369095097E-4</v>
      </c>
      <c r="K925" s="53">
        <v>4.0094918582767002E-3</v>
      </c>
      <c r="L925" s="95">
        <f>IFERROR(B925*'Stock Statistics'!$C$41+C925*'Stock Statistics'!$C$42+D925*'Stock Statistics'!$C$43+E925*'Stock Statistics'!$C$44+F925*'Stock Statistics'!$C$45+G925*'Stock Statistics'!$C$46+H925*'Stock Statistics'!$C$47+I925*'Stock Statistics'!$C$48+J925*'Stock Statistics'!$C$49+K925*'Stock Statistics'!$C$50,"")</f>
        <v>-6.3153507510048642E-3</v>
      </c>
      <c r="M925" s="97">
        <v>223.34729999999999</v>
      </c>
      <c r="N925" s="96">
        <v>286.6669</v>
      </c>
      <c r="O925" s="93">
        <f t="shared" si="42"/>
        <v>-3.4517084305837331E-3</v>
      </c>
      <c r="P925" s="93">
        <f t="shared" si="43"/>
        <v>-9.6815069226661166E-3</v>
      </c>
      <c r="Q925" s="93">
        <f>B925*'Portfolio 2 &amp; 3'!$F$7+C925*'Portfolio 2 &amp; 3'!$F$8+D925*'Portfolio 2 &amp; 3'!$F$9+E925*'Portfolio 2 &amp; 3'!$F$10+F925*'Portfolio 2 &amp; 3'!$F$11+G925*'Portfolio 2 &amp; 3'!$F$12+H925*'Portfolio 2 &amp; 3'!$F$13+I925*'Portfolio 2 &amp; 3'!$F$14+J925*'Portfolio 2 &amp; 3'!$F$15+K925*'Portfolio 2 &amp; 3'!$F$16</f>
        <v>-6.4221818199242048E-3</v>
      </c>
      <c r="R925" s="93">
        <f>B925*'Portfolio 2 &amp; 3'!$B$23+C925*'Portfolio 2 &amp; 3'!$B$24+D925*'Portfolio 2 &amp; 3'!$B$25+E925*'Portfolio 2 &amp; 3'!$B$26+F925*'Portfolio 2 &amp; 3'!$B$27+G925*'Portfolio 2 &amp; 3'!$B$28+H925*'Portfolio 2 &amp; 3'!$B$29+I925*'Portfolio 2 &amp; 3'!$B$30+J925*'Portfolio 2 &amp; 3'!$B$31+K925*'Portfolio 2 &amp; 3'!$B$32</f>
        <v>4.6911823695442936E-4</v>
      </c>
      <c r="S925" s="93">
        <f t="shared" si="44"/>
        <v>-6.5666076766249248E-3</v>
      </c>
    </row>
    <row r="926" spans="1:19" ht="12.75" customHeight="1">
      <c r="A926" s="81">
        <v>44722</v>
      </c>
      <c r="B926" s="53">
        <v>7.4000000000000003E-3</v>
      </c>
      <c r="C926" s="53">
        <v>-1.60109642050952E-2</v>
      </c>
      <c r="D926" s="53">
        <v>4.7670426679744998E-2</v>
      </c>
      <c r="E926" s="53">
        <v>3.2539999999999999E-2</v>
      </c>
      <c r="F926" s="53">
        <v>-6.7801300678014299E-3</v>
      </c>
      <c r="G926" s="53">
        <v>2.06951398051585E-2</v>
      </c>
      <c r="H926" s="87">
        <v>2.8144419288019602E-2</v>
      </c>
      <c r="I926" s="53">
        <v>-8.4365464010051107E-3</v>
      </c>
      <c r="J926" s="53">
        <v>1.7940887774021301E-2</v>
      </c>
      <c r="K926" s="53">
        <v>1.8529836648516498E-2</v>
      </c>
      <c r="L926" s="95">
        <f>IFERROR(B926*'Stock Statistics'!$C$41+C926*'Stock Statistics'!$C$42+D926*'Stock Statistics'!$C$43+E926*'Stock Statistics'!$C$44+F926*'Stock Statistics'!$C$45+G926*'Stock Statistics'!$C$46+H926*'Stock Statistics'!$C$47+I926*'Stock Statistics'!$C$48+J926*'Stock Statistics'!$C$49+K926*'Stock Statistics'!$C$50,"")</f>
        <v>1.4169306952155914E-2</v>
      </c>
      <c r="M926" s="96">
        <v>224.12090000000001</v>
      </c>
      <c r="N926" s="97">
        <v>289.46940000000001</v>
      </c>
      <c r="O926" s="93">
        <f t="shared" si="42"/>
        <v>6.7523831213780472E-3</v>
      </c>
      <c r="P926" s="93">
        <f t="shared" si="43"/>
        <v>-6.5008142749519715E-3</v>
      </c>
      <c r="Q926" s="93">
        <f>B926*'Portfolio 2 &amp; 3'!$F$7+C926*'Portfolio 2 &amp; 3'!$F$8+D926*'Portfolio 2 &amp; 3'!$F$9+E926*'Portfolio 2 &amp; 3'!$F$10+F926*'Portfolio 2 &amp; 3'!$F$11+G926*'Portfolio 2 &amp; 3'!$F$12+H926*'Portfolio 2 &amp; 3'!$F$13+I926*'Portfolio 2 &amp; 3'!$F$14+J926*'Portfolio 2 &amp; 3'!$F$15+K926*'Portfolio 2 &amp; 3'!$F$16</f>
        <v>1.6052756732947589E-2</v>
      </c>
      <c r="R926" s="93">
        <f>B926*'Portfolio 2 &amp; 3'!$B$23+C926*'Portfolio 2 &amp; 3'!$B$24+D926*'Portfolio 2 &amp; 3'!$B$25+E926*'Portfolio 2 &amp; 3'!$B$26+F926*'Portfolio 2 &amp; 3'!$B$27+G926*'Portfolio 2 &amp; 3'!$B$28+H926*'Portfolio 2 &amp; 3'!$B$29+I926*'Portfolio 2 &amp; 3'!$B$30+J926*'Portfolio 2 &amp; 3'!$B$31+K926*'Portfolio 2 &amp; 3'!$B$32</f>
        <v>5.6569842469236125E-4</v>
      </c>
      <c r="S926" s="93">
        <f t="shared" si="44"/>
        <v>1.2578442321303784E-4</v>
      </c>
    </row>
    <row r="927" spans="1:19" ht="12.75" customHeight="1">
      <c r="A927" s="82">
        <v>44721</v>
      </c>
      <c r="B927" s="53">
        <v>4.7999999999999996E-3</v>
      </c>
      <c r="C927" s="53">
        <v>9.2265633899077902E-3</v>
      </c>
      <c r="D927" s="53">
        <v>-1.16335433834222E-2</v>
      </c>
      <c r="E927" s="53">
        <v>1.4630000000000001E-2</v>
      </c>
      <c r="F927" s="53">
        <v>6.1255742725880901E-3</v>
      </c>
      <c r="G927" s="53">
        <v>3.06392545052381E-3</v>
      </c>
      <c r="H927" s="87">
        <v>1.22989365037274E-3</v>
      </c>
      <c r="I927" s="53">
        <v>1.3400436575309101E-2</v>
      </c>
      <c r="J927" s="53">
        <v>-2.2703048390535201E-2</v>
      </c>
      <c r="K927" s="53">
        <v>2.7781636338319901E-5</v>
      </c>
      <c r="L927" s="95">
        <f>IFERROR(B927*'Stock Statistics'!$C$41+C927*'Stock Statistics'!$C$42+D927*'Stock Statistics'!$C$43+E927*'Stock Statistics'!$C$44+F927*'Stock Statistics'!$C$45+G927*'Stock Statistics'!$C$46+H927*'Stock Statistics'!$C$47+I927*'Stock Statistics'!$C$48+J927*'Stock Statistics'!$C$49+K927*'Stock Statistics'!$C$50,"")</f>
        <v>1.8167583201082449E-3</v>
      </c>
      <c r="M927" s="97">
        <v>222.61770000000001</v>
      </c>
      <c r="N927" s="96">
        <v>291.36349999999999</v>
      </c>
      <c r="O927" s="93">
        <f t="shared" si="42"/>
        <v>-2.5114460104077585E-3</v>
      </c>
      <c r="P927" s="93">
        <f t="shared" si="43"/>
        <v>3.5618163368917877E-3</v>
      </c>
      <c r="Q927" s="93">
        <f>B927*'Portfolio 2 &amp; 3'!$F$7+C927*'Portfolio 2 &amp; 3'!$F$8+D927*'Portfolio 2 &amp; 3'!$F$9+E927*'Portfolio 2 &amp; 3'!$F$10+F927*'Portfolio 2 &amp; 3'!$F$11+G927*'Portfolio 2 &amp; 3'!$F$12+H927*'Portfolio 2 &amp; 3'!$F$13+I927*'Portfolio 2 &amp; 3'!$F$14+J927*'Portfolio 2 &amp; 3'!$F$15+K927*'Portfolio 2 &amp; 3'!$F$16</f>
        <v>-4.3600974541883176E-4</v>
      </c>
      <c r="R927" s="93">
        <f>B927*'Portfolio 2 &amp; 3'!$B$23+C927*'Portfolio 2 &amp; 3'!$B$24+D927*'Portfolio 2 &amp; 3'!$B$25+E927*'Portfolio 2 &amp; 3'!$B$26+F927*'Portfolio 2 &amp; 3'!$B$27+G927*'Portfolio 2 &amp; 3'!$B$28+H927*'Portfolio 2 &amp; 3'!$B$29+I927*'Portfolio 2 &amp; 3'!$B$30+J927*'Portfolio 2 &amp; 3'!$B$31+K927*'Portfolio 2 &amp; 3'!$B$32</f>
        <v>6.1959570316800156E-3</v>
      </c>
      <c r="S927" s="93">
        <f t="shared" si="44"/>
        <v>5.2518516324201459E-4</v>
      </c>
    </row>
    <row r="928" spans="1:19" ht="12.75" customHeight="1">
      <c r="A928" s="81">
        <v>44720</v>
      </c>
      <c r="B928" s="53">
        <v>1.26E-2</v>
      </c>
      <c r="C928" s="53">
        <v>-7.0288262668045699E-3</v>
      </c>
      <c r="D928" s="53">
        <v>-1.3296345896307699E-2</v>
      </c>
      <c r="E928" s="53">
        <v>-4.0000000000000001E-3</v>
      </c>
      <c r="F928" s="53">
        <v>5.5998880022398697E-3</v>
      </c>
      <c r="G928" s="53">
        <v>-1.4701416552044501E-2</v>
      </c>
      <c r="H928" s="87">
        <v>-3.28396501457726E-2</v>
      </c>
      <c r="I928" s="53">
        <v>-3.6368044611467798E-4</v>
      </c>
      <c r="J928" s="53">
        <v>1.33390938056921E-2</v>
      </c>
      <c r="K928" s="53">
        <v>1.8663949852131701E-2</v>
      </c>
      <c r="L928" s="95">
        <f>IFERROR(B928*'Stock Statistics'!$C$41+C928*'Stock Statistics'!$C$42+D928*'Stock Statistics'!$C$43+E928*'Stock Statistics'!$C$44+F928*'Stock Statistics'!$C$45+G928*'Stock Statistics'!$C$46+H928*'Stock Statistics'!$C$47+I928*'Stock Statistics'!$C$48+J928*'Stock Statistics'!$C$49+K928*'Stock Statistics'!$C$50,"")</f>
        <v>-2.2026987646980379E-3</v>
      </c>
      <c r="M928" s="96">
        <v>223.1782</v>
      </c>
      <c r="N928" s="97">
        <v>290.32940000000002</v>
      </c>
      <c r="O928" s="93">
        <f t="shared" si="42"/>
        <v>-8.3163815297769839E-3</v>
      </c>
      <c r="P928" s="93">
        <f t="shared" si="43"/>
        <v>7.5305542696160188E-3</v>
      </c>
      <c r="Q928" s="93">
        <f>B928*'Portfolio 2 &amp; 3'!$F$7+C928*'Portfolio 2 &amp; 3'!$F$8+D928*'Portfolio 2 &amp; 3'!$F$9+E928*'Portfolio 2 &amp; 3'!$F$10+F928*'Portfolio 2 &amp; 3'!$F$11+G928*'Portfolio 2 &amp; 3'!$F$12+H928*'Portfolio 2 &amp; 3'!$F$13+I928*'Portfolio 2 &amp; 3'!$F$14+J928*'Portfolio 2 &amp; 3'!$F$15+K928*'Portfolio 2 &amp; 3'!$F$16</f>
        <v>-4.1241694768794452E-3</v>
      </c>
      <c r="R928" s="93">
        <f>B928*'Portfolio 2 &amp; 3'!$B$23+C928*'Portfolio 2 &amp; 3'!$B$24+D928*'Portfolio 2 &amp; 3'!$B$25+E928*'Portfolio 2 &amp; 3'!$B$26+F928*'Portfolio 2 &amp; 3'!$B$27+G928*'Portfolio 2 &amp; 3'!$B$28+H928*'Portfolio 2 &amp; 3'!$B$29+I928*'Portfolio 2 &amp; 3'!$B$30+J928*'Portfolio 2 &amp; 3'!$B$31+K928*'Portfolio 2 &amp; 3'!$B$32</f>
        <v>4.6488549140238792E-4</v>
      </c>
      <c r="S928" s="93">
        <f t="shared" si="44"/>
        <v>-3.9291363008048252E-4</v>
      </c>
    </row>
    <row r="929" spans="1:19" ht="12.75" customHeight="1">
      <c r="A929" s="82">
        <v>44719</v>
      </c>
      <c r="B929" s="53">
        <v>3.2000000000000002E-3</v>
      </c>
      <c r="C929" s="53">
        <v>-1.2966300377984401E-2</v>
      </c>
      <c r="D929" s="53">
        <v>-2.997123503758E-2</v>
      </c>
      <c r="E929" s="53">
        <v>-2.0310000000000002E-2</v>
      </c>
      <c r="F929" s="53">
        <v>-2.0701946805593702E-2</v>
      </c>
      <c r="G929" s="53">
        <v>-6.6365007541477903E-3</v>
      </c>
      <c r="H929" s="87">
        <v>-1.10713873832314E-2</v>
      </c>
      <c r="I929" s="53">
        <v>1.9275917459532901E-2</v>
      </c>
      <c r="J929" s="53">
        <v>1.2134462968024E-2</v>
      </c>
      <c r="K929" s="53">
        <v>1.48192822987121E-2</v>
      </c>
      <c r="L929" s="95">
        <f>IFERROR(B929*'Stock Statistics'!$C$41+C929*'Stock Statistics'!$C$42+D929*'Stock Statistics'!$C$43+E929*'Stock Statistics'!$C$44+F929*'Stock Statistics'!$C$45+G929*'Stock Statistics'!$C$46+H929*'Stock Statistics'!$C$47+I929*'Stock Statistics'!$C$48+J929*'Stock Statistics'!$C$49+K929*'Stock Statistics'!$C$50,"")</f>
        <v>-5.2227707632268279E-3</v>
      </c>
      <c r="M929" s="97">
        <v>225.0498</v>
      </c>
      <c r="N929" s="96">
        <v>288.15940000000001</v>
      </c>
      <c r="O929" s="93">
        <f t="shared" si="42"/>
        <v>-2.0035993707534505E-4</v>
      </c>
      <c r="P929" s="93">
        <f t="shared" si="43"/>
        <v>9.7753861831209043E-3</v>
      </c>
      <c r="Q929" s="93">
        <f>B929*'Portfolio 2 &amp; 3'!$F$7+C929*'Portfolio 2 &amp; 3'!$F$8+D929*'Portfolio 2 &amp; 3'!$F$9+E929*'Portfolio 2 &amp; 3'!$F$10+F929*'Portfolio 2 &amp; 3'!$F$11+G929*'Portfolio 2 &amp; 3'!$F$12+H929*'Portfolio 2 &amp; 3'!$F$13+I929*'Portfolio 2 &amp; 3'!$F$14+J929*'Portfolio 2 &amp; 3'!$F$15+K929*'Portfolio 2 &amp; 3'!$F$16</f>
        <v>-6.2557358373023482E-3</v>
      </c>
      <c r="R929" s="93">
        <f>B929*'Portfolio 2 &amp; 3'!$B$23+C929*'Portfolio 2 &amp; 3'!$B$24+D929*'Portfolio 2 &amp; 3'!$B$25+E929*'Portfolio 2 &amp; 3'!$B$26+F929*'Portfolio 2 &amp; 3'!$B$27+G929*'Portfolio 2 &amp; 3'!$B$28+H929*'Portfolio 2 &amp; 3'!$B$29+I929*'Portfolio 2 &amp; 3'!$B$30+J929*'Portfolio 2 &amp; 3'!$B$31+K929*'Portfolio 2 &amp; 3'!$B$32</f>
        <v>-2.3309541357558914E-4</v>
      </c>
      <c r="S929" s="93">
        <f t="shared" si="44"/>
        <v>4.7875131230227796E-3</v>
      </c>
    </row>
    <row r="930" spans="1:19" ht="12.75" customHeight="1">
      <c r="A930" s="81">
        <v>44718</v>
      </c>
      <c r="B930" s="53">
        <v>-7.7000000000000002E-3</v>
      </c>
      <c r="C930" s="53">
        <v>-1.5128352124339499E-3</v>
      </c>
      <c r="D930" s="53">
        <v>5.7862809146056503E-3</v>
      </c>
      <c r="E930" s="53">
        <v>-1.06E-3</v>
      </c>
      <c r="F930" s="53">
        <v>4.1299559471366099E-3</v>
      </c>
      <c r="G930" s="53">
        <v>9.2357423227884495E-4</v>
      </c>
      <c r="H930" s="87">
        <v>5.6714721471566899E-3</v>
      </c>
      <c r="I930" s="53">
        <v>-9.9700287479357295E-3</v>
      </c>
      <c r="J930" s="53">
        <v>-2.7844200010627599E-2</v>
      </c>
      <c r="K930" s="53">
        <v>-2.3268534881763999E-2</v>
      </c>
      <c r="L930" s="95">
        <f>IFERROR(B930*'Stock Statistics'!$C$41+C930*'Stock Statistics'!$C$42+D930*'Stock Statistics'!$C$43+E930*'Stock Statistics'!$C$44+F930*'Stock Statistics'!$C$45+G930*'Stock Statistics'!$C$46+H930*'Stock Statistics'!$C$47+I930*'Stock Statistics'!$C$48+J930*'Stock Statistics'!$C$49+K930*'Stock Statistics'!$C$50,"")</f>
        <v>-5.4844315611583486E-3</v>
      </c>
      <c r="M930" s="96">
        <v>225.0949</v>
      </c>
      <c r="N930" s="97">
        <v>285.3698</v>
      </c>
      <c r="O930" s="93">
        <f t="shared" si="42"/>
        <v>-3.6993644511348345E-3</v>
      </c>
      <c r="P930" s="93">
        <f t="shared" si="43"/>
        <v>-7.5598970034458368E-3</v>
      </c>
      <c r="Q930" s="93">
        <f>B930*'Portfolio 2 &amp; 3'!$F$7+C930*'Portfolio 2 &amp; 3'!$F$8+D930*'Portfolio 2 &amp; 3'!$F$9+E930*'Portfolio 2 &amp; 3'!$F$10+F930*'Portfolio 2 &amp; 3'!$F$11+G930*'Portfolio 2 &amp; 3'!$F$12+H930*'Portfolio 2 &amp; 3'!$F$13+I930*'Portfolio 2 &amp; 3'!$F$14+J930*'Portfolio 2 &amp; 3'!$F$15+K930*'Portfolio 2 &amp; 3'!$F$16</f>
        <v>-5.2909586200100044E-3</v>
      </c>
      <c r="R930" s="93">
        <f>B930*'Portfolio 2 &amp; 3'!$B$23+C930*'Portfolio 2 &amp; 3'!$B$24+D930*'Portfolio 2 &amp; 3'!$B$25+E930*'Portfolio 2 &amp; 3'!$B$26+F930*'Portfolio 2 &amp; 3'!$B$27+G930*'Portfolio 2 &amp; 3'!$B$28+H930*'Portfolio 2 &amp; 3'!$B$29+I930*'Portfolio 2 &amp; 3'!$B$30+J930*'Portfolio 2 &amp; 3'!$B$31+K930*'Portfolio 2 &amp; 3'!$B$32</f>
        <v>-5.7355909222072121E-3</v>
      </c>
      <c r="S930" s="93">
        <f t="shared" si="44"/>
        <v>-5.6296307272903356E-3</v>
      </c>
    </row>
    <row r="931" spans="1:19" ht="12.75" customHeight="1">
      <c r="A931" s="82">
        <v>44715</v>
      </c>
      <c r="B931" s="53">
        <v>-2.98E-2</v>
      </c>
      <c r="C931" s="53">
        <v>-6.0464085599417601E-3</v>
      </c>
      <c r="D931" s="53">
        <v>3.6667956656346798E-2</v>
      </c>
      <c r="E931" s="53">
        <v>3.0500000000000002E-3</v>
      </c>
      <c r="F931" s="53">
        <v>-5.8847680306556302E-3</v>
      </c>
      <c r="G931" s="53">
        <v>-6.7214734316560802E-3</v>
      </c>
      <c r="H931" s="87">
        <v>1.0276059242594801E-2</v>
      </c>
      <c r="I931" s="53">
        <v>1.5087545014280499E-2</v>
      </c>
      <c r="J931" s="53">
        <v>-2.87469033856316E-2</v>
      </c>
      <c r="K931" s="53">
        <v>-4.5237496858506797E-3</v>
      </c>
      <c r="L931" s="95">
        <f>IFERROR(B931*'Stock Statistics'!$C$41+C931*'Stock Statistics'!$C$42+D931*'Stock Statistics'!$C$43+E931*'Stock Statistics'!$C$44+F931*'Stock Statistics'!$C$45+G931*'Stock Statistics'!$C$46+H931*'Stock Statistics'!$C$47+I931*'Stock Statistics'!$C$48+J931*'Stock Statistics'!$C$49+K931*'Stock Statistics'!$C$50,"")</f>
        <v>-1.6641742180513654E-3</v>
      </c>
      <c r="M931" s="97">
        <v>225.9307</v>
      </c>
      <c r="N931" s="96">
        <v>287.54360000000003</v>
      </c>
      <c r="O931" s="93">
        <f t="shared" si="42"/>
        <v>4.1850916333279198E-3</v>
      </c>
      <c r="P931" s="93">
        <f t="shared" si="43"/>
        <v>-1.1910939081776428E-2</v>
      </c>
      <c r="Q931" s="93">
        <f>B931*'Portfolio 2 &amp; 3'!$F$7+C931*'Portfolio 2 &amp; 3'!$F$8+D931*'Portfolio 2 &amp; 3'!$F$9+E931*'Portfolio 2 &amp; 3'!$F$10+F931*'Portfolio 2 &amp; 3'!$F$11+G931*'Portfolio 2 &amp; 3'!$F$12+H931*'Portfolio 2 &amp; 3'!$F$13+I931*'Portfolio 2 &amp; 3'!$F$14+J931*'Portfolio 2 &amp; 3'!$F$15+K931*'Portfolio 2 &amp; 3'!$F$16</f>
        <v>-1.1133365737694772E-5</v>
      </c>
      <c r="R931" s="93">
        <f>B931*'Portfolio 2 &amp; 3'!$B$23+C931*'Portfolio 2 &amp; 3'!$B$24+D931*'Portfolio 2 &amp; 3'!$B$25+E931*'Portfolio 2 &amp; 3'!$B$26+F931*'Portfolio 2 &amp; 3'!$B$27+G931*'Portfolio 2 &amp; 3'!$B$28+H931*'Portfolio 2 &amp; 3'!$B$29+I931*'Portfolio 2 &amp; 3'!$B$30+J931*'Portfolio 2 &amp; 3'!$B$31+K931*'Portfolio 2 &amp; 3'!$B$32</f>
        <v>-3.5846742395523176E-3</v>
      </c>
      <c r="S931" s="93">
        <f t="shared" si="44"/>
        <v>-3.8629237242242542E-3</v>
      </c>
    </row>
    <row r="932" spans="1:19" ht="12.75" customHeight="1">
      <c r="A932" s="81">
        <v>44714</v>
      </c>
      <c r="B932" s="53">
        <v>3.3799999999999997E-2</v>
      </c>
      <c r="C932" s="53">
        <v>5.7148315000239399E-3</v>
      </c>
      <c r="D932" s="53">
        <v>-3.1484257871064597E-2</v>
      </c>
      <c r="E932" s="53">
        <v>4.0999999999999999E-4</v>
      </c>
      <c r="F932" s="53">
        <v>-1.9589427076344899E-2</v>
      </c>
      <c r="G932" s="53">
        <v>-1.04914026359432E-2</v>
      </c>
      <c r="H932" s="87">
        <v>-1.9383897691627201E-2</v>
      </c>
      <c r="I932" s="53">
        <v>1.49987396017142E-2</v>
      </c>
      <c r="J932" s="53">
        <v>4.2500259147921797E-3</v>
      </c>
      <c r="K932" s="53">
        <v>1.5727596329754699E-2</v>
      </c>
      <c r="L932" s="95">
        <f>IFERROR(B932*'Stock Statistics'!$C$41+C932*'Stock Statistics'!$C$42+D932*'Stock Statistics'!$C$43+E932*'Stock Statistics'!$C$44+F932*'Stock Statistics'!$C$45+G932*'Stock Statistics'!$C$46+H932*'Stock Statistics'!$C$47+I932*'Stock Statistics'!$C$48+J932*'Stock Statistics'!$C$49+K932*'Stock Statistics'!$C$50,"")</f>
        <v>-6.0477919286948813E-4</v>
      </c>
      <c r="M932" s="96">
        <v>224.98910000000001</v>
      </c>
      <c r="N932" s="97">
        <v>291.00979999999998</v>
      </c>
      <c r="O932" s="93">
        <f t="shared" si="42"/>
        <v>-1.1786662075278231E-2</v>
      </c>
      <c r="P932" s="93">
        <f t="shared" si="43"/>
        <v>-1.4496572019756848E-2</v>
      </c>
      <c r="Q932" s="93">
        <f>B932*'Portfolio 2 &amp; 3'!$F$7+C932*'Portfolio 2 &amp; 3'!$F$8+D932*'Portfolio 2 &amp; 3'!$F$9+E932*'Portfolio 2 &amp; 3'!$F$10+F932*'Portfolio 2 &amp; 3'!$F$11+G932*'Portfolio 2 &amp; 3'!$F$12+H932*'Portfolio 2 &amp; 3'!$F$13+I932*'Portfolio 2 &amp; 3'!$F$14+J932*'Portfolio 2 &amp; 3'!$F$15+K932*'Portfolio 2 &amp; 3'!$F$16</f>
        <v>-3.9931076496515306E-3</v>
      </c>
      <c r="R932" s="93">
        <f>B932*'Portfolio 2 &amp; 3'!$B$23+C932*'Portfolio 2 &amp; 3'!$B$24+D932*'Portfolio 2 &amp; 3'!$B$25+E932*'Portfolio 2 &amp; 3'!$B$26+F932*'Portfolio 2 &amp; 3'!$B$27+G932*'Portfolio 2 &amp; 3'!$B$28+H932*'Portfolio 2 &amp; 3'!$B$29+I932*'Portfolio 2 &amp; 3'!$B$30+J932*'Portfolio 2 &amp; 3'!$B$31+K932*'Portfolio 2 &amp; 3'!$B$32</f>
        <v>5.6802657223289435E-3</v>
      </c>
      <c r="S932" s="93">
        <f t="shared" si="44"/>
        <v>-1.314161704751754E-2</v>
      </c>
    </row>
    <row r="933" spans="1:19" ht="12.75" customHeight="1">
      <c r="A933" s="82">
        <v>44713</v>
      </c>
      <c r="B933" s="53">
        <v>2.8E-3</v>
      </c>
      <c r="C933" s="53">
        <v>8.7192497912518298E-3</v>
      </c>
      <c r="D933" s="53">
        <v>7.0774747570066E-3</v>
      </c>
      <c r="E933" s="53">
        <v>8.0700000000000008E-3</v>
      </c>
      <c r="F933" s="53">
        <v>-1.5065415620457399E-2</v>
      </c>
      <c r="G933" s="53">
        <v>-8.6012945207849505E-3</v>
      </c>
      <c r="H933" s="87">
        <v>6.6274954313079197E-3</v>
      </c>
      <c r="I933" s="53">
        <v>-2.60250429658728E-2</v>
      </c>
      <c r="J933" s="53">
        <v>1.0421576328882E-2</v>
      </c>
      <c r="K933" s="53">
        <v>1.4823769842983199E-2</v>
      </c>
      <c r="L933" s="95">
        <f>IFERROR(B933*'Stock Statistics'!$C$41+C933*'Stock Statistics'!$C$42+D933*'Stock Statistics'!$C$43+E933*'Stock Statistics'!$C$44+F933*'Stock Statistics'!$C$45+G933*'Stock Statistics'!$C$46+H933*'Stock Statistics'!$C$47+I933*'Stock Statistics'!$C$48+J933*'Stock Statistics'!$C$49+K933*'Stock Statistics'!$C$50,"")</f>
        <v>8.8478130443163969E-4</v>
      </c>
      <c r="M933" s="97">
        <v>227.67259999999999</v>
      </c>
      <c r="N933" s="96">
        <v>295.29050000000001</v>
      </c>
      <c r="O933" s="93">
        <f t="shared" si="42"/>
        <v>-2.9765410727197184E-3</v>
      </c>
      <c r="P933" s="93">
        <f t="shared" si="43"/>
        <v>2.4988588694911273E-2</v>
      </c>
      <c r="Q933" s="93">
        <f>B933*'Portfolio 2 &amp; 3'!$F$7+C933*'Portfolio 2 &amp; 3'!$F$8+D933*'Portfolio 2 &amp; 3'!$F$9+E933*'Portfolio 2 &amp; 3'!$F$10+F933*'Portfolio 2 &amp; 3'!$F$11+G933*'Portfolio 2 &amp; 3'!$F$12+H933*'Portfolio 2 &amp; 3'!$F$13+I933*'Portfolio 2 &amp; 3'!$F$14+J933*'Portfolio 2 &amp; 3'!$F$15+K933*'Portfolio 2 &amp; 3'!$F$16</f>
        <v>2.1014990306325964E-3</v>
      </c>
      <c r="R933" s="93">
        <f>B933*'Portfolio 2 &amp; 3'!$B$23+C933*'Portfolio 2 &amp; 3'!$B$24+D933*'Portfolio 2 &amp; 3'!$B$25+E933*'Portfolio 2 &amp; 3'!$B$26+F933*'Portfolio 2 &amp; 3'!$B$27+G933*'Portfolio 2 &amp; 3'!$B$28+H933*'Portfolio 2 &amp; 3'!$B$29+I933*'Portfolio 2 &amp; 3'!$B$30+J933*'Portfolio 2 &amp; 3'!$B$31+K933*'Portfolio 2 &amp; 3'!$B$32</f>
        <v>-5.85095646217575E-3</v>
      </c>
      <c r="S933" s="93">
        <f t="shared" si="44"/>
        <v>1.1006023811095778E-2</v>
      </c>
    </row>
    <row r="934" spans="1:19" ht="12.75" customHeight="1">
      <c r="A934" s="81">
        <v>44712</v>
      </c>
      <c r="B934" s="53">
        <v>-9.7000000000000003E-3</v>
      </c>
      <c r="C934" s="53">
        <v>4.3058265735620403E-3</v>
      </c>
      <c r="D934" s="53">
        <v>1.3291260279212101E-2</v>
      </c>
      <c r="E934" s="53">
        <v>9.2999999999999992E-3</v>
      </c>
      <c r="F934" s="53">
        <v>1.98622881355925E-3</v>
      </c>
      <c r="G934" s="53">
        <v>2.63414980727899E-2</v>
      </c>
      <c r="H934" s="87">
        <v>2.9470249931533798E-2</v>
      </c>
      <c r="I934" s="53">
        <v>-9.3639790830596405E-3</v>
      </c>
      <c r="J934" s="53">
        <v>-1.2463798096814201E-2</v>
      </c>
      <c r="K934" s="53">
        <v>-1.52775612590524E-2</v>
      </c>
      <c r="L934" s="95">
        <f>IFERROR(B934*'Stock Statistics'!$C$41+C934*'Stock Statistics'!$C$42+D934*'Stock Statistics'!$C$43+E934*'Stock Statistics'!$C$44+F934*'Stock Statistics'!$C$45+G934*'Stock Statistics'!$C$46+H934*'Stock Statistics'!$C$47+I934*'Stock Statistics'!$C$48+J934*'Stock Statistics'!$C$49+K934*'Stock Statistics'!$C$50,"")</f>
        <v>3.7889725231730854E-3</v>
      </c>
      <c r="M934" s="96">
        <v>228.35230000000001</v>
      </c>
      <c r="N934" s="97">
        <v>288.0915</v>
      </c>
      <c r="O934" s="93">
        <f t="shared" si="42"/>
        <v>2.1820885290697589E-3</v>
      </c>
      <c r="P934" s="93">
        <f t="shared" si="43"/>
        <v>-2.1703806910350232E-2</v>
      </c>
      <c r="Q934" s="93">
        <f>B934*'Portfolio 2 &amp; 3'!$F$7+C934*'Portfolio 2 &amp; 3'!$F$8+D934*'Portfolio 2 &amp; 3'!$F$9+E934*'Portfolio 2 &amp; 3'!$F$10+F934*'Portfolio 2 &amp; 3'!$F$11+G934*'Portfolio 2 &amp; 3'!$F$12+H934*'Portfolio 2 &amp; 3'!$F$13+I934*'Portfolio 2 &amp; 3'!$F$14+J934*'Portfolio 2 &amp; 3'!$F$15+K934*'Portfolio 2 &amp; 3'!$F$16</f>
        <v>4.872132812743216E-3</v>
      </c>
      <c r="R934" s="93">
        <f>B934*'Portfolio 2 &amp; 3'!$B$23+C934*'Portfolio 2 &amp; 3'!$B$24+D934*'Portfolio 2 &amp; 3'!$B$25+E934*'Portfolio 2 &amp; 3'!$B$26+F934*'Portfolio 2 &amp; 3'!$B$27+G934*'Portfolio 2 &amp; 3'!$B$28+H934*'Portfolio 2 &amp; 3'!$B$29+I934*'Portfolio 2 &amp; 3'!$B$30+J934*'Portfolio 2 &amp; 3'!$B$31+K934*'Portfolio 2 &amp; 3'!$B$32</f>
        <v>-3.7836769480081097E-4</v>
      </c>
      <c r="S934" s="93">
        <f t="shared" si="44"/>
        <v>-9.7608591906402364E-3</v>
      </c>
    </row>
    <row r="935" spans="1:19" ht="12.75" customHeight="1">
      <c r="A935" s="82">
        <v>44711</v>
      </c>
      <c r="B935" s="53">
        <v>-2.2000000000000001E-3</v>
      </c>
      <c r="C935" s="53">
        <v>3.3981132380782601E-3</v>
      </c>
      <c r="D935" s="53">
        <v>1.27832655432889E-2</v>
      </c>
      <c r="E935" s="53">
        <v>1.163E-2</v>
      </c>
      <c r="F935" s="53">
        <v>9.89569403583857E-3</v>
      </c>
      <c r="G935" s="53">
        <v>8.9968994748821397E-3</v>
      </c>
      <c r="H935" s="87">
        <v>1.33206240422785E-2</v>
      </c>
      <c r="I935" s="53">
        <v>-3.3331313253742701E-3</v>
      </c>
      <c r="J935" s="53">
        <v>-5.2986264725553003E-3</v>
      </c>
      <c r="K935" s="53">
        <v>5.9449133211679798E-3</v>
      </c>
      <c r="L935" s="95">
        <f>IFERROR(B935*'Stock Statistics'!$C$41+C935*'Stock Statistics'!$C$42+D935*'Stock Statistics'!$C$43+E935*'Stock Statistics'!$C$44+F935*'Stock Statistics'!$C$45+G935*'Stock Statistics'!$C$46+H935*'Stock Statistics'!$C$47+I935*'Stock Statistics'!$C$48+J935*'Stock Statistics'!$C$49+K935*'Stock Statistics'!$C$50,"")</f>
        <v>5.5137751857604785E-3</v>
      </c>
      <c r="M935" s="97">
        <v>227.85509999999999</v>
      </c>
      <c r="N935" s="96">
        <v>294.48289999999997</v>
      </c>
      <c r="O935" s="93">
        <f t="shared" si="42"/>
        <v>9.9561675093491342E-3</v>
      </c>
      <c r="P935" s="93">
        <f t="shared" si="43"/>
        <v>6.2462647985732644E-3</v>
      </c>
      <c r="Q935" s="93">
        <f>B935*'Portfolio 2 &amp; 3'!$F$7+C935*'Portfolio 2 &amp; 3'!$F$8+D935*'Portfolio 2 &amp; 3'!$F$9+E935*'Portfolio 2 &amp; 3'!$F$10+F935*'Portfolio 2 &amp; 3'!$F$11+G935*'Portfolio 2 &amp; 3'!$F$12+H935*'Portfolio 2 &amp; 3'!$F$13+I935*'Portfolio 2 &amp; 3'!$F$14+J935*'Portfolio 2 &amp; 3'!$F$15+K935*'Portfolio 2 &amp; 3'!$F$16</f>
        <v>5.8380024003935709E-3</v>
      </c>
      <c r="R935" s="93">
        <f>B935*'Portfolio 2 &amp; 3'!$B$23+C935*'Portfolio 2 &amp; 3'!$B$24+D935*'Portfolio 2 &amp; 3'!$B$25+E935*'Portfolio 2 &amp; 3'!$B$26+F935*'Portfolio 2 &amp; 3'!$B$27+G935*'Portfolio 2 &amp; 3'!$B$28+H935*'Portfolio 2 &amp; 3'!$B$29+I935*'Portfolio 2 &amp; 3'!$B$30+J935*'Portfolio 2 &amp; 3'!$B$31+K935*'Portfolio 2 &amp; 3'!$B$32</f>
        <v>2.9325725508076192E-3</v>
      </c>
      <c r="S935" s="93">
        <f t="shared" si="44"/>
        <v>8.1012161539611993E-3</v>
      </c>
    </row>
    <row r="936" spans="1:19" ht="12.75" customHeight="1">
      <c r="A936" s="81">
        <v>44708</v>
      </c>
      <c r="B936" s="53">
        <v>1.29E-2</v>
      </c>
      <c r="C936" s="53">
        <v>-7.40443302280769E-3</v>
      </c>
      <c r="D936" s="53">
        <v>-1.1866028708134E-2</v>
      </c>
      <c r="E936" s="53">
        <v>8.0199999999999994E-3</v>
      </c>
      <c r="F936" s="53">
        <v>1.33904659882167E-3</v>
      </c>
      <c r="G936" s="53">
        <v>3.0560698941162201E-3</v>
      </c>
      <c r="H936" s="87">
        <v>-3.7577657783196897E-2</v>
      </c>
      <c r="I936" s="53">
        <v>-5.3646775165763199E-3</v>
      </c>
      <c r="J936" s="53">
        <v>9.3462796614569594E-3</v>
      </c>
      <c r="K936" s="53">
        <v>3.4045718536319701E-3</v>
      </c>
      <c r="L936" s="95">
        <f>IFERROR(B936*'Stock Statistics'!$C$41+C936*'Stock Statistics'!$C$42+D936*'Stock Statistics'!$C$43+E936*'Stock Statistics'!$C$44+F936*'Stock Statistics'!$C$45+G936*'Stock Statistics'!$C$46+H936*'Stock Statistics'!$C$47+I936*'Stock Statistics'!$C$48+J936*'Stock Statistics'!$C$49+K936*'Stock Statistics'!$C$50,"")</f>
        <v>-2.4146829022688087E-3</v>
      </c>
      <c r="M936" s="96">
        <v>225.60890000000001</v>
      </c>
      <c r="N936" s="97">
        <v>292.6549</v>
      </c>
      <c r="O936" s="93">
        <f t="shared" si="42"/>
        <v>7.3768691104714179E-3</v>
      </c>
      <c r="P936" s="93">
        <f t="shared" si="43"/>
        <v>1.1257545862604079E-2</v>
      </c>
      <c r="Q936" s="93">
        <f>B936*'Portfolio 2 &amp; 3'!$F$7+C936*'Portfolio 2 &amp; 3'!$F$8+D936*'Portfolio 2 &amp; 3'!$F$9+E936*'Portfolio 2 &amp; 3'!$F$10+F936*'Portfolio 2 &amp; 3'!$F$11+G936*'Portfolio 2 &amp; 3'!$F$12+H936*'Portfolio 2 &amp; 3'!$F$13+I936*'Portfolio 2 &amp; 3'!$F$14+J936*'Portfolio 2 &amp; 3'!$F$15+K936*'Portfolio 2 &amp; 3'!$F$16</f>
        <v>-5.5287711401397488E-3</v>
      </c>
      <c r="R936" s="93">
        <f>B936*'Portfolio 2 &amp; 3'!$B$23+C936*'Portfolio 2 &amp; 3'!$B$24+D936*'Portfolio 2 &amp; 3'!$B$25+E936*'Portfolio 2 &amp; 3'!$B$26+F936*'Portfolio 2 &amp; 3'!$B$27+G936*'Portfolio 2 &amp; 3'!$B$28+H936*'Portfolio 2 &amp; 3'!$B$29+I936*'Portfolio 2 &amp; 3'!$B$30+J936*'Portfolio 2 &amp; 3'!$B$31+K936*'Portfolio 2 &amp; 3'!$B$32</f>
        <v>-1.1696778681034388E-3</v>
      </c>
      <c r="S936" s="93">
        <f t="shared" si="44"/>
        <v>9.3172074865377486E-3</v>
      </c>
    </row>
    <row r="937" spans="1:19" ht="12.75" customHeight="1">
      <c r="A937" s="82">
        <v>44707</v>
      </c>
      <c r="B937" s="53">
        <v>-1.9099999999999999E-2</v>
      </c>
      <c r="C937" s="53">
        <v>-1.1447896984805001E-2</v>
      </c>
      <c r="D937" s="53">
        <v>-1.1165783497350401E-2</v>
      </c>
      <c r="E937" s="53">
        <v>-9.3299999999999998E-3</v>
      </c>
      <c r="F937" s="53">
        <v>1.9243892452572599E-2</v>
      </c>
      <c r="G937" s="53">
        <v>3.7765708736459098E-4</v>
      </c>
      <c r="H937" s="87">
        <v>-7.8917050691243995E-3</v>
      </c>
      <c r="I937" s="53">
        <v>-1.9155728981908499E-2</v>
      </c>
      <c r="J937" s="53">
        <v>-1.00745309689025E-2</v>
      </c>
      <c r="K937" s="53">
        <v>-1.6993930739020999E-3</v>
      </c>
      <c r="L937" s="95">
        <f>IFERROR(B937*'Stock Statistics'!$C$41+C937*'Stock Statistics'!$C$42+D937*'Stock Statistics'!$C$43+E937*'Stock Statistics'!$C$44+F937*'Stock Statistics'!$C$45+G937*'Stock Statistics'!$C$46+H937*'Stock Statistics'!$C$47+I937*'Stock Statistics'!$C$48+J937*'Stock Statistics'!$C$49+K937*'Stock Statistics'!$C$50,"")</f>
        <v>-7.0243489036055703E-3</v>
      </c>
      <c r="M937" s="97">
        <v>223.95679999999999</v>
      </c>
      <c r="N937" s="96">
        <v>289.39699999999999</v>
      </c>
      <c r="O937" s="93">
        <f t="shared" si="42"/>
        <v>-1.0013172900955825E-2</v>
      </c>
      <c r="P937" s="93">
        <f t="shared" si="43"/>
        <v>-1.9602338761797178E-3</v>
      </c>
      <c r="Q937" s="93">
        <f>B937*'Portfolio 2 &amp; 3'!$F$7+C937*'Portfolio 2 &amp; 3'!$F$8+D937*'Portfolio 2 &amp; 3'!$F$9+E937*'Portfolio 2 &amp; 3'!$F$10+F937*'Portfolio 2 &amp; 3'!$F$11+G937*'Portfolio 2 &amp; 3'!$F$12+H937*'Portfolio 2 &amp; 3'!$F$13+I937*'Portfolio 2 &amp; 3'!$F$14+J937*'Portfolio 2 &amp; 3'!$F$15+K937*'Portfolio 2 &amp; 3'!$F$16</f>
        <v>-7.0634278730062937E-3</v>
      </c>
      <c r="R937" s="93">
        <f>B937*'Portfolio 2 &amp; 3'!$B$23+C937*'Portfolio 2 &amp; 3'!$B$24+D937*'Portfolio 2 &amp; 3'!$B$25+E937*'Portfolio 2 &amp; 3'!$B$26+F937*'Portfolio 2 &amp; 3'!$B$27+G937*'Portfolio 2 &amp; 3'!$B$28+H937*'Portfolio 2 &amp; 3'!$B$29+I937*'Portfolio 2 &amp; 3'!$B$30+J937*'Portfolio 2 &amp; 3'!$B$31+K937*'Portfolio 2 &amp; 3'!$B$32</f>
        <v>-7.3111179278889816E-3</v>
      </c>
      <c r="S937" s="93">
        <f t="shared" si="44"/>
        <v>-5.9867033885677712E-3</v>
      </c>
    </row>
    <row r="938" spans="1:19" ht="12.75" customHeight="1">
      <c r="A938" s="81">
        <v>44706</v>
      </c>
      <c r="B938" s="53">
        <v>-7.7999999999999996E-3</v>
      </c>
      <c r="C938" s="53">
        <v>2.3332520919652398E-2</v>
      </c>
      <c r="D938" s="53">
        <v>-8.53738624636469E-3</v>
      </c>
      <c r="E938" s="53">
        <v>-2.4499999999999999E-3</v>
      </c>
      <c r="F938" s="53">
        <v>-4.7541428959522198E-3</v>
      </c>
      <c r="G938" s="53">
        <v>-1.24320676304479E-2</v>
      </c>
      <c r="H938" s="87">
        <v>1.58083611229709E-3</v>
      </c>
      <c r="I938" s="53">
        <v>-1.53111719159341E-2</v>
      </c>
      <c r="J938" s="53">
        <v>-3.3809743353311302E-3</v>
      </c>
      <c r="K938" s="53">
        <v>4.5718857600052199E-4</v>
      </c>
      <c r="L938" s="95">
        <f>IFERROR(B938*'Stock Statistics'!$C$41+C938*'Stock Statistics'!$C$42+D938*'Stock Statistics'!$C$43+E938*'Stock Statistics'!$C$44+F938*'Stock Statistics'!$C$45+G938*'Stock Statistics'!$C$46+H938*'Stock Statistics'!$C$47+I938*'Stock Statistics'!$C$48+J938*'Stock Statistics'!$C$49+K938*'Stock Statistics'!$C$50,"")</f>
        <v>-2.9295197416080031E-3</v>
      </c>
      <c r="M938" s="96">
        <v>226.22200000000001</v>
      </c>
      <c r="N938" s="97">
        <v>289.96539999999999</v>
      </c>
      <c r="O938" s="93">
        <f t="shared" si="42"/>
        <v>-9.7206037753028163E-3</v>
      </c>
      <c r="P938" s="93">
        <f t="shared" si="43"/>
        <v>1.5679407725198491E-2</v>
      </c>
      <c r="Q938" s="93">
        <f>B938*'Portfolio 2 &amp; 3'!$F$7+C938*'Portfolio 2 &amp; 3'!$F$8+D938*'Portfolio 2 &amp; 3'!$F$9+E938*'Portfolio 2 &amp; 3'!$F$10+F938*'Portfolio 2 &amp; 3'!$F$11+G938*'Portfolio 2 &amp; 3'!$F$12+H938*'Portfolio 2 &amp; 3'!$F$13+I938*'Portfolio 2 &amp; 3'!$F$14+J938*'Portfolio 2 &amp; 3'!$F$15+K938*'Portfolio 2 &amp; 3'!$F$16</f>
        <v>-2.2380906967381813E-3</v>
      </c>
      <c r="R938" s="93">
        <f>B938*'Portfolio 2 &amp; 3'!$B$23+C938*'Portfolio 2 &amp; 3'!$B$24+D938*'Portfolio 2 &amp; 3'!$B$25+E938*'Portfolio 2 &amp; 3'!$B$26+F938*'Portfolio 2 &amp; 3'!$B$27+G938*'Portfolio 2 &amp; 3'!$B$28+H938*'Portfolio 2 &amp; 3'!$B$29+I938*'Portfolio 2 &amp; 3'!$B$30+J938*'Portfolio 2 &amp; 3'!$B$31+K938*'Portfolio 2 &amp; 3'!$B$32</f>
        <v>-2.6106689592311776E-3</v>
      </c>
      <c r="S938" s="93">
        <f t="shared" si="44"/>
        <v>2.9794019749478373E-3</v>
      </c>
    </row>
    <row r="939" spans="1:19" ht="12.75" customHeight="1">
      <c r="A939" s="82">
        <v>44705</v>
      </c>
      <c r="B939" s="53">
        <v>2.5899999999999999E-2</v>
      </c>
      <c r="C939" s="53">
        <v>1.11224288624565E-2</v>
      </c>
      <c r="D939" s="53">
        <v>-1.4333271684853001E-2</v>
      </c>
      <c r="E939" s="53">
        <v>1.0970000000000001E-2</v>
      </c>
      <c r="F939" s="53">
        <v>1.5448275862069099E-2</v>
      </c>
      <c r="G939" s="53">
        <v>-4.0831543254793402E-4</v>
      </c>
      <c r="H939" s="87">
        <v>3.2762213475341401E-3</v>
      </c>
      <c r="I939" s="53">
        <v>1.36913543818236E-2</v>
      </c>
      <c r="J939" s="53">
        <v>1.5713616733440901E-2</v>
      </c>
      <c r="K939" s="53">
        <v>6.1380559468706703E-3</v>
      </c>
      <c r="L939" s="95">
        <f>IFERROR(B939*'Stock Statistics'!$C$41+C939*'Stock Statistics'!$C$42+D939*'Stock Statistics'!$C$43+E939*'Stock Statistics'!$C$44+F939*'Stock Statistics'!$C$45+G939*'Stock Statistics'!$C$46+H939*'Stock Statistics'!$C$47+I939*'Stock Statistics'!$C$48+J939*'Stock Statistics'!$C$49+K939*'Stock Statistics'!$C$50,"")</f>
        <v>8.751836601679398E-3</v>
      </c>
      <c r="M939" s="97">
        <v>228.4426</v>
      </c>
      <c r="N939" s="96">
        <v>285.48910000000001</v>
      </c>
      <c r="O939" s="93">
        <f t="shared" si="42"/>
        <v>-1.2316930071762378E-2</v>
      </c>
      <c r="P939" s="93">
        <f t="shared" si="43"/>
        <v>-1.171106520844345E-2</v>
      </c>
      <c r="Q939" s="93">
        <f>B939*'Portfolio 2 &amp; 3'!$F$7+C939*'Portfolio 2 &amp; 3'!$F$8+D939*'Portfolio 2 &amp; 3'!$F$9+E939*'Portfolio 2 &amp; 3'!$F$10+F939*'Portfolio 2 &amp; 3'!$F$11+G939*'Portfolio 2 &amp; 3'!$F$12+H939*'Portfolio 2 &amp; 3'!$F$13+I939*'Portfolio 2 &amp; 3'!$F$14+J939*'Portfolio 2 &amp; 3'!$F$15+K939*'Portfolio 2 &amp; 3'!$F$16</f>
        <v>7.7283103159735377E-3</v>
      </c>
      <c r="R939" s="93">
        <f>B939*'Portfolio 2 &amp; 3'!$B$23+C939*'Portfolio 2 &amp; 3'!$B$24+D939*'Portfolio 2 &amp; 3'!$B$25+E939*'Portfolio 2 &amp; 3'!$B$26+F939*'Portfolio 2 &amp; 3'!$B$27+G939*'Portfolio 2 &amp; 3'!$B$28+H939*'Portfolio 2 &amp; 3'!$B$29+I939*'Portfolio 2 &amp; 3'!$B$30+J939*'Portfolio 2 &amp; 3'!$B$31+K939*'Portfolio 2 &amp; 3'!$B$32</f>
        <v>1.2372488066369532E-2</v>
      </c>
      <c r="S939" s="93">
        <f t="shared" si="44"/>
        <v>-1.2013997640102914E-2</v>
      </c>
    </row>
    <row r="940" spans="1:19" ht="12.75" customHeight="1">
      <c r="A940" s="81">
        <v>44704</v>
      </c>
      <c r="B940" s="53">
        <v>-1.1900000000000001E-2</v>
      </c>
      <c r="C940" s="53">
        <v>6.4153439153440397E-3</v>
      </c>
      <c r="D940" s="53">
        <v>1.8651092690279002E-2</v>
      </c>
      <c r="E940" s="53">
        <v>-2.188E-2</v>
      </c>
      <c r="F940" s="53">
        <v>1.58329830460977E-2</v>
      </c>
      <c r="G940" s="53">
        <v>-5.7014756760573899E-3</v>
      </c>
      <c r="H940" s="87">
        <v>-1.1591317382398899E-2</v>
      </c>
      <c r="I940" s="53">
        <v>-1.1788977306218501E-3</v>
      </c>
      <c r="J940" s="53">
        <v>-2.6491743491034302E-2</v>
      </c>
      <c r="K940" s="53">
        <v>-1.30662391646685E-2</v>
      </c>
      <c r="L940" s="95">
        <f>IFERROR(B940*'Stock Statistics'!$C$41+C940*'Stock Statistics'!$C$42+D940*'Stock Statistics'!$C$43+E940*'Stock Statistics'!$C$44+F940*'Stock Statistics'!$C$45+G940*'Stock Statistics'!$C$46+H940*'Stock Statistics'!$C$47+I940*'Stock Statistics'!$C$48+J940*'Stock Statistics'!$C$49+K940*'Stock Statistics'!$C$50,"")</f>
        <v>-5.0910253793060205E-3</v>
      </c>
      <c r="M940" s="96">
        <v>231.29140000000001</v>
      </c>
      <c r="N940" s="97">
        <v>288.87209999999999</v>
      </c>
      <c r="O940" s="93">
        <f t="shared" si="42"/>
        <v>2.9205515465133169E-2</v>
      </c>
      <c r="P940" s="93">
        <f t="shared" si="43"/>
        <v>-8.2036245779137928E-3</v>
      </c>
      <c r="Q940" s="93">
        <f>B940*'Portfolio 2 &amp; 3'!$F$7+C940*'Portfolio 2 &amp; 3'!$F$8+D940*'Portfolio 2 &amp; 3'!$F$9+E940*'Portfolio 2 &amp; 3'!$F$10+F940*'Portfolio 2 &amp; 3'!$F$11+G940*'Portfolio 2 &amp; 3'!$F$12+H940*'Portfolio 2 &amp; 3'!$F$13+I940*'Portfolio 2 &amp; 3'!$F$14+J940*'Portfolio 2 &amp; 3'!$F$15+K940*'Portfolio 2 &amp; 3'!$F$16</f>
        <v>-4.8350067754436531E-3</v>
      </c>
      <c r="R940" s="93">
        <f>B940*'Portfolio 2 &amp; 3'!$B$23+C940*'Portfolio 2 &amp; 3'!$B$24+D940*'Portfolio 2 &amp; 3'!$B$25+E940*'Portfolio 2 &amp; 3'!$B$26+F940*'Portfolio 2 &amp; 3'!$B$27+G940*'Portfolio 2 &amp; 3'!$B$28+H940*'Portfolio 2 &amp; 3'!$B$29+I940*'Portfolio 2 &amp; 3'!$B$30+J940*'Portfolio 2 &amp; 3'!$B$31+K940*'Portfolio 2 &amp; 3'!$B$32</f>
        <v>-8.7940024368192936E-4</v>
      </c>
      <c r="S940" s="93">
        <f t="shared" si="44"/>
        <v>1.0500945443609688E-2</v>
      </c>
    </row>
    <row r="941" spans="1:19" ht="12.75" customHeight="1">
      <c r="A941" s="82">
        <v>44701</v>
      </c>
      <c r="B941" s="53">
        <v>-9.9000000000000008E-3</v>
      </c>
      <c r="C941" s="53">
        <v>1.88164344793895E-2</v>
      </c>
      <c r="D941" s="53">
        <v>5.0175139638359801E-3</v>
      </c>
      <c r="E941" s="53">
        <v>1.41E-2</v>
      </c>
      <c r="F941" s="53">
        <v>5.3431734317343202E-2</v>
      </c>
      <c r="G941" s="53">
        <v>-1.82479854432025E-2</v>
      </c>
      <c r="H941" s="87">
        <v>-1.4873120838399E-4</v>
      </c>
      <c r="I941" s="53">
        <v>-1.34333565945568E-2</v>
      </c>
      <c r="J941" s="53">
        <v>3.60937420568352E-3</v>
      </c>
      <c r="K941" s="53">
        <v>-8.6634881791204394E-3</v>
      </c>
      <c r="L941" s="95">
        <f>IFERROR(B941*'Stock Statistics'!$C$41+C941*'Stock Statistics'!$C$42+D941*'Stock Statistics'!$C$43+E941*'Stock Statistics'!$C$44+F941*'Stock Statistics'!$C$45+G941*'Stock Statistics'!$C$46+H941*'Stock Statistics'!$C$47+I941*'Stock Statistics'!$C$48+J941*'Stock Statistics'!$C$49+K941*'Stock Statistics'!$C$50,"")</f>
        <v>4.4581495540988473E-3</v>
      </c>
      <c r="M941" s="97">
        <v>224.72810000000001</v>
      </c>
      <c r="N941" s="96">
        <v>291.26150000000001</v>
      </c>
      <c r="O941" s="93">
        <f t="shared" si="42"/>
        <v>-1.4232838303516848E-2</v>
      </c>
      <c r="P941" s="93">
        <f t="shared" si="43"/>
        <v>-1.1130580271127899E-2</v>
      </c>
      <c r="Q941" s="93">
        <f>B941*'Portfolio 2 &amp; 3'!$F$7+C941*'Portfolio 2 &amp; 3'!$F$8+D941*'Portfolio 2 &amp; 3'!$F$9+E941*'Portfolio 2 &amp; 3'!$F$10+F941*'Portfolio 2 &amp; 3'!$F$11+G941*'Portfolio 2 &amp; 3'!$F$12+H941*'Portfolio 2 &amp; 3'!$F$13+I941*'Portfolio 2 &amp; 3'!$F$14+J941*'Portfolio 2 &amp; 3'!$F$15+K941*'Portfolio 2 &amp; 3'!$F$16</f>
        <v>6.0471077147776437E-3</v>
      </c>
      <c r="R941" s="93">
        <f>B941*'Portfolio 2 &amp; 3'!$B$23+C941*'Portfolio 2 &amp; 3'!$B$24+D941*'Portfolio 2 &amp; 3'!$B$25+E941*'Portfolio 2 &amp; 3'!$B$26+F941*'Portfolio 2 &amp; 3'!$B$27+G941*'Portfolio 2 &amp; 3'!$B$28+H941*'Portfolio 2 &amp; 3'!$B$29+I941*'Portfolio 2 &amp; 3'!$B$30+J941*'Portfolio 2 &amp; 3'!$B$31+K941*'Portfolio 2 &amp; 3'!$B$32</f>
        <v>4.8353015852775792E-3</v>
      </c>
      <c r="S941" s="93">
        <f t="shared" si="44"/>
        <v>-1.2681709287322374E-2</v>
      </c>
    </row>
    <row r="942" spans="1:19" ht="12.75" customHeight="1">
      <c r="A942" s="81">
        <v>44700</v>
      </c>
      <c r="B942" s="53">
        <v>1.4200000000000001E-2</v>
      </c>
      <c r="C942" s="53">
        <v>1.26230319158009E-2</v>
      </c>
      <c r="D942" s="53">
        <v>-2.9261846328111399E-3</v>
      </c>
      <c r="E942" s="53">
        <v>4.1799999999999997E-3</v>
      </c>
      <c r="F942" s="53">
        <v>-2.48992515831894E-2</v>
      </c>
      <c r="G942" s="53">
        <v>-1.76032959362603E-2</v>
      </c>
      <c r="H942" s="87">
        <v>-4.6008427286186003E-3</v>
      </c>
      <c r="I942" s="53">
        <v>-6.1264593688591402E-3</v>
      </c>
      <c r="J942" s="53">
        <v>-9.4667405206708705E-3</v>
      </c>
      <c r="K942" s="53">
        <v>-1.0065992815971999E-2</v>
      </c>
      <c r="L942" s="95">
        <f>IFERROR(B942*'Stock Statistics'!$C$41+C942*'Stock Statistics'!$C$42+D942*'Stock Statistics'!$C$43+E942*'Stock Statistics'!$C$44+F942*'Stock Statistics'!$C$45+G942*'Stock Statistics'!$C$46+H942*'Stock Statistics'!$C$47+I942*'Stock Statistics'!$C$48+J942*'Stock Statistics'!$C$49+K942*'Stock Statistics'!$C$50,"")</f>
        <v>-4.468573567058055E-3</v>
      </c>
      <c r="M942" s="96">
        <v>227.97280000000001</v>
      </c>
      <c r="N942" s="97">
        <v>294.53989999999999</v>
      </c>
      <c r="O942" s="93">
        <f t="shared" si="42"/>
        <v>7.6337362433849254E-3</v>
      </c>
      <c r="P942" s="93">
        <f t="shared" si="43"/>
        <v>-5.9949452662577674E-3</v>
      </c>
      <c r="Q942" s="93">
        <f>B942*'Portfolio 2 &amp; 3'!$F$7+C942*'Portfolio 2 &amp; 3'!$F$8+D942*'Portfolio 2 &amp; 3'!$F$9+E942*'Portfolio 2 &amp; 3'!$F$10+F942*'Portfolio 2 &amp; 3'!$F$11+G942*'Portfolio 2 &amp; 3'!$F$12+H942*'Portfolio 2 &amp; 3'!$F$13+I942*'Portfolio 2 &amp; 3'!$F$14+J942*'Portfolio 2 &amp; 3'!$F$15+K942*'Portfolio 2 &amp; 3'!$F$16</f>
        <v>-4.8837415487882445E-3</v>
      </c>
      <c r="R942" s="93">
        <f>B942*'Portfolio 2 &amp; 3'!$B$23+C942*'Portfolio 2 &amp; 3'!$B$24+D942*'Portfolio 2 &amp; 3'!$B$25+E942*'Portfolio 2 &amp; 3'!$B$26+F942*'Portfolio 2 &amp; 3'!$B$27+G942*'Portfolio 2 &amp; 3'!$B$28+H942*'Portfolio 2 &amp; 3'!$B$29+I942*'Portfolio 2 &amp; 3'!$B$30+J942*'Portfolio 2 &amp; 3'!$B$31+K942*'Portfolio 2 &amp; 3'!$B$32</f>
        <v>-4.3646476603409487E-3</v>
      </c>
      <c r="S942" s="93">
        <f t="shared" si="44"/>
        <v>8.1939548856357902E-4</v>
      </c>
    </row>
    <row r="943" spans="1:19" ht="12.75" customHeight="1">
      <c r="A943" s="82">
        <v>44699</v>
      </c>
      <c r="B943" s="53">
        <v>1.3599999999999999E-2</v>
      </c>
      <c r="C943" s="53">
        <v>-1.8467669021866601E-2</v>
      </c>
      <c r="D943" s="53">
        <v>-1.14770924699076E-2</v>
      </c>
      <c r="E943" s="53">
        <v>1.24E-3</v>
      </c>
      <c r="F943" s="53">
        <v>-4.7271164589601797E-3</v>
      </c>
      <c r="G943" s="53">
        <v>1.24097278477739E-2</v>
      </c>
      <c r="H943" s="87">
        <v>2.00620331540491E-2</v>
      </c>
      <c r="I943" s="53">
        <v>6.4568669652726998E-3</v>
      </c>
      <c r="J943" s="53">
        <v>6.2322659100122503E-3</v>
      </c>
      <c r="K943" s="53">
        <v>6.9535959624282802E-3</v>
      </c>
      <c r="L943" s="95">
        <f>IFERROR(B943*'Stock Statistics'!$C$41+C943*'Stock Statistics'!$C$42+D943*'Stock Statistics'!$C$43+E943*'Stock Statistics'!$C$44+F943*'Stock Statistics'!$C$45+G943*'Stock Statistics'!$C$46+H943*'Stock Statistics'!$C$47+I943*'Stock Statistics'!$C$48+J943*'Stock Statistics'!$C$49+K943*'Stock Statistics'!$C$50,"")</f>
        <v>3.2282611888801854E-3</v>
      </c>
      <c r="M943" s="97">
        <v>226.2457</v>
      </c>
      <c r="N943" s="96">
        <v>296.31630000000001</v>
      </c>
      <c r="O943" s="93">
        <f t="shared" si="42"/>
        <v>7.8940205467277202E-3</v>
      </c>
      <c r="P943" s="93">
        <f t="shared" si="43"/>
        <v>-1.2670311666476142E-2</v>
      </c>
      <c r="Q943" s="93">
        <f>B943*'Portfolio 2 &amp; 3'!$F$7+C943*'Portfolio 2 &amp; 3'!$F$8+D943*'Portfolio 2 &amp; 3'!$F$9+E943*'Portfolio 2 &amp; 3'!$F$10+F943*'Portfolio 2 &amp; 3'!$F$11+G943*'Portfolio 2 &amp; 3'!$F$12+H943*'Portfolio 2 &amp; 3'!$F$13+I943*'Portfolio 2 &amp; 3'!$F$14+J943*'Portfolio 2 &amp; 3'!$F$15+K943*'Portfolio 2 &amp; 3'!$F$16</f>
        <v>3.1507272373625115E-3</v>
      </c>
      <c r="R943" s="93">
        <f>B943*'Portfolio 2 &amp; 3'!$B$23+C943*'Portfolio 2 &amp; 3'!$B$24+D943*'Portfolio 2 &amp; 3'!$B$25+E943*'Portfolio 2 &amp; 3'!$B$26+F943*'Portfolio 2 &amp; 3'!$B$27+G943*'Portfolio 2 &amp; 3'!$B$28+H943*'Portfolio 2 &amp; 3'!$B$29+I943*'Portfolio 2 &amp; 3'!$B$30+J943*'Portfolio 2 &amp; 3'!$B$31+K943*'Portfolio 2 &amp; 3'!$B$32</f>
        <v>1.7372257457994597E-3</v>
      </c>
      <c r="S943" s="93">
        <f t="shared" si="44"/>
        <v>-2.3881455598742107E-3</v>
      </c>
    </row>
    <row r="944" spans="1:19" ht="12.75" customHeight="1">
      <c r="A944" s="81">
        <v>44698</v>
      </c>
      <c r="B944" s="53">
        <v>6.88E-2</v>
      </c>
      <c r="C944" s="53">
        <v>-5.4617510906849196E-3</v>
      </c>
      <c r="D944" s="53">
        <v>2.4373924679793602E-2</v>
      </c>
      <c r="E944" s="53">
        <v>1.5730000000000001E-2</v>
      </c>
      <c r="F944" s="53">
        <v>1.14459576934223E-2</v>
      </c>
      <c r="G944" s="53">
        <v>0.101013359647791</v>
      </c>
      <c r="H944" s="87">
        <v>-7.6611452251340595E-4</v>
      </c>
      <c r="I944" s="53">
        <v>2.4188263330354499E-2</v>
      </c>
      <c r="J944" s="53">
        <v>2.1162104827443299E-2</v>
      </c>
      <c r="K944" s="53">
        <v>1.4738099980083699E-2</v>
      </c>
      <c r="L944" s="95">
        <f>IFERROR(B944*'Stock Statistics'!$C$41+C944*'Stock Statistics'!$C$42+D944*'Stock Statistics'!$C$43+E944*'Stock Statistics'!$C$44+F944*'Stock Statistics'!$C$45+G944*'Stock Statistics'!$C$46+H944*'Stock Statistics'!$C$47+I944*'Stock Statistics'!$C$48+J944*'Stock Statistics'!$C$49+K944*'Stock Statistics'!$C$50,"")</f>
        <v>2.7522384454569008E-2</v>
      </c>
      <c r="M944" s="96">
        <v>224.47370000000001</v>
      </c>
      <c r="N944" s="97">
        <v>300.1189</v>
      </c>
      <c r="O944" s="93">
        <f t="shared" si="42"/>
        <v>2.8386562978721663E-3</v>
      </c>
      <c r="P944" s="93">
        <f t="shared" si="43"/>
        <v>-2.5859347218483153E-3</v>
      </c>
      <c r="Q944" s="93">
        <f>B944*'Portfolio 2 &amp; 3'!$F$7+C944*'Portfolio 2 &amp; 3'!$F$8+D944*'Portfolio 2 &amp; 3'!$F$9+E944*'Portfolio 2 &amp; 3'!$F$10+F944*'Portfolio 2 &amp; 3'!$F$11+G944*'Portfolio 2 &amp; 3'!$F$12+H944*'Portfolio 2 &amp; 3'!$F$13+I944*'Portfolio 2 &amp; 3'!$F$14+J944*'Portfolio 2 &amp; 3'!$F$15+K944*'Portfolio 2 &amp; 3'!$F$16</f>
        <v>2.1306280322664406E-2</v>
      </c>
      <c r="R944" s="93">
        <f>B944*'Portfolio 2 &amp; 3'!$B$23+C944*'Portfolio 2 &amp; 3'!$B$24+D944*'Portfolio 2 &amp; 3'!$B$25+E944*'Portfolio 2 &amp; 3'!$B$26+F944*'Portfolio 2 &amp; 3'!$B$27+G944*'Portfolio 2 &amp; 3'!$B$28+H944*'Portfolio 2 &amp; 3'!$B$29+I944*'Portfolio 2 &amp; 3'!$B$30+J944*'Portfolio 2 &amp; 3'!$B$31+K944*'Portfolio 2 &amp; 3'!$B$32</f>
        <v>2.8982354614363881E-2</v>
      </c>
      <c r="S944" s="93">
        <f t="shared" si="44"/>
        <v>1.2636078801192552E-4</v>
      </c>
    </row>
    <row r="945" spans="1:19" ht="12.75" customHeight="1">
      <c r="A945" s="82">
        <v>44697</v>
      </c>
      <c r="B945" s="53">
        <v>-2.7000000000000001E-3</v>
      </c>
      <c r="C945" s="53">
        <v>2.9344211717116299E-2</v>
      </c>
      <c r="D945" s="53">
        <v>-2.8688144090613599E-2</v>
      </c>
      <c r="E945" s="53">
        <v>-2.0330000000000001E-2</v>
      </c>
      <c r="F945" s="53">
        <v>1.2468827930174601E-2</v>
      </c>
      <c r="G945" s="53">
        <v>1.7611617488027399E-2</v>
      </c>
      <c r="H945" s="87">
        <v>-9.1210232108763795E-3</v>
      </c>
      <c r="I945" s="53">
        <v>-2.4808273297699301E-2</v>
      </c>
      <c r="J945" s="53">
        <v>1.86615520190769E-3</v>
      </c>
      <c r="K945" s="53">
        <v>1.9137646069533401E-2</v>
      </c>
      <c r="L945" s="95">
        <f>IFERROR(B945*'Stock Statistics'!$C$41+C945*'Stock Statistics'!$C$42+D945*'Stock Statistics'!$C$43+E945*'Stock Statistics'!$C$44+F945*'Stock Statistics'!$C$45+G945*'Stock Statistics'!$C$46+H945*'Stock Statistics'!$C$47+I945*'Stock Statistics'!$C$48+J945*'Stock Statistics'!$C$49+K945*'Stock Statistics'!$C$50,"")</f>
        <v>-5.2189821924298859E-4</v>
      </c>
      <c r="M945" s="97">
        <v>223.8383</v>
      </c>
      <c r="N945" s="96">
        <v>300.89699999999999</v>
      </c>
      <c r="O945" s="93">
        <f t="shared" si="42"/>
        <v>1.5999019578918139E-2</v>
      </c>
      <c r="P945" s="93">
        <f t="shared" si="43"/>
        <v>-2.587778707269639E-2</v>
      </c>
      <c r="Q945" s="93">
        <f>B945*'Portfolio 2 &amp; 3'!$F$7+C945*'Portfolio 2 &amp; 3'!$F$8+D945*'Portfolio 2 &amp; 3'!$F$9+E945*'Portfolio 2 &amp; 3'!$F$10+F945*'Portfolio 2 &amp; 3'!$F$11+G945*'Portfolio 2 &amp; 3'!$F$12+H945*'Portfolio 2 &amp; 3'!$F$13+I945*'Portfolio 2 &amp; 3'!$F$14+J945*'Portfolio 2 &amp; 3'!$F$15+K945*'Portfolio 2 &amp; 3'!$F$16</f>
        <v>-2.2110513904615597E-3</v>
      </c>
      <c r="R945" s="93">
        <f>B945*'Portfolio 2 &amp; 3'!$B$23+C945*'Portfolio 2 &amp; 3'!$B$24+D945*'Portfolio 2 &amp; 3'!$B$25+E945*'Portfolio 2 &amp; 3'!$B$26+F945*'Portfolio 2 &amp; 3'!$B$27+G945*'Portfolio 2 &amp; 3'!$B$28+H945*'Portfolio 2 &amp; 3'!$B$29+I945*'Portfolio 2 &amp; 3'!$B$30+J945*'Portfolio 2 &amp; 3'!$B$31+K945*'Portfolio 2 &amp; 3'!$B$32</f>
        <v>3.9599295181706375E-3</v>
      </c>
      <c r="S945" s="93">
        <f t="shared" si="44"/>
        <v>-4.9393837468891255E-3</v>
      </c>
    </row>
    <row r="946" spans="1:19" ht="12.75" customHeight="1">
      <c r="A946" s="81">
        <v>44694</v>
      </c>
      <c r="B946" s="53">
        <v>-1.41E-2</v>
      </c>
      <c r="C946" s="53">
        <v>-9.5073172388033794E-3</v>
      </c>
      <c r="D946" s="53">
        <v>-3.6238367931281303E-2</v>
      </c>
      <c r="E946" s="53">
        <v>-2.8070000000000001E-2</v>
      </c>
      <c r="F946" s="53">
        <v>2.2345530893821401E-2</v>
      </c>
      <c r="G946" s="53">
        <v>-1.04526953431046E-2</v>
      </c>
      <c r="H946" s="87">
        <v>1.6877390378835101E-2</v>
      </c>
      <c r="I946" s="53">
        <v>-3.1183158842733299E-2</v>
      </c>
      <c r="J946" s="53">
        <v>-7.51144723980046E-3</v>
      </c>
      <c r="K946" s="53">
        <v>-2.0074729708610999E-2</v>
      </c>
      <c r="L946" s="95">
        <f>IFERROR(B946*'Stock Statistics'!$C$41+C946*'Stock Statistics'!$C$42+D946*'Stock Statistics'!$C$43+E946*'Stock Statistics'!$C$44+F946*'Stock Statistics'!$C$45+G946*'Stock Statistics'!$C$46+H946*'Stock Statistics'!$C$47+I946*'Stock Statistics'!$C$48+J946*'Stock Statistics'!$C$49+K946*'Stock Statistics'!$C$50,"")</f>
        <v>-1.1791479503167753E-2</v>
      </c>
      <c r="M946" s="96">
        <v>220.3135</v>
      </c>
      <c r="N946" s="97">
        <v>308.8904</v>
      </c>
      <c r="O946" s="93">
        <f t="shared" si="42"/>
        <v>-1.3454350543014582E-2</v>
      </c>
      <c r="P946" s="93">
        <f t="shared" si="43"/>
        <v>-5.8585043900966083E-3</v>
      </c>
      <c r="Q946" s="93">
        <f>B946*'Portfolio 2 &amp; 3'!$F$7+C946*'Portfolio 2 &amp; 3'!$F$8+D946*'Portfolio 2 &amp; 3'!$F$9+E946*'Portfolio 2 &amp; 3'!$F$10+F946*'Portfolio 2 &amp; 3'!$F$11+G946*'Portfolio 2 &amp; 3'!$F$12+H946*'Portfolio 2 &amp; 3'!$F$13+I946*'Portfolio 2 &amp; 3'!$F$14+J946*'Portfolio 2 &amp; 3'!$F$15+K946*'Portfolio 2 &amp; 3'!$F$16</f>
        <v>-9.561347313569047E-3</v>
      </c>
      <c r="R946" s="93">
        <f>B946*'Portfolio 2 &amp; 3'!$B$23+C946*'Portfolio 2 &amp; 3'!$B$24+D946*'Portfolio 2 &amp; 3'!$B$25+E946*'Portfolio 2 &amp; 3'!$B$26+F946*'Portfolio 2 &amp; 3'!$B$27+G946*'Portfolio 2 &amp; 3'!$B$28+H946*'Portfolio 2 &amp; 3'!$B$29+I946*'Portfolio 2 &amp; 3'!$B$30+J946*'Portfolio 2 &amp; 3'!$B$31+K946*'Portfolio 2 &amp; 3'!$B$32</f>
        <v>-1.1000934737366561E-2</v>
      </c>
      <c r="S946" s="93">
        <f t="shared" si="44"/>
        <v>-9.6564274665555949E-3</v>
      </c>
    </row>
    <row r="947" spans="1:19" ht="12.75" customHeight="1">
      <c r="A947" s="82">
        <v>44693</v>
      </c>
      <c r="B947" s="53">
        <v>1.26E-2</v>
      </c>
      <c r="C947" s="53">
        <v>1.45896132977348E-2</v>
      </c>
      <c r="D947" s="53">
        <v>1.5234339994620899E-3</v>
      </c>
      <c r="E947" s="53">
        <v>-3.6299999999999999E-2</v>
      </c>
      <c r="F947" s="53">
        <v>5.1251130539644602E-3</v>
      </c>
      <c r="G947" s="53">
        <v>-1.8069576312530401E-2</v>
      </c>
      <c r="H947" s="87">
        <v>6.0836412416744902E-3</v>
      </c>
      <c r="I947" s="53">
        <v>-1.72585462993694E-2</v>
      </c>
      <c r="J947" s="53">
        <v>1.49422918384179E-3</v>
      </c>
      <c r="K947" s="53">
        <v>-3.8875385749788299E-2</v>
      </c>
      <c r="L947" s="95">
        <f>IFERROR(B947*'Stock Statistics'!$C$41+C947*'Stock Statistics'!$C$42+D947*'Stock Statistics'!$C$43+E947*'Stock Statistics'!$C$44+F947*'Stock Statistics'!$C$45+G947*'Stock Statistics'!$C$46+H947*'Stock Statistics'!$C$47+I947*'Stock Statistics'!$C$48+J947*'Stock Statistics'!$C$49+K947*'Stock Statistics'!$C$50,"")</f>
        <v>-6.9087477585010465E-3</v>
      </c>
      <c r="M947" s="97">
        <v>223.31809999999999</v>
      </c>
      <c r="N947" s="96">
        <v>310.71069999999997</v>
      </c>
      <c r="O947" s="93">
        <f t="shared" si="42"/>
        <v>-3.4681673377354727E-3</v>
      </c>
      <c r="P947" s="93">
        <f t="shared" si="43"/>
        <v>-3.1278313787997947E-3</v>
      </c>
      <c r="Q947" s="93">
        <f>B947*'Portfolio 2 &amp; 3'!$F$7+C947*'Portfolio 2 &amp; 3'!$F$8+D947*'Portfolio 2 &amp; 3'!$F$9+E947*'Portfolio 2 &amp; 3'!$F$10+F947*'Portfolio 2 &amp; 3'!$F$11+G947*'Portfolio 2 &amp; 3'!$F$12+H947*'Portfolio 2 &amp; 3'!$F$13+I947*'Portfolio 2 &amp; 3'!$F$14+J947*'Portfolio 2 &amp; 3'!$F$15+K947*'Portfolio 2 &amp; 3'!$F$16</f>
        <v>-3.9541197160270318E-3</v>
      </c>
      <c r="R947" s="93">
        <f>B947*'Portfolio 2 &amp; 3'!$B$23+C947*'Portfolio 2 &amp; 3'!$B$24+D947*'Portfolio 2 &amp; 3'!$B$25+E947*'Portfolio 2 &amp; 3'!$B$26+F947*'Portfolio 2 &amp; 3'!$B$27+G947*'Portfolio 2 &amp; 3'!$B$28+H947*'Portfolio 2 &amp; 3'!$B$29+I947*'Portfolio 2 &amp; 3'!$B$30+J947*'Portfolio 2 &amp; 3'!$B$31+K947*'Portfolio 2 &amp; 3'!$B$32</f>
        <v>-4.0388168650108457E-3</v>
      </c>
      <c r="S947" s="93">
        <f t="shared" si="44"/>
        <v>-3.2979993582676337E-3</v>
      </c>
    </row>
    <row r="948" spans="1:19" ht="12.75" customHeight="1">
      <c r="A948" s="81">
        <v>44692</v>
      </c>
      <c r="B948" s="53">
        <v>-5.0000000000000001E-3</v>
      </c>
      <c r="C948" s="53">
        <v>-1.2558491604735E-3</v>
      </c>
      <c r="D948" s="53">
        <v>6.7132064645691894E-2</v>
      </c>
      <c r="E948" s="53">
        <v>3.7699999999999999E-3</v>
      </c>
      <c r="F948" s="53">
        <v>4.8470160557405597E-3</v>
      </c>
      <c r="G948" s="53">
        <v>2.79288662577633E-2</v>
      </c>
      <c r="H948" s="87">
        <v>8.1347262339513296E-2</v>
      </c>
      <c r="I948" s="53">
        <v>4.3891327295959596E-3</v>
      </c>
      <c r="J948" s="53">
        <v>3.6080614401323702E-4</v>
      </c>
      <c r="K948" s="53">
        <v>-6.0596731573411403E-2</v>
      </c>
      <c r="L948" s="95">
        <f>IFERROR(B948*'Stock Statistics'!$C$41+C948*'Stock Statistics'!$C$42+D948*'Stock Statistics'!$C$43+E948*'Stock Statistics'!$C$44+F948*'Stock Statistics'!$C$45+G948*'Stock Statistics'!$C$46+H948*'Stock Statistics'!$C$47+I948*'Stock Statistics'!$C$48+J948*'Stock Statistics'!$C$49+K948*'Stock Statistics'!$C$50,"")</f>
        <v>1.2292256743843332E-2</v>
      </c>
      <c r="M948" s="96">
        <v>224.09530000000001</v>
      </c>
      <c r="N948" s="97">
        <v>311.68560000000002</v>
      </c>
      <c r="O948" s="93">
        <f t="shared" si="42"/>
        <v>-1.9846233786228407E-2</v>
      </c>
      <c r="P948" s="93">
        <f t="shared" si="43"/>
        <v>7.2732560957875503E-3</v>
      </c>
      <c r="Q948" s="93">
        <f>B948*'Portfolio 2 &amp; 3'!$F$7+C948*'Portfolio 2 &amp; 3'!$F$8+D948*'Portfolio 2 &amp; 3'!$F$9+E948*'Portfolio 2 &amp; 3'!$F$10+F948*'Portfolio 2 &amp; 3'!$F$11+G948*'Portfolio 2 &amp; 3'!$F$12+H948*'Portfolio 2 &amp; 3'!$F$13+I948*'Portfolio 2 &amp; 3'!$F$14+J948*'Portfolio 2 &amp; 3'!$F$15+K948*'Portfolio 2 &amp; 3'!$F$16</f>
        <v>1.9754767777504706E-2</v>
      </c>
      <c r="R948" s="93">
        <f>B948*'Portfolio 2 &amp; 3'!$B$23+C948*'Portfolio 2 &amp; 3'!$B$24+D948*'Portfolio 2 &amp; 3'!$B$25+E948*'Portfolio 2 &amp; 3'!$B$26+F948*'Portfolio 2 &amp; 3'!$B$27+G948*'Portfolio 2 &amp; 3'!$B$28+H948*'Portfolio 2 &amp; 3'!$B$29+I948*'Portfolio 2 &amp; 3'!$B$30+J948*'Portfolio 2 &amp; 3'!$B$31+K948*'Portfolio 2 &amp; 3'!$B$32</f>
        <v>1.99805160325518E-3</v>
      </c>
      <c r="S948" s="93">
        <f t="shared" si="44"/>
        <v>-6.2864888452204282E-3</v>
      </c>
    </row>
    <row r="949" spans="1:19" ht="12.75" customHeight="1">
      <c r="A949" s="82">
        <v>44691</v>
      </c>
      <c r="B949" s="53">
        <v>-2.7000000000000001E-3</v>
      </c>
      <c r="C949" s="53">
        <v>2.2369439903635599E-4</v>
      </c>
      <c r="D949" s="53">
        <v>-6.5671908506075696E-2</v>
      </c>
      <c r="E949" s="53">
        <v>-6.3000000000000003E-4</v>
      </c>
      <c r="F949" s="53">
        <v>-1.7120738424892E-2</v>
      </c>
      <c r="G949" s="53">
        <v>-1.6932440888147202E-2</v>
      </c>
      <c r="H949" s="87">
        <v>6.0550975472373203E-3</v>
      </c>
      <c r="I949" s="53">
        <v>-1.2346356453029001E-2</v>
      </c>
      <c r="J949" s="53">
        <v>-8.5343417825021195E-3</v>
      </c>
      <c r="K949" s="53">
        <v>-9.4522393607136199E-2</v>
      </c>
      <c r="L949" s="95">
        <f>IFERROR(B949*'Stock Statistics'!$C$41+C949*'Stock Statistics'!$C$42+D949*'Stock Statistics'!$C$43+E949*'Stock Statistics'!$C$44+F949*'Stock Statistics'!$C$45+G949*'Stock Statistics'!$C$46+H949*'Stock Statistics'!$C$47+I949*'Stock Statistics'!$C$48+J949*'Stock Statistics'!$C$49+K949*'Stock Statistics'!$C$50,"")</f>
        <v>-2.1217938771550857E-2</v>
      </c>
      <c r="M949" s="97">
        <v>228.6328</v>
      </c>
      <c r="N949" s="96">
        <v>309.435</v>
      </c>
      <c r="O949" s="93">
        <f t="shared" si="42"/>
        <v>-5.267930018499567E-3</v>
      </c>
      <c r="P949" s="93">
        <f t="shared" si="43"/>
        <v>-7.8611855326996549E-3</v>
      </c>
      <c r="Q949" s="93">
        <f>B949*'Portfolio 2 &amp; 3'!$F$7+C949*'Portfolio 2 &amp; 3'!$F$8+D949*'Portfolio 2 &amp; 3'!$F$9+E949*'Portfolio 2 &amp; 3'!$F$10+F949*'Portfolio 2 &amp; 3'!$F$11+G949*'Portfolio 2 &amp; 3'!$F$12+H949*'Portfolio 2 &amp; 3'!$F$13+I949*'Portfolio 2 &amp; 3'!$F$14+J949*'Portfolio 2 &amp; 3'!$F$15+K949*'Portfolio 2 &amp; 3'!$F$16</f>
        <v>-2.0393236813366016E-2</v>
      </c>
      <c r="R949" s="93">
        <f>B949*'Portfolio 2 &amp; 3'!$B$23+C949*'Portfolio 2 &amp; 3'!$B$24+D949*'Portfolio 2 &amp; 3'!$B$25+E949*'Portfolio 2 &amp; 3'!$B$26+F949*'Portfolio 2 &amp; 3'!$B$27+G949*'Portfolio 2 &amp; 3'!$B$28+H949*'Portfolio 2 &amp; 3'!$B$29+I949*'Portfolio 2 &amp; 3'!$B$30+J949*'Portfolio 2 &amp; 3'!$B$31+K949*'Portfolio 2 &amp; 3'!$B$32</f>
        <v>-1.6936176610643741E-2</v>
      </c>
      <c r="S949" s="93">
        <f t="shared" si="44"/>
        <v>-6.564557775599611E-3</v>
      </c>
    </row>
    <row r="950" spans="1:19" ht="12.75" customHeight="1">
      <c r="A950" s="81">
        <v>44690</v>
      </c>
      <c r="B950" s="53">
        <v>-1.66E-2</v>
      </c>
      <c r="C950" s="53">
        <v>-1.6799756378155201E-2</v>
      </c>
      <c r="D950" s="53">
        <v>4.4712032110520099E-2</v>
      </c>
      <c r="E950" s="53">
        <v>-1.1140000000000001E-2</v>
      </c>
      <c r="F950" s="53">
        <v>-6.9485511531637298E-3</v>
      </c>
      <c r="G950" s="53">
        <v>7.1998777739581401E-3</v>
      </c>
      <c r="H950" s="87">
        <v>4.6106557377045799E-4</v>
      </c>
      <c r="I950" s="53">
        <v>1.4287284316958401E-3</v>
      </c>
      <c r="J950" s="53">
        <v>4.3070362473347501E-2</v>
      </c>
      <c r="K950" s="53">
        <v>2.5147647170889801E-2</v>
      </c>
      <c r="L950" s="95">
        <f>IFERROR(B950*'Stock Statistics'!$C$41+C950*'Stock Statistics'!$C$42+D950*'Stock Statistics'!$C$43+E950*'Stock Statistics'!$C$44+F950*'Stock Statistics'!$C$45+G950*'Stock Statistics'!$C$46+H950*'Stock Statistics'!$C$47+I950*'Stock Statistics'!$C$48+J950*'Stock Statistics'!$C$49+K950*'Stock Statistics'!$C$50,"")</f>
        <v>7.0531406002862906E-3</v>
      </c>
      <c r="M950" s="96">
        <v>229.84360000000001</v>
      </c>
      <c r="N950" s="97">
        <v>311.88679999999999</v>
      </c>
      <c r="O950" s="93">
        <f t="shared" si="42"/>
        <v>-1.647456327430441E-2</v>
      </c>
      <c r="P950" s="93">
        <f t="shared" si="43"/>
        <v>1.1117576975758547E-2</v>
      </c>
      <c r="Q950" s="93">
        <f>B950*'Portfolio 2 &amp; 3'!$F$7+C950*'Portfolio 2 &amp; 3'!$F$8+D950*'Portfolio 2 &amp; 3'!$F$9+E950*'Portfolio 2 &amp; 3'!$F$10+F950*'Portfolio 2 &amp; 3'!$F$11+G950*'Portfolio 2 &amp; 3'!$F$12+H950*'Portfolio 2 &amp; 3'!$F$13+I950*'Portfolio 2 &amp; 3'!$F$14+J950*'Portfolio 2 &amp; 3'!$F$15+K950*'Portfolio 2 &amp; 3'!$F$16</f>
        <v>1.0535280096122729E-2</v>
      </c>
      <c r="R950" s="93">
        <f>B950*'Portfolio 2 &amp; 3'!$B$23+C950*'Portfolio 2 &amp; 3'!$B$24+D950*'Portfolio 2 &amp; 3'!$B$25+E950*'Portfolio 2 &amp; 3'!$B$26+F950*'Portfolio 2 &amp; 3'!$B$27+G950*'Portfolio 2 &amp; 3'!$B$28+H950*'Portfolio 2 &amp; 3'!$B$29+I950*'Portfolio 2 &amp; 3'!$B$30+J950*'Portfolio 2 &amp; 3'!$B$31+K950*'Portfolio 2 &amp; 3'!$B$32</f>
        <v>-1.2617118261027517E-3</v>
      </c>
      <c r="S950" s="93">
        <f t="shared" si="44"/>
        <v>-2.6784931492729314E-3</v>
      </c>
    </row>
    <row r="951" spans="1:19" ht="12.75" customHeight="1">
      <c r="A951" s="82">
        <v>44687</v>
      </c>
      <c r="B951" s="53">
        <v>2.2200000000000001E-2</v>
      </c>
      <c r="C951" s="53">
        <v>4.4181620445895601E-3</v>
      </c>
      <c r="D951" s="53">
        <v>-2.8034839412085E-2</v>
      </c>
      <c r="E951" s="53">
        <v>1.2999999999999999E-3</v>
      </c>
      <c r="F951" s="53">
        <v>-7.1921326875091802E-3</v>
      </c>
      <c r="G951" s="53">
        <v>1.427602905569E-2</v>
      </c>
      <c r="H951" s="87">
        <v>4.0119329287109399E-3</v>
      </c>
      <c r="I951" s="53">
        <v>-1.3177159590044001E-2</v>
      </c>
      <c r="J951" s="53">
        <v>-1.9956117438094199E-2</v>
      </c>
      <c r="K951" s="53">
        <v>-3.8358485813085402E-2</v>
      </c>
      <c r="L951" s="95">
        <f>IFERROR(B951*'Stock Statistics'!$C$41+C951*'Stock Statistics'!$C$42+D951*'Stock Statistics'!$C$43+E951*'Stock Statistics'!$C$44+F951*'Stock Statistics'!$C$45+G951*'Stock Statistics'!$C$46+H951*'Stock Statistics'!$C$47+I951*'Stock Statistics'!$C$48+J951*'Stock Statistics'!$C$49+K951*'Stock Statistics'!$C$50,"")</f>
        <v>-6.0512610911827285E-3</v>
      </c>
      <c r="M951" s="97">
        <v>233.6936</v>
      </c>
      <c r="N951" s="96">
        <v>308.45749999999998</v>
      </c>
      <c r="O951" s="93">
        <f t="shared" si="42"/>
        <v>-6.8384255684272865E-3</v>
      </c>
      <c r="P951" s="93">
        <f t="shared" si="43"/>
        <v>-1.7225926762570287E-2</v>
      </c>
      <c r="Q951" s="93">
        <f>B951*'Portfolio 2 &amp; 3'!$F$7+C951*'Portfolio 2 &amp; 3'!$F$8+D951*'Portfolio 2 &amp; 3'!$F$9+E951*'Portfolio 2 &amp; 3'!$F$10+F951*'Portfolio 2 &amp; 3'!$F$11+G951*'Portfolio 2 &amp; 3'!$F$12+H951*'Portfolio 2 &amp; 3'!$F$13+I951*'Portfolio 2 &amp; 3'!$F$14+J951*'Portfolio 2 &amp; 3'!$F$15+K951*'Portfolio 2 &amp; 3'!$F$16</f>
        <v>-8.0837760473253008E-3</v>
      </c>
      <c r="R951" s="93">
        <f>B951*'Portfolio 2 &amp; 3'!$B$23+C951*'Portfolio 2 &amp; 3'!$B$24+D951*'Portfolio 2 &amp; 3'!$B$25+E951*'Portfolio 2 &amp; 3'!$B$26+F951*'Portfolio 2 &amp; 3'!$B$27+G951*'Portfolio 2 &amp; 3'!$B$28+H951*'Portfolio 2 &amp; 3'!$B$29+I951*'Portfolio 2 &amp; 3'!$B$30+J951*'Portfolio 2 &amp; 3'!$B$31+K951*'Portfolio 2 &amp; 3'!$B$32</f>
        <v>-3.2760865695972562E-3</v>
      </c>
      <c r="S951" s="93">
        <f t="shared" si="44"/>
        <v>-1.2032176165498787E-2</v>
      </c>
    </row>
    <row r="952" spans="1:19" ht="12.75" customHeight="1">
      <c r="A952" s="81">
        <v>44686</v>
      </c>
      <c r="B952" s="53">
        <v>-3.0000000000000001E-3</v>
      </c>
      <c r="C952" s="53">
        <v>-9.8096952768756997E-3</v>
      </c>
      <c r="D952" s="53">
        <v>-2.03537463336592E-2</v>
      </c>
      <c r="E952" s="53">
        <v>-1.8550000000000001E-2</v>
      </c>
      <c r="F952" s="53">
        <v>4.4228217602830799E-3</v>
      </c>
      <c r="G952" s="53">
        <v>-5.2272903275763004E-4</v>
      </c>
      <c r="H952" s="87">
        <v>-9.1481283286191095E-3</v>
      </c>
      <c r="I952" s="53">
        <v>6.9895702506415098E-3</v>
      </c>
      <c r="J952" s="53">
        <v>2.0362473347548E-2</v>
      </c>
      <c r="K952" s="53">
        <v>1.4721089383852101E-2</v>
      </c>
      <c r="L952" s="95">
        <f>IFERROR(B952*'Stock Statistics'!$C$41+C952*'Stock Statistics'!$C$42+D952*'Stock Statistics'!$C$43+E952*'Stock Statistics'!$C$44+F952*'Stock Statistics'!$C$45+G952*'Stock Statistics'!$C$46+H952*'Stock Statistics'!$C$47+I952*'Stock Statistics'!$C$48+J952*'Stock Statistics'!$C$49+K952*'Stock Statistics'!$C$50,"")</f>
        <v>-1.4888344229586957E-3</v>
      </c>
      <c r="M952" s="96">
        <v>235.30269999999999</v>
      </c>
      <c r="N952" s="97">
        <v>313.86410000000001</v>
      </c>
      <c r="O952" s="93">
        <f t="shared" si="42"/>
        <v>-2.8618077486738169E-2</v>
      </c>
      <c r="P952" s="93">
        <f t="shared" si="43"/>
        <v>-1.6286258025126288E-2</v>
      </c>
      <c r="Q952" s="93">
        <f>B952*'Portfolio 2 &amp; 3'!$F$7+C952*'Portfolio 2 &amp; 3'!$F$8+D952*'Portfolio 2 &amp; 3'!$F$9+E952*'Portfolio 2 &amp; 3'!$F$10+F952*'Portfolio 2 &amp; 3'!$F$11+G952*'Portfolio 2 &amp; 3'!$F$12+H952*'Portfolio 2 &amp; 3'!$F$13+I952*'Portfolio 2 &amp; 3'!$F$14+J952*'Portfolio 2 &amp; 3'!$F$15+K952*'Portfolio 2 &amp; 3'!$F$16</f>
        <v>-1.5692490555940942E-3</v>
      </c>
      <c r="R952" s="93">
        <f>B952*'Portfolio 2 &amp; 3'!$B$23+C952*'Portfolio 2 &amp; 3'!$B$24+D952*'Portfolio 2 &amp; 3'!$B$25+E952*'Portfolio 2 &amp; 3'!$B$26+F952*'Portfolio 2 &amp; 3'!$B$27+G952*'Portfolio 2 &amp; 3'!$B$28+H952*'Portfolio 2 &amp; 3'!$B$29+I952*'Portfolio 2 &amp; 3'!$B$30+J952*'Portfolio 2 &amp; 3'!$B$31+K952*'Portfolio 2 &amp; 3'!$B$32</f>
        <v>1.5199806408508023E-3</v>
      </c>
      <c r="S952" s="93">
        <f t="shared" si="44"/>
        <v>-2.2452167755932229E-2</v>
      </c>
    </row>
    <row r="953" spans="1:19" ht="12.75" customHeight="1">
      <c r="A953" s="82">
        <v>44685</v>
      </c>
      <c r="B953" s="53">
        <v>-2.4400000000000002E-2</v>
      </c>
      <c r="C953" s="53">
        <v>-3.6712266597510403E-2</v>
      </c>
      <c r="D953" s="53">
        <v>-1.43670608848008E-2</v>
      </c>
      <c r="E953" s="53">
        <v>-5.2100000000000002E-3</v>
      </c>
      <c r="F953" s="53">
        <v>-3.1415107810938203E-2</v>
      </c>
      <c r="G953" s="53">
        <v>3.1225043922696E-2</v>
      </c>
      <c r="H953" s="87">
        <v>1.1417525773195899E-2</v>
      </c>
      <c r="I953" s="53">
        <v>3.5100610445399E-2</v>
      </c>
      <c r="J953" s="53">
        <v>4.9282194128989999E-3</v>
      </c>
      <c r="K953" s="53">
        <v>2.0210521324767E-2</v>
      </c>
      <c r="L953" s="95">
        <f>IFERROR(B953*'Stock Statistics'!$C$41+C953*'Stock Statistics'!$C$42+D953*'Stock Statistics'!$C$43+E953*'Stock Statistics'!$C$44+F953*'Stock Statistics'!$C$45+G953*'Stock Statistics'!$C$46+H953*'Stock Statistics'!$C$47+I953*'Stock Statistics'!$C$48+J953*'Stock Statistics'!$C$49+K953*'Stock Statistics'!$C$50,"")</f>
        <v>-9.2225144142925189E-4</v>
      </c>
      <c r="M953" s="97">
        <v>242.23500000000001</v>
      </c>
      <c r="N953" s="96">
        <v>319.06040000000002</v>
      </c>
      <c r="O953" s="93">
        <f t="shared" si="42"/>
        <v>-1.0413666573931835E-2</v>
      </c>
      <c r="P953" s="93">
        <f t="shared" si="43"/>
        <v>8.5441339447094311E-3</v>
      </c>
      <c r="Q953" s="93">
        <f>B953*'Portfolio 2 &amp; 3'!$F$7+C953*'Portfolio 2 &amp; 3'!$F$8+D953*'Portfolio 2 &amp; 3'!$F$9+E953*'Portfolio 2 &amp; 3'!$F$10+F953*'Portfolio 2 &amp; 3'!$F$11+G953*'Portfolio 2 &amp; 3'!$F$12+H953*'Portfolio 2 &amp; 3'!$F$13+I953*'Portfolio 2 &amp; 3'!$F$14+J953*'Portfolio 2 &amp; 3'!$F$15+K953*'Portfolio 2 &amp; 3'!$F$16</f>
        <v>-1.8589530743275586E-3</v>
      </c>
      <c r="R953" s="93">
        <f>B953*'Portfolio 2 &amp; 3'!$B$23+C953*'Portfolio 2 &amp; 3'!$B$24+D953*'Portfolio 2 &amp; 3'!$B$25+E953*'Portfolio 2 &amp; 3'!$B$26+F953*'Portfolio 2 &amp; 3'!$B$27+G953*'Portfolio 2 &amp; 3'!$B$28+H953*'Portfolio 2 &amp; 3'!$B$29+I953*'Portfolio 2 &amp; 3'!$B$30+J953*'Portfolio 2 &amp; 3'!$B$31+K953*'Portfolio 2 &amp; 3'!$B$32</f>
        <v>-1.0844191805826674E-3</v>
      </c>
      <c r="S953" s="93">
        <f t="shared" si="44"/>
        <v>-9.3476631461120174E-4</v>
      </c>
    </row>
    <row r="954" spans="1:19" ht="12.75" customHeight="1">
      <c r="A954" s="81">
        <v>44683</v>
      </c>
      <c r="B954" s="53">
        <v>1E-4</v>
      </c>
      <c r="C954" s="53">
        <v>-2.1833708010544602E-3</v>
      </c>
      <c r="D954" s="53">
        <v>-2.33572895277207E-2</v>
      </c>
      <c r="E954" s="53">
        <v>-2.7799999999999998E-2</v>
      </c>
      <c r="F954" s="53">
        <v>-5.53819937517763E-3</v>
      </c>
      <c r="G954" s="53">
        <v>-1.89980022719261E-2</v>
      </c>
      <c r="H954" s="87">
        <v>-1.0427260205199101E-3</v>
      </c>
      <c r="I954" s="53">
        <v>-1.6181949619084601E-2</v>
      </c>
      <c r="J954" s="53">
        <v>-1.2839717526215201E-3</v>
      </c>
      <c r="K954" s="53">
        <v>-1.4715844058769899E-2</v>
      </c>
      <c r="L954" s="95">
        <f>IFERROR(B954*'Stock Statistics'!$C$41+C954*'Stock Statistics'!$C$42+D954*'Stock Statistics'!$C$43+E954*'Stock Statistics'!$C$44+F954*'Stock Statistics'!$C$45+G954*'Stock Statistics'!$C$46+H954*'Stock Statistics'!$C$47+I954*'Stock Statistics'!$C$48+J954*'Stock Statistics'!$C$49+K954*'Stock Statistics'!$C$50,"")</f>
        <v>-1.1100135342687483E-2</v>
      </c>
      <c r="M954" s="96">
        <v>244.7841</v>
      </c>
      <c r="N954" s="97">
        <v>316.35739999999998</v>
      </c>
      <c r="O954" s="93">
        <f t="shared" si="42"/>
        <v>1.2389500705984879E-3</v>
      </c>
      <c r="P954" s="93">
        <f t="shared" si="43"/>
        <v>6.8448572229680149E-3</v>
      </c>
      <c r="Q954" s="93">
        <f>B954*'Portfolio 2 &amp; 3'!$F$7+C954*'Portfolio 2 &amp; 3'!$F$8+D954*'Portfolio 2 &amp; 3'!$F$9+E954*'Portfolio 2 &amp; 3'!$F$10+F954*'Portfolio 2 &amp; 3'!$F$11+G954*'Portfolio 2 &amp; 3'!$F$12+H954*'Portfolio 2 &amp; 3'!$F$13+I954*'Portfolio 2 &amp; 3'!$F$14+J954*'Portfolio 2 &amp; 3'!$F$15+K954*'Portfolio 2 &amp; 3'!$F$16</f>
        <v>-9.8378660866680519E-3</v>
      </c>
      <c r="R954" s="93">
        <f>B954*'Portfolio 2 &amp; 3'!$B$23+C954*'Portfolio 2 &amp; 3'!$B$24+D954*'Portfolio 2 &amp; 3'!$B$25+E954*'Portfolio 2 &amp; 3'!$B$26+F954*'Portfolio 2 &amp; 3'!$B$27+G954*'Portfolio 2 &amp; 3'!$B$28+H954*'Portfolio 2 &amp; 3'!$B$29+I954*'Portfolio 2 &amp; 3'!$B$30+J954*'Portfolio 2 &amp; 3'!$B$31+K954*'Portfolio 2 &amp; 3'!$B$32</f>
        <v>-8.9677756307457428E-3</v>
      </c>
      <c r="S954" s="93">
        <f t="shared" si="44"/>
        <v>4.0419036467832514E-3</v>
      </c>
    </row>
    <row r="955" spans="1:19" ht="12.75" customHeight="1">
      <c r="A955" s="82">
        <v>44680</v>
      </c>
      <c r="B955" s="53">
        <v>-1.03E-2</v>
      </c>
      <c r="C955" s="53">
        <v>-2.4686100069405002E-2</v>
      </c>
      <c r="D955" s="53">
        <v>-3.1006466589288701E-2</v>
      </c>
      <c r="E955" s="53">
        <v>-3.0599999999999998E-3</v>
      </c>
      <c r="F955" s="53">
        <v>-5.0861825374398702E-3</v>
      </c>
      <c r="G955" s="53">
        <v>-1.0177771746505601E-2</v>
      </c>
      <c r="H955" s="87">
        <v>-7.6520183955032196E-3</v>
      </c>
      <c r="I955" s="53">
        <v>8.2982898794505804E-3</v>
      </c>
      <c r="J955" s="53">
        <v>1.50420852565842E-2</v>
      </c>
      <c r="K955" s="53">
        <v>1.12675390938728E-2</v>
      </c>
      <c r="L955" s="95">
        <f>IFERROR(B955*'Stock Statistics'!$C$41+C955*'Stock Statistics'!$C$42+D955*'Stock Statistics'!$C$43+E955*'Stock Statistics'!$C$44+F955*'Stock Statistics'!$C$45+G955*'Stock Statistics'!$C$46+H955*'Stock Statistics'!$C$47+I955*'Stock Statistics'!$C$48+J955*'Stock Statistics'!$C$49+K955*'Stock Statistics'!$C$50,"")</f>
        <v>-5.73606251082348E-3</v>
      </c>
      <c r="M955" s="97">
        <v>244.4812</v>
      </c>
      <c r="N955" s="96">
        <v>314.20670000000001</v>
      </c>
      <c r="O955" s="93">
        <f t="shared" si="42"/>
        <v>3.1681213381034024E-3</v>
      </c>
      <c r="P955" s="93">
        <f t="shared" si="43"/>
        <v>-8.2616795055427961E-3</v>
      </c>
      <c r="Q955" s="93">
        <f>B955*'Portfolio 2 &amp; 3'!$F$7+C955*'Portfolio 2 &amp; 3'!$F$8+D955*'Portfolio 2 &amp; 3'!$F$9+E955*'Portfolio 2 &amp; 3'!$F$10+F955*'Portfolio 2 &amp; 3'!$F$11+G955*'Portfolio 2 &amp; 3'!$F$12+H955*'Portfolio 2 &amp; 3'!$F$13+I955*'Portfolio 2 &amp; 3'!$F$14+J955*'Portfolio 2 &amp; 3'!$F$15+K955*'Portfolio 2 &amp; 3'!$F$16</f>
        <v>-5.9887593873804313E-3</v>
      </c>
      <c r="R955" s="93">
        <f>B955*'Portfolio 2 &amp; 3'!$B$23+C955*'Portfolio 2 &amp; 3'!$B$24+D955*'Portfolio 2 &amp; 3'!$B$25+E955*'Portfolio 2 &amp; 3'!$B$26+F955*'Portfolio 2 &amp; 3'!$B$27+G955*'Portfolio 2 &amp; 3'!$B$28+H955*'Portfolio 2 &amp; 3'!$B$29+I955*'Portfolio 2 &amp; 3'!$B$30+J955*'Portfolio 2 &amp; 3'!$B$31+K955*'Portfolio 2 &amp; 3'!$B$32</f>
        <v>-5.0577947335077372E-3</v>
      </c>
      <c r="S955" s="93">
        <f t="shared" si="44"/>
        <v>-2.5467790837196969E-3</v>
      </c>
    </row>
    <row r="956" spans="1:19" ht="12.75" customHeight="1">
      <c r="A956" s="81">
        <v>44679</v>
      </c>
      <c r="B956" s="53">
        <v>-8.8999999999999999E-3</v>
      </c>
      <c r="C956" s="53">
        <v>-6.6125544517220396E-3</v>
      </c>
      <c r="D956" s="53">
        <v>-1.82321341364153E-2</v>
      </c>
      <c r="E956" s="53">
        <v>-2.511E-2</v>
      </c>
      <c r="F956" s="53">
        <v>2.5202780996523601E-2</v>
      </c>
      <c r="G956" s="53">
        <v>-6.94979208378244E-3</v>
      </c>
      <c r="H956" s="87">
        <v>2.0994418557016602E-3</v>
      </c>
      <c r="I956" s="53">
        <v>6.9444444444444198E-3</v>
      </c>
      <c r="J956" s="53">
        <v>-1.7971416382252602E-2</v>
      </c>
      <c r="K956" s="53">
        <v>-1.40667939820207E-2</v>
      </c>
      <c r="L956" s="95">
        <f>IFERROR(B956*'Stock Statistics'!$C$41+C956*'Stock Statistics'!$C$42+D956*'Stock Statistics'!$C$43+E956*'Stock Statistics'!$C$44+F956*'Stock Statistics'!$C$45+G956*'Stock Statistics'!$C$46+H956*'Stock Statistics'!$C$47+I956*'Stock Statistics'!$C$48+J956*'Stock Statistics'!$C$49+K956*'Stock Statistics'!$C$50,"")</f>
        <v>-6.3596023739523411E-3</v>
      </c>
      <c r="M956" s="96">
        <v>243.70910000000001</v>
      </c>
      <c r="N956" s="97">
        <v>316.82420000000002</v>
      </c>
      <c r="O956" s="93">
        <f t="shared" si="42"/>
        <v>-7.7875792020174472E-3</v>
      </c>
      <c r="P956" s="93">
        <f t="shared" si="43"/>
        <v>-7.5474511454934889E-3</v>
      </c>
      <c r="Q956" s="93">
        <f>B956*'Portfolio 2 &amp; 3'!$F$7+C956*'Portfolio 2 &amp; 3'!$F$8+D956*'Portfolio 2 &amp; 3'!$F$9+E956*'Portfolio 2 &amp; 3'!$F$10+F956*'Portfolio 2 &amp; 3'!$F$11+G956*'Portfolio 2 &amp; 3'!$F$12+H956*'Portfolio 2 &amp; 3'!$F$13+I956*'Portfolio 2 &amp; 3'!$F$14+J956*'Portfolio 2 &amp; 3'!$F$15+K956*'Portfolio 2 &amp; 3'!$F$16</f>
        <v>-6.0636596160969381E-3</v>
      </c>
      <c r="R956" s="93">
        <f>B956*'Portfolio 2 &amp; 3'!$B$23+C956*'Portfolio 2 &amp; 3'!$B$24+D956*'Portfolio 2 &amp; 3'!$B$25+E956*'Portfolio 2 &amp; 3'!$B$26+F956*'Portfolio 2 &amp; 3'!$B$27+G956*'Portfolio 2 &amp; 3'!$B$28+H956*'Portfolio 2 &amp; 3'!$B$29+I956*'Portfolio 2 &amp; 3'!$B$30+J956*'Portfolio 2 &amp; 3'!$B$31+K956*'Portfolio 2 &amp; 3'!$B$32</f>
        <v>5.5468893414373894E-4</v>
      </c>
      <c r="S956" s="93">
        <f t="shared" si="44"/>
        <v>-7.6675151737554681E-3</v>
      </c>
    </row>
    <row r="957" spans="1:19" ht="12.75" customHeight="1">
      <c r="A957" s="82">
        <v>44678</v>
      </c>
      <c r="B957" s="53">
        <v>-7.3000000000000001E-3</v>
      </c>
      <c r="C957" s="53">
        <v>-2.5024443901246699E-2</v>
      </c>
      <c r="D957" s="53">
        <v>2.2024634962067901E-3</v>
      </c>
      <c r="E957" s="53">
        <v>1.2710000000000001E-2</v>
      </c>
      <c r="F957" s="53">
        <v>-1.2161968808127E-2</v>
      </c>
      <c r="G957" s="53">
        <v>-2.0238791331082501E-2</v>
      </c>
      <c r="H957" s="87">
        <v>-6.3221095747522096E-3</v>
      </c>
      <c r="I957" s="53">
        <v>3.5127478753540502E-3</v>
      </c>
      <c r="J957" s="53">
        <v>1.23630081520272E-2</v>
      </c>
      <c r="K957" s="53">
        <v>-5.9352706367032904E-4</v>
      </c>
      <c r="L957" s="95">
        <f>IFERROR(B957*'Stock Statistics'!$C$41+C957*'Stock Statistics'!$C$42+D957*'Stock Statistics'!$C$43+E957*'Stock Statistics'!$C$44+F957*'Stock Statistics'!$C$45+G957*'Stock Statistics'!$C$46+H957*'Stock Statistics'!$C$47+I957*'Stock Statistics'!$C$48+J957*'Stock Statistics'!$C$49+K957*'Stock Statistics'!$C$50,"")</f>
        <v>-4.0852621155290699E-3</v>
      </c>
      <c r="M957" s="97">
        <v>245.62190000000001</v>
      </c>
      <c r="N957" s="96">
        <v>319.23360000000002</v>
      </c>
      <c r="O957" s="93">
        <f t="shared" si="42"/>
        <v>8.530686203700899E-3</v>
      </c>
      <c r="P957" s="93">
        <f t="shared" si="43"/>
        <v>-6.8910302591373984E-5</v>
      </c>
      <c r="Q957" s="93">
        <f>B957*'Portfolio 2 &amp; 3'!$F$7+C957*'Portfolio 2 &amp; 3'!$F$8+D957*'Portfolio 2 &amp; 3'!$F$9+E957*'Portfolio 2 &amp; 3'!$F$10+F957*'Portfolio 2 &amp; 3'!$F$11+G957*'Portfolio 2 &amp; 3'!$F$12+H957*'Portfolio 2 &amp; 3'!$F$13+I957*'Portfolio 2 &amp; 3'!$F$14+J957*'Portfolio 2 &amp; 3'!$F$15+K957*'Portfolio 2 &amp; 3'!$F$16</f>
        <v>-3.0372220706891728E-3</v>
      </c>
      <c r="R957" s="93">
        <f>B957*'Portfolio 2 &amp; 3'!$B$23+C957*'Portfolio 2 &amp; 3'!$B$24+D957*'Portfolio 2 &amp; 3'!$B$25+E957*'Portfolio 2 &amp; 3'!$B$26+F957*'Portfolio 2 &amp; 3'!$B$27+G957*'Portfolio 2 &amp; 3'!$B$28+H957*'Portfolio 2 &amp; 3'!$B$29+I957*'Portfolio 2 &amp; 3'!$B$30+J957*'Portfolio 2 &amp; 3'!$B$31+K957*'Portfolio 2 &amp; 3'!$B$32</f>
        <v>-8.7571225719396354E-3</v>
      </c>
      <c r="S957" s="93">
        <f t="shared" si="44"/>
        <v>4.2308879505547625E-3</v>
      </c>
    </row>
    <row r="958" spans="1:19" ht="12.75" customHeight="1">
      <c r="A958" s="81">
        <v>44677</v>
      </c>
      <c r="B958" s="53">
        <v>-3.5000000000000001E-3</v>
      </c>
      <c r="C958" s="53">
        <v>6.8914595126754498E-3</v>
      </c>
      <c r="D958" s="53">
        <v>-1.9828895818341699E-2</v>
      </c>
      <c r="E958" s="53">
        <v>4.6499999999999996E-3</v>
      </c>
      <c r="F958" s="53">
        <v>2.43294738384876E-2</v>
      </c>
      <c r="G958" s="53">
        <v>-1.21485401255845E-2</v>
      </c>
      <c r="H958" s="87">
        <v>-8.36318684091031E-3</v>
      </c>
      <c r="I958" s="53">
        <v>3.8235294117647201E-2</v>
      </c>
      <c r="J958" s="53">
        <v>-1.29489502291378E-2</v>
      </c>
      <c r="K958" s="53">
        <v>1.5421521590130299E-2</v>
      </c>
      <c r="L958" s="95">
        <f>IFERROR(B958*'Stock Statistics'!$C$41+C958*'Stock Statistics'!$C$42+D958*'Stock Statistics'!$C$43+E958*'Stock Statistics'!$C$44+F958*'Stock Statistics'!$C$45+G958*'Stock Statistics'!$C$46+H958*'Stock Statistics'!$C$47+I958*'Stock Statistics'!$C$48+J958*'Stock Statistics'!$C$49+K958*'Stock Statistics'!$C$50,"")</f>
        <v>3.2738176044966238E-3</v>
      </c>
      <c r="M958" s="96">
        <v>243.54429999999999</v>
      </c>
      <c r="N958" s="97">
        <v>319.25560000000002</v>
      </c>
      <c r="O958" s="93">
        <f t="shared" si="42"/>
        <v>-1.5452760839368973E-2</v>
      </c>
      <c r="P958" s="93">
        <f t="shared" si="43"/>
        <v>-7.3752975878631499E-3</v>
      </c>
      <c r="Q958" s="93">
        <f>B958*'Portfolio 2 &amp; 3'!$F$7+C958*'Portfolio 2 &amp; 3'!$F$8+D958*'Portfolio 2 &amp; 3'!$F$9+E958*'Portfolio 2 &amp; 3'!$F$10+F958*'Portfolio 2 &amp; 3'!$F$11+G958*'Portfolio 2 &amp; 3'!$F$12+H958*'Portfolio 2 &amp; 3'!$F$13+I958*'Portfolio 2 &amp; 3'!$F$14+J958*'Portfolio 2 &amp; 3'!$F$15+K958*'Portfolio 2 &amp; 3'!$F$16</f>
        <v>1.1805144632617435E-3</v>
      </c>
      <c r="R958" s="93">
        <f>B958*'Portfolio 2 &amp; 3'!$B$23+C958*'Portfolio 2 &amp; 3'!$B$24+D958*'Portfolio 2 &amp; 3'!$B$25+E958*'Portfolio 2 &amp; 3'!$B$26+F958*'Portfolio 2 &amp; 3'!$B$27+G958*'Portfolio 2 &amp; 3'!$B$28+H958*'Portfolio 2 &amp; 3'!$B$29+I958*'Portfolio 2 &amp; 3'!$B$30+J958*'Portfolio 2 &amp; 3'!$B$31+K958*'Portfolio 2 &amp; 3'!$B$32</f>
        <v>1.3356667979906579E-2</v>
      </c>
      <c r="S958" s="93">
        <f t="shared" si="44"/>
        <v>-1.1414029213616061E-2</v>
      </c>
    </row>
    <row r="959" spans="1:19" ht="12.75" customHeight="1">
      <c r="A959" s="82">
        <v>44676</v>
      </c>
      <c r="B959" s="53">
        <v>1.6999999999999999E-3</v>
      </c>
      <c r="C959" s="53">
        <v>-1.4985529645286899E-2</v>
      </c>
      <c r="D959" s="53">
        <v>1.12062755142883E-3</v>
      </c>
      <c r="E959" s="53">
        <v>-7.0400000000000003E-3</v>
      </c>
      <c r="F959" s="53">
        <v>-3.1649162645472698E-2</v>
      </c>
      <c r="G959" s="53">
        <v>-3.2686414708886801E-3</v>
      </c>
      <c r="H959" s="87">
        <v>-7.1511766252958502E-3</v>
      </c>
      <c r="I959" s="53">
        <v>-5.6153486195600301E-3</v>
      </c>
      <c r="J959" s="53">
        <v>3.7978069002406701E-3</v>
      </c>
      <c r="K959" s="53">
        <v>1.5663069961712399E-2</v>
      </c>
      <c r="L959" s="95">
        <f>IFERROR(B959*'Stock Statistics'!$C$41+C959*'Stock Statistics'!$C$42+D959*'Stock Statistics'!$C$43+E959*'Stock Statistics'!$C$44+F959*'Stock Statistics'!$C$45+G959*'Stock Statistics'!$C$46+H959*'Stock Statistics'!$C$47+I959*'Stock Statistics'!$C$48+J959*'Stock Statistics'!$C$49+K959*'Stock Statistics'!$C$50,"")</f>
        <v>-4.7428354593122271E-3</v>
      </c>
      <c r="M959" s="97">
        <v>247.36680000000001</v>
      </c>
      <c r="N959" s="96">
        <v>321.6277</v>
      </c>
      <c r="O959" s="93">
        <f t="shared" si="42"/>
        <v>-1.6272652328195414E-2</v>
      </c>
      <c r="P959" s="93">
        <f t="shared" si="43"/>
        <v>2.9656036749785564E-3</v>
      </c>
      <c r="Q959" s="93">
        <f>B959*'Portfolio 2 &amp; 3'!$F$7+C959*'Portfolio 2 &amp; 3'!$F$8+D959*'Portfolio 2 &amp; 3'!$F$9+E959*'Portfolio 2 &amp; 3'!$F$10+F959*'Portfolio 2 &amp; 3'!$F$11+G959*'Portfolio 2 &amp; 3'!$F$12+H959*'Portfolio 2 &amp; 3'!$F$13+I959*'Portfolio 2 &amp; 3'!$F$14+J959*'Portfolio 2 &amp; 3'!$F$15+K959*'Portfolio 2 &amp; 3'!$F$16</f>
        <v>-5.001682308199887E-3</v>
      </c>
      <c r="R959" s="93">
        <f>B959*'Portfolio 2 &amp; 3'!$B$23+C959*'Portfolio 2 &amp; 3'!$B$24+D959*'Portfolio 2 &amp; 3'!$B$25+E959*'Portfolio 2 &amp; 3'!$B$26+F959*'Portfolio 2 &amp; 3'!$B$27+G959*'Portfolio 2 &amp; 3'!$B$28+H959*'Portfolio 2 &amp; 3'!$B$29+I959*'Portfolio 2 &amp; 3'!$B$30+J959*'Portfolio 2 &amp; 3'!$B$31+K959*'Portfolio 2 &amp; 3'!$B$32</f>
        <v>-8.1100470568604283E-3</v>
      </c>
      <c r="S959" s="93">
        <f t="shared" si="44"/>
        <v>-6.6535243266084287E-3</v>
      </c>
    </row>
    <row r="960" spans="1:19" ht="12.75" customHeight="1">
      <c r="A960" s="81">
        <v>44673</v>
      </c>
      <c r="B960" s="53">
        <v>8.3000000000000001E-3</v>
      </c>
      <c r="C960" s="53">
        <v>-2.2723141247049699E-4</v>
      </c>
      <c r="D960" s="53">
        <v>-2.77821011673152E-2</v>
      </c>
      <c r="E960" s="53">
        <v>-2.2329999999999999E-2</v>
      </c>
      <c r="F960" s="53">
        <v>-2.5584289863089499E-2</v>
      </c>
      <c r="G960" s="53">
        <v>-3.5899731423455698E-2</v>
      </c>
      <c r="H960" s="87">
        <v>-3.1899415601736203E-2</v>
      </c>
      <c r="I960" s="53">
        <v>-8.1800777397459407E-3</v>
      </c>
      <c r="J960" s="53">
        <v>-1.43926613243357E-2</v>
      </c>
      <c r="K960" s="53">
        <v>-4.5799166246736002E-2</v>
      </c>
      <c r="L960" s="95">
        <f>IFERROR(B960*'Stock Statistics'!$C$41+C960*'Stock Statistics'!$C$42+D960*'Stock Statistics'!$C$43+E960*'Stock Statistics'!$C$44+F960*'Stock Statistics'!$C$45+G960*'Stock Statistics'!$C$46+H960*'Stock Statistics'!$C$47+I960*'Stock Statistics'!$C$48+J960*'Stock Statistics'!$C$49+K960*'Stock Statistics'!$C$50,"")</f>
        <v>-2.0379467477888477E-2</v>
      </c>
      <c r="M960" s="96">
        <v>251.45869999999999</v>
      </c>
      <c r="N960" s="97">
        <v>320.67669999999998</v>
      </c>
      <c r="O960" s="93">
        <f t="shared" si="42"/>
        <v>1.0724686031017949E-2</v>
      </c>
      <c r="P960" s="93">
        <f t="shared" si="43"/>
        <v>2.1945498781934525E-3</v>
      </c>
      <c r="Q960" s="93">
        <f>B960*'Portfolio 2 &amp; 3'!$F$7+C960*'Portfolio 2 &amp; 3'!$F$8+D960*'Portfolio 2 &amp; 3'!$F$9+E960*'Portfolio 2 &amp; 3'!$F$10+F960*'Portfolio 2 &amp; 3'!$F$11+G960*'Portfolio 2 &amp; 3'!$F$12+H960*'Portfolio 2 &amp; 3'!$F$13+I960*'Portfolio 2 &amp; 3'!$F$14+J960*'Portfolio 2 &amp; 3'!$F$15+K960*'Portfolio 2 &amp; 3'!$F$16</f>
        <v>-2.1006974432478974E-2</v>
      </c>
      <c r="R960" s="93">
        <f>B960*'Portfolio 2 &amp; 3'!$B$23+C960*'Portfolio 2 &amp; 3'!$B$24+D960*'Portfolio 2 &amp; 3'!$B$25+E960*'Portfolio 2 &amp; 3'!$B$26+F960*'Portfolio 2 &amp; 3'!$B$27+G960*'Portfolio 2 &amp; 3'!$B$28+H960*'Portfolio 2 &amp; 3'!$B$29+I960*'Portfolio 2 &amp; 3'!$B$30+J960*'Portfolio 2 &amp; 3'!$B$31+K960*'Portfolio 2 &amp; 3'!$B$32</f>
        <v>-1.4534267530273114E-2</v>
      </c>
      <c r="S960" s="93">
        <f t="shared" si="44"/>
        <v>6.4596179546057009E-3</v>
      </c>
    </row>
    <row r="961" spans="1:19" ht="12.75" customHeight="1">
      <c r="A961" s="82">
        <v>44672</v>
      </c>
      <c r="B961" s="53">
        <v>3.4799999999999998E-2</v>
      </c>
      <c r="C961" s="53">
        <v>-1.5578915525977801E-3</v>
      </c>
      <c r="D961" s="53">
        <v>2.13814482155632E-2</v>
      </c>
      <c r="E961" s="53">
        <v>2.5000000000000001E-3</v>
      </c>
      <c r="F961" s="53">
        <v>1.6622800941958899E-3</v>
      </c>
      <c r="G961" s="53">
        <v>-7.7637820455878099E-3</v>
      </c>
      <c r="H961" s="87">
        <v>-1.9482326746451701E-3</v>
      </c>
      <c r="I961" s="53">
        <v>-2.6598147729839601E-2</v>
      </c>
      <c r="J961" s="53">
        <v>-9.5556367813690608E-3</v>
      </c>
      <c r="K961" s="53">
        <v>4.9837137299588701E-3</v>
      </c>
      <c r="L961" s="95">
        <f>IFERROR(B961*'Stock Statistics'!$C$41+C961*'Stock Statistics'!$C$42+D961*'Stock Statistics'!$C$43+E961*'Stock Statistics'!$C$44+F961*'Stock Statistics'!$C$45+G961*'Stock Statistics'!$C$46+H961*'Stock Statistics'!$C$47+I961*'Stock Statistics'!$C$48+J961*'Stock Statistics'!$C$49+K961*'Stock Statistics'!$C$50,"")</f>
        <v>1.7903751255678552E-3</v>
      </c>
      <c r="M961" s="97">
        <v>248.79050000000001</v>
      </c>
      <c r="N961" s="96">
        <v>319.97449999999998</v>
      </c>
      <c r="O961" s="93">
        <f t="shared" si="42"/>
        <v>1.6149552864871186E-2</v>
      </c>
      <c r="P961" s="93">
        <f t="shared" si="43"/>
        <v>6.7470009920393981E-3</v>
      </c>
      <c r="Q961" s="93">
        <f>B961*'Portfolio 2 &amp; 3'!$F$7+C961*'Portfolio 2 &amp; 3'!$F$8+D961*'Portfolio 2 &amp; 3'!$F$9+E961*'Portfolio 2 &amp; 3'!$F$10+F961*'Portfolio 2 &amp; 3'!$F$11+G961*'Portfolio 2 &amp; 3'!$F$12+H961*'Portfolio 2 &amp; 3'!$F$13+I961*'Portfolio 2 &amp; 3'!$F$14+J961*'Portfolio 2 &amp; 3'!$F$15+K961*'Portfolio 2 &amp; 3'!$F$16</f>
        <v>1.3765270569412098E-3</v>
      </c>
      <c r="R961" s="93">
        <f>B961*'Portfolio 2 &amp; 3'!$B$23+C961*'Portfolio 2 &amp; 3'!$B$24+D961*'Portfolio 2 &amp; 3'!$B$25+E961*'Portfolio 2 &amp; 3'!$B$26+F961*'Portfolio 2 &amp; 3'!$B$27+G961*'Portfolio 2 &amp; 3'!$B$28+H961*'Portfolio 2 &amp; 3'!$B$29+I961*'Portfolio 2 &amp; 3'!$B$30+J961*'Portfolio 2 &amp; 3'!$B$31+K961*'Portfolio 2 &amp; 3'!$B$32</f>
        <v>-2.5331343427732762E-3</v>
      </c>
      <c r="S961" s="93">
        <f t="shared" si="44"/>
        <v>1.1448276928455292E-2</v>
      </c>
    </row>
    <row r="962" spans="1:19" ht="12.75" customHeight="1">
      <c r="A962" s="81">
        <v>44671</v>
      </c>
      <c r="B962" s="53">
        <v>-6.0000000000000001E-3</v>
      </c>
      <c r="C962" s="53">
        <v>-1.5705462178528E-3</v>
      </c>
      <c r="D962" s="53">
        <v>-6.8676981370382499E-3</v>
      </c>
      <c r="E962" s="53">
        <v>-7.1300000000000001E-3</v>
      </c>
      <c r="F962" s="53">
        <v>1.29086572190262E-2</v>
      </c>
      <c r="G962" s="53">
        <v>1.05023158952999E-2</v>
      </c>
      <c r="H962" s="87">
        <v>2.37740014312915E-3</v>
      </c>
      <c r="I962" s="53">
        <v>2.3774482055927098E-3</v>
      </c>
      <c r="J962" s="53">
        <v>-1.95064509522835E-2</v>
      </c>
      <c r="K962" s="53">
        <v>-3.6699078642466701E-2</v>
      </c>
      <c r="L962" s="95">
        <f>IFERROR(B962*'Stock Statistics'!$C$41+C962*'Stock Statistics'!$C$42+D962*'Stock Statistics'!$C$43+E962*'Stock Statistics'!$C$44+F962*'Stock Statistics'!$C$45+G962*'Stock Statistics'!$C$46+H962*'Stock Statistics'!$C$47+I962*'Stock Statistics'!$C$48+J962*'Stock Statistics'!$C$49+K962*'Stock Statistics'!$C$50,"")</f>
        <v>-4.9607952486593297E-3</v>
      </c>
      <c r="M962" s="96">
        <v>244.8365</v>
      </c>
      <c r="N962" s="97">
        <v>317.83010000000002</v>
      </c>
      <c r="O962" s="93">
        <f t="shared" ref="O962:O1025" si="45">M962/M963-1</f>
        <v>-7.1419968637177478E-3</v>
      </c>
      <c r="P962" s="93">
        <f t="shared" ref="P962:P1025" si="46">N962/N963-1</f>
        <v>-3.9758845849623414E-3</v>
      </c>
      <c r="Q962" s="93">
        <f>B962*'Portfolio 2 &amp; 3'!$F$7+C962*'Portfolio 2 &amp; 3'!$F$8+D962*'Portfolio 2 &amp; 3'!$F$9+E962*'Portfolio 2 &amp; 3'!$F$10+F962*'Portfolio 2 &amp; 3'!$F$11+G962*'Portfolio 2 &amp; 3'!$F$12+H962*'Portfolio 2 &amp; 3'!$F$13+I962*'Portfolio 2 &amp; 3'!$F$14+J962*'Portfolio 2 &amp; 3'!$F$15+K962*'Portfolio 2 &amp; 3'!$F$16</f>
        <v>-5.2216899950510778E-3</v>
      </c>
      <c r="R962" s="93">
        <f>B962*'Portfolio 2 &amp; 3'!$B$23+C962*'Portfolio 2 &amp; 3'!$B$24+D962*'Portfolio 2 &amp; 3'!$B$25+E962*'Portfolio 2 &amp; 3'!$B$26+F962*'Portfolio 2 &amp; 3'!$B$27+G962*'Portfolio 2 &amp; 3'!$B$28+H962*'Portfolio 2 &amp; 3'!$B$29+I962*'Portfolio 2 &amp; 3'!$B$30+J962*'Portfolio 2 &amp; 3'!$B$31+K962*'Portfolio 2 &amp; 3'!$B$32</f>
        <v>-1.1657357382574124E-3</v>
      </c>
      <c r="S962" s="93">
        <f t="shared" ref="S962:S1025" si="47">IFERROR(AVERAGE(O962,P962),"")</f>
        <v>-5.5589407243400446E-3</v>
      </c>
    </row>
    <row r="963" spans="1:19" ht="12.75" customHeight="1">
      <c r="A963" s="82">
        <v>44670</v>
      </c>
      <c r="B963" s="53">
        <v>-2.29E-2</v>
      </c>
      <c r="C963" s="53">
        <v>-1.77262883080666E-2</v>
      </c>
      <c r="D963" s="53">
        <v>6.9151895715762199E-3</v>
      </c>
      <c r="E963" s="53">
        <v>6.9999999999999994E-5</v>
      </c>
      <c r="F963" s="53">
        <v>-2.3431077007399201E-2</v>
      </c>
      <c r="G963" s="53">
        <v>2.7863891349276599E-2</v>
      </c>
      <c r="H963" s="87">
        <v>1.1061919770422E-2</v>
      </c>
      <c r="I963" s="53">
        <v>5.8646017195240797E-3</v>
      </c>
      <c r="J963" s="53">
        <v>-4.6881369751324798E-3</v>
      </c>
      <c r="K963" s="53">
        <v>9.4331246948109503E-4</v>
      </c>
      <c r="L963" s="95">
        <f>IFERROR(B963*'Stock Statistics'!$C$41+C963*'Stock Statistics'!$C$42+D963*'Stock Statistics'!$C$43+E963*'Stock Statistics'!$C$44+F963*'Stock Statistics'!$C$45+G963*'Stock Statistics'!$C$46+H963*'Stock Statistics'!$C$47+I963*'Stock Statistics'!$C$48+J963*'Stock Statistics'!$C$49+K963*'Stock Statistics'!$C$50,"")</f>
        <v>-1.6026587410318282E-3</v>
      </c>
      <c r="M963" s="97">
        <v>246.5977</v>
      </c>
      <c r="N963" s="96">
        <v>319.09879999999998</v>
      </c>
      <c r="O963" s="93">
        <f t="shared" si="45"/>
        <v>-5.4904216058212496E-3</v>
      </c>
      <c r="P963" s="93">
        <f t="shared" si="46"/>
        <v>1.2004410193142689E-3</v>
      </c>
      <c r="Q963" s="93">
        <f>B963*'Portfolio 2 &amp; 3'!$F$7+C963*'Portfolio 2 &amp; 3'!$F$8+D963*'Portfolio 2 &amp; 3'!$F$9+E963*'Portfolio 2 &amp; 3'!$F$10+F963*'Portfolio 2 &amp; 3'!$F$11+G963*'Portfolio 2 &amp; 3'!$F$12+H963*'Portfolio 2 &amp; 3'!$F$13+I963*'Portfolio 2 &amp; 3'!$F$14+J963*'Portfolio 2 &amp; 3'!$F$15+K963*'Portfolio 2 &amp; 3'!$F$16</f>
        <v>-1.5125799803750301E-3</v>
      </c>
      <c r="R963" s="93">
        <f>B963*'Portfolio 2 &amp; 3'!$B$23+C963*'Portfolio 2 &amp; 3'!$B$24+D963*'Portfolio 2 &amp; 3'!$B$25+E963*'Portfolio 2 &amp; 3'!$B$26+F963*'Portfolio 2 &amp; 3'!$B$27+G963*'Portfolio 2 &amp; 3'!$B$28+H963*'Portfolio 2 &amp; 3'!$B$29+I963*'Portfolio 2 &amp; 3'!$B$30+J963*'Portfolio 2 &amp; 3'!$B$31+K963*'Portfolio 2 &amp; 3'!$B$32</f>
        <v>-5.3786746989482213E-3</v>
      </c>
      <c r="S963" s="93">
        <f t="shared" si="47"/>
        <v>-2.1449902932534903E-3</v>
      </c>
    </row>
    <row r="964" spans="1:19" ht="12.75" customHeight="1">
      <c r="A964" s="81">
        <v>44669</v>
      </c>
      <c r="B964" s="53">
        <v>-2.6100000000000002E-2</v>
      </c>
      <c r="C964" s="53">
        <v>-9.8262414993464092E-3</v>
      </c>
      <c r="D964" s="53">
        <v>-1.41827299796271E-2</v>
      </c>
      <c r="E964" s="53">
        <v>-1.7590000000000001E-2</v>
      </c>
      <c r="F964" s="53">
        <v>2.7412280701755198E-4</v>
      </c>
      <c r="G964" s="53">
        <v>-9.3051315332444203E-3</v>
      </c>
      <c r="H964" s="87">
        <v>-1.8654246548964401E-2</v>
      </c>
      <c r="I964" s="53">
        <v>-2.5252525252525301E-2</v>
      </c>
      <c r="J964" s="53">
        <v>0</v>
      </c>
      <c r="K964" s="53">
        <v>-1.29693730009203E-2</v>
      </c>
      <c r="L964" s="95">
        <f>IFERROR(B964*'Stock Statistics'!$C$41+C964*'Stock Statistics'!$C$42+D964*'Stock Statistics'!$C$43+E964*'Stock Statistics'!$C$44+F964*'Stock Statistics'!$C$45+G964*'Stock Statistics'!$C$46+H964*'Stock Statistics'!$C$47+I964*'Stock Statistics'!$C$48+J964*'Stock Statistics'!$C$49+K964*'Stock Statistics'!$C$50,"")</f>
        <v>-1.3360612500761038E-2</v>
      </c>
      <c r="M964" s="96">
        <v>247.95910000000001</v>
      </c>
      <c r="N964" s="97">
        <v>318.71620000000001</v>
      </c>
      <c r="O964" s="93">
        <f t="shared" si="45"/>
        <v>7.4584006493005894E-4</v>
      </c>
      <c r="P964" s="93">
        <f t="shared" si="46"/>
        <v>1.4630372739124153E-2</v>
      </c>
      <c r="Q964" s="93">
        <f>B964*'Portfolio 2 &amp; 3'!$F$7+C964*'Portfolio 2 &amp; 3'!$F$8+D964*'Portfolio 2 &amp; 3'!$F$9+E964*'Portfolio 2 &amp; 3'!$F$10+F964*'Portfolio 2 &amp; 3'!$F$11+G964*'Portfolio 2 &amp; 3'!$F$12+H964*'Portfolio 2 &amp; 3'!$F$13+I964*'Portfolio 2 &amp; 3'!$F$14+J964*'Portfolio 2 &amp; 3'!$F$15+K964*'Portfolio 2 &amp; 3'!$F$16</f>
        <v>-1.2559441690852104E-2</v>
      </c>
      <c r="R964" s="93">
        <f>B964*'Portfolio 2 &amp; 3'!$B$23+C964*'Portfolio 2 &amp; 3'!$B$24+D964*'Portfolio 2 &amp; 3'!$B$25+E964*'Portfolio 2 &amp; 3'!$B$26+F964*'Portfolio 2 &amp; 3'!$B$27+G964*'Portfolio 2 &amp; 3'!$B$28+H964*'Portfolio 2 &amp; 3'!$B$29+I964*'Portfolio 2 &amp; 3'!$B$30+J964*'Portfolio 2 &amp; 3'!$B$31+K964*'Portfolio 2 &amp; 3'!$B$32</f>
        <v>-1.447862687896561E-2</v>
      </c>
      <c r="S964" s="93">
        <f t="shared" si="47"/>
        <v>7.6881064020271062E-3</v>
      </c>
    </row>
    <row r="965" spans="1:19" ht="12.75" customHeight="1">
      <c r="A965" s="82">
        <v>44664</v>
      </c>
      <c r="B965" s="53">
        <v>-8.0000000000000004E-4</v>
      </c>
      <c r="C965" s="53">
        <v>-6.3118339547307801E-4</v>
      </c>
      <c r="D965" s="53">
        <v>-1.2521521364845501E-3</v>
      </c>
      <c r="E965" s="53">
        <v>3.3509999999999998E-2</v>
      </c>
      <c r="F965" s="53">
        <v>3.9906426310718501E-3</v>
      </c>
      <c r="G965" s="53">
        <v>1.0064780587784E-3</v>
      </c>
      <c r="H965" s="87">
        <v>9.5007836324096893E-3</v>
      </c>
      <c r="I965" s="53">
        <v>-2.43664717348928E-2</v>
      </c>
      <c r="J965" s="53">
        <v>3.5285093326515899E-3</v>
      </c>
      <c r="K965" s="53">
        <v>7.5045247870040299E-3</v>
      </c>
      <c r="L965" s="95">
        <f>IFERROR(B965*'Stock Statistics'!$C$41+C965*'Stock Statistics'!$C$42+D965*'Stock Statistics'!$C$43+E965*'Stock Statistics'!$C$44+F965*'Stock Statistics'!$C$45+G965*'Stock Statistics'!$C$46+H965*'Stock Statistics'!$C$47+I965*'Stock Statistics'!$C$48+J965*'Stock Statistics'!$C$49+K965*'Stock Statistics'!$C$50,"")</f>
        <v>3.1991131175065127E-3</v>
      </c>
      <c r="M965" s="97">
        <v>247.77430000000001</v>
      </c>
      <c r="N965" s="96">
        <v>314.12049999999999</v>
      </c>
      <c r="O965" s="93">
        <f t="shared" si="45"/>
        <v>-5.3155700719073051E-3</v>
      </c>
      <c r="P965" s="93">
        <f t="shared" si="46"/>
        <v>1.2408711661446858E-3</v>
      </c>
      <c r="Q965" s="93">
        <f>B965*'Portfolio 2 &amp; 3'!$F$7+C965*'Portfolio 2 &amp; 3'!$F$8+D965*'Portfolio 2 &amp; 3'!$F$9+E965*'Portfolio 2 &amp; 3'!$F$10+F965*'Portfolio 2 &amp; 3'!$F$11+G965*'Portfolio 2 &amp; 3'!$F$12+H965*'Portfolio 2 &amp; 3'!$F$13+I965*'Portfolio 2 &amp; 3'!$F$14+J965*'Portfolio 2 &amp; 3'!$F$15+K965*'Portfolio 2 &amp; 3'!$F$16</f>
        <v>3.213373005625761E-3</v>
      </c>
      <c r="R965" s="93">
        <f>B965*'Portfolio 2 &amp; 3'!$B$23+C965*'Portfolio 2 &amp; 3'!$B$24+D965*'Portfolio 2 &amp; 3'!$B$25+E965*'Portfolio 2 &amp; 3'!$B$26+F965*'Portfolio 2 &amp; 3'!$B$27+G965*'Portfolio 2 &amp; 3'!$B$28+H965*'Portfolio 2 &amp; 3'!$B$29+I965*'Portfolio 2 &amp; 3'!$B$30+J965*'Portfolio 2 &amp; 3'!$B$31+K965*'Portfolio 2 &amp; 3'!$B$32</f>
        <v>-4.5529044274475903E-3</v>
      </c>
      <c r="S965" s="93">
        <f t="shared" si="47"/>
        <v>-2.0373494528813096E-3</v>
      </c>
    </row>
    <row r="966" spans="1:19" ht="12.75" customHeight="1">
      <c r="A966" s="81">
        <v>44663</v>
      </c>
      <c r="B966" s="53">
        <v>-1.38E-2</v>
      </c>
      <c r="C966" s="53">
        <v>9.3189326933049692E-3</v>
      </c>
      <c r="D966" s="53">
        <v>-4.1697915104244899E-2</v>
      </c>
      <c r="E966" s="53">
        <v>-3.0210000000000001E-2</v>
      </c>
      <c r="F966" s="53">
        <v>-2.3121387283236899E-2</v>
      </c>
      <c r="G966" s="53">
        <v>-1.91777319135722E-3</v>
      </c>
      <c r="H966" s="87">
        <v>-1.8436586965595501E-2</v>
      </c>
      <c r="I966" s="53">
        <v>-5.6533677919560201E-3</v>
      </c>
      <c r="J966" s="53">
        <v>-6.6434995911690596E-4</v>
      </c>
      <c r="K966" s="53">
        <v>2.4338437029825001E-3</v>
      </c>
      <c r="L966" s="95">
        <f>IFERROR(B966*'Stock Statistics'!$C$41+C966*'Stock Statistics'!$C$42+D966*'Stock Statistics'!$C$43+E966*'Stock Statistics'!$C$44+F966*'Stock Statistics'!$C$45+G966*'Stock Statistics'!$C$46+H966*'Stock Statistics'!$C$47+I966*'Stock Statistics'!$C$48+J966*'Stock Statistics'!$C$49+K966*'Stock Statistics'!$C$50,"")</f>
        <v>-1.2374860389921997E-2</v>
      </c>
      <c r="M966" s="96">
        <v>249.0984</v>
      </c>
      <c r="N966" s="97">
        <v>313.7312</v>
      </c>
      <c r="O966" s="93">
        <f t="shared" si="45"/>
        <v>3.9262595103581877E-3</v>
      </c>
      <c r="P966" s="93">
        <f t="shared" si="46"/>
        <v>-2.6680823535581988E-3</v>
      </c>
      <c r="Q966" s="93">
        <f>B966*'Portfolio 2 &amp; 3'!$F$7+C966*'Portfolio 2 &amp; 3'!$F$8+D966*'Portfolio 2 &amp; 3'!$F$9+E966*'Portfolio 2 &amp; 3'!$F$10+F966*'Portfolio 2 &amp; 3'!$F$11+G966*'Portfolio 2 &amp; 3'!$F$12+H966*'Portfolio 2 &amp; 3'!$F$13+I966*'Portfolio 2 &amp; 3'!$F$14+J966*'Portfolio 2 &amp; 3'!$F$15+K966*'Portfolio 2 &amp; 3'!$F$16</f>
        <v>-1.3661419271371192E-2</v>
      </c>
      <c r="R966" s="93">
        <f>B966*'Portfolio 2 &amp; 3'!$B$23+C966*'Portfolio 2 &amp; 3'!$B$24+D966*'Portfolio 2 &amp; 3'!$B$25+E966*'Portfolio 2 &amp; 3'!$B$26+F966*'Portfolio 2 &amp; 3'!$B$27+G966*'Portfolio 2 &amp; 3'!$B$28+H966*'Portfolio 2 &amp; 3'!$B$29+I966*'Portfolio 2 &amp; 3'!$B$30+J966*'Portfolio 2 &amp; 3'!$B$31+K966*'Portfolio 2 &amp; 3'!$B$32</f>
        <v>-6.2108540003469404E-3</v>
      </c>
      <c r="S966" s="93">
        <f t="shared" si="47"/>
        <v>6.2908857839999444E-4</v>
      </c>
    </row>
    <row r="967" spans="1:19" ht="12.75" customHeight="1">
      <c r="A967" s="82">
        <v>44662</v>
      </c>
      <c r="B967" s="53">
        <v>3.8E-3</v>
      </c>
      <c r="C967" s="53">
        <v>-2.017797262183E-2</v>
      </c>
      <c r="D967" s="53">
        <v>-1.0830860534124499E-2</v>
      </c>
      <c r="E967" s="53">
        <v>-2.809E-2</v>
      </c>
      <c r="F967" s="53">
        <v>7.3121191604603704E-3</v>
      </c>
      <c r="G967" s="53">
        <v>-3.2650753546882301E-2</v>
      </c>
      <c r="H967" s="87">
        <v>-2.9523412725968201E-2</v>
      </c>
      <c r="I967" s="53">
        <v>8.3061889250815001E-3</v>
      </c>
      <c r="J967" s="53">
        <v>2.6491108429942799E-2</v>
      </c>
      <c r="K967" s="53">
        <v>2.4829368948549899E-2</v>
      </c>
      <c r="L967" s="95">
        <f>IFERROR(B967*'Stock Statistics'!$C$41+C967*'Stock Statistics'!$C$42+D967*'Stock Statistics'!$C$43+E967*'Stock Statistics'!$C$44+F967*'Stock Statistics'!$C$45+G967*'Stock Statistics'!$C$46+H967*'Stock Statistics'!$C$47+I967*'Stock Statistics'!$C$48+J967*'Stock Statistics'!$C$49+K967*'Stock Statistics'!$C$50,"")</f>
        <v>-5.0534213964770446E-3</v>
      </c>
      <c r="M967" s="97">
        <v>248.1242</v>
      </c>
      <c r="N967" s="96">
        <v>314.57049999999998</v>
      </c>
      <c r="O967" s="93">
        <f t="shared" si="45"/>
        <v>2.2547522680820276E-3</v>
      </c>
      <c r="P967" s="93">
        <f t="shared" si="46"/>
        <v>-1.4665153595265767E-3</v>
      </c>
      <c r="Q967" s="93">
        <f>B967*'Portfolio 2 &amp; 3'!$F$7+C967*'Portfolio 2 &amp; 3'!$F$8+D967*'Portfolio 2 &amp; 3'!$F$9+E967*'Portfolio 2 &amp; 3'!$F$10+F967*'Portfolio 2 &amp; 3'!$F$11+G967*'Portfolio 2 &amp; 3'!$F$12+H967*'Portfolio 2 &amp; 3'!$F$13+I967*'Portfolio 2 &amp; 3'!$F$14+J967*'Portfolio 2 &amp; 3'!$F$15+K967*'Portfolio 2 &amp; 3'!$F$16</f>
        <v>-4.5347536357233792E-3</v>
      </c>
      <c r="R967" s="93">
        <f>B967*'Portfolio 2 &amp; 3'!$B$23+C967*'Portfolio 2 &amp; 3'!$B$24+D967*'Portfolio 2 &amp; 3'!$B$25+E967*'Portfolio 2 &amp; 3'!$B$26+F967*'Portfolio 2 &amp; 3'!$B$27+G967*'Portfolio 2 &amp; 3'!$B$28+H967*'Portfolio 2 &amp; 3'!$B$29+I967*'Portfolio 2 &amp; 3'!$B$30+J967*'Portfolio 2 &amp; 3'!$B$31+K967*'Portfolio 2 &amp; 3'!$B$32</f>
        <v>-1.6030347614744565E-3</v>
      </c>
      <c r="S967" s="93">
        <f t="shared" si="47"/>
        <v>3.9411845427772541E-4</v>
      </c>
    </row>
    <row r="968" spans="1:19" ht="12.75" customHeight="1">
      <c r="A968" s="81">
        <v>44659</v>
      </c>
      <c r="B968" s="53">
        <v>-9.1000000000000004E-3</v>
      </c>
      <c r="C968" s="53">
        <v>7.0462685476206897E-3</v>
      </c>
      <c r="D968" s="53">
        <v>4.9951539551182896E-3</v>
      </c>
      <c r="E968" s="53">
        <v>-4.5199999999999997E-3</v>
      </c>
      <c r="F968" s="53">
        <v>2.7089259108770098E-4</v>
      </c>
      <c r="G968" s="53">
        <v>-1.03858863846975E-2</v>
      </c>
      <c r="H968" s="87">
        <v>6.2654306610148199E-3</v>
      </c>
      <c r="I968" s="53">
        <v>1.6444101092594601E-2</v>
      </c>
      <c r="J968" s="53">
        <v>-1.4322647362978299E-2</v>
      </c>
      <c r="K968" s="53">
        <v>-1.83416805787423E-2</v>
      </c>
      <c r="L968" s="95">
        <f>IFERROR(B968*'Stock Statistics'!$C$41+C968*'Stock Statistics'!$C$42+D968*'Stock Statistics'!$C$43+E968*'Stock Statistics'!$C$44+F968*'Stock Statistics'!$C$45+G968*'Stock Statistics'!$C$46+H968*'Stock Statistics'!$C$47+I968*'Stock Statistics'!$C$48+J968*'Stock Statistics'!$C$49+K968*'Stock Statistics'!$C$50,"")</f>
        <v>-2.1648367478981998E-3</v>
      </c>
      <c r="M968" s="96">
        <v>247.566</v>
      </c>
      <c r="N968" s="97">
        <v>315.03250000000003</v>
      </c>
      <c r="O968" s="93">
        <f t="shared" si="45"/>
        <v>6.8656028052946905E-3</v>
      </c>
      <c r="P968" s="93">
        <f t="shared" si="46"/>
        <v>1.2067092804688428E-2</v>
      </c>
      <c r="Q968" s="93">
        <f>B968*'Portfolio 2 &amp; 3'!$F$7+C968*'Portfolio 2 &amp; 3'!$F$8+D968*'Portfolio 2 &amp; 3'!$F$9+E968*'Portfolio 2 &amp; 3'!$F$10+F968*'Portfolio 2 &amp; 3'!$F$11+G968*'Portfolio 2 &amp; 3'!$F$12+H968*'Portfolio 2 &amp; 3'!$F$13+I968*'Portfolio 2 &amp; 3'!$F$14+J968*'Portfolio 2 &amp; 3'!$F$15+K968*'Portfolio 2 &amp; 3'!$F$16</f>
        <v>-1.2325785498827741E-3</v>
      </c>
      <c r="R968" s="93">
        <f>B968*'Portfolio 2 &amp; 3'!$B$23+C968*'Portfolio 2 &amp; 3'!$B$24+D968*'Portfolio 2 &amp; 3'!$B$25+E968*'Portfolio 2 &amp; 3'!$B$26+F968*'Portfolio 2 &amp; 3'!$B$27+G968*'Portfolio 2 &amp; 3'!$B$28+H968*'Portfolio 2 &amp; 3'!$B$29+I968*'Portfolio 2 &amp; 3'!$B$30+J968*'Portfolio 2 &amp; 3'!$B$31+K968*'Portfolio 2 &amp; 3'!$B$32</f>
        <v>1.3835678159313438E-3</v>
      </c>
      <c r="S968" s="93">
        <f t="shared" si="47"/>
        <v>9.4663478049915595E-3</v>
      </c>
    </row>
    <row r="969" spans="1:19" ht="12.75" customHeight="1">
      <c r="A969" s="82">
        <v>44658</v>
      </c>
      <c r="B969" s="53">
        <v>2.76E-2</v>
      </c>
      <c r="C969" s="53">
        <v>-9.1258057507062097E-3</v>
      </c>
      <c r="D969" s="53">
        <v>1.2836970474968E-2</v>
      </c>
      <c r="E969" s="53">
        <v>9.3500000000000007E-3</v>
      </c>
      <c r="F969" s="53">
        <v>-9.4722598105556599E-4</v>
      </c>
      <c r="G969" s="53">
        <v>6.7949372436495502E-3</v>
      </c>
      <c r="H969" s="87">
        <v>1.9882651970449101E-2</v>
      </c>
      <c r="I969" s="53">
        <v>-1.3016720222209999E-2</v>
      </c>
      <c r="J969" s="53">
        <v>-3.1595813930198703E-2</v>
      </c>
      <c r="K969" s="53">
        <v>-8.0701250814189107E-3</v>
      </c>
      <c r="L969" s="95">
        <f>IFERROR(B969*'Stock Statistics'!$C$41+C969*'Stock Statistics'!$C$42+D969*'Stock Statistics'!$C$43+E969*'Stock Statistics'!$C$44+F969*'Stock Statistics'!$C$45+G969*'Stock Statistics'!$C$46+H969*'Stock Statistics'!$C$47+I969*'Stock Statistics'!$C$48+J969*'Stock Statistics'!$C$49+K969*'Stock Statistics'!$C$50,"")</f>
        <v>1.3708868723477262E-3</v>
      </c>
      <c r="M969" s="97">
        <v>245.87790000000001</v>
      </c>
      <c r="N969" s="96">
        <v>311.27629999999999</v>
      </c>
      <c r="O969" s="93">
        <f t="shared" si="45"/>
        <v>-8.8018566378551544E-3</v>
      </c>
      <c r="P969" s="93">
        <f t="shared" si="46"/>
        <v>-2.6510419453534828E-3</v>
      </c>
      <c r="Q969" s="93">
        <f>B969*'Portfolio 2 &amp; 3'!$F$7+C969*'Portfolio 2 &amp; 3'!$F$8+D969*'Portfolio 2 &amp; 3'!$F$9+E969*'Portfolio 2 &amp; 3'!$F$10+F969*'Portfolio 2 &amp; 3'!$F$11+G969*'Portfolio 2 &amp; 3'!$F$12+H969*'Portfolio 2 &amp; 3'!$F$13+I969*'Portfolio 2 &amp; 3'!$F$14+J969*'Portfolio 2 &amp; 3'!$F$15+K969*'Portfolio 2 &amp; 3'!$F$16</f>
        <v>5.3720249491435806E-4</v>
      </c>
      <c r="R969" s="93">
        <f>B969*'Portfolio 2 &amp; 3'!$B$23+C969*'Portfolio 2 &amp; 3'!$B$24+D969*'Portfolio 2 &amp; 3'!$B$25+E969*'Portfolio 2 &amp; 3'!$B$26+F969*'Portfolio 2 &amp; 3'!$B$27+G969*'Portfolio 2 &amp; 3'!$B$28+H969*'Portfolio 2 &amp; 3'!$B$29+I969*'Portfolio 2 &amp; 3'!$B$30+J969*'Portfolio 2 &amp; 3'!$B$31+K969*'Portfolio 2 &amp; 3'!$B$32</f>
        <v>-1.7109773468187534E-3</v>
      </c>
      <c r="S969" s="93">
        <f t="shared" si="47"/>
        <v>-5.7264492916043186E-3</v>
      </c>
    </row>
    <row r="970" spans="1:19" ht="12.75" customHeight="1">
      <c r="A970" s="81">
        <v>44657</v>
      </c>
      <c r="B970" s="53">
        <v>2.7000000000000001E-3</v>
      </c>
      <c r="C970" s="53">
        <v>-7.3048329810333499E-3</v>
      </c>
      <c r="D970" s="53">
        <v>-1.7144129434466499E-2</v>
      </c>
      <c r="E970" s="53">
        <v>-7.1000000000000004E-3</v>
      </c>
      <c r="F970" s="53">
        <v>1.10822273908879E-2</v>
      </c>
      <c r="G970" s="53">
        <v>-4.6781371552720996E-3</v>
      </c>
      <c r="H970" s="87">
        <v>-1.7561465127947901E-2</v>
      </c>
      <c r="I970" s="53">
        <v>2.00555555555555E-2</v>
      </c>
      <c r="J970" s="53">
        <v>-1.3339261894175201E-2</v>
      </c>
      <c r="K970" s="53">
        <v>1.6473466273158901E-2</v>
      </c>
      <c r="L970" s="95">
        <f>IFERROR(B970*'Stock Statistics'!$C$41+C970*'Stock Statistics'!$C$42+D970*'Stock Statistics'!$C$43+E970*'Stock Statistics'!$C$44+F970*'Stock Statistics'!$C$45+G970*'Stock Statistics'!$C$46+H970*'Stock Statistics'!$C$47+I970*'Stock Statistics'!$C$48+J970*'Stock Statistics'!$C$49+K970*'Stock Statistics'!$C$50,"")</f>
        <v>-1.6816577373292762E-3</v>
      </c>
      <c r="M970" s="96">
        <v>248.06129999999999</v>
      </c>
      <c r="N970" s="97">
        <v>312.1037</v>
      </c>
      <c r="O970" s="93">
        <f t="shared" si="45"/>
        <v>1.7849981806747905E-3</v>
      </c>
      <c r="P970" s="93">
        <f t="shared" si="46"/>
        <v>-8.1227459769224186E-3</v>
      </c>
      <c r="Q970" s="93">
        <f>B970*'Portfolio 2 &amp; 3'!$F$7+C970*'Portfolio 2 &amp; 3'!$F$8+D970*'Portfolio 2 &amp; 3'!$F$9+E970*'Portfolio 2 &amp; 3'!$F$10+F970*'Portfolio 2 &amp; 3'!$F$11+G970*'Portfolio 2 &amp; 3'!$F$12+H970*'Portfolio 2 &amp; 3'!$F$13+I970*'Portfolio 2 &amp; 3'!$F$14+J970*'Portfolio 2 &amp; 3'!$F$15+K970*'Portfolio 2 &amp; 3'!$F$16</f>
        <v>-4.2583184763218575E-3</v>
      </c>
      <c r="R970" s="93">
        <f>B970*'Portfolio 2 &amp; 3'!$B$23+C970*'Portfolio 2 &amp; 3'!$B$24+D970*'Portfolio 2 &amp; 3'!$B$25+E970*'Portfolio 2 &amp; 3'!$B$26+F970*'Portfolio 2 &amp; 3'!$B$27+G970*'Portfolio 2 &amp; 3'!$B$28+H970*'Portfolio 2 &amp; 3'!$B$29+I970*'Portfolio 2 &amp; 3'!$B$30+J970*'Portfolio 2 &amp; 3'!$B$31+K970*'Portfolio 2 &amp; 3'!$B$32</f>
        <v>5.4660917942885873E-3</v>
      </c>
      <c r="S970" s="93">
        <f t="shared" si="47"/>
        <v>-3.168873898123814E-3</v>
      </c>
    </row>
    <row r="971" spans="1:19" ht="12.75" customHeight="1">
      <c r="A971" s="82">
        <v>44656</v>
      </c>
      <c r="B971" s="53">
        <v>4.4999999999999997E-3</v>
      </c>
      <c r="C971" s="53">
        <v>1.2958403524685499E-3</v>
      </c>
      <c r="D971" s="53">
        <v>-1.46983546617915E-2</v>
      </c>
      <c r="E971" s="53">
        <v>-6.1900000000000002E-3</v>
      </c>
      <c r="F971" s="53">
        <v>5.6411667583928802E-3</v>
      </c>
      <c r="G971" s="53">
        <v>1.47394279698188E-3</v>
      </c>
      <c r="H971" s="87">
        <v>-3.31457015258652E-3</v>
      </c>
      <c r="I971" s="53">
        <v>-2.68166089965397E-2</v>
      </c>
      <c r="J971" s="53">
        <v>1.1746476057182801E-2</v>
      </c>
      <c r="K971" s="53">
        <v>1.0030829215215101E-2</v>
      </c>
      <c r="L971" s="95">
        <f>IFERROR(B971*'Stock Statistics'!$C$41+C971*'Stock Statistics'!$C$42+D971*'Stock Statistics'!$C$43+E971*'Stock Statistics'!$C$44+F971*'Stock Statistics'!$C$45+G971*'Stock Statistics'!$C$46+H971*'Stock Statistics'!$C$47+I971*'Stock Statistics'!$C$48+J971*'Stock Statistics'!$C$49+K971*'Stock Statistics'!$C$50,"")</f>
        <v>-1.6331278630676508E-3</v>
      </c>
      <c r="M971" s="97">
        <v>247.61930000000001</v>
      </c>
      <c r="N971" s="96">
        <v>314.65960000000001</v>
      </c>
      <c r="O971" s="93">
        <f t="shared" si="45"/>
        <v>1.1961134893795355E-2</v>
      </c>
      <c r="P971" s="93">
        <f t="shared" si="46"/>
        <v>1.1541150771772868E-2</v>
      </c>
      <c r="Q971" s="93">
        <f>B971*'Portfolio 2 &amp; 3'!$F$7+C971*'Portfolio 2 &amp; 3'!$F$8+D971*'Portfolio 2 &amp; 3'!$F$9+E971*'Portfolio 2 &amp; 3'!$F$10+F971*'Portfolio 2 &amp; 3'!$F$11+G971*'Portfolio 2 &amp; 3'!$F$12+H971*'Portfolio 2 &amp; 3'!$F$13+I971*'Portfolio 2 &amp; 3'!$F$14+J971*'Portfolio 2 &amp; 3'!$F$15+K971*'Portfolio 2 &amp; 3'!$F$16</f>
        <v>-1.6415439500339912E-3</v>
      </c>
      <c r="R971" s="93">
        <f>B971*'Portfolio 2 &amp; 3'!$B$23+C971*'Portfolio 2 &amp; 3'!$B$24+D971*'Portfolio 2 &amp; 3'!$B$25+E971*'Portfolio 2 &amp; 3'!$B$26+F971*'Portfolio 2 &amp; 3'!$B$27+G971*'Portfolio 2 &amp; 3'!$B$28+H971*'Portfolio 2 &amp; 3'!$B$29+I971*'Portfolio 2 &amp; 3'!$B$30+J971*'Portfolio 2 &amp; 3'!$B$31+K971*'Portfolio 2 &amp; 3'!$B$32</f>
        <v>-3.8417322614204244E-3</v>
      </c>
      <c r="S971" s="93">
        <f t="shared" si="47"/>
        <v>1.1751142832784112E-2</v>
      </c>
    </row>
    <row r="972" spans="1:19" ht="12.75" customHeight="1">
      <c r="A972" s="81">
        <v>44655</v>
      </c>
      <c r="B972" s="53">
        <v>2.0999999999999999E-3</v>
      </c>
      <c r="C972" s="53">
        <v>-8.69230110473573E-3</v>
      </c>
      <c r="D972" s="53">
        <v>3.8170740659180299E-3</v>
      </c>
      <c r="E972" s="53">
        <v>-5.1500000000000001E-3</v>
      </c>
      <c r="F972" s="53">
        <v>2.5395033860045099E-2</v>
      </c>
      <c r="G972" s="53">
        <v>1.5231139217956701E-2</v>
      </c>
      <c r="H972" s="87">
        <v>-1.67301336809727E-2</v>
      </c>
      <c r="I972" s="53">
        <v>-2.04427497087174E-2</v>
      </c>
      <c r="J972" s="53">
        <v>-2.68035219146763E-2</v>
      </c>
      <c r="K972" s="53">
        <v>-2.5083427258061002E-2</v>
      </c>
      <c r="L972" s="95">
        <f>IFERROR(B972*'Stock Statistics'!$C$41+C972*'Stock Statistics'!$C$42+D972*'Stock Statistics'!$C$43+E972*'Stock Statistics'!$C$44+F972*'Stock Statistics'!$C$45+G972*'Stock Statistics'!$C$46+H972*'Stock Statistics'!$C$47+I972*'Stock Statistics'!$C$48+J972*'Stock Statistics'!$C$49+K972*'Stock Statistics'!$C$50,"")</f>
        <v>-5.6358886523243312E-3</v>
      </c>
      <c r="M972" s="96">
        <v>244.6925</v>
      </c>
      <c r="N972" s="97">
        <v>311.06950000000001</v>
      </c>
      <c r="O972" s="93">
        <f t="shared" si="45"/>
        <v>-8.4320474971322223E-4</v>
      </c>
      <c r="P972" s="93">
        <f t="shared" si="46"/>
        <v>2.4834119618213357E-3</v>
      </c>
      <c r="Q972" s="93">
        <f>B972*'Portfolio 2 &amp; 3'!$F$7+C972*'Portfolio 2 &amp; 3'!$F$8+D972*'Portfolio 2 &amp; 3'!$F$9+E972*'Portfolio 2 &amp; 3'!$F$10+F972*'Portfolio 2 &amp; 3'!$F$11+G972*'Portfolio 2 &amp; 3'!$F$12+H972*'Portfolio 2 &amp; 3'!$F$13+I972*'Portfolio 2 &amp; 3'!$F$14+J972*'Portfolio 2 &amp; 3'!$F$15+K972*'Portfolio 2 &amp; 3'!$F$16</f>
        <v>-7.4684033045971428E-3</v>
      </c>
      <c r="R972" s="93">
        <f>B972*'Portfolio 2 &amp; 3'!$B$23+C972*'Portfolio 2 &amp; 3'!$B$24+D972*'Portfolio 2 &amp; 3'!$B$25+E972*'Portfolio 2 &amp; 3'!$B$26+F972*'Portfolio 2 &amp; 3'!$B$27+G972*'Portfolio 2 &amp; 3'!$B$28+H972*'Portfolio 2 &amp; 3'!$B$29+I972*'Portfolio 2 &amp; 3'!$B$30+J972*'Portfolio 2 &amp; 3'!$B$31+K972*'Portfolio 2 &amp; 3'!$B$32</f>
        <v>-4.3604061382007953E-3</v>
      </c>
      <c r="S972" s="93">
        <f t="shared" si="47"/>
        <v>8.2010360605405674E-4</v>
      </c>
    </row>
    <row r="973" spans="1:19" ht="12.75" customHeight="1">
      <c r="A973" s="82">
        <v>44652</v>
      </c>
      <c r="B973" s="53">
        <v>-1.0800000000000001E-2</v>
      </c>
      <c r="C973" s="53">
        <v>2.6475091947277801E-3</v>
      </c>
      <c r="D973" s="53">
        <v>-2.42801890846585E-2</v>
      </c>
      <c r="E973" s="53">
        <v>-1.515E-2</v>
      </c>
      <c r="F973" s="53">
        <v>1.69296987087517E-2</v>
      </c>
      <c r="G973" s="53">
        <v>4.7071878579609799E-3</v>
      </c>
      <c r="H973" s="87">
        <v>-1.8605182056842301E-3</v>
      </c>
      <c r="I973" s="53">
        <v>2.23064428803466E-2</v>
      </c>
      <c r="J973" s="53">
        <v>1.10662994294706E-2</v>
      </c>
      <c r="K973" s="53">
        <v>5.70095015835959E-3</v>
      </c>
      <c r="L973" s="95">
        <f>IFERROR(B973*'Stock Statistics'!$C$41+C973*'Stock Statistics'!$C$42+D973*'Stock Statistics'!$C$43+E973*'Stock Statistics'!$C$44+F973*'Stock Statistics'!$C$45+G973*'Stock Statistics'!$C$46+H973*'Stock Statistics'!$C$47+I973*'Stock Statistics'!$C$48+J973*'Stock Statistics'!$C$49+K973*'Stock Statistics'!$C$50,"")</f>
        <v>1.126738093927453E-3</v>
      </c>
      <c r="M973" s="97">
        <v>244.899</v>
      </c>
      <c r="N973" s="96">
        <v>310.2989</v>
      </c>
      <c r="O973" s="93">
        <f t="shared" si="45"/>
        <v>-8.6160482602334332E-3</v>
      </c>
      <c r="P973" s="93">
        <f t="shared" si="46"/>
        <v>-4.7143924325950826E-3</v>
      </c>
      <c r="Q973" s="93">
        <f>B973*'Portfolio 2 &amp; 3'!$F$7+C973*'Portfolio 2 &amp; 3'!$F$8+D973*'Portfolio 2 &amp; 3'!$F$9+E973*'Portfolio 2 &amp; 3'!$F$10+F973*'Portfolio 2 &amp; 3'!$F$11+G973*'Portfolio 2 &amp; 3'!$F$12+H973*'Portfolio 2 &amp; 3'!$F$13+I973*'Portfolio 2 &amp; 3'!$F$14+J973*'Portfolio 2 &amp; 3'!$F$15+K973*'Portfolio 2 &amp; 3'!$F$16</f>
        <v>8.4560789794504532E-4</v>
      </c>
      <c r="R973" s="93">
        <f>B973*'Portfolio 2 &amp; 3'!$B$23+C973*'Portfolio 2 &amp; 3'!$B$24+D973*'Portfolio 2 &amp; 3'!$B$25+E973*'Portfolio 2 &amp; 3'!$B$26+F973*'Portfolio 2 &amp; 3'!$B$27+G973*'Portfolio 2 &amp; 3'!$B$28+H973*'Portfolio 2 &amp; 3'!$B$29+I973*'Portfolio 2 &amp; 3'!$B$30+J973*'Portfolio 2 &amp; 3'!$B$31+K973*'Portfolio 2 &amp; 3'!$B$32</f>
        <v>8.3043942940165798E-3</v>
      </c>
      <c r="S973" s="93">
        <f t="shared" si="47"/>
        <v>-6.6652203464142579E-3</v>
      </c>
    </row>
    <row r="974" spans="1:19" ht="12.75" customHeight="1">
      <c r="A974" s="81">
        <v>44651</v>
      </c>
      <c r="B974" s="53">
        <v>2.47E-2</v>
      </c>
      <c r="C974" s="53">
        <v>-1.5739468864472999E-4</v>
      </c>
      <c r="D974" s="53">
        <v>-3.7105751391466298E-3</v>
      </c>
      <c r="E974" s="53">
        <v>1.91E-3</v>
      </c>
      <c r="F974" s="53">
        <v>-2.0654770268371599E-2</v>
      </c>
      <c r="G974" s="53">
        <v>-2.92668998500978E-3</v>
      </c>
      <c r="H974" s="87">
        <v>-1.1251932691548099E-2</v>
      </c>
      <c r="I974" s="53">
        <v>1.6268980477223099E-3</v>
      </c>
      <c r="J974" s="53">
        <v>-1.03674860063275E-2</v>
      </c>
      <c r="K974" s="53">
        <v>5.77860240532946E-3</v>
      </c>
      <c r="L974" s="95">
        <f>IFERROR(B974*'Stock Statistics'!$C$41+C974*'Stock Statistics'!$C$42+D974*'Stock Statistics'!$C$43+E974*'Stock Statistics'!$C$44+F974*'Stock Statistics'!$C$45+G974*'Stock Statistics'!$C$46+H974*'Stock Statistics'!$C$47+I974*'Stock Statistics'!$C$48+J974*'Stock Statistics'!$C$49+K974*'Stock Statistics'!$C$50,"")</f>
        <v>-1.5053348325996573E-3</v>
      </c>
      <c r="M974" s="96">
        <v>247.0274</v>
      </c>
      <c r="N974" s="97">
        <v>311.76870000000002</v>
      </c>
      <c r="O974" s="93">
        <f t="shared" si="45"/>
        <v>-2.4889827102714257E-4</v>
      </c>
      <c r="P974" s="93">
        <f t="shared" si="46"/>
        <v>-4.5045160578771615E-4</v>
      </c>
      <c r="Q974" s="93">
        <f>B974*'Portfolio 2 &amp; 3'!$F$7+C974*'Portfolio 2 &amp; 3'!$F$8+D974*'Portfolio 2 &amp; 3'!$F$9+E974*'Portfolio 2 &amp; 3'!$F$10+F974*'Portfolio 2 &amp; 3'!$F$11+G974*'Portfolio 2 &amp; 3'!$F$12+H974*'Portfolio 2 &amp; 3'!$F$13+I974*'Portfolio 2 &amp; 3'!$F$14+J974*'Portfolio 2 &amp; 3'!$F$15+K974*'Portfolio 2 &amp; 3'!$F$16</f>
        <v>-3.7680346387467278E-3</v>
      </c>
      <c r="R974" s="93">
        <f>B974*'Portfolio 2 &amp; 3'!$B$23+C974*'Portfolio 2 &amp; 3'!$B$24+D974*'Portfolio 2 &amp; 3'!$B$25+E974*'Portfolio 2 &amp; 3'!$B$26+F974*'Portfolio 2 &amp; 3'!$B$27+G974*'Portfolio 2 &amp; 3'!$B$28+H974*'Portfolio 2 &amp; 3'!$B$29+I974*'Portfolio 2 &amp; 3'!$B$30+J974*'Portfolio 2 &amp; 3'!$B$31+K974*'Portfolio 2 &amp; 3'!$B$32</f>
        <v>-1.1485855573077001E-4</v>
      </c>
      <c r="S974" s="93">
        <f t="shared" si="47"/>
        <v>-3.4967493840742936E-4</v>
      </c>
    </row>
    <row r="975" spans="1:19" ht="12.75" customHeight="1">
      <c r="A975" s="82">
        <v>44650</v>
      </c>
      <c r="B975" s="53">
        <v>2.1700000000000001E-2</v>
      </c>
      <c r="C975" s="53">
        <v>5.6695542061186996E-3</v>
      </c>
      <c r="D975" s="53">
        <v>2.6472061243472101E-3</v>
      </c>
      <c r="E975" s="53">
        <v>-1.231E-2</v>
      </c>
      <c r="F975" s="53">
        <v>-4.21348314606718E-4</v>
      </c>
      <c r="G975" s="53">
        <v>1.7910990009082799E-2</v>
      </c>
      <c r="H975" s="87">
        <v>2.6161578727938301E-2</v>
      </c>
      <c r="I975" s="53">
        <v>-5.9299191374663201E-3</v>
      </c>
      <c r="J975" s="53">
        <v>1.7064846416381401E-3</v>
      </c>
      <c r="K975" s="53">
        <v>-6.7498556774280303E-3</v>
      </c>
      <c r="L975" s="95">
        <f>IFERROR(B975*'Stock Statistics'!$C$41+C975*'Stock Statistics'!$C$42+D975*'Stock Statistics'!$C$43+E975*'Stock Statistics'!$C$44+F975*'Stock Statistics'!$C$45+G975*'Stock Statistics'!$C$46+H975*'Stock Statistics'!$C$47+I975*'Stock Statistics'!$C$48+J975*'Stock Statistics'!$C$49+K975*'Stock Statistics'!$C$50,"")</f>
        <v>5.0384690579624077E-3</v>
      </c>
      <c r="M975" s="97">
        <v>247.0889</v>
      </c>
      <c r="N975" s="96">
        <v>311.9092</v>
      </c>
      <c r="O975" s="93">
        <f t="shared" si="45"/>
        <v>1.6726749920481065E-2</v>
      </c>
      <c r="P975" s="93">
        <f t="shared" si="46"/>
        <v>8.1542045804212648E-3</v>
      </c>
      <c r="Q975" s="93">
        <f>B975*'Portfolio 2 &amp; 3'!$F$7+C975*'Portfolio 2 &amp; 3'!$F$8+D975*'Portfolio 2 &amp; 3'!$F$9+E975*'Portfolio 2 &amp; 3'!$F$10+F975*'Portfolio 2 &amp; 3'!$F$11+G975*'Portfolio 2 &amp; 3'!$F$12+H975*'Portfolio 2 &amp; 3'!$F$13+I975*'Portfolio 2 &amp; 3'!$F$14+J975*'Portfolio 2 &amp; 3'!$F$15+K975*'Portfolio 2 &amp; 3'!$F$16</f>
        <v>5.8819312490274271E-3</v>
      </c>
      <c r="R975" s="93">
        <f>B975*'Portfolio 2 &amp; 3'!$B$23+C975*'Portfolio 2 &amp; 3'!$B$24+D975*'Portfolio 2 &amp; 3'!$B$25+E975*'Portfolio 2 &amp; 3'!$B$26+F975*'Portfolio 2 &amp; 3'!$B$27+G975*'Portfolio 2 &amp; 3'!$B$28+H975*'Portfolio 2 &amp; 3'!$B$29+I975*'Portfolio 2 &amp; 3'!$B$30+J975*'Portfolio 2 &amp; 3'!$B$31+K975*'Portfolio 2 &amp; 3'!$B$32</f>
        <v>4.6347029493933106E-3</v>
      </c>
      <c r="S975" s="93">
        <f t="shared" si="47"/>
        <v>1.2440477250451165E-2</v>
      </c>
    </row>
    <row r="976" spans="1:19" ht="12.75" customHeight="1">
      <c r="A976" s="81">
        <v>44649</v>
      </c>
      <c r="B976" s="53">
        <v>4.1300000000000003E-2</v>
      </c>
      <c r="C976" s="53">
        <v>-5.2960036642619697E-3</v>
      </c>
      <c r="D976" s="53">
        <v>-7.7381797529461104E-3</v>
      </c>
      <c r="E976" s="53">
        <v>1.239E-2</v>
      </c>
      <c r="F976" s="53">
        <v>8.3557569749326301E-3</v>
      </c>
      <c r="G976" s="53">
        <v>7.0428976493186503E-3</v>
      </c>
      <c r="H976" s="87">
        <v>9.5048810428479697E-3</v>
      </c>
      <c r="I976" s="53">
        <v>-9.8745663197224998E-3</v>
      </c>
      <c r="J976" s="53">
        <v>1.37406089363386E-2</v>
      </c>
      <c r="K976" s="53">
        <v>-4.7714688356503799E-4</v>
      </c>
      <c r="L976" s="95">
        <f>IFERROR(B976*'Stock Statistics'!$C$41+C976*'Stock Statistics'!$C$42+D976*'Stock Statistics'!$C$43+E976*'Stock Statistics'!$C$44+F976*'Stock Statistics'!$C$45+G976*'Stock Statistics'!$C$46+H976*'Stock Statistics'!$C$47+I976*'Stock Statistics'!$C$48+J976*'Stock Statistics'!$C$49+K976*'Stock Statistics'!$C$50,"")</f>
        <v>6.8948247982942249E-3</v>
      </c>
      <c r="M976" s="96">
        <v>243.0239</v>
      </c>
      <c r="N976" s="97">
        <v>309.38639999999998</v>
      </c>
      <c r="O976" s="93">
        <f t="shared" si="45"/>
        <v>-2.4796000459716971E-3</v>
      </c>
      <c r="P976" s="93">
        <f t="shared" si="46"/>
        <v>5.3006432712243701E-3</v>
      </c>
      <c r="Q976" s="93">
        <f>B976*'Portfolio 2 &amp; 3'!$F$7+C976*'Portfolio 2 &amp; 3'!$F$8+D976*'Portfolio 2 &amp; 3'!$F$9+E976*'Portfolio 2 &amp; 3'!$F$10+F976*'Portfolio 2 &amp; 3'!$F$11+G976*'Portfolio 2 &amp; 3'!$F$12+H976*'Portfolio 2 &amp; 3'!$F$13+I976*'Portfolio 2 &amp; 3'!$F$14+J976*'Portfolio 2 &amp; 3'!$F$15+K976*'Portfolio 2 &amp; 3'!$F$16</f>
        <v>6.0327121144925925E-3</v>
      </c>
      <c r="R976" s="93">
        <f>B976*'Portfolio 2 &amp; 3'!$B$23+C976*'Portfolio 2 &amp; 3'!$B$24+D976*'Portfolio 2 &amp; 3'!$B$25+E976*'Portfolio 2 &amp; 3'!$B$26+F976*'Portfolio 2 &amp; 3'!$B$27+G976*'Portfolio 2 &amp; 3'!$B$28+H976*'Portfolio 2 &amp; 3'!$B$29+I976*'Portfolio 2 &amp; 3'!$B$30+J976*'Portfolio 2 &amp; 3'!$B$31+K976*'Portfolio 2 &amp; 3'!$B$32</f>
        <v>4.7106332438232139E-3</v>
      </c>
      <c r="S976" s="93">
        <f t="shared" si="47"/>
        <v>1.4105216126263365E-3</v>
      </c>
    </row>
    <row r="977" spans="1:19" ht="12.75" customHeight="1">
      <c r="A977" s="82">
        <v>44648</v>
      </c>
      <c r="B977" s="53">
        <v>1.35E-2</v>
      </c>
      <c r="C977" s="53">
        <v>-3.5214185102328301E-2</v>
      </c>
      <c r="D977" s="53">
        <v>-1.5593989225971599E-3</v>
      </c>
      <c r="E977" s="53">
        <v>-2.1299999999999999E-3</v>
      </c>
      <c r="F977" s="53">
        <v>-1.6984546846721401E-2</v>
      </c>
      <c r="G977" s="53">
        <v>-1.9021982951996402E-2</v>
      </c>
      <c r="H977" s="87">
        <v>-1.22751102796831E-2</v>
      </c>
      <c r="I977" s="53">
        <v>1.6769781830022801E-2</v>
      </c>
      <c r="J977" s="53">
        <v>-2.42114401466191E-2</v>
      </c>
      <c r="K977" s="53">
        <v>1.29258505771672E-2</v>
      </c>
      <c r="L977" s="95">
        <f>IFERROR(B977*'Stock Statistics'!$C$41+C977*'Stock Statistics'!$C$42+D977*'Stock Statistics'!$C$43+E977*'Stock Statistics'!$C$44+F977*'Stock Statistics'!$C$45+G977*'Stock Statistics'!$C$46+H977*'Stock Statistics'!$C$47+I977*'Stock Statistics'!$C$48+J977*'Stock Statistics'!$C$49+K977*'Stock Statistics'!$C$50,"")</f>
        <v>-6.8201031842755463E-3</v>
      </c>
      <c r="M977" s="97">
        <v>243.62799999999999</v>
      </c>
      <c r="N977" s="96">
        <v>307.75510000000003</v>
      </c>
      <c r="O977" s="93">
        <f t="shared" si="45"/>
        <v>-5.435592414256285E-3</v>
      </c>
      <c r="P977" s="93">
        <f t="shared" si="46"/>
        <v>-4.1403130911554786E-3</v>
      </c>
      <c r="Q977" s="93">
        <f>B977*'Portfolio 2 &amp; 3'!$F$7+C977*'Portfolio 2 &amp; 3'!$F$8+D977*'Portfolio 2 &amp; 3'!$F$9+E977*'Portfolio 2 &amp; 3'!$F$10+F977*'Portfolio 2 &amp; 3'!$F$11+G977*'Portfolio 2 &amp; 3'!$F$12+H977*'Portfolio 2 &amp; 3'!$F$13+I977*'Portfolio 2 &amp; 3'!$F$14+J977*'Portfolio 2 &amp; 3'!$F$15+K977*'Portfolio 2 &amp; 3'!$F$16</f>
        <v>-8.7540510232935222E-3</v>
      </c>
      <c r="R977" s="93">
        <f>B977*'Portfolio 2 &amp; 3'!$B$23+C977*'Portfolio 2 &amp; 3'!$B$24+D977*'Portfolio 2 &amp; 3'!$B$25+E977*'Portfolio 2 &amp; 3'!$B$26+F977*'Portfolio 2 &amp; 3'!$B$27+G977*'Portfolio 2 &amp; 3'!$B$28+H977*'Portfolio 2 &amp; 3'!$B$29+I977*'Portfolio 2 &amp; 3'!$B$30+J977*'Portfolio 2 &amp; 3'!$B$31+K977*'Portfolio 2 &amp; 3'!$B$32</f>
        <v>-5.506620032565258E-3</v>
      </c>
      <c r="S977" s="93">
        <f t="shared" si="47"/>
        <v>-4.7879527527058818E-3</v>
      </c>
    </row>
    <row r="978" spans="1:19" ht="12.75" customHeight="1">
      <c r="A978" s="81">
        <v>44645</v>
      </c>
      <c r="B978" s="53">
        <v>-2.7199999999999998E-2</v>
      </c>
      <c r="C978" s="53">
        <v>-1.2868398811309001E-2</v>
      </c>
      <c r="D978" s="53">
        <v>1.8775274407856701E-2</v>
      </c>
      <c r="E978" s="53">
        <v>-2.3029999999999998E-2</v>
      </c>
      <c r="F978" s="53">
        <v>-2.16562244619996E-2</v>
      </c>
      <c r="G978" s="53">
        <v>-1.56854432727466E-2</v>
      </c>
      <c r="H978" s="87">
        <v>2.9533372711163502E-3</v>
      </c>
      <c r="I978" s="53">
        <v>-4.43051653339099E-3</v>
      </c>
      <c r="J978" s="53">
        <v>7.4829931972788498E-3</v>
      </c>
      <c r="K978" s="53">
        <v>1.40304087168617E-2</v>
      </c>
      <c r="L978" s="95">
        <f>IFERROR(B978*'Stock Statistics'!$C$41+C978*'Stock Statistics'!$C$42+D978*'Stock Statistics'!$C$43+E978*'Stock Statistics'!$C$44+F978*'Stock Statistics'!$C$45+G978*'Stock Statistics'!$C$46+H978*'Stock Statistics'!$C$47+I978*'Stock Statistics'!$C$48+J978*'Stock Statistics'!$C$49+K978*'Stock Statistics'!$C$50,"")</f>
        <v>-6.16285694863326E-3</v>
      </c>
      <c r="M978" s="96">
        <v>244.95949999999999</v>
      </c>
      <c r="N978" s="97">
        <v>309.03460000000001</v>
      </c>
      <c r="O978" s="93">
        <f t="shared" si="45"/>
        <v>1.071660514717232E-2</v>
      </c>
      <c r="P978" s="93">
        <f t="shared" si="46"/>
        <v>-3.1740031082005959E-3</v>
      </c>
      <c r="Q978" s="93">
        <f>B978*'Portfolio 2 &amp; 3'!$F$7+C978*'Portfolio 2 &amp; 3'!$F$8+D978*'Portfolio 2 &amp; 3'!$F$9+E978*'Portfolio 2 &amp; 3'!$F$10+F978*'Portfolio 2 &amp; 3'!$F$11+G978*'Portfolio 2 &amp; 3'!$F$12+H978*'Portfolio 2 &amp; 3'!$F$13+I978*'Portfolio 2 &amp; 3'!$F$14+J978*'Portfolio 2 &amp; 3'!$F$15+K978*'Portfolio 2 &amp; 3'!$F$16</f>
        <v>-3.0183219661227088E-3</v>
      </c>
      <c r="R978" s="93">
        <f>B978*'Portfolio 2 &amp; 3'!$B$23+C978*'Portfolio 2 &amp; 3'!$B$24+D978*'Portfolio 2 &amp; 3'!$B$25+E978*'Portfolio 2 &amp; 3'!$B$26+F978*'Portfolio 2 &amp; 3'!$B$27+G978*'Portfolio 2 &amp; 3'!$B$28+H978*'Portfolio 2 &amp; 3'!$B$29+I978*'Portfolio 2 &amp; 3'!$B$30+J978*'Portfolio 2 &amp; 3'!$B$31+K978*'Portfolio 2 &amp; 3'!$B$32</f>
        <v>-1.0515591553533248E-2</v>
      </c>
      <c r="S978" s="93">
        <f t="shared" si="47"/>
        <v>3.771301019485862E-3</v>
      </c>
    </row>
    <row r="979" spans="1:19" ht="12.75" customHeight="1">
      <c r="A979" s="82">
        <v>44644</v>
      </c>
      <c r="B979" s="53">
        <v>-1.04E-2</v>
      </c>
      <c r="C979" s="53">
        <v>2.02158175112688E-3</v>
      </c>
      <c r="D979" s="53">
        <v>1.47285117608265E-2</v>
      </c>
      <c r="E979" s="53">
        <v>2.802E-2</v>
      </c>
      <c r="F979" s="53">
        <v>-1.9032082653616101E-3</v>
      </c>
      <c r="G979" s="53">
        <v>1.5771342448056998E-2</v>
      </c>
      <c r="H979" s="87">
        <v>8.8095432824311093E-3</v>
      </c>
      <c r="I979" s="53">
        <v>8.6523902227986205E-4</v>
      </c>
      <c r="J979" s="53">
        <v>7.3914533261538696E-3</v>
      </c>
      <c r="K979" s="53">
        <v>-1.6654711736752498E-2</v>
      </c>
      <c r="L979" s="95">
        <f>IFERROR(B979*'Stock Statistics'!$C$41+C979*'Stock Statistics'!$C$42+D979*'Stock Statistics'!$C$43+E979*'Stock Statistics'!$C$44+F979*'Stock Statistics'!$C$45+G979*'Stock Statistics'!$C$46+H979*'Stock Statistics'!$C$47+I979*'Stock Statistics'!$C$48+J979*'Stock Statistics'!$C$49+K979*'Stock Statistics'!$C$50,"")</f>
        <v>4.8649751588761125E-3</v>
      </c>
      <c r="M979" s="97">
        <v>242.3622</v>
      </c>
      <c r="N979" s="96">
        <v>310.01859999999999</v>
      </c>
      <c r="O979" s="93">
        <f t="shared" si="45"/>
        <v>2.7883021230237226E-3</v>
      </c>
      <c r="P979" s="93">
        <f t="shared" si="46"/>
        <v>2.0217187917009438E-2</v>
      </c>
      <c r="Q979" s="93">
        <f>B979*'Portfolio 2 &amp; 3'!$F$7+C979*'Portfolio 2 &amp; 3'!$F$8+D979*'Portfolio 2 &amp; 3'!$F$9+E979*'Portfolio 2 &amp; 3'!$F$10+F979*'Portfolio 2 &amp; 3'!$F$11+G979*'Portfolio 2 &amp; 3'!$F$12+H979*'Portfolio 2 &amp; 3'!$F$13+I979*'Portfolio 2 &amp; 3'!$F$14+J979*'Portfolio 2 &amp; 3'!$F$15+K979*'Portfolio 2 &amp; 3'!$F$16</f>
        <v>5.4463924270608897E-3</v>
      </c>
      <c r="R979" s="93">
        <f>B979*'Portfolio 2 &amp; 3'!$B$23+C979*'Portfolio 2 &amp; 3'!$B$24+D979*'Portfolio 2 &amp; 3'!$B$25+E979*'Portfolio 2 &amp; 3'!$B$26+F979*'Portfolio 2 &amp; 3'!$B$27+G979*'Portfolio 2 &amp; 3'!$B$28+H979*'Portfolio 2 &amp; 3'!$B$29+I979*'Portfolio 2 &amp; 3'!$B$30+J979*'Portfolio 2 &amp; 3'!$B$31+K979*'Portfolio 2 &amp; 3'!$B$32</f>
        <v>-1.544442685278433E-4</v>
      </c>
      <c r="S979" s="93">
        <f t="shared" si="47"/>
        <v>1.150274502001658E-2</v>
      </c>
    </row>
    <row r="980" spans="1:19" ht="12.75" customHeight="1">
      <c r="A980" s="81">
        <v>44643</v>
      </c>
      <c r="B980" s="53">
        <v>-2.5999999999999999E-3</v>
      </c>
      <c r="C980" s="53">
        <v>1.55220485220069E-2</v>
      </c>
      <c r="D980" s="53">
        <v>2.0641687233565301E-2</v>
      </c>
      <c r="E980" s="53">
        <v>2.759E-2</v>
      </c>
      <c r="F980" s="53">
        <v>2.1382949180783099E-2</v>
      </c>
      <c r="G980" s="53">
        <v>-1.8804061677322201E-3</v>
      </c>
      <c r="H980" s="87">
        <v>-3.7248716665309102E-3</v>
      </c>
      <c r="I980" s="53">
        <v>-6.8209893119931496E-3</v>
      </c>
      <c r="J980" s="53">
        <v>-6.1782447947070799E-3</v>
      </c>
      <c r="K980" s="53">
        <v>-8.0932052650303198E-3</v>
      </c>
      <c r="L980" s="95">
        <f>IFERROR(B980*'Stock Statistics'!$C$41+C980*'Stock Statistics'!$C$42+D980*'Stock Statistics'!$C$43+E980*'Stock Statistics'!$C$44+F980*'Stock Statistics'!$C$45+G980*'Stock Statistics'!$C$46+H980*'Stock Statistics'!$C$47+I980*'Stock Statistics'!$C$48+J980*'Stock Statistics'!$C$49+K980*'Stock Statistics'!$C$50,"")</f>
        <v>5.5838967730361625E-3</v>
      </c>
      <c r="M980" s="96">
        <v>241.6883</v>
      </c>
      <c r="N980" s="97">
        <v>303.87509999999997</v>
      </c>
      <c r="O980" s="93">
        <f t="shared" si="45"/>
        <v>-5.5129427420120836E-3</v>
      </c>
      <c r="P980" s="93">
        <f t="shared" si="46"/>
        <v>3.0506593642731783E-3</v>
      </c>
      <c r="Q980" s="93">
        <f>B980*'Portfolio 2 &amp; 3'!$F$7+C980*'Portfolio 2 &amp; 3'!$F$8+D980*'Portfolio 2 &amp; 3'!$F$9+E980*'Portfolio 2 &amp; 3'!$F$10+F980*'Portfolio 2 &amp; 3'!$F$11+G980*'Portfolio 2 &amp; 3'!$F$12+H980*'Portfolio 2 &amp; 3'!$F$13+I980*'Portfolio 2 &amp; 3'!$F$14+J980*'Portfolio 2 &amp; 3'!$F$15+K980*'Portfolio 2 &amp; 3'!$F$16</f>
        <v>5.4665542252828308E-3</v>
      </c>
      <c r="R980" s="93">
        <f>B980*'Portfolio 2 &amp; 3'!$B$23+C980*'Portfolio 2 &amp; 3'!$B$24+D980*'Portfolio 2 &amp; 3'!$B$25+E980*'Portfolio 2 &amp; 3'!$B$26+F980*'Portfolio 2 &amp; 3'!$B$27+G980*'Portfolio 2 &amp; 3'!$B$28+H980*'Portfolio 2 &amp; 3'!$B$29+I980*'Portfolio 2 &amp; 3'!$B$30+J980*'Portfolio 2 &amp; 3'!$B$31+K980*'Portfolio 2 &amp; 3'!$B$32</f>
        <v>3.3328204858940795E-3</v>
      </c>
      <c r="S980" s="93">
        <f t="shared" si="47"/>
        <v>-1.2311416888694526E-3</v>
      </c>
    </row>
    <row r="981" spans="1:19" ht="12.75" customHeight="1">
      <c r="A981" s="82">
        <v>44642</v>
      </c>
      <c r="B981" s="53">
        <v>-3.2800000000000003E-2</v>
      </c>
      <c r="C981" s="53">
        <v>-4.37796928516188E-3</v>
      </c>
      <c r="D981" s="53">
        <v>-1.04351687388988E-2</v>
      </c>
      <c r="E981" s="53">
        <v>-8.0300000000000007E-3</v>
      </c>
      <c r="F981" s="53">
        <v>-1.7194323144104601E-2</v>
      </c>
      <c r="G981" s="53">
        <v>-1.2869694344759401E-2</v>
      </c>
      <c r="H981" s="87">
        <v>-1.35380304978872E-2</v>
      </c>
      <c r="I981" s="53">
        <v>3.0707897855835101E-3</v>
      </c>
      <c r="J981" s="53">
        <v>1.27605064787899E-2</v>
      </c>
      <c r="K981" s="53">
        <v>2.6919652030961101E-2</v>
      </c>
      <c r="L981" s="95">
        <f>IFERROR(B981*'Stock Statistics'!$C$41+C981*'Stock Statistics'!$C$42+D981*'Stock Statistics'!$C$43+E981*'Stock Statistics'!$C$44+F981*'Stock Statistics'!$C$45+G981*'Stock Statistics'!$C$46+H981*'Stock Statistics'!$C$47+I981*'Stock Statistics'!$C$48+J981*'Stock Statistics'!$C$49+K981*'Stock Statistics'!$C$50,"")</f>
        <v>-5.6494237715477395E-3</v>
      </c>
      <c r="M981" s="97">
        <v>243.02809999999999</v>
      </c>
      <c r="N981" s="96">
        <v>302.95089999999999</v>
      </c>
      <c r="O981" s="93">
        <f t="shared" si="45"/>
        <v>1.6379389460308147E-4</v>
      </c>
      <c r="P981" s="93">
        <f t="shared" si="46"/>
        <v>1.5539603747982023E-2</v>
      </c>
      <c r="Q981" s="93">
        <f>B981*'Portfolio 2 &amp; 3'!$F$7+C981*'Portfolio 2 &amp; 3'!$F$8+D981*'Portfolio 2 &amp; 3'!$F$9+E981*'Portfolio 2 &amp; 3'!$F$10+F981*'Portfolio 2 &amp; 3'!$F$11+G981*'Portfolio 2 &amp; 3'!$F$12+H981*'Portfolio 2 &amp; 3'!$F$13+I981*'Portfolio 2 &amp; 3'!$F$14+J981*'Portfolio 2 &amp; 3'!$F$15+K981*'Portfolio 2 &amp; 3'!$F$16</f>
        <v>-5.0378187752867266E-3</v>
      </c>
      <c r="R981" s="93">
        <f>B981*'Portfolio 2 &amp; 3'!$B$23+C981*'Portfolio 2 &amp; 3'!$B$24+D981*'Portfolio 2 &amp; 3'!$B$25+E981*'Portfolio 2 &amp; 3'!$B$26+F981*'Portfolio 2 &amp; 3'!$B$27+G981*'Portfolio 2 &amp; 3'!$B$28+H981*'Portfolio 2 &amp; 3'!$B$29+I981*'Portfolio 2 &amp; 3'!$B$30+J981*'Portfolio 2 &amp; 3'!$B$31+K981*'Portfolio 2 &amp; 3'!$B$32</f>
        <v>-6.3396348148530316E-3</v>
      </c>
      <c r="S981" s="93">
        <f t="shared" si="47"/>
        <v>7.851698821292552E-3</v>
      </c>
    </row>
    <row r="982" spans="1:19" ht="12.75" customHeight="1">
      <c r="A982" s="81">
        <v>44641</v>
      </c>
      <c r="B982" s="53">
        <v>-2.9999999999999997E-4</v>
      </c>
      <c r="C982" s="53">
        <v>3.0198088377892999E-3</v>
      </c>
      <c r="D982" s="53">
        <v>-2.5037881521033301E-2</v>
      </c>
      <c r="E982" s="53">
        <v>-1.9050000000000001E-2</v>
      </c>
      <c r="F982" s="53">
        <v>-1.8483793195821201E-2</v>
      </c>
      <c r="G982" s="53">
        <v>6.5660699669025701E-3</v>
      </c>
      <c r="H982" s="87">
        <v>7.13534017184947E-3</v>
      </c>
      <c r="I982" s="53">
        <v>-1.07631040792167E-3</v>
      </c>
      <c r="J982" s="53">
        <v>-3.1432640832964598E-3</v>
      </c>
      <c r="K982" s="53">
        <v>-5.0771799502505903E-3</v>
      </c>
      <c r="L982" s="95">
        <f>IFERROR(B982*'Stock Statistics'!$C$41+C982*'Stock Statistics'!$C$42+D982*'Stock Statistics'!$C$43+E982*'Stock Statistics'!$C$44+F982*'Stock Statistics'!$C$45+G982*'Stock Statistics'!$C$46+H982*'Stock Statistics'!$C$47+I982*'Stock Statistics'!$C$48+J982*'Stock Statistics'!$C$49+K982*'Stock Statistics'!$C$50,"")</f>
        <v>-5.5447210181781888E-3</v>
      </c>
      <c r="M982" s="96">
        <v>242.98830000000001</v>
      </c>
      <c r="N982" s="97">
        <v>298.3152</v>
      </c>
      <c r="O982" s="93">
        <f t="shared" si="45"/>
        <v>5.3418078488289833E-3</v>
      </c>
      <c r="P982" s="93">
        <f t="shared" si="46"/>
        <v>1.6903324112470752E-2</v>
      </c>
      <c r="Q982" s="93">
        <f>B982*'Portfolio 2 &amp; 3'!$F$7+C982*'Portfolio 2 &amp; 3'!$F$8+D982*'Portfolio 2 &amp; 3'!$F$9+E982*'Portfolio 2 &amp; 3'!$F$10+F982*'Portfolio 2 &amp; 3'!$F$11+G982*'Portfolio 2 &amp; 3'!$F$12+H982*'Portfolio 2 &amp; 3'!$F$13+I982*'Portfolio 2 &amp; 3'!$F$14+J982*'Portfolio 2 &amp; 3'!$F$15+K982*'Portfolio 2 &amp; 3'!$F$16</f>
        <v>-5.7781948188380689E-3</v>
      </c>
      <c r="R982" s="93">
        <f>B982*'Portfolio 2 &amp; 3'!$B$23+C982*'Portfolio 2 &amp; 3'!$B$24+D982*'Portfolio 2 &amp; 3'!$B$25+E982*'Portfolio 2 &amp; 3'!$B$26+F982*'Portfolio 2 &amp; 3'!$B$27+G982*'Portfolio 2 &amp; 3'!$B$28+H982*'Portfolio 2 &amp; 3'!$B$29+I982*'Portfolio 2 &amp; 3'!$B$30+J982*'Portfolio 2 &amp; 3'!$B$31+K982*'Portfolio 2 &amp; 3'!$B$32</f>
        <v>-2.5853603804633619E-3</v>
      </c>
      <c r="S982" s="93">
        <f t="shared" si="47"/>
        <v>1.1122565980649868E-2</v>
      </c>
    </row>
    <row r="983" spans="1:19" ht="12.75" customHeight="1">
      <c r="A983" s="82">
        <v>44637</v>
      </c>
      <c r="B983" s="53">
        <v>-3.7000000000000002E-3</v>
      </c>
      <c r="C983" s="53">
        <v>-1.0892649174487999E-2</v>
      </c>
      <c r="D983" s="53">
        <v>-1.9525999292536199E-2</v>
      </c>
      <c r="E983" s="53">
        <v>9.9500000000000005E-3</v>
      </c>
      <c r="F983" s="53">
        <v>-4.9313607890176803E-3</v>
      </c>
      <c r="G983" s="53">
        <v>2.9908734376718201E-2</v>
      </c>
      <c r="H983" s="87">
        <v>8.8905482504755308E-3</v>
      </c>
      <c r="I983" s="53">
        <v>3.2935586631392998E-3</v>
      </c>
      <c r="J983" s="53">
        <v>-1.0593323290733399E-2</v>
      </c>
      <c r="K983" s="53">
        <v>-3.0086370246331502E-2</v>
      </c>
      <c r="L983" s="95">
        <f>IFERROR(B983*'Stock Statistics'!$C$41+C983*'Stock Statistics'!$C$42+D983*'Stock Statistics'!$C$43+E983*'Stock Statistics'!$C$44+F983*'Stock Statistics'!$C$45+G983*'Stock Statistics'!$C$46+H983*'Stock Statistics'!$C$47+I983*'Stock Statistics'!$C$48+J983*'Stock Statistics'!$C$49+K983*'Stock Statistics'!$C$50,"")</f>
        <v>-2.768686150277375E-3</v>
      </c>
      <c r="M983" s="97">
        <v>241.69720000000001</v>
      </c>
      <c r="N983" s="96">
        <v>293.35649999999998</v>
      </c>
      <c r="O983" s="93">
        <f t="shared" si="45"/>
        <v>6.4246195050432497E-3</v>
      </c>
      <c r="P983" s="93">
        <f t="shared" si="46"/>
        <v>-8.7375140356752423E-3</v>
      </c>
      <c r="Q983" s="93">
        <f>B983*'Portfolio 2 &amp; 3'!$F$7+C983*'Portfolio 2 &amp; 3'!$F$8+D983*'Portfolio 2 &amp; 3'!$F$9+E983*'Portfolio 2 &amp; 3'!$F$10+F983*'Portfolio 2 &amp; 3'!$F$11+G983*'Portfolio 2 &amp; 3'!$F$12+H983*'Portfolio 2 &amp; 3'!$F$13+I983*'Portfolio 2 &amp; 3'!$F$14+J983*'Portfolio 2 &amp; 3'!$F$15+K983*'Portfolio 2 &amp; 3'!$F$16</f>
        <v>-4.2364657174761376E-3</v>
      </c>
      <c r="R983" s="93">
        <f>B983*'Portfolio 2 &amp; 3'!$B$23+C983*'Portfolio 2 &amp; 3'!$B$24+D983*'Portfolio 2 &amp; 3'!$B$25+E983*'Portfolio 2 &amp; 3'!$B$26+F983*'Portfolio 2 &amp; 3'!$B$27+G983*'Portfolio 2 &amp; 3'!$B$28+H983*'Portfolio 2 &amp; 3'!$B$29+I983*'Portfolio 2 &amp; 3'!$B$30+J983*'Portfolio 2 &amp; 3'!$B$31+K983*'Portfolio 2 &amp; 3'!$B$32</f>
        <v>-2.2640583461360844E-3</v>
      </c>
      <c r="S983" s="93">
        <f t="shared" si="47"/>
        <v>-1.1564472653159963E-3</v>
      </c>
    </row>
    <row r="984" spans="1:19" ht="12.75" customHeight="1">
      <c r="A984" s="81">
        <v>44636</v>
      </c>
      <c r="B984" s="53">
        <v>6.8999999999999999E-3</v>
      </c>
      <c r="C984" s="53">
        <v>2.7798510089986E-2</v>
      </c>
      <c r="D984" s="53">
        <v>-1.51198439241917E-2</v>
      </c>
      <c r="E984" s="53">
        <v>-2.1199999999999999E-3</v>
      </c>
      <c r="F984" s="53">
        <v>1.5016233766233599E-2</v>
      </c>
      <c r="G984" s="53">
        <v>-5.4134844977489199E-3</v>
      </c>
      <c r="H984" s="87">
        <v>-1.7425397516880901E-2</v>
      </c>
      <c r="I984" s="53">
        <v>1.9093210080334499E-2</v>
      </c>
      <c r="J984" s="53">
        <v>-9.5297684940076604E-3</v>
      </c>
      <c r="K984" s="53">
        <v>-5.04209049456328E-3</v>
      </c>
      <c r="L984" s="95">
        <f>IFERROR(B984*'Stock Statistics'!$C$41+C984*'Stock Statistics'!$C$42+D984*'Stock Statistics'!$C$43+E984*'Stock Statistics'!$C$44+F984*'Stock Statistics'!$C$45+G984*'Stock Statistics'!$C$46+H984*'Stock Statistics'!$C$47+I984*'Stock Statistics'!$C$48+J984*'Stock Statistics'!$C$49+K984*'Stock Statistics'!$C$50,"")</f>
        <v>1.4157369009161636E-3</v>
      </c>
      <c r="M984" s="96">
        <v>240.15430000000001</v>
      </c>
      <c r="N984" s="97">
        <v>295.94229999999999</v>
      </c>
      <c r="O984" s="93">
        <f t="shared" si="45"/>
        <v>-4.6774968304841291E-3</v>
      </c>
      <c r="P984" s="93">
        <f t="shared" si="46"/>
        <v>-8.0258312168768331E-3</v>
      </c>
      <c r="Q984" s="93">
        <f>B984*'Portfolio 2 &amp; 3'!$F$7+C984*'Portfolio 2 &amp; 3'!$F$8+D984*'Portfolio 2 &amp; 3'!$F$9+E984*'Portfolio 2 &amp; 3'!$F$10+F984*'Portfolio 2 &amp; 3'!$F$11+G984*'Portfolio 2 &amp; 3'!$F$12+H984*'Portfolio 2 &amp; 3'!$F$13+I984*'Portfolio 2 &amp; 3'!$F$14+J984*'Portfolio 2 &amp; 3'!$F$15+K984*'Portfolio 2 &amp; 3'!$F$16</f>
        <v>-7.7750426341102069E-4</v>
      </c>
      <c r="R984" s="93">
        <f>B984*'Portfolio 2 &amp; 3'!$B$23+C984*'Portfolio 2 &amp; 3'!$B$24+D984*'Portfolio 2 &amp; 3'!$B$25+E984*'Portfolio 2 &amp; 3'!$B$26+F984*'Portfolio 2 &amp; 3'!$B$27+G984*'Portfolio 2 &amp; 3'!$B$28+H984*'Portfolio 2 &amp; 3'!$B$29+I984*'Portfolio 2 &amp; 3'!$B$30+J984*'Portfolio 2 &amp; 3'!$B$31+K984*'Portfolio 2 &amp; 3'!$B$32</f>
        <v>1.1347852713460808E-2</v>
      </c>
      <c r="S984" s="93">
        <f t="shared" si="47"/>
        <v>-6.3516640236804811E-3</v>
      </c>
    </row>
    <row r="985" spans="1:19" ht="12.75" customHeight="1">
      <c r="A985" s="82">
        <v>44635</v>
      </c>
      <c r="B985" s="53">
        <v>9.4999999999999998E-3</v>
      </c>
      <c r="C985" s="53">
        <v>1.5356678153195099E-2</v>
      </c>
      <c r="D985" s="53">
        <v>-4.9226929210288697E-3</v>
      </c>
      <c r="E985" s="53">
        <v>-2.87E-2</v>
      </c>
      <c r="F985" s="53">
        <v>1.16326809908307E-2</v>
      </c>
      <c r="G985" s="53">
        <v>-3.01407155989252E-2</v>
      </c>
      <c r="H985" s="87">
        <v>7.6123368372416102E-3</v>
      </c>
      <c r="I985" s="53">
        <v>-6.6138289150040599E-3</v>
      </c>
      <c r="J985" s="53">
        <v>2.1384327991347901E-2</v>
      </c>
      <c r="K985" s="53">
        <v>3.28423769684483E-2</v>
      </c>
      <c r="L985" s="95">
        <f>IFERROR(B985*'Stock Statistics'!$C$41+C985*'Stock Statistics'!$C$42+D985*'Stock Statistics'!$C$43+E985*'Stock Statistics'!$C$44+F985*'Stock Statistics'!$C$45+G985*'Stock Statistics'!$C$46+H985*'Stock Statistics'!$C$47+I985*'Stock Statistics'!$C$48+J985*'Stock Statistics'!$C$49+K985*'Stock Statistics'!$C$50,"")</f>
        <v>2.7951163506105482E-3</v>
      </c>
      <c r="M985" s="97">
        <v>241.28290000000001</v>
      </c>
      <c r="N985" s="96">
        <v>298.33670000000001</v>
      </c>
      <c r="O985" s="93">
        <f t="shared" si="45"/>
        <v>-1.9428953401121607E-3</v>
      </c>
      <c r="P985" s="93">
        <f t="shared" si="46"/>
        <v>3.2002286598180607E-3</v>
      </c>
      <c r="Q985" s="93">
        <f>B985*'Portfolio 2 &amp; 3'!$F$7+C985*'Portfolio 2 &amp; 3'!$F$8+D985*'Portfolio 2 &amp; 3'!$F$9+E985*'Portfolio 2 &amp; 3'!$F$10+F985*'Portfolio 2 &amp; 3'!$F$11+G985*'Portfolio 2 &amp; 3'!$F$12+H985*'Portfolio 2 &amp; 3'!$F$13+I985*'Portfolio 2 &amp; 3'!$F$14+J985*'Portfolio 2 &amp; 3'!$F$15+K985*'Portfolio 2 &amp; 3'!$F$16</f>
        <v>5.3158242716359137E-3</v>
      </c>
      <c r="R985" s="93">
        <f>B985*'Portfolio 2 &amp; 3'!$B$23+C985*'Portfolio 2 &amp; 3'!$B$24+D985*'Portfolio 2 &amp; 3'!$B$25+E985*'Portfolio 2 &amp; 3'!$B$26+F985*'Portfolio 2 &amp; 3'!$B$27+G985*'Portfolio 2 &amp; 3'!$B$28+H985*'Portfolio 2 &amp; 3'!$B$29+I985*'Portfolio 2 &amp; 3'!$B$30+J985*'Portfolio 2 &amp; 3'!$B$31+K985*'Portfolio 2 &amp; 3'!$B$32</f>
        <v>4.8794027151895783E-3</v>
      </c>
      <c r="S985" s="93">
        <f t="shared" si="47"/>
        <v>6.2866665985295E-4</v>
      </c>
    </row>
    <row r="986" spans="1:19" ht="12.75" customHeight="1">
      <c r="A986" s="81">
        <v>44634</v>
      </c>
      <c r="B986" s="53">
        <v>-1.32E-2</v>
      </c>
      <c r="C986" s="53">
        <v>1.6836534407304499E-2</v>
      </c>
      <c r="D986" s="53">
        <v>4.1371841155234602E-2</v>
      </c>
      <c r="E986" s="53">
        <v>3.9730000000000001E-2</v>
      </c>
      <c r="F986" s="53">
        <v>-1.42992041009037E-2</v>
      </c>
      <c r="G986" s="53">
        <v>-9.5369291088265296E-4</v>
      </c>
      <c r="H986" s="87">
        <v>4.8748576551256299E-2</v>
      </c>
      <c r="I986" s="53">
        <v>-6.3545513795351099E-3</v>
      </c>
      <c r="J986" s="53">
        <v>3.5520473606314201E-3</v>
      </c>
      <c r="K986" s="53">
        <v>-8.4415657308352099E-3</v>
      </c>
      <c r="L986" s="95">
        <f>IFERROR(B986*'Stock Statistics'!$C$41+C986*'Stock Statistics'!$C$42+D986*'Stock Statistics'!$C$43+E986*'Stock Statistics'!$C$44+F986*'Stock Statistics'!$C$45+G986*'Stock Statistics'!$C$46+H986*'Stock Statistics'!$C$47+I986*'Stock Statistics'!$C$48+J986*'Stock Statistics'!$C$49+K986*'Stock Statistics'!$C$50,"")</f>
        <v>1.0698998535227015E-2</v>
      </c>
      <c r="M986" s="96">
        <v>241.7526</v>
      </c>
      <c r="N986" s="97">
        <v>297.38499999999999</v>
      </c>
      <c r="O986" s="93">
        <f t="shared" si="45"/>
        <v>1.9044439554769754E-2</v>
      </c>
      <c r="P986" s="93">
        <f t="shared" si="46"/>
        <v>-1.4716713453969965E-2</v>
      </c>
      <c r="Q986" s="93">
        <f>B986*'Portfolio 2 &amp; 3'!$F$7+C986*'Portfolio 2 &amp; 3'!$F$8+D986*'Portfolio 2 &amp; 3'!$F$9+E986*'Portfolio 2 &amp; 3'!$F$10+F986*'Portfolio 2 &amp; 3'!$F$11+G986*'Portfolio 2 &amp; 3'!$F$12+H986*'Portfolio 2 &amp; 3'!$F$13+I986*'Portfolio 2 &amp; 3'!$F$14+J986*'Portfolio 2 &amp; 3'!$F$15+K986*'Portfolio 2 &amp; 3'!$F$16</f>
        <v>1.4922496846930006E-2</v>
      </c>
      <c r="R986" s="93">
        <f>B986*'Portfolio 2 &amp; 3'!$B$23+C986*'Portfolio 2 &amp; 3'!$B$24+D986*'Portfolio 2 &amp; 3'!$B$25+E986*'Portfolio 2 &amp; 3'!$B$26+F986*'Portfolio 2 &amp; 3'!$B$27+G986*'Portfolio 2 &amp; 3'!$B$28+H986*'Portfolio 2 &amp; 3'!$B$29+I986*'Portfolio 2 &amp; 3'!$B$30+J986*'Portfolio 2 &amp; 3'!$B$31+K986*'Portfolio 2 &amp; 3'!$B$32</f>
        <v>-1.1247191513067813E-3</v>
      </c>
      <c r="S986" s="93">
        <f t="shared" si="47"/>
        <v>2.1638630503998946E-3</v>
      </c>
    </row>
    <row r="987" spans="1:19" ht="12.75" customHeight="1">
      <c r="A987" s="82">
        <v>44631</v>
      </c>
      <c r="B987" s="53">
        <v>-1.2999999999999999E-2</v>
      </c>
      <c r="C987" s="53">
        <v>7.0426659638642697E-3</v>
      </c>
      <c r="D987" s="53">
        <v>7.2727272727273204E-3</v>
      </c>
      <c r="E987" s="53">
        <v>-1.8540000000000001E-2</v>
      </c>
      <c r="F987" s="53">
        <v>1.33971291866029E-2</v>
      </c>
      <c r="G987" s="53">
        <v>2.4943885308811801E-2</v>
      </c>
      <c r="H987" s="87">
        <v>2.4054982817869601E-2</v>
      </c>
      <c r="I987" s="53">
        <v>1.3596562788926699E-3</v>
      </c>
      <c r="J987" s="53">
        <v>-1.50631681243926E-2</v>
      </c>
      <c r="K987" s="53">
        <v>-9.0107127362530903E-3</v>
      </c>
      <c r="L987" s="95">
        <f>IFERROR(B987*'Stock Statistics'!$C$41+C987*'Stock Statistics'!$C$42+D987*'Stock Statistics'!$C$43+E987*'Stock Statistics'!$C$44+F987*'Stock Statistics'!$C$45+G987*'Stock Statistics'!$C$46+H987*'Stock Statistics'!$C$47+I987*'Stock Statistics'!$C$48+J987*'Stock Statistics'!$C$49+K987*'Stock Statistics'!$C$50,"")</f>
        <v>2.2457165968122871E-3</v>
      </c>
      <c r="M987" s="97">
        <v>237.2346</v>
      </c>
      <c r="N987" s="96">
        <v>301.82690000000002</v>
      </c>
      <c r="O987" s="93">
        <f t="shared" si="45"/>
        <v>4.6298550909984471E-3</v>
      </c>
      <c r="P987" s="93">
        <f t="shared" si="46"/>
        <v>9.9226598015000889E-3</v>
      </c>
      <c r="Q987" s="93">
        <f>B987*'Portfolio 2 &amp; 3'!$F$7+C987*'Portfolio 2 &amp; 3'!$F$8+D987*'Portfolio 2 &amp; 3'!$F$9+E987*'Portfolio 2 &amp; 3'!$F$10+F987*'Portfolio 2 &amp; 3'!$F$11+G987*'Portfolio 2 &amp; 3'!$F$12+H987*'Portfolio 2 &amp; 3'!$F$13+I987*'Portfolio 2 &amp; 3'!$F$14+J987*'Portfolio 2 &amp; 3'!$F$15+K987*'Portfolio 2 &amp; 3'!$F$16</f>
        <v>3.3291711685069624E-3</v>
      </c>
      <c r="R987" s="93">
        <f>B987*'Portfolio 2 &amp; 3'!$B$23+C987*'Portfolio 2 &amp; 3'!$B$24+D987*'Portfolio 2 &amp; 3'!$B$25+E987*'Portfolio 2 &amp; 3'!$B$26+F987*'Portfolio 2 &amp; 3'!$B$27+G987*'Portfolio 2 &amp; 3'!$B$28+H987*'Portfolio 2 &amp; 3'!$B$29+I987*'Portfolio 2 &amp; 3'!$B$30+J987*'Portfolio 2 &amp; 3'!$B$31+K987*'Portfolio 2 &amp; 3'!$B$32</f>
        <v>4.2510725419183572E-3</v>
      </c>
      <c r="S987" s="93">
        <f t="shared" si="47"/>
        <v>7.276257446249268E-3</v>
      </c>
    </row>
    <row r="988" spans="1:19" ht="12.75" customHeight="1">
      <c r="A988" s="81">
        <v>44630</v>
      </c>
      <c r="B988" s="53">
        <v>-1.89E-2</v>
      </c>
      <c r="C988" s="53">
        <v>1.19421561073905E-2</v>
      </c>
      <c r="D988" s="53">
        <v>1.19222843685605E-2</v>
      </c>
      <c r="E988" s="53">
        <v>-1.1900000000000001E-3</v>
      </c>
      <c r="F988" s="53">
        <v>1.7809934604146298E-2</v>
      </c>
      <c r="G988" s="53">
        <v>-5.0658561296867998E-4</v>
      </c>
      <c r="H988" s="87">
        <v>6.3421515874106903E-3</v>
      </c>
      <c r="I988" s="53">
        <v>1.48471133679216E-2</v>
      </c>
      <c r="J988" s="53">
        <v>1.4342747301493401E-2</v>
      </c>
      <c r="K988" s="53">
        <v>-1.2934962831197799E-2</v>
      </c>
      <c r="L988" s="95">
        <f>IFERROR(B988*'Stock Statistics'!$C$41+C988*'Stock Statistics'!$C$42+D988*'Stock Statistics'!$C$43+E988*'Stock Statistics'!$C$44+F988*'Stock Statistics'!$C$45+G988*'Stock Statistics'!$C$46+H988*'Stock Statistics'!$C$47+I988*'Stock Statistics'!$C$48+J988*'Stock Statistics'!$C$49+K988*'Stock Statistics'!$C$50,"")</f>
        <v>4.3674838892756515E-3</v>
      </c>
      <c r="M988" s="96">
        <v>236.1413</v>
      </c>
      <c r="N988" s="97">
        <v>298.8614</v>
      </c>
      <c r="O988" s="93">
        <f t="shared" si="45"/>
        <v>1.6303197029350125E-2</v>
      </c>
      <c r="P988" s="93">
        <f t="shared" si="46"/>
        <v>2.7671629401738063E-2</v>
      </c>
      <c r="Q988" s="93">
        <f>B988*'Portfolio 2 &amp; 3'!$F$7+C988*'Portfolio 2 &amp; 3'!$F$8+D988*'Portfolio 2 &amp; 3'!$F$9+E988*'Portfolio 2 &amp; 3'!$F$10+F988*'Portfolio 2 &amp; 3'!$F$11+G988*'Portfolio 2 &amp; 3'!$F$12+H988*'Portfolio 2 &amp; 3'!$F$13+I988*'Portfolio 2 &amp; 3'!$F$14+J988*'Portfolio 2 &amp; 3'!$F$15+K988*'Portfolio 2 &amp; 3'!$F$16</f>
        <v>6.5731119395249045E-3</v>
      </c>
      <c r="R988" s="93">
        <f>B988*'Portfolio 2 &amp; 3'!$B$23+C988*'Portfolio 2 &amp; 3'!$B$24+D988*'Portfolio 2 &amp; 3'!$B$25+E988*'Portfolio 2 &amp; 3'!$B$26+F988*'Portfolio 2 &amp; 3'!$B$27+G988*'Portfolio 2 &amp; 3'!$B$28+H988*'Portfolio 2 &amp; 3'!$B$29+I988*'Portfolio 2 &amp; 3'!$B$30+J988*'Portfolio 2 &amp; 3'!$B$31+K988*'Portfolio 2 &amp; 3'!$B$32</f>
        <v>5.9199898375017733E-3</v>
      </c>
      <c r="S988" s="93">
        <f t="shared" si="47"/>
        <v>2.1987413215544094E-2</v>
      </c>
    </row>
    <row r="989" spans="1:19" ht="12.75" customHeight="1">
      <c r="A989" s="82">
        <v>44629</v>
      </c>
      <c r="B989" s="53">
        <v>7.1999999999999998E-3</v>
      </c>
      <c r="C989" s="53">
        <v>-1.83388547089458E-3</v>
      </c>
      <c r="D989" s="53">
        <v>6.0982275318185203E-2</v>
      </c>
      <c r="E989" s="53">
        <v>-1.5259999999999999E-2</v>
      </c>
      <c r="F989" s="53">
        <v>4.3105950653120603E-2</v>
      </c>
      <c r="G989" s="53">
        <v>-3.8614068044249598E-2</v>
      </c>
      <c r="H989" s="87">
        <v>-9.2030231436240895E-3</v>
      </c>
      <c r="I989" s="53">
        <v>3.9341718845236099E-3</v>
      </c>
      <c r="J989" s="53">
        <v>-1.7576990122022001E-2</v>
      </c>
      <c r="K989" s="53">
        <v>2.3603196547189498E-2</v>
      </c>
      <c r="L989" s="95">
        <f>IFERROR(B989*'Stock Statistics'!$C$41+C989*'Stock Statistics'!$C$42+D989*'Stock Statistics'!$C$43+E989*'Stock Statistics'!$C$44+F989*'Stock Statistics'!$C$45+G989*'Stock Statistics'!$C$46+H989*'Stock Statistics'!$C$47+I989*'Stock Statistics'!$C$48+J989*'Stock Statistics'!$C$49+K989*'Stock Statistics'!$C$50,"")</f>
        <v>5.6337627622228669E-3</v>
      </c>
      <c r="M989" s="97">
        <v>232.35319999999999</v>
      </c>
      <c r="N989" s="96">
        <v>290.8141</v>
      </c>
      <c r="O989" s="93">
        <f t="shared" si="45"/>
        <v>1.7712375273368108E-2</v>
      </c>
      <c r="P989" s="93">
        <f t="shared" si="46"/>
        <v>-3.3413102799575989E-2</v>
      </c>
      <c r="Q989" s="93">
        <f>B989*'Portfolio 2 &amp; 3'!$F$7+C989*'Portfolio 2 &amp; 3'!$F$8+D989*'Portfolio 2 &amp; 3'!$F$9+E989*'Portfolio 2 &amp; 3'!$F$10+F989*'Portfolio 2 &amp; 3'!$F$11+G989*'Portfolio 2 &amp; 3'!$F$12+H989*'Portfolio 2 &amp; 3'!$F$13+I989*'Portfolio 2 &amp; 3'!$F$14+J989*'Portfolio 2 &amp; 3'!$F$15+K989*'Portfolio 2 &amp; 3'!$F$16</f>
        <v>7.7891697688544266E-3</v>
      </c>
      <c r="R989" s="93">
        <f>B989*'Portfolio 2 &amp; 3'!$B$23+C989*'Portfolio 2 &amp; 3'!$B$24+D989*'Portfolio 2 &amp; 3'!$B$25+E989*'Portfolio 2 &amp; 3'!$B$26+F989*'Portfolio 2 &amp; 3'!$B$27+G989*'Portfolio 2 &amp; 3'!$B$28+H989*'Portfolio 2 &amp; 3'!$B$29+I989*'Portfolio 2 &amp; 3'!$B$30+J989*'Portfolio 2 &amp; 3'!$B$31+K989*'Portfolio 2 &amp; 3'!$B$32</f>
        <v>6.222579588819499E-3</v>
      </c>
      <c r="S989" s="93">
        <f t="shared" si="47"/>
        <v>-7.8503637631039402E-3</v>
      </c>
    </row>
    <row r="990" spans="1:19" ht="12.75" customHeight="1">
      <c r="A990" s="81">
        <v>44628</v>
      </c>
      <c r="B990" s="53">
        <v>1.67E-2</v>
      </c>
      <c r="C990" s="53">
        <v>-5.9154096421099E-5</v>
      </c>
      <c r="D990" s="53">
        <v>4.4705882352942296E-3</v>
      </c>
      <c r="E990" s="53">
        <v>1.9109999999999999E-2</v>
      </c>
      <c r="F990" s="53">
        <v>7.0154925460390602E-3</v>
      </c>
      <c r="G990" s="53">
        <v>8.6315789473683201E-3</v>
      </c>
      <c r="H990" s="87">
        <v>2.4937877174298999E-2</v>
      </c>
      <c r="I990" s="53">
        <v>-7.1518952522417996E-3</v>
      </c>
      <c r="J990" s="53">
        <v>-1.6852327906312501E-2</v>
      </c>
      <c r="K990" s="53">
        <v>-1.72791023842911E-3</v>
      </c>
      <c r="L990" s="95">
        <f>IFERROR(B990*'Stock Statistics'!$C$41+C990*'Stock Statistics'!$C$42+D990*'Stock Statistics'!$C$43+E990*'Stock Statistics'!$C$44+F990*'Stock Statistics'!$C$45+G990*'Stock Statistics'!$C$46+H990*'Stock Statistics'!$C$47+I990*'Stock Statistics'!$C$48+J990*'Stock Statistics'!$C$49+K990*'Stock Statistics'!$C$50,"")</f>
        <v>5.5074249409596101E-3</v>
      </c>
      <c r="M990" s="96">
        <v>228.30930000000001</v>
      </c>
      <c r="N990" s="97">
        <v>300.86700000000002</v>
      </c>
      <c r="O990" s="93">
        <f t="shared" si="45"/>
        <v>-1.1881607204530797E-2</v>
      </c>
      <c r="P990" s="93">
        <f t="shared" si="46"/>
        <v>4.1404896230774479E-3</v>
      </c>
      <c r="Q990" s="93">
        <f>B990*'Portfolio 2 &amp; 3'!$F$7+C990*'Portfolio 2 &amp; 3'!$F$8+D990*'Portfolio 2 &amp; 3'!$F$9+E990*'Portfolio 2 &amp; 3'!$F$10+F990*'Portfolio 2 &amp; 3'!$F$11+G990*'Portfolio 2 &amp; 3'!$F$12+H990*'Portfolio 2 &amp; 3'!$F$13+I990*'Portfolio 2 &amp; 3'!$F$14+J990*'Portfolio 2 &amp; 3'!$F$15+K990*'Portfolio 2 &amp; 3'!$F$16</f>
        <v>5.1736454955534777E-3</v>
      </c>
      <c r="R990" s="93">
        <f>B990*'Portfolio 2 &amp; 3'!$B$23+C990*'Portfolio 2 &amp; 3'!$B$24+D990*'Portfolio 2 &amp; 3'!$B$25+E990*'Portfolio 2 &amp; 3'!$B$26+F990*'Portfolio 2 &amp; 3'!$B$27+G990*'Portfolio 2 &amp; 3'!$B$28+H990*'Portfolio 2 &amp; 3'!$B$29+I990*'Portfolio 2 &amp; 3'!$B$30+J990*'Portfolio 2 &amp; 3'!$B$31+K990*'Portfolio 2 &amp; 3'!$B$32</f>
        <v>2.558895314172588E-3</v>
      </c>
      <c r="S990" s="93">
        <f t="shared" si="47"/>
        <v>-3.8705587907266747E-3</v>
      </c>
    </row>
    <row r="991" spans="1:19" ht="12.75" customHeight="1">
      <c r="A991" s="82">
        <v>44627</v>
      </c>
      <c r="B991" s="53">
        <v>-2.5000000000000001E-3</v>
      </c>
      <c r="C991" s="53">
        <v>2.44523225161348E-2</v>
      </c>
      <c r="D991" s="53">
        <v>2.5331724969843299E-2</v>
      </c>
      <c r="E991" s="53">
        <v>8.2000000000000007E-3</v>
      </c>
      <c r="F991" s="53">
        <v>-1.11287758346581E-2</v>
      </c>
      <c r="G991" s="53">
        <v>-7.1762000975404997E-3</v>
      </c>
      <c r="H991" s="87">
        <v>1.12696642178547E-2</v>
      </c>
      <c r="I991" s="53">
        <v>8.9365008880995002E-3</v>
      </c>
      <c r="J991" s="53">
        <v>1.71673819742479E-3</v>
      </c>
      <c r="K991" s="53">
        <v>-1.06785662748233E-2</v>
      </c>
      <c r="L991" s="95">
        <f>IFERROR(B991*'Stock Statistics'!$C$41+C991*'Stock Statistics'!$C$42+D991*'Stock Statistics'!$C$43+E991*'Stock Statistics'!$C$44+F991*'Stock Statistics'!$C$45+G991*'Stock Statistics'!$C$46+H991*'Stock Statistics'!$C$47+I991*'Stock Statistics'!$C$48+J991*'Stock Statistics'!$C$49+K991*'Stock Statistics'!$C$50,"")</f>
        <v>4.8423408582335204E-3</v>
      </c>
      <c r="M991" s="97">
        <v>231.05459999999999</v>
      </c>
      <c r="N991" s="96">
        <v>299.62639999999999</v>
      </c>
      <c r="O991" s="93">
        <f t="shared" si="45"/>
        <v>-1.0951021968393038E-2</v>
      </c>
      <c r="P991" s="93">
        <f t="shared" si="46"/>
        <v>-5.6438453399576538E-4</v>
      </c>
      <c r="Q991" s="93">
        <f>B991*'Portfolio 2 &amp; 3'!$F$7+C991*'Portfolio 2 &amp; 3'!$F$8+D991*'Portfolio 2 &amp; 3'!$F$9+E991*'Portfolio 2 &amp; 3'!$F$10+F991*'Portfolio 2 &amp; 3'!$F$11+G991*'Portfolio 2 &amp; 3'!$F$12+H991*'Portfolio 2 &amp; 3'!$F$13+I991*'Portfolio 2 &amp; 3'!$F$14+J991*'Portfolio 2 &amp; 3'!$F$15+K991*'Portfolio 2 &amp; 3'!$F$16</f>
        <v>6.6511055818704182E-3</v>
      </c>
      <c r="R991" s="93">
        <f>B991*'Portfolio 2 &amp; 3'!$B$23+C991*'Portfolio 2 &amp; 3'!$B$24+D991*'Portfolio 2 &amp; 3'!$B$25+E991*'Portfolio 2 &amp; 3'!$B$26+F991*'Portfolio 2 &amp; 3'!$B$27+G991*'Portfolio 2 &amp; 3'!$B$28+H991*'Portfolio 2 &amp; 3'!$B$29+I991*'Portfolio 2 &amp; 3'!$B$30+J991*'Portfolio 2 &amp; 3'!$B$31+K991*'Portfolio 2 &amp; 3'!$B$32</f>
        <v>3.8491840474751179E-3</v>
      </c>
      <c r="S991" s="93">
        <f t="shared" si="47"/>
        <v>-5.7577032511944015E-3</v>
      </c>
    </row>
    <row r="992" spans="1:19" ht="12.75" customHeight="1">
      <c r="A992" s="81">
        <v>44624</v>
      </c>
      <c r="B992" s="53">
        <v>1.6000000000000001E-3</v>
      </c>
      <c r="C992" s="53">
        <v>7.2331074894709298E-3</v>
      </c>
      <c r="D992" s="53">
        <v>-1.51275146523047E-2</v>
      </c>
      <c r="E992" s="53">
        <v>-1.218E-2</v>
      </c>
      <c r="F992" s="53">
        <v>-1.6069397042093401E-2</v>
      </c>
      <c r="G992" s="53">
        <v>1.4704842700600899E-2</v>
      </c>
      <c r="H992" s="87">
        <v>-1.45174740353272E-2</v>
      </c>
      <c r="I992" s="53">
        <v>-1.4549830434307E-2</v>
      </c>
      <c r="J992" s="53">
        <v>-6.9141882932373102E-3</v>
      </c>
      <c r="K992" s="53">
        <v>2.31926855585214E-2</v>
      </c>
      <c r="L992" s="95">
        <f>IFERROR(B992*'Stock Statistics'!$C$41+C992*'Stock Statistics'!$C$42+D992*'Stock Statistics'!$C$43+E992*'Stock Statistics'!$C$44+F992*'Stock Statistics'!$C$45+G992*'Stock Statistics'!$C$46+H992*'Stock Statistics'!$C$47+I992*'Stock Statistics'!$C$48+J992*'Stock Statistics'!$C$49+K992*'Stock Statistics'!$C$50,"")</f>
        <v>-3.2627768708676391E-3</v>
      </c>
      <c r="M992" s="96">
        <v>233.6129</v>
      </c>
      <c r="N992" s="97">
        <v>299.79559999999998</v>
      </c>
      <c r="O992" s="93">
        <f t="shared" si="45"/>
        <v>-9.647684192295447E-4</v>
      </c>
      <c r="P992" s="93">
        <f t="shared" si="46"/>
        <v>-1.3214820822460394E-2</v>
      </c>
      <c r="Q992" s="93">
        <f>B992*'Portfolio 2 &amp; 3'!$F$7+C992*'Portfolio 2 &amp; 3'!$F$8+D992*'Portfolio 2 &amp; 3'!$F$9+E992*'Portfolio 2 &amp; 3'!$F$10+F992*'Portfolio 2 &amp; 3'!$F$11+G992*'Portfolio 2 &amp; 3'!$F$12+H992*'Portfolio 2 &amp; 3'!$F$13+I992*'Portfolio 2 &amp; 3'!$F$14+J992*'Portfolio 2 &amp; 3'!$F$15+K992*'Portfolio 2 &amp; 3'!$F$16</f>
        <v>-5.7368290893357451E-3</v>
      </c>
      <c r="R992" s="93">
        <f>B992*'Portfolio 2 &amp; 3'!$B$23+C992*'Portfolio 2 &amp; 3'!$B$24+D992*'Portfolio 2 &amp; 3'!$B$25+E992*'Portfolio 2 &amp; 3'!$B$26+F992*'Portfolio 2 &amp; 3'!$B$27+G992*'Portfolio 2 &amp; 3'!$B$28+H992*'Portfolio 2 &amp; 3'!$B$29+I992*'Portfolio 2 &amp; 3'!$B$30+J992*'Portfolio 2 &amp; 3'!$B$31+K992*'Portfolio 2 &amp; 3'!$B$32</f>
        <v>-1.8712275834431354E-3</v>
      </c>
      <c r="S992" s="93">
        <f t="shared" si="47"/>
        <v>-7.0897946208449691E-3</v>
      </c>
    </row>
    <row r="993" spans="1:19" ht="12.75" customHeight="1">
      <c r="A993" s="82">
        <v>44623</v>
      </c>
      <c r="B993" s="53">
        <v>1.35E-2</v>
      </c>
      <c r="C993" s="53">
        <v>3.4299013903349401E-3</v>
      </c>
      <c r="D993" s="53">
        <v>-1.7049435578046099E-2</v>
      </c>
      <c r="E993" s="53">
        <v>-1.298E-2</v>
      </c>
      <c r="F993" s="53">
        <v>-9.7169412758766303E-3</v>
      </c>
      <c r="G993" s="53">
        <v>2.0366598778003299E-3</v>
      </c>
      <c r="H993" s="87">
        <v>-4.6030787805613196E-3</v>
      </c>
      <c r="I993" s="53">
        <v>3.2829940906120602E-4</v>
      </c>
      <c r="J993" s="53">
        <v>-1.1469500491549999E-2</v>
      </c>
      <c r="K993" s="53">
        <v>3.6477628954116898E-3</v>
      </c>
      <c r="L993" s="95">
        <f>IFERROR(B993*'Stock Statistics'!$C$41+C993*'Stock Statistics'!$C$42+D993*'Stock Statistics'!$C$43+E993*'Stock Statistics'!$C$44+F993*'Stock Statistics'!$C$45+G993*'Stock Statistics'!$C$46+H993*'Stock Statistics'!$C$47+I993*'Stock Statistics'!$C$48+J993*'Stock Statistics'!$C$49+K993*'Stock Statistics'!$C$50,"")</f>
        <v>-3.2876332553425877E-3</v>
      </c>
      <c r="M993" s="97">
        <v>233.83850000000001</v>
      </c>
      <c r="N993" s="96">
        <v>303.81040000000002</v>
      </c>
      <c r="O993" s="93">
        <f t="shared" si="45"/>
        <v>-8.680040358478136E-3</v>
      </c>
      <c r="P993" s="93">
        <f t="shared" si="46"/>
        <v>-8.3109057584871415E-3</v>
      </c>
      <c r="Q993" s="93">
        <f>B993*'Portfolio 2 &amp; 3'!$F$7+C993*'Portfolio 2 &amp; 3'!$F$8+D993*'Portfolio 2 &amp; 3'!$F$9+E993*'Portfolio 2 &amp; 3'!$F$10+F993*'Portfolio 2 &amp; 3'!$F$11+G993*'Portfolio 2 &amp; 3'!$F$12+H993*'Portfolio 2 &amp; 3'!$F$13+I993*'Portfolio 2 &amp; 3'!$F$14+J993*'Portfolio 2 &amp; 3'!$F$15+K993*'Portfolio 2 &amp; 3'!$F$16</f>
        <v>-4.9809772894939498E-3</v>
      </c>
      <c r="R993" s="93">
        <f>B993*'Portfolio 2 &amp; 3'!$B$23+C993*'Portfolio 2 &amp; 3'!$B$24+D993*'Portfolio 2 &amp; 3'!$B$25+E993*'Portfolio 2 &amp; 3'!$B$26+F993*'Portfolio 2 &amp; 3'!$B$27+G993*'Portfolio 2 &amp; 3'!$B$28+H993*'Portfolio 2 &amp; 3'!$B$29+I993*'Portfolio 2 &amp; 3'!$B$30+J993*'Portfolio 2 &amp; 3'!$B$31+K993*'Portfolio 2 &amp; 3'!$B$32</f>
        <v>8.1459453987325057E-4</v>
      </c>
      <c r="S993" s="93">
        <f t="shared" si="47"/>
        <v>-8.4954730584826388E-3</v>
      </c>
    </row>
    <row r="994" spans="1:19" ht="12.75" customHeight="1">
      <c r="A994" s="81">
        <v>44622</v>
      </c>
      <c r="B994" s="53">
        <v>-2.0299999999999999E-2</v>
      </c>
      <c r="C994" s="53">
        <v>1.25716738723813E-3</v>
      </c>
      <c r="D994" s="53">
        <v>1.8797588832487399E-2</v>
      </c>
      <c r="E994" s="53">
        <v>1.341E-2</v>
      </c>
      <c r="F994" s="53">
        <v>-1.4844617092119801E-2</v>
      </c>
      <c r="G994" s="53">
        <v>1.95182724252492E-2</v>
      </c>
      <c r="H994" s="87">
        <v>2.1348747591522201E-2</v>
      </c>
      <c r="I994" s="53">
        <v>2.4133391838525599E-3</v>
      </c>
      <c r="J994" s="53">
        <v>1.8499976159824402E-2</v>
      </c>
      <c r="K994" s="53">
        <v>-1.7183303746187699E-3</v>
      </c>
      <c r="L994" s="95">
        <f>IFERROR(B994*'Stock Statistics'!$C$41+C994*'Stock Statistics'!$C$42+D994*'Stock Statistics'!$C$43+E994*'Stock Statistics'!$C$44+F994*'Stock Statistics'!$C$45+G994*'Stock Statistics'!$C$46+H994*'Stock Statistics'!$C$47+I994*'Stock Statistics'!$C$48+J994*'Stock Statistics'!$C$49+K994*'Stock Statistics'!$C$50,"")</f>
        <v>5.8382144113435317E-3</v>
      </c>
      <c r="M994" s="96">
        <v>235.886</v>
      </c>
      <c r="N994" s="97">
        <v>306.35649999999998</v>
      </c>
      <c r="O994" s="93">
        <f t="shared" si="45"/>
        <v>1.0324423761807866E-2</v>
      </c>
      <c r="P994" s="93">
        <f t="shared" si="46"/>
        <v>-6.0679343911692607E-3</v>
      </c>
      <c r="Q994" s="93">
        <f>B994*'Portfolio 2 &amp; 3'!$F$7+C994*'Portfolio 2 &amp; 3'!$F$8+D994*'Portfolio 2 &amp; 3'!$F$9+E994*'Portfolio 2 &amp; 3'!$F$10+F994*'Portfolio 2 &amp; 3'!$F$11+G994*'Portfolio 2 &amp; 3'!$F$12+H994*'Portfolio 2 &amp; 3'!$F$13+I994*'Portfolio 2 &amp; 3'!$F$14+J994*'Portfolio 2 &amp; 3'!$F$15+K994*'Portfolio 2 &amp; 3'!$F$16</f>
        <v>8.0391009714091879E-3</v>
      </c>
      <c r="R994" s="93">
        <f>B994*'Portfolio 2 &amp; 3'!$B$23+C994*'Portfolio 2 &amp; 3'!$B$24+D994*'Portfolio 2 &amp; 3'!$B$25+E994*'Portfolio 2 &amp; 3'!$B$26+F994*'Portfolio 2 &amp; 3'!$B$27+G994*'Portfolio 2 &amp; 3'!$B$28+H994*'Portfolio 2 &amp; 3'!$B$29+I994*'Portfolio 2 &amp; 3'!$B$30+J994*'Portfolio 2 &amp; 3'!$B$31+K994*'Portfolio 2 &amp; 3'!$B$32</f>
        <v>-8.059932177157769E-4</v>
      </c>
      <c r="S994" s="93">
        <f t="shared" si="47"/>
        <v>2.1282446853193027E-3</v>
      </c>
    </row>
    <row r="995" spans="1:19" ht="12.75" customHeight="1">
      <c r="A995" s="82">
        <v>44620</v>
      </c>
      <c r="B995" s="53">
        <v>1.0200000000000001E-2</v>
      </c>
      <c r="C995" s="53">
        <v>2.6663728514764399E-2</v>
      </c>
      <c r="D995" s="53">
        <v>0</v>
      </c>
      <c r="E995" s="53">
        <v>-5.9800000000000001E-3</v>
      </c>
      <c r="F995" s="53">
        <v>1.2217385198708E-2</v>
      </c>
      <c r="G995" s="53">
        <v>-1.9462264830967301E-3</v>
      </c>
      <c r="H995" s="87">
        <v>-9.65538297141544E-3</v>
      </c>
      <c r="I995" s="53">
        <v>2.5191183085919899E-2</v>
      </c>
      <c r="J995" s="53">
        <v>4.5021313281288196E-3</v>
      </c>
      <c r="K995" s="53">
        <v>1.2536295340369799E-2</v>
      </c>
      <c r="L995" s="95">
        <f>IFERROR(B995*'Stock Statistics'!$C$41+C995*'Stock Statistics'!$C$42+D995*'Stock Statistics'!$C$43+E995*'Stock Statistics'!$C$44+F995*'Stock Statistics'!$C$45+G995*'Stock Statistics'!$C$46+H995*'Stock Statistics'!$C$47+I995*'Stock Statistics'!$C$48+J995*'Stock Statistics'!$C$49+K995*'Stock Statistics'!$C$50,"")</f>
        <v>7.3729114013378755E-3</v>
      </c>
      <c r="M995" s="97">
        <v>233.47550000000001</v>
      </c>
      <c r="N995" s="96">
        <v>308.22680000000003</v>
      </c>
      <c r="O995" s="93">
        <f t="shared" si="45"/>
        <v>3.1508263093577238E-2</v>
      </c>
      <c r="P995" s="93">
        <f t="shared" si="46"/>
        <v>7.5299944561248999E-3</v>
      </c>
      <c r="Q995" s="93">
        <f>B995*'Portfolio 2 &amp; 3'!$F$7+C995*'Portfolio 2 &amp; 3'!$F$8+D995*'Portfolio 2 &amp; 3'!$F$9+E995*'Portfolio 2 &amp; 3'!$F$10+F995*'Portfolio 2 &amp; 3'!$F$11+G995*'Portfolio 2 &amp; 3'!$F$12+H995*'Portfolio 2 &amp; 3'!$F$13+I995*'Portfolio 2 &amp; 3'!$F$14+J995*'Portfolio 2 &amp; 3'!$F$15+K995*'Portfolio 2 &amp; 3'!$F$16</f>
        <v>6.1832932153997365E-3</v>
      </c>
      <c r="R995" s="93">
        <f>B995*'Portfolio 2 &amp; 3'!$B$23+C995*'Portfolio 2 &amp; 3'!$B$24+D995*'Portfolio 2 &amp; 3'!$B$25+E995*'Portfolio 2 &amp; 3'!$B$26+F995*'Portfolio 2 &amp; 3'!$B$27+G995*'Portfolio 2 &amp; 3'!$B$28+H995*'Portfolio 2 &amp; 3'!$B$29+I995*'Portfolio 2 &amp; 3'!$B$30+J995*'Portfolio 2 &amp; 3'!$B$31+K995*'Portfolio 2 &amp; 3'!$B$32</f>
        <v>1.5415979458125048E-2</v>
      </c>
      <c r="S995" s="93">
        <f t="shared" si="47"/>
        <v>1.9519128774851069E-2</v>
      </c>
    </row>
    <row r="996" spans="1:19" ht="12.75" customHeight="1">
      <c r="A996" s="81">
        <v>44617</v>
      </c>
      <c r="B996" s="53">
        <v>3.5900000000000001E-2</v>
      </c>
      <c r="C996" s="53">
        <v>-2.24793439293463E-2</v>
      </c>
      <c r="D996" s="53">
        <v>-7.6347894529713604E-3</v>
      </c>
      <c r="E996" s="53">
        <v>2.852E-2</v>
      </c>
      <c r="F996" s="53">
        <v>3.2777374909354701E-2</v>
      </c>
      <c r="G996" s="53">
        <v>1.0783242258651999E-2</v>
      </c>
      <c r="H996" s="87">
        <v>1.6000827183311399E-2</v>
      </c>
      <c r="I996" s="53">
        <v>-2.7477149105590301E-3</v>
      </c>
      <c r="J996" s="53">
        <v>5.7646522465933901E-2</v>
      </c>
      <c r="K996" s="53">
        <v>8.9516147783022006E-3</v>
      </c>
      <c r="L996" s="95">
        <f>IFERROR(B996*'Stock Statistics'!$C$41+C996*'Stock Statistics'!$C$42+D996*'Stock Statistics'!$C$43+E996*'Stock Statistics'!$C$44+F996*'Stock Statistics'!$C$45+G996*'Stock Statistics'!$C$46+H996*'Stock Statistics'!$C$47+I996*'Stock Statistics'!$C$48+J996*'Stock Statistics'!$C$49+K996*'Stock Statistics'!$C$50,"")</f>
        <v>1.5771773330267753E-2</v>
      </c>
      <c r="M996" s="96">
        <v>226.34379999999999</v>
      </c>
      <c r="N996" s="97">
        <v>305.92320000000001</v>
      </c>
      <c r="O996" s="93">
        <f t="shared" si="45"/>
        <v>-3.6390403062519172E-2</v>
      </c>
      <c r="P996" s="93">
        <f t="shared" si="46"/>
        <v>6.7058173903715712E-3</v>
      </c>
      <c r="Q996" s="93">
        <f>B996*'Portfolio 2 &amp; 3'!$F$7+C996*'Portfolio 2 &amp; 3'!$F$8+D996*'Portfolio 2 &amp; 3'!$F$9+E996*'Portfolio 2 &amp; 3'!$F$10+F996*'Portfolio 2 &amp; 3'!$F$11+G996*'Portfolio 2 &amp; 3'!$F$12+H996*'Portfolio 2 &amp; 3'!$F$13+I996*'Portfolio 2 &amp; 3'!$F$14+J996*'Portfolio 2 &amp; 3'!$F$15+K996*'Portfolio 2 &amp; 3'!$F$16</f>
        <v>1.6710372966387339E-2</v>
      </c>
      <c r="R996" s="93">
        <f>B996*'Portfolio 2 &amp; 3'!$B$23+C996*'Portfolio 2 &amp; 3'!$B$24+D996*'Portfolio 2 &amp; 3'!$B$25+E996*'Portfolio 2 &amp; 3'!$B$26+F996*'Portfolio 2 &amp; 3'!$B$27+G996*'Portfolio 2 &amp; 3'!$B$28+H996*'Portfolio 2 &amp; 3'!$B$29+I996*'Portfolio 2 &amp; 3'!$B$30+J996*'Portfolio 2 &amp; 3'!$B$31+K996*'Portfolio 2 &amp; 3'!$B$32</f>
        <v>9.1834807890111905E-3</v>
      </c>
      <c r="S996" s="93">
        <f t="shared" si="47"/>
        <v>-1.48422928360738E-2</v>
      </c>
    </row>
    <row r="997" spans="1:19" ht="12.75" customHeight="1">
      <c r="A997" s="82">
        <v>44616</v>
      </c>
      <c r="B997" s="53">
        <v>-1.43E-2</v>
      </c>
      <c r="C997" s="53">
        <v>-2.86897821417609E-3</v>
      </c>
      <c r="D997" s="53">
        <v>1.51006711409396E-2</v>
      </c>
      <c r="E997" s="53">
        <v>1.0840000000000001E-2</v>
      </c>
      <c r="F997" s="53">
        <v>-7.2504708097928403E-2</v>
      </c>
      <c r="G997" s="53">
        <v>1.7212947694132098E-2</v>
      </c>
      <c r="H997" s="87">
        <v>2.6303921048442799E-2</v>
      </c>
      <c r="I997" s="53">
        <v>-6.7245727094422702E-4</v>
      </c>
      <c r="J997" s="53">
        <v>5.60338240537917E-3</v>
      </c>
      <c r="K997" s="53">
        <v>1.5788665698326598E-2</v>
      </c>
      <c r="L997" s="95">
        <f>IFERROR(B997*'Stock Statistics'!$C$41+C997*'Stock Statistics'!$C$42+D997*'Stock Statistics'!$C$43+E997*'Stock Statistics'!$C$44+F997*'Stock Statistics'!$C$45+G997*'Stock Statistics'!$C$46+H997*'Stock Statistics'!$C$47+I997*'Stock Statistics'!$C$48+J997*'Stock Statistics'!$C$49+K997*'Stock Statistics'!$C$50,"")</f>
        <v>5.0344440417154695E-5</v>
      </c>
      <c r="M997" s="97">
        <v>234.89160000000001</v>
      </c>
      <c r="N997" s="96">
        <v>303.8854</v>
      </c>
      <c r="O997" s="93">
        <f t="shared" si="45"/>
        <v>2.4753362616276586E-3</v>
      </c>
      <c r="P997" s="93">
        <f t="shared" si="46"/>
        <v>-1.960054303640979E-2</v>
      </c>
      <c r="Q997" s="93">
        <f>B997*'Portfolio 2 &amp; 3'!$F$7+C997*'Portfolio 2 &amp; 3'!$F$8+D997*'Portfolio 2 &amp; 3'!$F$9+E997*'Portfolio 2 &amp; 3'!$F$10+F997*'Portfolio 2 &amp; 3'!$F$11+G997*'Portfolio 2 &amp; 3'!$F$12+H997*'Portfolio 2 &amp; 3'!$F$13+I997*'Portfolio 2 &amp; 3'!$F$14+J997*'Portfolio 2 &amp; 3'!$F$15+K997*'Portfolio 2 &amp; 3'!$F$16</f>
        <v>1.3451691125960124E-3</v>
      </c>
      <c r="R997" s="93">
        <f>B997*'Portfolio 2 &amp; 3'!$B$23+C997*'Portfolio 2 &amp; 3'!$B$24+D997*'Portfolio 2 &amp; 3'!$B$25+E997*'Portfolio 2 &amp; 3'!$B$26+F997*'Portfolio 2 &amp; 3'!$B$27+G997*'Portfolio 2 &amp; 3'!$B$28+H997*'Portfolio 2 &amp; 3'!$B$29+I997*'Portfolio 2 &amp; 3'!$B$30+J997*'Portfolio 2 &amp; 3'!$B$31+K997*'Portfolio 2 &amp; 3'!$B$32</f>
        <v>-9.7190167559888397E-3</v>
      </c>
      <c r="S997" s="93">
        <f t="shared" si="47"/>
        <v>-8.5626033873910656E-3</v>
      </c>
    </row>
    <row r="998" spans="1:19" ht="12.75" customHeight="1">
      <c r="A998" s="81">
        <v>44615</v>
      </c>
      <c r="B998" s="53">
        <v>1.83E-2</v>
      </c>
      <c r="C998" s="53">
        <v>-5.7810521820039797E-3</v>
      </c>
      <c r="D998" s="53">
        <v>2.7670580507430698E-2</v>
      </c>
      <c r="E998" s="53">
        <v>5.45E-3</v>
      </c>
      <c r="F998" s="53">
        <v>1.4326647564469899E-2</v>
      </c>
      <c r="G998" s="53">
        <v>-1.5307425652253201E-2</v>
      </c>
      <c r="H998" s="87">
        <v>-1.5475428675904001E-2</v>
      </c>
      <c r="I998" s="53">
        <v>-1.0809312638581E-2</v>
      </c>
      <c r="J998" s="53">
        <v>1.23768758702492E-2</v>
      </c>
      <c r="K998" s="53">
        <v>1.6761721798643301E-2</v>
      </c>
      <c r="L998" s="95">
        <f>IFERROR(B998*'Stock Statistics'!$C$41+C998*'Stock Statistics'!$C$42+D998*'Stock Statistics'!$C$43+E998*'Stock Statistics'!$C$44+F998*'Stock Statistics'!$C$45+G998*'Stock Statistics'!$C$46+H998*'Stock Statistics'!$C$47+I998*'Stock Statistics'!$C$48+J998*'Stock Statistics'!$C$49+K998*'Stock Statistics'!$C$50,"")</f>
        <v>4.7512606592050918E-3</v>
      </c>
      <c r="M998" s="96">
        <v>234.3116</v>
      </c>
      <c r="N998" s="97">
        <v>309.96080000000001</v>
      </c>
      <c r="O998" s="93">
        <f t="shared" si="45"/>
        <v>-2.1918328568818479E-3</v>
      </c>
      <c r="P998" s="93">
        <f t="shared" si="46"/>
        <v>-8.253018331721873E-3</v>
      </c>
      <c r="Q998" s="93">
        <f>B998*'Portfolio 2 &amp; 3'!$F$7+C998*'Portfolio 2 &amp; 3'!$F$8+D998*'Portfolio 2 &amp; 3'!$F$9+E998*'Portfolio 2 &amp; 3'!$F$10+F998*'Portfolio 2 &amp; 3'!$F$11+G998*'Portfolio 2 &amp; 3'!$F$12+H998*'Portfolio 2 &amp; 3'!$F$13+I998*'Portfolio 2 &amp; 3'!$F$14+J998*'Portfolio 2 &amp; 3'!$F$15+K998*'Portfolio 2 &amp; 3'!$F$16</f>
        <v>5.0577125276116538E-3</v>
      </c>
      <c r="R998" s="93">
        <f>B998*'Portfolio 2 &amp; 3'!$B$23+C998*'Portfolio 2 &amp; 3'!$B$24+D998*'Portfolio 2 &amp; 3'!$B$25+E998*'Portfolio 2 &amp; 3'!$B$26+F998*'Portfolio 2 &amp; 3'!$B$27+G998*'Portfolio 2 &amp; 3'!$B$28+H998*'Portfolio 2 &amp; 3'!$B$29+I998*'Portfolio 2 &amp; 3'!$B$30+J998*'Portfolio 2 &amp; 3'!$B$31+K998*'Portfolio 2 &amp; 3'!$B$32</f>
        <v>1.000421836452881E-3</v>
      </c>
      <c r="S998" s="93">
        <f t="shared" si="47"/>
        <v>-5.2224255943018605E-3</v>
      </c>
    </row>
    <row r="999" spans="1:19" ht="12.75" customHeight="1">
      <c r="A999" s="82">
        <v>44614</v>
      </c>
      <c r="B999" s="53">
        <v>2.5899999999999999E-2</v>
      </c>
      <c r="C999" s="53">
        <v>-6.5011820330970202E-3</v>
      </c>
      <c r="D999" s="53">
        <v>-6.5643718716656995E-4</v>
      </c>
      <c r="E999" s="53">
        <v>-1.49E-2</v>
      </c>
      <c r="F999" s="53">
        <v>-1.2663343661592301E-2</v>
      </c>
      <c r="G999" s="53">
        <v>-2.1547030365781799E-2</v>
      </c>
      <c r="H999" s="87">
        <v>2.9525256463691901E-2</v>
      </c>
      <c r="I999" s="53">
        <v>3.7318153067678703E-2</v>
      </c>
      <c r="J999" s="53">
        <v>3.0175848695744599E-2</v>
      </c>
      <c r="K999" s="53">
        <v>2.1914379317537602E-2</v>
      </c>
      <c r="L999" s="95">
        <f>IFERROR(B999*'Stock Statistics'!$C$41+C999*'Stock Statistics'!$C$42+D999*'Stock Statistics'!$C$43+E999*'Stock Statistics'!$C$44+F999*'Stock Statistics'!$C$45+G999*'Stock Statistics'!$C$46+H999*'Stock Statistics'!$C$47+I999*'Stock Statistics'!$C$48+J999*'Stock Statistics'!$C$49+K999*'Stock Statistics'!$C$50,"")</f>
        <v>8.8565644297015113E-3</v>
      </c>
      <c r="M999" s="97">
        <v>234.8263</v>
      </c>
      <c r="N999" s="96">
        <v>312.54020000000003</v>
      </c>
      <c r="O999" s="93">
        <f t="shared" si="45"/>
        <v>-1.4513317268510018E-2</v>
      </c>
      <c r="P999" s="93">
        <f t="shared" si="46"/>
        <v>3.3354606659623531E-3</v>
      </c>
      <c r="Q999" s="93">
        <f>B999*'Portfolio 2 &amp; 3'!$F$7+C999*'Portfolio 2 &amp; 3'!$F$8+D999*'Portfolio 2 &amp; 3'!$F$9+E999*'Portfolio 2 &amp; 3'!$F$10+F999*'Portfolio 2 &amp; 3'!$F$11+G999*'Portfolio 2 &amp; 3'!$F$12+H999*'Portfolio 2 &amp; 3'!$F$13+I999*'Portfolio 2 &amp; 3'!$F$14+J999*'Portfolio 2 &amp; 3'!$F$15+K999*'Portfolio 2 &amp; 3'!$F$16</f>
        <v>1.1558683158222546E-2</v>
      </c>
      <c r="R999" s="93">
        <f>B999*'Portfolio 2 &amp; 3'!$B$23+C999*'Portfolio 2 &amp; 3'!$B$24+D999*'Portfolio 2 &amp; 3'!$B$25+E999*'Portfolio 2 &amp; 3'!$B$26+F999*'Portfolio 2 &amp; 3'!$B$27+G999*'Portfolio 2 &amp; 3'!$B$28+H999*'Portfolio 2 &amp; 3'!$B$29+I999*'Portfolio 2 &amp; 3'!$B$30+J999*'Portfolio 2 &amp; 3'!$B$31+K999*'Portfolio 2 &amp; 3'!$B$32</f>
        <v>1.1019476820168763E-2</v>
      </c>
      <c r="S999" s="93">
        <f t="shared" si="47"/>
        <v>-5.5889283012738322E-3</v>
      </c>
    </row>
    <row r="1000" spans="1:19" ht="12.75" customHeight="1">
      <c r="A1000" s="81">
        <v>44613</v>
      </c>
      <c r="B1000" s="53">
        <v>-5.3E-3</v>
      </c>
      <c r="C1000" s="53">
        <v>4.0344321997824298E-2</v>
      </c>
      <c r="D1000" s="53">
        <v>-1.47142048670063E-2</v>
      </c>
      <c r="E1000" s="53">
        <v>-2.6579999999999999E-2</v>
      </c>
      <c r="F1000" s="53">
        <v>-1.4340725003319701E-2</v>
      </c>
      <c r="G1000" s="53">
        <v>1.0352975127608599E-2</v>
      </c>
      <c r="H1000" s="87">
        <v>-3.48545994835395E-2</v>
      </c>
      <c r="I1000" s="53">
        <v>1.4972646127267E-3</v>
      </c>
      <c r="J1000" s="53">
        <v>1.06851374570447E-2</v>
      </c>
      <c r="K1000" s="53">
        <v>-4.8233081788653402E-3</v>
      </c>
      <c r="L1000" s="95">
        <f>IFERROR(B1000*'Stock Statistics'!$C$41+C1000*'Stock Statistics'!$C$42+D1000*'Stock Statistics'!$C$43+E1000*'Stock Statistics'!$C$44+F1000*'Stock Statistics'!$C$45+G1000*'Stock Statistics'!$C$46+H1000*'Stock Statistics'!$C$47+I1000*'Stock Statistics'!$C$48+J1000*'Stock Statistics'!$C$49+K1000*'Stock Statistics'!$C$50,"")</f>
        <v>-3.7733138337526545E-3</v>
      </c>
      <c r="M1000" s="96">
        <v>238.28460000000001</v>
      </c>
      <c r="N1000" s="97">
        <v>311.50119999999998</v>
      </c>
      <c r="O1000" s="93">
        <f t="shared" si="45"/>
        <v>-1.1501014282928823E-2</v>
      </c>
      <c r="P1000" s="93">
        <f t="shared" si="46"/>
        <v>9.9647308057184691E-3</v>
      </c>
      <c r="Q1000" s="93">
        <f>B1000*'Portfolio 2 &amp; 3'!$F$7+C1000*'Portfolio 2 &amp; 3'!$F$8+D1000*'Portfolio 2 &amp; 3'!$F$9+E1000*'Portfolio 2 &amp; 3'!$F$10+F1000*'Portfolio 2 &amp; 3'!$F$11+G1000*'Portfolio 2 &amp; 3'!$F$12+H1000*'Portfolio 2 &amp; 3'!$F$13+I1000*'Portfolio 2 &amp; 3'!$F$14+J1000*'Portfolio 2 &amp; 3'!$F$15+K1000*'Portfolio 2 &amp; 3'!$F$16</f>
        <v>-5.6512187445483426E-3</v>
      </c>
      <c r="R1000" s="93">
        <f>B1000*'Portfolio 2 &amp; 3'!$B$23+C1000*'Portfolio 2 &amp; 3'!$B$24+D1000*'Portfolio 2 &amp; 3'!$B$25+E1000*'Portfolio 2 &amp; 3'!$B$26+F1000*'Portfolio 2 &amp; 3'!$B$27+G1000*'Portfolio 2 &amp; 3'!$B$28+H1000*'Portfolio 2 &amp; 3'!$B$29+I1000*'Portfolio 2 &amp; 3'!$B$30+J1000*'Portfolio 2 &amp; 3'!$B$31+K1000*'Portfolio 2 &amp; 3'!$B$32</f>
        <v>4.9260888696093727E-3</v>
      </c>
      <c r="S1000" s="93">
        <f t="shared" si="47"/>
        <v>-7.6814173860517698E-4</v>
      </c>
    </row>
    <row r="1001" spans="1:19" ht="12.75" customHeight="1">
      <c r="A1001" s="82">
        <v>44610</v>
      </c>
      <c r="B1001" s="53">
        <v>-2.29E-2</v>
      </c>
      <c r="C1001" s="53">
        <v>-2.8652373660030699E-2</v>
      </c>
      <c r="D1001" s="53">
        <v>-2.7412722728371599E-3</v>
      </c>
      <c r="E1001" s="53">
        <v>-1.7340000000000001E-2</v>
      </c>
      <c r="F1001" s="53">
        <v>-1.6583964481587801E-2</v>
      </c>
      <c r="G1001" s="53">
        <v>8.09120331648416E-3</v>
      </c>
      <c r="H1001" s="87">
        <v>-5.1742383225869999E-2</v>
      </c>
      <c r="I1001" s="53">
        <v>1.54970760233919E-2</v>
      </c>
      <c r="J1001" s="53">
        <v>-3.9576425286126397E-3</v>
      </c>
      <c r="K1001" s="53">
        <v>-1.5803578939778101E-2</v>
      </c>
      <c r="L1001" s="95">
        <f>IFERROR(B1001*'Stock Statistics'!$C$41+C1001*'Stock Statistics'!$C$42+D1001*'Stock Statistics'!$C$43+E1001*'Stock Statistics'!$C$44+F1001*'Stock Statistics'!$C$45+G1001*'Stock Statistics'!$C$46+H1001*'Stock Statistics'!$C$47+I1001*'Stock Statistics'!$C$48+J1001*'Stock Statistics'!$C$49+K1001*'Stock Statistics'!$C$50,"")</f>
        <v>-1.3613293576884036E-2</v>
      </c>
      <c r="M1001" s="97">
        <v>241.05699999999999</v>
      </c>
      <c r="N1001" s="96">
        <v>308.42779999999999</v>
      </c>
      <c r="O1001" s="93">
        <f t="shared" si="45"/>
        <v>-9.2614208023988898E-3</v>
      </c>
      <c r="P1001" s="93">
        <f t="shared" si="46"/>
        <v>-1.45203759563306E-3</v>
      </c>
      <c r="Q1001" s="93">
        <f>B1001*'Portfolio 2 &amp; 3'!$F$7+C1001*'Portfolio 2 &amp; 3'!$F$8+D1001*'Portfolio 2 &amp; 3'!$F$9+E1001*'Portfolio 2 &amp; 3'!$F$10+F1001*'Portfolio 2 &amp; 3'!$F$11+G1001*'Portfolio 2 &amp; 3'!$F$12+H1001*'Portfolio 2 &amp; 3'!$F$13+I1001*'Portfolio 2 &amp; 3'!$F$14+J1001*'Portfolio 2 &amp; 3'!$F$15+K1001*'Portfolio 2 &amp; 3'!$F$16</f>
        <v>-1.6171804633796159E-2</v>
      </c>
      <c r="R1001" s="93">
        <f>B1001*'Portfolio 2 &amp; 3'!$B$23+C1001*'Portfolio 2 &amp; 3'!$B$24+D1001*'Portfolio 2 &amp; 3'!$B$25+E1001*'Portfolio 2 &amp; 3'!$B$26+F1001*'Portfolio 2 &amp; 3'!$B$27+G1001*'Portfolio 2 &amp; 3'!$B$28+H1001*'Portfolio 2 &amp; 3'!$B$29+I1001*'Portfolio 2 &amp; 3'!$B$30+J1001*'Portfolio 2 &amp; 3'!$B$31+K1001*'Portfolio 2 &amp; 3'!$B$32</f>
        <v>-9.4980873875632494E-3</v>
      </c>
      <c r="S1001" s="93">
        <f t="shared" si="47"/>
        <v>-5.3567291990159749E-3</v>
      </c>
    </row>
    <row r="1002" spans="1:19" ht="12.75" customHeight="1">
      <c r="A1002" s="81">
        <v>44609</v>
      </c>
      <c r="B1002" s="53">
        <v>-1.35E-2</v>
      </c>
      <c r="C1002" s="53">
        <v>-1.8343014368694701E-3</v>
      </c>
      <c r="D1002" s="53">
        <v>-8.1567373050780399E-3</v>
      </c>
      <c r="E1002" s="53">
        <v>1.201E-2</v>
      </c>
      <c r="F1002" s="53">
        <v>-4.4201768070724103E-3</v>
      </c>
      <c r="G1002" s="53">
        <v>1.63358835051928E-2</v>
      </c>
      <c r="H1002" s="87">
        <v>-2.7103385528899099E-2</v>
      </c>
      <c r="I1002" s="53">
        <v>3.93241354160336E-2</v>
      </c>
      <c r="J1002" s="53">
        <v>1.27830137579894E-2</v>
      </c>
      <c r="K1002" s="53">
        <v>-1.08149679155956E-4</v>
      </c>
      <c r="L1002" s="95">
        <f>IFERROR(B1002*'Stock Statistics'!$C$41+C1002*'Stock Statistics'!$C$42+D1002*'Stock Statistics'!$C$43+E1002*'Stock Statistics'!$C$44+F1002*'Stock Statistics'!$C$45+G1002*'Stock Statistics'!$C$46+H1002*'Stock Statistics'!$C$47+I1002*'Stock Statistics'!$C$48+J1002*'Stock Statistics'!$C$49+K1002*'Stock Statistics'!$C$50,"")</f>
        <v>2.533028192214082E-3</v>
      </c>
      <c r="M1002" s="96">
        <v>243.31039999999999</v>
      </c>
      <c r="N1002" s="97">
        <v>308.87630000000001</v>
      </c>
      <c r="O1002" s="93">
        <f t="shared" si="45"/>
        <v>1.1354283918616259E-2</v>
      </c>
      <c r="P1002" s="93">
        <f t="shared" si="46"/>
        <v>-1.7579332023550553E-2</v>
      </c>
      <c r="Q1002" s="93">
        <f>B1002*'Portfolio 2 &amp; 3'!$F$7+C1002*'Portfolio 2 &amp; 3'!$F$8+D1002*'Portfolio 2 &amp; 3'!$F$9+E1002*'Portfolio 2 &amp; 3'!$F$10+F1002*'Portfolio 2 &amp; 3'!$F$11+G1002*'Portfolio 2 &amp; 3'!$F$12+H1002*'Portfolio 2 &amp; 3'!$F$13+I1002*'Portfolio 2 &amp; 3'!$F$14+J1002*'Portfolio 2 &amp; 3'!$F$15+K1002*'Portfolio 2 &amp; 3'!$F$16</f>
        <v>-1.0402561798915968E-4</v>
      </c>
      <c r="R1002" s="93">
        <f>B1002*'Portfolio 2 &amp; 3'!$B$23+C1002*'Portfolio 2 &amp; 3'!$B$24+D1002*'Portfolio 2 &amp; 3'!$B$25+E1002*'Portfolio 2 &amp; 3'!$B$26+F1002*'Portfolio 2 &amp; 3'!$B$27+G1002*'Portfolio 2 &amp; 3'!$B$28+H1002*'Portfolio 2 &amp; 3'!$B$29+I1002*'Portfolio 2 &amp; 3'!$B$30+J1002*'Portfolio 2 &amp; 3'!$B$31+K1002*'Portfolio 2 &amp; 3'!$B$32</f>
        <v>8.2088503518035275E-3</v>
      </c>
      <c r="S1002" s="93">
        <f t="shared" si="47"/>
        <v>-3.1125240524671471E-3</v>
      </c>
    </row>
    <row r="1003" spans="1:19" ht="12.75" customHeight="1">
      <c r="A1003" s="82">
        <v>44608</v>
      </c>
      <c r="B1003" s="53">
        <v>3.2000000000000001E-2</v>
      </c>
      <c r="C1003" s="53">
        <v>-1.4966723883518499E-2</v>
      </c>
      <c r="D1003" s="53">
        <v>3.19974402047896E-4</v>
      </c>
      <c r="E1003" s="53">
        <v>3.9510000000000003E-2</v>
      </c>
      <c r="F1003" s="53">
        <v>-6.7148760330577604E-3</v>
      </c>
      <c r="G1003" s="53">
        <v>1.37504683402023E-2</v>
      </c>
      <c r="H1003" s="87">
        <v>2.0549786194257898E-2</v>
      </c>
      <c r="I1003" s="53">
        <v>-8.4372928343276997E-3</v>
      </c>
      <c r="J1003" s="53">
        <v>-2.10799416247764E-3</v>
      </c>
      <c r="K1003" s="53">
        <v>-2.44079718640095E-2</v>
      </c>
      <c r="L1003" s="95">
        <f>IFERROR(B1003*'Stock Statistics'!$C$41+C1003*'Stock Statistics'!$C$42+D1003*'Stock Statistics'!$C$43+E1003*'Stock Statistics'!$C$44+F1003*'Stock Statistics'!$C$45+G1003*'Stock Statistics'!$C$46+H1003*'Stock Statistics'!$C$47+I1003*'Stock Statistics'!$C$48+J1003*'Stock Statistics'!$C$49+K1003*'Stock Statistics'!$C$50,"")</f>
        <v>4.9495370159117003E-3</v>
      </c>
      <c r="M1003" s="97">
        <v>240.5788</v>
      </c>
      <c r="N1003" s="96">
        <v>314.4033</v>
      </c>
      <c r="O1003" s="93">
        <f t="shared" si="45"/>
        <v>7.2860919466115615E-3</v>
      </c>
      <c r="P1003" s="93">
        <f t="shared" si="46"/>
        <v>-4.8257846173130892E-3</v>
      </c>
      <c r="Q1003" s="93">
        <f>B1003*'Portfolio 2 &amp; 3'!$F$7+C1003*'Portfolio 2 &amp; 3'!$F$8+D1003*'Portfolio 2 &amp; 3'!$F$9+E1003*'Portfolio 2 &amp; 3'!$F$10+F1003*'Portfolio 2 &amp; 3'!$F$11+G1003*'Portfolio 2 &amp; 3'!$F$12+H1003*'Portfolio 2 &amp; 3'!$F$13+I1003*'Portfolio 2 &amp; 3'!$F$14+J1003*'Portfolio 2 &amp; 3'!$F$15+K1003*'Portfolio 2 &amp; 3'!$F$16</f>
        <v>4.0734533978265767E-3</v>
      </c>
      <c r="R1003" s="93">
        <f>B1003*'Portfolio 2 &amp; 3'!$B$23+C1003*'Portfolio 2 &amp; 3'!$B$24+D1003*'Portfolio 2 &amp; 3'!$B$25+E1003*'Portfolio 2 &amp; 3'!$B$26+F1003*'Portfolio 2 &amp; 3'!$B$27+G1003*'Portfolio 2 &amp; 3'!$B$28+H1003*'Portfolio 2 &amp; 3'!$B$29+I1003*'Portfolio 2 &amp; 3'!$B$30+J1003*'Portfolio 2 &amp; 3'!$B$31+K1003*'Portfolio 2 &amp; 3'!$B$32</f>
        <v>-1.833533550445186E-3</v>
      </c>
      <c r="S1003" s="93">
        <f t="shared" si="47"/>
        <v>1.2301536646492361E-3</v>
      </c>
    </row>
    <row r="1004" spans="1:19" ht="12.75" customHeight="1">
      <c r="A1004" s="81">
        <v>44607</v>
      </c>
      <c r="B1004" s="53">
        <v>2.0299999999999999E-2</v>
      </c>
      <c r="C1004" s="53">
        <v>-1.39834904596514E-3</v>
      </c>
      <c r="D1004" s="53">
        <v>3.23726154100255E-2</v>
      </c>
      <c r="E1004" s="53">
        <v>-3.6220000000000002E-2</v>
      </c>
      <c r="F1004" s="53">
        <v>1.18907617927611E-2</v>
      </c>
      <c r="G1004" s="53">
        <v>-2.5254277523145199E-2</v>
      </c>
      <c r="H1004" s="87">
        <v>-2.5815589330984601E-2</v>
      </c>
      <c r="I1004" s="53">
        <v>1.06590327689122E-2</v>
      </c>
      <c r="J1004" s="53">
        <v>1.51572565365665E-3</v>
      </c>
      <c r="K1004" s="53">
        <v>3.06039846798845E-2</v>
      </c>
      <c r="L1004" s="95">
        <f>IFERROR(B1004*'Stock Statistics'!$C$41+C1004*'Stock Statistics'!$C$42+D1004*'Stock Statistics'!$C$43+E1004*'Stock Statistics'!$C$44+F1004*'Stock Statistics'!$C$45+G1004*'Stock Statistics'!$C$46+H1004*'Stock Statistics'!$C$47+I1004*'Stock Statistics'!$C$48+J1004*'Stock Statistics'!$C$49+K1004*'Stock Statistics'!$C$50,"")</f>
        <v>1.8653904405145016E-3</v>
      </c>
      <c r="M1004" s="96">
        <v>238.83860000000001</v>
      </c>
      <c r="N1004" s="97">
        <v>315.92790000000002</v>
      </c>
      <c r="O1004" s="93">
        <f t="shared" si="45"/>
        <v>-1.9490833433571497E-2</v>
      </c>
      <c r="P1004" s="93">
        <f t="shared" si="46"/>
        <v>-4.6568117804955955E-3</v>
      </c>
      <c r="Q1004" s="93">
        <f>B1004*'Portfolio 2 &amp; 3'!$F$7+C1004*'Portfolio 2 &amp; 3'!$F$8+D1004*'Portfolio 2 &amp; 3'!$F$9+E1004*'Portfolio 2 &amp; 3'!$F$10+F1004*'Portfolio 2 &amp; 3'!$F$11+G1004*'Portfolio 2 &amp; 3'!$F$12+H1004*'Portfolio 2 &amp; 3'!$F$13+I1004*'Portfolio 2 &amp; 3'!$F$14+J1004*'Portfolio 2 &amp; 3'!$F$15+K1004*'Portfolio 2 &amp; 3'!$F$16</f>
        <v>2.0592313358072456E-3</v>
      </c>
      <c r="R1004" s="93">
        <f>B1004*'Portfolio 2 &amp; 3'!$B$23+C1004*'Portfolio 2 &amp; 3'!$B$24+D1004*'Portfolio 2 &amp; 3'!$B$25+E1004*'Portfolio 2 &amp; 3'!$B$26+F1004*'Portfolio 2 &amp; 3'!$B$27+G1004*'Portfolio 2 &amp; 3'!$B$28+H1004*'Portfolio 2 &amp; 3'!$B$29+I1004*'Portfolio 2 &amp; 3'!$B$30+J1004*'Portfolio 2 &amp; 3'!$B$31+K1004*'Portfolio 2 &amp; 3'!$B$32</f>
        <v>6.6124051255620798E-3</v>
      </c>
      <c r="S1004" s="93">
        <f t="shared" si="47"/>
        <v>-1.2073822607033546E-2</v>
      </c>
    </row>
    <row r="1005" spans="1:19" ht="12.75" customHeight="1">
      <c r="A1005" s="82">
        <v>44606</v>
      </c>
      <c r="B1005" s="53">
        <v>-2.4199999999999999E-2</v>
      </c>
      <c r="C1005" s="53">
        <v>-1.62122982707869E-2</v>
      </c>
      <c r="D1005" s="53">
        <v>-4.9603641786358899E-2</v>
      </c>
      <c r="E1005" s="53">
        <v>1.72E-3</v>
      </c>
      <c r="F1005" s="53">
        <v>-2.4722824009175599E-2</v>
      </c>
      <c r="G1005" s="53">
        <v>1.397941045771E-2</v>
      </c>
      <c r="H1005" s="87">
        <v>-4.16024653312797E-3</v>
      </c>
      <c r="I1005" s="53">
        <v>0</v>
      </c>
      <c r="J1005" s="53">
        <v>3.10895289127038E-2</v>
      </c>
      <c r="K1005" s="53">
        <v>5.1236457393977197E-2</v>
      </c>
      <c r="L1005" s="95">
        <f>IFERROR(B1005*'Stock Statistics'!$C$41+C1005*'Stock Statistics'!$C$42+D1005*'Stock Statistics'!$C$43+E1005*'Stock Statistics'!$C$44+F1005*'Stock Statistics'!$C$45+G1005*'Stock Statistics'!$C$46+H1005*'Stock Statistics'!$C$47+I1005*'Stock Statistics'!$C$48+J1005*'Stock Statistics'!$C$49+K1005*'Stock Statistics'!$C$50,"")</f>
        <v>-2.0873613835058376E-3</v>
      </c>
      <c r="M1005" s="97">
        <v>243.58629999999999</v>
      </c>
      <c r="N1005" s="96">
        <v>317.40600000000001</v>
      </c>
      <c r="O1005" s="93">
        <f t="shared" si="45"/>
        <v>-1.4497731720352514E-2</v>
      </c>
      <c r="P1005" s="93">
        <f t="shared" si="46"/>
        <v>1.0786937211064052E-2</v>
      </c>
      <c r="Q1005" s="93">
        <f>B1005*'Portfolio 2 &amp; 3'!$F$7+C1005*'Portfolio 2 &amp; 3'!$F$8+D1005*'Portfolio 2 &amp; 3'!$F$9+E1005*'Portfolio 2 &amp; 3'!$F$10+F1005*'Portfolio 2 &amp; 3'!$F$11+G1005*'Portfolio 2 &amp; 3'!$F$12+H1005*'Portfolio 2 &amp; 3'!$F$13+I1005*'Portfolio 2 &amp; 3'!$F$14+J1005*'Portfolio 2 &amp; 3'!$F$15+K1005*'Portfolio 2 &amp; 3'!$F$16</f>
        <v>-3.5806922547693444E-3</v>
      </c>
      <c r="R1005" s="93">
        <f>B1005*'Portfolio 2 &amp; 3'!$B$23+C1005*'Portfolio 2 &amp; 3'!$B$24+D1005*'Portfolio 2 &amp; 3'!$B$25+E1005*'Portfolio 2 &amp; 3'!$B$26+F1005*'Portfolio 2 &amp; 3'!$B$27+G1005*'Portfolio 2 &amp; 3'!$B$28+H1005*'Portfolio 2 &amp; 3'!$B$29+I1005*'Portfolio 2 &amp; 3'!$B$30+J1005*'Portfolio 2 &amp; 3'!$B$31+K1005*'Portfolio 2 &amp; 3'!$B$32</f>
        <v>-4.0677627477867396E-3</v>
      </c>
      <c r="S1005" s="93">
        <f t="shared" si="47"/>
        <v>-1.855397254644231E-3</v>
      </c>
    </row>
    <row r="1006" spans="1:19" ht="12.75" customHeight="1">
      <c r="A1006" s="81">
        <v>44603</v>
      </c>
      <c r="B1006" s="53">
        <v>-4.7000000000000002E-3</v>
      </c>
      <c r="C1006" s="53">
        <v>4.7410974377266601E-3</v>
      </c>
      <c r="D1006" s="53">
        <v>-7.8425221551248203E-4</v>
      </c>
      <c r="E1006" s="53">
        <v>2.9299999999999999E-3</v>
      </c>
      <c r="F1006" s="53">
        <v>-2.2302516820333899E-2</v>
      </c>
      <c r="G1006" s="53">
        <v>1.7138121963162601E-2</v>
      </c>
      <c r="H1006" s="87">
        <v>-1.8554062699936001E-2</v>
      </c>
      <c r="I1006" s="53">
        <v>-2.72544140300983E-2</v>
      </c>
      <c r="J1006" s="53">
        <v>-2.08765985353591E-2</v>
      </c>
      <c r="K1006" s="53">
        <v>-5.85780562464129E-2</v>
      </c>
      <c r="L1006" s="95">
        <f>IFERROR(B1006*'Stock Statistics'!$C$41+C1006*'Stock Statistics'!$C$42+D1006*'Stock Statistics'!$C$43+E1006*'Stock Statistics'!$C$44+F1006*'Stock Statistics'!$C$45+G1006*'Stock Statistics'!$C$46+H1006*'Stock Statistics'!$C$47+I1006*'Stock Statistics'!$C$48+J1006*'Stock Statistics'!$C$49+K1006*'Stock Statistics'!$C$50,"")</f>
        <v>-1.2824068114676344E-2</v>
      </c>
      <c r="M1006" s="96">
        <v>247.16970000000001</v>
      </c>
      <c r="N1006" s="97">
        <v>314.01870000000002</v>
      </c>
      <c r="O1006" s="93">
        <f t="shared" si="45"/>
        <v>4.3808890673229239E-3</v>
      </c>
      <c r="P1006" s="93">
        <f t="shared" si="46"/>
        <v>1.5194356114144991E-2</v>
      </c>
      <c r="Q1006" s="93">
        <f>B1006*'Portfolio 2 &amp; 3'!$F$7+C1006*'Portfolio 2 &amp; 3'!$F$8+D1006*'Portfolio 2 &amp; 3'!$F$9+E1006*'Portfolio 2 &amp; 3'!$F$10+F1006*'Portfolio 2 &amp; 3'!$F$11+G1006*'Portfolio 2 &amp; 3'!$F$12+H1006*'Portfolio 2 &amp; 3'!$F$13+I1006*'Portfolio 2 &amp; 3'!$F$14+J1006*'Portfolio 2 &amp; 3'!$F$15+K1006*'Portfolio 2 &amp; 3'!$F$16</f>
        <v>-1.4108547050827244E-2</v>
      </c>
      <c r="R1006" s="93">
        <f>B1006*'Portfolio 2 &amp; 3'!$B$23+C1006*'Portfolio 2 &amp; 3'!$B$24+D1006*'Portfolio 2 &amp; 3'!$B$25+E1006*'Portfolio 2 &amp; 3'!$B$26+F1006*'Portfolio 2 &amp; 3'!$B$27+G1006*'Portfolio 2 &amp; 3'!$B$28+H1006*'Portfolio 2 &amp; 3'!$B$29+I1006*'Portfolio 2 &amp; 3'!$B$30+J1006*'Portfolio 2 &amp; 3'!$B$31+K1006*'Portfolio 2 &amp; 3'!$B$32</f>
        <v>-1.4518045759360644E-2</v>
      </c>
      <c r="S1006" s="93">
        <f t="shared" si="47"/>
        <v>9.7876225907339576E-3</v>
      </c>
    </row>
    <row r="1007" spans="1:19" ht="12.75" customHeight="1">
      <c r="A1007" s="82">
        <v>44602</v>
      </c>
      <c r="B1007" s="53">
        <v>-3.3999999999999998E-3</v>
      </c>
      <c r="C1007" s="53">
        <v>-6.1741159788485404E-3</v>
      </c>
      <c r="D1007" s="53">
        <v>-2.3472341757295699E-3</v>
      </c>
      <c r="E1007" s="53">
        <v>-1.3799999999999999E-3</v>
      </c>
      <c r="F1007" s="53">
        <v>-1.03575832305795E-2</v>
      </c>
      <c r="G1007" s="53">
        <v>-3.3972109086129998E-3</v>
      </c>
      <c r="H1007" s="87">
        <v>-5.2995151753583202E-3</v>
      </c>
      <c r="I1007" s="53">
        <v>1.4851782815224601E-2</v>
      </c>
      <c r="J1007" s="53">
        <v>1.64221589664981E-3</v>
      </c>
      <c r="K1007" s="53">
        <v>-1.02253361105851E-2</v>
      </c>
      <c r="L1007" s="95">
        <f>IFERROR(B1007*'Stock Statistics'!$C$41+C1007*'Stock Statistics'!$C$42+D1007*'Stock Statistics'!$C$43+E1007*'Stock Statistics'!$C$44+F1007*'Stock Statistics'!$C$45+G1007*'Stock Statistics'!$C$46+H1007*'Stock Statistics'!$C$47+I1007*'Stock Statistics'!$C$48+J1007*'Stock Statistics'!$C$49+K1007*'Stock Statistics'!$C$50,"")</f>
        <v>-2.6086996867839621E-3</v>
      </c>
      <c r="M1007" s="97">
        <v>246.0916</v>
      </c>
      <c r="N1007" s="96">
        <v>309.31880000000001</v>
      </c>
      <c r="O1007" s="93">
        <f t="shared" si="45"/>
        <v>1.270346322662208E-2</v>
      </c>
      <c r="P1007" s="93">
        <f t="shared" si="46"/>
        <v>9.7999816529876771E-3</v>
      </c>
      <c r="Q1007" s="93">
        <f>B1007*'Portfolio 2 &amp; 3'!$F$7+C1007*'Portfolio 2 &amp; 3'!$F$8+D1007*'Portfolio 2 &amp; 3'!$F$9+E1007*'Portfolio 2 &amp; 3'!$F$10+F1007*'Portfolio 2 &amp; 3'!$F$11+G1007*'Portfolio 2 &amp; 3'!$F$12+H1007*'Portfolio 2 &amp; 3'!$F$13+I1007*'Portfolio 2 &amp; 3'!$F$14+J1007*'Portfolio 2 &amp; 3'!$F$15+K1007*'Portfolio 2 &amp; 3'!$F$16</f>
        <v>-2.6649512658456775E-3</v>
      </c>
      <c r="R1007" s="93">
        <f>B1007*'Portfolio 2 &amp; 3'!$B$23+C1007*'Portfolio 2 &amp; 3'!$B$24+D1007*'Portfolio 2 &amp; 3'!$B$25+E1007*'Portfolio 2 &amp; 3'!$B$26+F1007*'Portfolio 2 &amp; 3'!$B$27+G1007*'Portfolio 2 &amp; 3'!$B$28+H1007*'Portfolio 2 &amp; 3'!$B$29+I1007*'Portfolio 2 &amp; 3'!$B$30+J1007*'Portfolio 2 &amp; 3'!$B$31+K1007*'Portfolio 2 &amp; 3'!$B$32</f>
        <v>-9.2905857324605606E-4</v>
      </c>
      <c r="S1007" s="93">
        <f t="shared" si="47"/>
        <v>1.1251722439804879E-2</v>
      </c>
    </row>
    <row r="1008" spans="1:19" ht="12.75" customHeight="1">
      <c r="A1008" s="81">
        <v>44601</v>
      </c>
      <c r="B1008" s="53">
        <v>7.1300000000000002E-2</v>
      </c>
      <c r="C1008" s="53">
        <v>5.9583067116386603E-3</v>
      </c>
      <c r="D1008" s="53">
        <v>-2.7321156773211699E-2</v>
      </c>
      <c r="E1008" s="53">
        <v>-7.8799999999999999E-3</v>
      </c>
      <c r="F1008" s="53">
        <v>1.18527760449159E-2</v>
      </c>
      <c r="G1008" s="53">
        <v>2.75800883334298E-2</v>
      </c>
      <c r="H1008" s="87">
        <v>4.68495698674709E-3</v>
      </c>
      <c r="I1008" s="53">
        <v>1.6254201038802301E-2</v>
      </c>
      <c r="J1008" s="53">
        <v>6.7787269220169798E-3</v>
      </c>
      <c r="K1008" s="53">
        <v>-7.8669891740835701E-3</v>
      </c>
      <c r="L1008" s="95">
        <f>IFERROR(B1008*'Stock Statistics'!$C$41+C1008*'Stock Statistics'!$C$42+D1008*'Stock Statistics'!$C$43+E1008*'Stock Statistics'!$C$44+F1008*'Stock Statistics'!$C$45+G1008*'Stock Statistics'!$C$46+H1008*'Stock Statistics'!$C$47+I1008*'Stock Statistics'!$C$48+J1008*'Stock Statistics'!$C$49+K1008*'Stock Statistics'!$C$50,"")</f>
        <v>1.0134091009025547E-2</v>
      </c>
      <c r="M1008" s="96">
        <v>243.00460000000001</v>
      </c>
      <c r="N1008" s="97">
        <v>306.31689999999998</v>
      </c>
      <c r="O1008" s="93">
        <f t="shared" si="45"/>
        <v>1.8560784714687362E-3</v>
      </c>
      <c r="P1008" s="93">
        <f t="shared" si="46"/>
        <v>6.5711040979608004E-3</v>
      </c>
      <c r="Q1008" s="93">
        <f>B1008*'Portfolio 2 &amp; 3'!$F$7+C1008*'Portfolio 2 &amp; 3'!$F$8+D1008*'Portfolio 2 &amp; 3'!$F$9+E1008*'Portfolio 2 &amp; 3'!$F$10+F1008*'Portfolio 2 &amp; 3'!$F$11+G1008*'Portfolio 2 &amp; 3'!$F$12+H1008*'Portfolio 2 &amp; 3'!$F$13+I1008*'Portfolio 2 &amp; 3'!$F$14+J1008*'Portfolio 2 &amp; 3'!$F$15+K1008*'Portfolio 2 &amp; 3'!$F$16</f>
        <v>6.3527071890346941E-3</v>
      </c>
      <c r="R1008" s="93">
        <f>B1008*'Portfolio 2 &amp; 3'!$B$23+C1008*'Portfolio 2 &amp; 3'!$B$24+D1008*'Portfolio 2 &amp; 3'!$B$25+E1008*'Portfolio 2 &amp; 3'!$B$26+F1008*'Portfolio 2 &amp; 3'!$B$27+G1008*'Portfolio 2 &amp; 3'!$B$28+H1008*'Portfolio 2 &amp; 3'!$B$29+I1008*'Portfolio 2 &amp; 3'!$B$30+J1008*'Portfolio 2 &amp; 3'!$B$31+K1008*'Portfolio 2 &amp; 3'!$B$32</f>
        <v>1.8889918777554533E-2</v>
      </c>
      <c r="S1008" s="93">
        <f t="shared" si="47"/>
        <v>4.2135912847147683E-3</v>
      </c>
    </row>
    <row r="1009" spans="1:19" ht="12.75" customHeight="1">
      <c r="A1009" s="82">
        <v>44600</v>
      </c>
      <c r="B1009" s="53">
        <v>-1.35E-2</v>
      </c>
      <c r="C1009" s="53">
        <v>-1.93504203762257E-2</v>
      </c>
      <c r="D1009" s="53">
        <v>-2.6161713481064199E-2</v>
      </c>
      <c r="E1009" s="53">
        <v>-1.6549999999999999E-2</v>
      </c>
      <c r="F1009" s="53">
        <v>8.5566880583867206E-3</v>
      </c>
      <c r="G1009" s="53">
        <v>-1.31331011248786E-2</v>
      </c>
      <c r="H1009" s="87">
        <v>-3.5793302366528001E-3</v>
      </c>
      <c r="I1009" s="53">
        <v>-2.6182683725081798E-2</v>
      </c>
      <c r="J1009" s="53">
        <v>-2.0349796502034901E-3</v>
      </c>
      <c r="K1009" s="53">
        <v>-2.1844994716772901E-2</v>
      </c>
      <c r="L1009" s="95">
        <f>IFERROR(B1009*'Stock Statistics'!$C$41+C1009*'Stock Statistics'!$C$42+D1009*'Stock Statistics'!$C$43+E1009*'Stock Statistics'!$C$44+F1009*'Stock Statistics'!$C$45+G1009*'Stock Statistics'!$C$46+H1009*'Stock Statistics'!$C$47+I1009*'Stock Statistics'!$C$48+J1009*'Stock Statistics'!$C$49+K1009*'Stock Statistics'!$C$50,"")</f>
        <v>-1.3378053525249277E-2</v>
      </c>
      <c r="M1009" s="97">
        <v>242.55439999999999</v>
      </c>
      <c r="N1009" s="96">
        <v>304.31720000000001</v>
      </c>
      <c r="O1009" s="93">
        <f t="shared" si="45"/>
        <v>-1.7655554286556741E-2</v>
      </c>
      <c r="P1009" s="93">
        <f t="shared" si="46"/>
        <v>-1.7240115392676447E-2</v>
      </c>
      <c r="Q1009" s="93">
        <f>B1009*'Portfolio 2 &amp; 3'!$F$7+C1009*'Portfolio 2 &amp; 3'!$F$8+D1009*'Portfolio 2 &amp; 3'!$F$9+E1009*'Portfolio 2 &amp; 3'!$F$10+F1009*'Portfolio 2 &amp; 3'!$F$11+G1009*'Portfolio 2 &amp; 3'!$F$12+H1009*'Portfolio 2 &amp; 3'!$F$13+I1009*'Portfolio 2 &amp; 3'!$F$14+J1009*'Portfolio 2 &amp; 3'!$F$15+K1009*'Portfolio 2 &amp; 3'!$F$16</f>
        <v>-1.2127409498170054E-2</v>
      </c>
      <c r="R1009" s="93">
        <f>B1009*'Portfolio 2 &amp; 3'!$B$23+C1009*'Portfolio 2 &amp; 3'!$B$24+D1009*'Portfolio 2 &amp; 3'!$B$25+E1009*'Portfolio 2 &amp; 3'!$B$26+F1009*'Portfolio 2 &amp; 3'!$B$27+G1009*'Portfolio 2 &amp; 3'!$B$28+H1009*'Portfolio 2 &amp; 3'!$B$29+I1009*'Portfolio 2 &amp; 3'!$B$30+J1009*'Portfolio 2 &amp; 3'!$B$31+K1009*'Portfolio 2 &amp; 3'!$B$32</f>
        <v>-1.4472337970786592E-2</v>
      </c>
      <c r="S1009" s="93">
        <f t="shared" si="47"/>
        <v>-1.7447834839616594E-2</v>
      </c>
    </row>
    <row r="1010" spans="1:19" ht="12.75" customHeight="1">
      <c r="A1010" s="81">
        <v>44599</v>
      </c>
      <c r="B1010" s="53">
        <v>-5.5999999999999999E-3</v>
      </c>
      <c r="C1010" s="53">
        <v>-1.97397551813288E-2</v>
      </c>
      <c r="D1010" s="53">
        <v>-2.2388059701492598E-2</v>
      </c>
      <c r="E1010" s="53">
        <v>2.5100000000000001E-3</v>
      </c>
      <c r="F1010" s="53">
        <v>-2.9077580940745199E-2</v>
      </c>
      <c r="G1010" s="53">
        <v>1.3132014346870301E-2</v>
      </c>
      <c r="H1010" s="87">
        <v>9.0939907189862002E-3</v>
      </c>
      <c r="I1010" s="53">
        <v>-6.56183494916052E-3</v>
      </c>
      <c r="J1010" s="53">
        <v>-2.0577461753932401E-2</v>
      </c>
      <c r="K1010" s="53">
        <v>-1.9990094997973998E-2</v>
      </c>
      <c r="L1010" s="95">
        <f>IFERROR(B1010*'Stock Statistics'!$C$41+C1010*'Stock Statistics'!$C$42+D1010*'Stock Statistics'!$C$43+E1010*'Stock Statistics'!$C$44+F1010*'Stock Statistics'!$C$45+G1010*'Stock Statistics'!$C$46+H1010*'Stock Statistics'!$C$47+I1010*'Stock Statistics'!$C$48+J1010*'Stock Statistics'!$C$49+K1010*'Stock Statistics'!$C$50,"")</f>
        <v>-9.9198782458777036E-3</v>
      </c>
      <c r="M1010" s="96">
        <v>246.91380000000001</v>
      </c>
      <c r="N1010" s="97">
        <v>309.65570000000002</v>
      </c>
      <c r="O1010" s="93">
        <f t="shared" si="45"/>
        <v>-1.1844343961689985E-3</v>
      </c>
      <c r="P1010" s="93">
        <f t="shared" si="46"/>
        <v>6.9151179514392869E-3</v>
      </c>
      <c r="Q1010" s="93">
        <f>B1010*'Portfolio 2 &amp; 3'!$F$7+C1010*'Portfolio 2 &amp; 3'!$F$8+D1010*'Portfolio 2 &amp; 3'!$F$9+E1010*'Portfolio 2 &amp; 3'!$F$10+F1010*'Portfolio 2 &amp; 3'!$F$11+G1010*'Portfolio 2 &amp; 3'!$F$12+H1010*'Portfolio 2 &amp; 3'!$F$13+I1010*'Portfolio 2 &amp; 3'!$F$14+J1010*'Portfolio 2 &amp; 3'!$F$15+K1010*'Portfolio 2 &amp; 3'!$F$16</f>
        <v>-1.1006317576658139E-2</v>
      </c>
      <c r="R1010" s="93">
        <f>B1010*'Portfolio 2 &amp; 3'!$B$23+C1010*'Portfolio 2 &amp; 3'!$B$24+D1010*'Portfolio 2 &amp; 3'!$B$25+E1010*'Portfolio 2 &amp; 3'!$B$26+F1010*'Portfolio 2 &amp; 3'!$B$27+G1010*'Portfolio 2 &amp; 3'!$B$28+H1010*'Portfolio 2 &amp; 3'!$B$29+I1010*'Portfolio 2 &amp; 3'!$B$30+J1010*'Portfolio 2 &amp; 3'!$B$31+K1010*'Portfolio 2 &amp; 3'!$B$32</f>
        <v>-1.1753834389437353E-2</v>
      </c>
      <c r="S1010" s="93">
        <f t="shared" si="47"/>
        <v>2.8653417776351442E-3</v>
      </c>
    </row>
    <row r="1011" spans="1:19" ht="12.75" customHeight="1">
      <c r="A1011" s="82">
        <v>44596</v>
      </c>
      <c r="B1011" s="53">
        <v>-1.3599999999999999E-2</v>
      </c>
      <c r="C1011" s="53">
        <v>-5.3418955204795901E-3</v>
      </c>
      <c r="D1011" s="53">
        <v>-3.3937468409271899E-3</v>
      </c>
      <c r="E1011" s="53">
        <v>-1.6299999999999999E-3</v>
      </c>
      <c r="F1011" s="53">
        <v>3.8018150600931402E-3</v>
      </c>
      <c r="G1011" s="53">
        <v>1.6345249294449801E-2</v>
      </c>
      <c r="H1011" s="87">
        <v>1.7350045188602801E-2</v>
      </c>
      <c r="I1011" s="53">
        <v>2.31083723410541E-3</v>
      </c>
      <c r="J1011" s="53">
        <v>-5.2513128282070101E-3</v>
      </c>
      <c r="K1011" s="53">
        <v>-5.1398049337647604E-3</v>
      </c>
      <c r="L1011" s="95">
        <f>IFERROR(B1011*'Stock Statistics'!$C$41+C1011*'Stock Statistics'!$C$42+D1011*'Stock Statistics'!$C$43+E1011*'Stock Statistics'!$C$44+F1011*'Stock Statistics'!$C$45+G1011*'Stock Statistics'!$C$46+H1011*'Stock Statistics'!$C$47+I1011*'Stock Statistics'!$C$48+J1011*'Stock Statistics'!$C$49+K1011*'Stock Statistics'!$C$50,"")</f>
        <v>5.4511866538726041E-4</v>
      </c>
      <c r="M1011" s="97">
        <v>247.20660000000001</v>
      </c>
      <c r="N1011" s="96">
        <v>307.52910000000003</v>
      </c>
      <c r="O1011" s="93">
        <f t="shared" si="45"/>
        <v>-2.2227397537831761E-3</v>
      </c>
      <c r="P1011" s="93">
        <f t="shared" si="46"/>
        <v>-2.1305515368345573E-2</v>
      </c>
      <c r="Q1011" s="93">
        <f>B1011*'Portfolio 2 &amp; 3'!$F$7+C1011*'Portfolio 2 &amp; 3'!$F$8+D1011*'Portfolio 2 &amp; 3'!$F$9+E1011*'Portfolio 2 &amp; 3'!$F$10+F1011*'Portfolio 2 &amp; 3'!$F$11+G1011*'Portfolio 2 &amp; 3'!$F$12+H1011*'Portfolio 2 &amp; 3'!$F$13+I1011*'Portfolio 2 &amp; 3'!$F$14+J1011*'Portfolio 2 &amp; 3'!$F$15+K1011*'Portfolio 2 &amp; 3'!$F$16</f>
        <v>1.1539352133175835E-3</v>
      </c>
      <c r="R1011" s="93">
        <f>B1011*'Portfolio 2 &amp; 3'!$B$23+C1011*'Portfolio 2 &amp; 3'!$B$24+D1011*'Portfolio 2 &amp; 3'!$B$25+E1011*'Portfolio 2 &amp; 3'!$B$26+F1011*'Portfolio 2 &amp; 3'!$B$27+G1011*'Portfolio 2 &amp; 3'!$B$28+H1011*'Portfolio 2 &amp; 3'!$B$29+I1011*'Portfolio 2 &amp; 3'!$B$30+J1011*'Portfolio 2 &amp; 3'!$B$31+K1011*'Portfolio 2 &amp; 3'!$B$32</f>
        <v>-6.3787945969904613E-5</v>
      </c>
      <c r="S1011" s="93">
        <f t="shared" si="47"/>
        <v>-1.1764127561064375E-2</v>
      </c>
    </row>
    <row r="1012" spans="1:19" ht="12.75" customHeight="1">
      <c r="A1012" s="81">
        <v>44595</v>
      </c>
      <c r="B1012" s="53">
        <v>-7.3000000000000001E-3</v>
      </c>
      <c r="C1012" s="53">
        <v>8.2364063484787805E-3</v>
      </c>
      <c r="D1012" s="53">
        <v>1.7710170487948301E-2</v>
      </c>
      <c r="E1012" s="53">
        <v>-3.6269999999999997E-2</v>
      </c>
      <c r="F1012" s="53">
        <v>-1.6405307599517499E-2</v>
      </c>
      <c r="G1012" s="53">
        <v>-1.5208831930826901E-2</v>
      </c>
      <c r="H1012" s="87">
        <v>-2.7928052896841801E-2</v>
      </c>
      <c r="I1012" s="53">
        <v>-2.2076718043805701E-2</v>
      </c>
      <c r="J1012" s="53">
        <v>1.2203720778868599E-2</v>
      </c>
      <c r="K1012" s="53">
        <v>3.2213694576725502E-2</v>
      </c>
      <c r="L1012" s="95">
        <f>IFERROR(B1012*'Stock Statistics'!$C$41+C1012*'Stock Statistics'!$C$42+D1012*'Stock Statistics'!$C$43+E1012*'Stock Statistics'!$C$44+F1012*'Stock Statistics'!$C$45+G1012*'Stock Statistics'!$C$46+H1012*'Stock Statistics'!$C$47+I1012*'Stock Statistics'!$C$48+J1012*'Stock Statistics'!$C$49+K1012*'Stock Statistics'!$C$50,"")</f>
        <v>-5.4824918278970729E-3</v>
      </c>
      <c r="M1012" s="96">
        <v>247.75729999999999</v>
      </c>
      <c r="N1012" s="97">
        <v>314.22379999999998</v>
      </c>
      <c r="O1012" s="93">
        <f t="shared" si="45"/>
        <v>1.2297985596578354E-2</v>
      </c>
      <c r="P1012" s="93">
        <f t="shared" si="46"/>
        <v>-1.4971487434000785E-2</v>
      </c>
      <c r="Q1012" s="93">
        <f>B1012*'Portfolio 2 &amp; 3'!$F$7+C1012*'Portfolio 2 &amp; 3'!$F$8+D1012*'Portfolio 2 &amp; 3'!$F$9+E1012*'Portfolio 2 &amp; 3'!$F$10+F1012*'Portfolio 2 &amp; 3'!$F$11+G1012*'Portfolio 2 &amp; 3'!$F$12+H1012*'Portfolio 2 &amp; 3'!$F$13+I1012*'Portfolio 2 &amp; 3'!$F$14+J1012*'Portfolio 2 &amp; 3'!$F$15+K1012*'Portfolio 2 &amp; 3'!$F$16</f>
        <v>-4.6143491933118008E-3</v>
      </c>
      <c r="R1012" s="93">
        <f>B1012*'Portfolio 2 &amp; 3'!$B$23+C1012*'Portfolio 2 &amp; 3'!$B$24+D1012*'Portfolio 2 &amp; 3'!$B$25+E1012*'Portfolio 2 &amp; 3'!$B$26+F1012*'Portfolio 2 &amp; 3'!$B$27+G1012*'Portfolio 2 &amp; 3'!$B$28+H1012*'Portfolio 2 &amp; 3'!$B$29+I1012*'Portfolio 2 &amp; 3'!$B$30+J1012*'Portfolio 2 &amp; 3'!$B$31+K1012*'Portfolio 2 &amp; 3'!$B$32</f>
        <v>-6.5729902717092063E-3</v>
      </c>
      <c r="S1012" s="93">
        <f t="shared" si="47"/>
        <v>-1.3367509187112159E-3</v>
      </c>
    </row>
    <row r="1013" spans="1:19" ht="12.75" customHeight="1">
      <c r="A1013" s="82">
        <v>44594</v>
      </c>
      <c r="B1013" s="53">
        <v>3.8E-3</v>
      </c>
      <c r="C1013" s="53">
        <v>1.27647978428924E-3</v>
      </c>
      <c r="D1013" s="53">
        <v>-2.80694236125991E-2</v>
      </c>
      <c r="E1013" s="53">
        <v>-9.1299999999999992E-3</v>
      </c>
      <c r="F1013" s="53">
        <v>1.9178755839685199E-2</v>
      </c>
      <c r="G1013" s="53">
        <v>-2.5219952640395098E-3</v>
      </c>
      <c r="H1013" s="87">
        <v>-1.03644725101243E-2</v>
      </c>
      <c r="I1013" s="53">
        <v>4.0577357834337098E-4</v>
      </c>
      <c r="J1013" s="53">
        <v>-3.4610954026599597E-2</v>
      </c>
      <c r="K1013" s="53">
        <v>1.11970826807548E-2</v>
      </c>
      <c r="L1013" s="95">
        <f>IFERROR(B1013*'Stock Statistics'!$C$41+C1013*'Stock Statistics'!$C$42+D1013*'Stock Statistics'!$C$43+E1013*'Stock Statistics'!$C$44+F1013*'Stock Statistics'!$C$45+G1013*'Stock Statistics'!$C$46+H1013*'Stock Statistics'!$C$47+I1013*'Stock Statistics'!$C$48+J1013*'Stock Statistics'!$C$49+K1013*'Stock Statistics'!$C$50,"")</f>
        <v>-4.8838753530289899E-3</v>
      </c>
      <c r="M1013" s="97">
        <v>244.7474</v>
      </c>
      <c r="N1013" s="96">
        <v>318.99970000000002</v>
      </c>
      <c r="O1013" s="93">
        <f t="shared" si="45"/>
        <v>1.4389353917263037E-2</v>
      </c>
      <c r="P1013" s="93">
        <f t="shared" si="46"/>
        <v>-1.2149335909798831E-2</v>
      </c>
      <c r="Q1013" s="93">
        <f>B1013*'Portfolio 2 &amp; 3'!$F$7+C1013*'Portfolio 2 &amp; 3'!$F$8+D1013*'Portfolio 2 &amp; 3'!$F$9+E1013*'Portfolio 2 &amp; 3'!$F$10+F1013*'Portfolio 2 &amp; 3'!$F$11+G1013*'Portfolio 2 &amp; 3'!$F$12+H1013*'Portfolio 2 &amp; 3'!$F$13+I1013*'Portfolio 2 &amp; 3'!$F$14+J1013*'Portfolio 2 &amp; 3'!$F$15+K1013*'Portfolio 2 &amp; 3'!$F$16</f>
        <v>-8.0047484878508265E-3</v>
      </c>
      <c r="R1013" s="93">
        <f>B1013*'Portfolio 2 &amp; 3'!$B$23+C1013*'Portfolio 2 &amp; 3'!$B$24+D1013*'Portfolio 2 &amp; 3'!$B$25+E1013*'Portfolio 2 &amp; 3'!$B$26+F1013*'Portfolio 2 &amp; 3'!$B$27+G1013*'Portfolio 2 &amp; 3'!$B$28+H1013*'Portfolio 2 &amp; 3'!$B$29+I1013*'Portfolio 2 &amp; 3'!$B$30+J1013*'Portfolio 2 &amp; 3'!$B$31+K1013*'Portfolio 2 &amp; 3'!$B$32</f>
        <v>2.7747342149210584E-3</v>
      </c>
      <c r="S1013" s="93">
        <f t="shared" si="47"/>
        <v>1.1200090037321031E-3</v>
      </c>
    </row>
    <row r="1014" spans="1:19" ht="12.75" customHeight="1">
      <c r="A1014" s="81">
        <v>44593</v>
      </c>
      <c r="B1014" s="53">
        <v>3.8E-3</v>
      </c>
      <c r="C1014" s="53">
        <v>-7.9254410927717105E-3</v>
      </c>
      <c r="D1014" s="53">
        <v>2.2866744593804701E-2</v>
      </c>
      <c r="E1014" s="53">
        <v>-2.5999999999999999E-3</v>
      </c>
      <c r="F1014" s="53">
        <v>4.9200492004919404E-4</v>
      </c>
      <c r="G1014" s="53">
        <v>-1.5377813659343E-3</v>
      </c>
      <c r="H1014" s="87">
        <v>4.4635193133046901E-4</v>
      </c>
      <c r="I1014" s="53">
        <v>-7.2509639178225402E-3</v>
      </c>
      <c r="J1014" s="53">
        <v>-3.7558685446009701E-3</v>
      </c>
      <c r="K1014" s="53">
        <v>-3.1109816487038299E-3</v>
      </c>
      <c r="L1014" s="95">
        <f>IFERROR(B1014*'Stock Statistics'!$C$41+C1014*'Stock Statistics'!$C$42+D1014*'Stock Statistics'!$C$43+E1014*'Stock Statistics'!$C$44+F1014*'Stock Statistics'!$C$45+G1014*'Stock Statistics'!$C$46+H1014*'Stock Statistics'!$C$47+I1014*'Stock Statistics'!$C$48+J1014*'Stock Statistics'!$C$49+K1014*'Stock Statistics'!$C$50,"")</f>
        <v>1.4240648753510135E-4</v>
      </c>
      <c r="M1014" s="96">
        <v>241.2756</v>
      </c>
      <c r="N1014" s="97">
        <v>322.923</v>
      </c>
      <c r="O1014" s="93">
        <f t="shared" si="45"/>
        <v>7.6889472114722857E-3</v>
      </c>
      <c r="P1014" s="93">
        <f t="shared" si="46"/>
        <v>-2.4456720686456546E-3</v>
      </c>
      <c r="Q1014" s="93">
        <f>B1014*'Portfolio 2 &amp; 3'!$F$7+C1014*'Portfolio 2 &amp; 3'!$F$8+D1014*'Portfolio 2 &amp; 3'!$F$9+E1014*'Portfolio 2 &amp; 3'!$F$10+F1014*'Portfolio 2 &amp; 3'!$F$11+G1014*'Portfolio 2 &amp; 3'!$F$12+H1014*'Portfolio 2 &amp; 3'!$F$13+I1014*'Portfolio 2 &amp; 3'!$F$14+J1014*'Portfolio 2 &amp; 3'!$F$15+K1014*'Portfolio 2 &amp; 3'!$F$16</f>
        <v>9.7781682254313739E-4</v>
      </c>
      <c r="R1014" s="93">
        <f>B1014*'Portfolio 2 &amp; 3'!$B$23+C1014*'Portfolio 2 &amp; 3'!$B$24+D1014*'Portfolio 2 &amp; 3'!$B$25+E1014*'Portfolio 2 &amp; 3'!$B$26+F1014*'Portfolio 2 &amp; 3'!$B$27+G1014*'Portfolio 2 &amp; 3'!$B$28+H1014*'Portfolio 2 &amp; 3'!$B$29+I1014*'Portfolio 2 &amp; 3'!$B$30+J1014*'Portfolio 2 &amp; 3'!$B$31+K1014*'Portfolio 2 &amp; 3'!$B$32</f>
        <v>-2.99923172940199E-3</v>
      </c>
      <c r="S1014" s="93">
        <f t="shared" si="47"/>
        <v>2.6216375714133155E-3</v>
      </c>
    </row>
    <row r="1015" spans="1:19" ht="12.75" customHeight="1">
      <c r="A1015" s="82">
        <v>44592</v>
      </c>
      <c r="B1015" s="53">
        <v>-2.0000000000000001E-4</v>
      </c>
      <c r="C1015" s="53">
        <v>-6.7694568888763103E-3</v>
      </c>
      <c r="D1015" s="53">
        <v>4.3213169727917201E-2</v>
      </c>
      <c r="E1015" s="53">
        <v>6.2199999999999998E-3</v>
      </c>
      <c r="F1015" s="53">
        <v>2.6515151515151599E-2</v>
      </c>
      <c r="G1015" s="53">
        <v>3.2688535938163498E-4</v>
      </c>
      <c r="H1015" s="87">
        <v>1.08284454933538E-2</v>
      </c>
      <c r="I1015" s="53">
        <v>-9.0670620437955894E-3</v>
      </c>
      <c r="J1015" s="53">
        <v>-1.6973488539049199E-2</v>
      </c>
      <c r="K1015" s="53">
        <v>-5.2158794552303904E-3</v>
      </c>
      <c r="L1015" s="95">
        <f>IFERROR(B1015*'Stock Statistics'!$C$41+C1015*'Stock Statistics'!$C$42+D1015*'Stock Statistics'!$C$43+E1015*'Stock Statistics'!$C$44+F1015*'Stock Statistics'!$C$45+G1015*'Stock Statistics'!$C$46+H1015*'Stock Statistics'!$C$47+I1015*'Stock Statistics'!$C$48+J1015*'Stock Statistics'!$C$49+K1015*'Stock Statistics'!$C$50,"")</f>
        <v>4.8877765168852741E-3</v>
      </c>
      <c r="M1015" s="97">
        <v>239.43459999999999</v>
      </c>
      <c r="N1015" s="96">
        <v>323.71469999999999</v>
      </c>
      <c r="O1015" s="93">
        <f t="shared" si="45"/>
        <v>1.7014750160964098E-3</v>
      </c>
      <c r="P1015" s="93">
        <f t="shared" si="46"/>
        <v>-1.2058021330886959E-2</v>
      </c>
      <c r="Q1015" s="93">
        <f>B1015*'Portfolio 2 &amp; 3'!$F$7+C1015*'Portfolio 2 &amp; 3'!$F$8+D1015*'Portfolio 2 &amp; 3'!$F$9+E1015*'Portfolio 2 &amp; 3'!$F$10+F1015*'Portfolio 2 &amp; 3'!$F$11+G1015*'Portfolio 2 &amp; 3'!$F$12+H1015*'Portfolio 2 &amp; 3'!$F$13+I1015*'Portfolio 2 &amp; 3'!$F$14+J1015*'Portfolio 2 &amp; 3'!$F$15+K1015*'Portfolio 2 &amp; 3'!$F$16</f>
        <v>6.4168301190085314E-3</v>
      </c>
      <c r="R1015" s="93">
        <f>B1015*'Portfolio 2 &amp; 3'!$B$23+C1015*'Portfolio 2 &amp; 3'!$B$24+D1015*'Portfolio 2 &amp; 3'!$B$25+E1015*'Portfolio 2 &amp; 3'!$B$26+F1015*'Portfolio 2 &amp; 3'!$B$27+G1015*'Portfolio 2 &amp; 3'!$B$28+H1015*'Portfolio 2 &amp; 3'!$B$29+I1015*'Portfolio 2 &amp; 3'!$B$30+J1015*'Portfolio 2 &amp; 3'!$B$31+K1015*'Portfolio 2 &amp; 3'!$B$32</f>
        <v>4.825338022914672E-4</v>
      </c>
      <c r="S1015" s="93">
        <f t="shared" si="47"/>
        <v>-5.1782731573952745E-3</v>
      </c>
    </row>
    <row r="1016" spans="1:19" ht="12.75" customHeight="1">
      <c r="A1016" s="81">
        <v>44589</v>
      </c>
      <c r="B1016" s="53">
        <v>-8.3999999999999995E-3</v>
      </c>
      <c r="C1016" s="53">
        <v>-3.45050983043205E-3</v>
      </c>
      <c r="D1016" s="53">
        <v>9.1524380864480594E-3</v>
      </c>
      <c r="E1016" s="53">
        <v>-2.1309999999999999E-2</v>
      </c>
      <c r="F1016" s="53">
        <v>3.01768990634757E-2</v>
      </c>
      <c r="G1016" s="53">
        <v>-5.3741847878057102E-3</v>
      </c>
      <c r="H1016" s="87">
        <v>2.9587858535227202E-3</v>
      </c>
      <c r="I1016" s="53">
        <v>1.3817424986991801E-2</v>
      </c>
      <c r="J1016" s="53">
        <v>7.0229796023753002E-3</v>
      </c>
      <c r="K1016" s="53">
        <v>-3.62632666966933E-3</v>
      </c>
      <c r="L1016" s="95">
        <f>IFERROR(B1016*'Stock Statistics'!$C$41+C1016*'Stock Statistics'!$C$42+D1016*'Stock Statistics'!$C$43+E1016*'Stock Statistics'!$C$44+F1016*'Stock Statistics'!$C$45+G1016*'Stock Statistics'!$C$46+H1016*'Stock Statistics'!$C$47+I1016*'Stock Statistics'!$C$48+J1016*'Stock Statistics'!$C$49+K1016*'Stock Statistics'!$C$50,"")</f>
        <v>2.0967506304906498E-3</v>
      </c>
      <c r="M1016" s="96">
        <v>239.02789999999999</v>
      </c>
      <c r="N1016" s="97">
        <v>327.66570000000002</v>
      </c>
      <c r="O1016" s="93">
        <f t="shared" si="45"/>
        <v>-1.5470142571291978E-2</v>
      </c>
      <c r="P1016" s="93">
        <f t="shared" si="46"/>
        <v>-5.6562445376682202E-3</v>
      </c>
      <c r="Q1016" s="93">
        <f>B1016*'Portfolio 2 &amp; 3'!$F$7+C1016*'Portfolio 2 &amp; 3'!$F$8+D1016*'Portfolio 2 &amp; 3'!$F$9+E1016*'Portfolio 2 &amp; 3'!$F$10+F1016*'Portfolio 2 &amp; 3'!$F$11+G1016*'Portfolio 2 &amp; 3'!$F$12+H1016*'Portfolio 2 &amp; 3'!$F$13+I1016*'Portfolio 2 &amp; 3'!$F$14+J1016*'Portfolio 2 &amp; 3'!$F$15+K1016*'Portfolio 2 &amp; 3'!$F$16</f>
        <v>3.9842759588974829E-3</v>
      </c>
      <c r="R1016" s="93">
        <f>B1016*'Portfolio 2 &amp; 3'!$B$23+C1016*'Portfolio 2 &amp; 3'!$B$24+D1016*'Portfolio 2 &amp; 3'!$B$25+E1016*'Portfolio 2 &amp; 3'!$B$26+F1016*'Portfolio 2 &amp; 3'!$B$27+G1016*'Portfolio 2 &amp; 3'!$B$28+H1016*'Portfolio 2 &amp; 3'!$B$29+I1016*'Portfolio 2 &amp; 3'!$B$30+J1016*'Portfolio 2 &amp; 3'!$B$31+K1016*'Portfolio 2 &amp; 3'!$B$32</f>
        <v>5.9806657008856833E-3</v>
      </c>
      <c r="S1016" s="93">
        <f t="shared" si="47"/>
        <v>-1.0563193554480099E-2</v>
      </c>
    </row>
    <row r="1017" spans="1:19" ht="12.75" customHeight="1">
      <c r="A1017" s="82">
        <v>44588</v>
      </c>
      <c r="B1017" s="53">
        <v>-2.9899999999999999E-2</v>
      </c>
      <c r="C1017" s="53">
        <v>6.5064852221985402E-3</v>
      </c>
      <c r="D1017" s="53">
        <v>5.3866871873808897E-4</v>
      </c>
      <c r="E1017" s="53">
        <v>-6.3210000000000002E-2</v>
      </c>
      <c r="F1017" s="53">
        <v>-2.84342221660558E-2</v>
      </c>
      <c r="G1017" s="53">
        <v>-2.5550710052555201E-2</v>
      </c>
      <c r="H1017" s="87">
        <v>-9.8231827111984193E-3</v>
      </c>
      <c r="I1017" s="53">
        <v>-1.7327576411771399E-2</v>
      </c>
      <c r="J1017" s="53">
        <v>2.1306893096355799E-2</v>
      </c>
      <c r="K1017" s="53">
        <v>1.21331135813725E-2</v>
      </c>
      <c r="L1017" s="95">
        <f>IFERROR(B1017*'Stock Statistics'!$C$41+C1017*'Stock Statistics'!$C$42+D1017*'Stock Statistics'!$C$43+E1017*'Stock Statistics'!$C$44+F1017*'Stock Statistics'!$C$45+G1017*'Stock Statistics'!$C$46+H1017*'Stock Statistics'!$C$47+I1017*'Stock Statistics'!$C$48+J1017*'Stock Statistics'!$C$49+K1017*'Stock Statistics'!$C$50,"")</f>
        <v>-1.3376053072291588E-2</v>
      </c>
      <c r="M1017" s="97">
        <v>242.78380000000001</v>
      </c>
      <c r="N1017" s="96">
        <v>329.52960000000002</v>
      </c>
      <c r="O1017" s="93">
        <f t="shared" si="45"/>
        <v>6.6089030298961404E-3</v>
      </c>
      <c r="P1017" s="93">
        <f t="shared" si="46"/>
        <v>-5.6520360274673331E-3</v>
      </c>
      <c r="Q1017" s="93">
        <f>B1017*'Portfolio 2 &amp; 3'!$F$7+C1017*'Portfolio 2 &amp; 3'!$F$8+D1017*'Portfolio 2 &amp; 3'!$F$9+E1017*'Portfolio 2 &amp; 3'!$F$10+F1017*'Portfolio 2 &amp; 3'!$F$11+G1017*'Portfolio 2 &amp; 3'!$F$12+H1017*'Portfolio 2 &amp; 3'!$F$13+I1017*'Portfolio 2 &amp; 3'!$F$14+J1017*'Portfolio 2 &amp; 3'!$F$15+K1017*'Portfolio 2 &amp; 3'!$F$16</f>
        <v>-9.2334532365170065E-3</v>
      </c>
      <c r="R1017" s="93">
        <f>B1017*'Portfolio 2 &amp; 3'!$B$23+C1017*'Portfolio 2 &amp; 3'!$B$24+D1017*'Portfolio 2 &amp; 3'!$B$25+E1017*'Portfolio 2 &amp; 3'!$B$26+F1017*'Portfolio 2 &amp; 3'!$B$27+G1017*'Portfolio 2 &amp; 3'!$B$28+H1017*'Portfolio 2 &amp; 3'!$B$29+I1017*'Portfolio 2 &amp; 3'!$B$30+J1017*'Portfolio 2 &amp; 3'!$B$31+K1017*'Portfolio 2 &amp; 3'!$B$32</f>
        <v>-1.2830821121340447E-2</v>
      </c>
      <c r="S1017" s="93">
        <f t="shared" si="47"/>
        <v>4.7843350121440364E-4</v>
      </c>
    </row>
    <row r="1018" spans="1:19" ht="12.75" customHeight="1">
      <c r="A1018" s="81">
        <v>44586</v>
      </c>
      <c r="B1018" s="53">
        <v>2.35E-2</v>
      </c>
      <c r="C1018" s="53">
        <v>-3.3623892742608002E-3</v>
      </c>
      <c r="D1018" s="53">
        <v>-1.93932991246605E-2</v>
      </c>
      <c r="E1018" s="53">
        <v>-1.669E-2</v>
      </c>
      <c r="F1018" s="53">
        <v>-3.9023162134944598E-3</v>
      </c>
      <c r="G1018" s="53">
        <v>-9.0309712449442303E-3</v>
      </c>
      <c r="H1018" s="87">
        <v>-5.1889865474952198E-3</v>
      </c>
      <c r="I1018" s="53">
        <v>-1.5878340601587802E-2</v>
      </c>
      <c r="J1018" s="53">
        <v>1.5804135861995101E-2</v>
      </c>
      <c r="K1018" s="53">
        <v>1.8100678329168202E-2</v>
      </c>
      <c r="L1018" s="95">
        <f>IFERROR(B1018*'Stock Statistics'!$C$41+C1018*'Stock Statistics'!$C$42+D1018*'Stock Statistics'!$C$43+E1018*'Stock Statistics'!$C$44+F1018*'Stock Statistics'!$C$45+G1018*'Stock Statistics'!$C$46+H1018*'Stock Statistics'!$C$47+I1018*'Stock Statistics'!$C$48+J1018*'Stock Statistics'!$C$49+K1018*'Stock Statistics'!$C$50,"")</f>
        <v>-1.6041488815279716E-3</v>
      </c>
      <c r="M1018" s="96">
        <v>241.18979999999999</v>
      </c>
      <c r="N1018" s="97">
        <v>331.40269999999998</v>
      </c>
      <c r="O1018" s="93">
        <f t="shared" si="45"/>
        <v>-1.9187249220338765E-2</v>
      </c>
      <c r="P1018" s="93">
        <f t="shared" si="46"/>
        <v>7.8887791324318002E-3</v>
      </c>
      <c r="Q1018" s="93">
        <f>B1018*'Portfolio 2 &amp; 3'!$F$7+C1018*'Portfolio 2 &amp; 3'!$F$8+D1018*'Portfolio 2 &amp; 3'!$F$9+E1018*'Portfolio 2 &amp; 3'!$F$10+F1018*'Portfolio 2 &amp; 3'!$F$11+G1018*'Portfolio 2 &amp; 3'!$F$12+H1018*'Portfolio 2 &amp; 3'!$F$13+I1018*'Portfolio 2 &amp; 3'!$F$14+J1018*'Portfolio 2 &amp; 3'!$F$15+K1018*'Portfolio 2 &amp; 3'!$F$16</f>
        <v>-1.9250924375887196E-3</v>
      </c>
      <c r="R1018" s="93">
        <f>B1018*'Portfolio 2 &amp; 3'!$B$23+C1018*'Portfolio 2 &amp; 3'!$B$24+D1018*'Portfolio 2 &amp; 3'!$B$25+E1018*'Portfolio 2 &amp; 3'!$B$26+F1018*'Portfolio 2 &amp; 3'!$B$27+G1018*'Portfolio 2 &amp; 3'!$B$28+H1018*'Portfolio 2 &amp; 3'!$B$29+I1018*'Portfolio 2 &amp; 3'!$B$30+J1018*'Portfolio 2 &amp; 3'!$B$31+K1018*'Portfolio 2 &amp; 3'!$B$32</f>
        <v>-1.3640005599522287E-3</v>
      </c>
      <c r="S1018" s="93">
        <f t="shared" si="47"/>
        <v>-5.6492350439534822E-3</v>
      </c>
    </row>
    <row r="1019" spans="1:19" ht="12.75" customHeight="1">
      <c r="A1019" s="82">
        <v>44585</v>
      </c>
      <c r="B1019" s="53">
        <v>-3.7999999999999999E-2</v>
      </c>
      <c r="C1019" s="53">
        <v>3.57780444262343E-2</v>
      </c>
      <c r="D1019" s="53">
        <v>-1.2150577711517001E-2</v>
      </c>
      <c r="E1019" s="53">
        <v>-6.62E-3</v>
      </c>
      <c r="F1019" s="53">
        <v>-3.2163742690058499E-2</v>
      </c>
      <c r="G1019" s="53">
        <v>-1.13928903982036E-2</v>
      </c>
      <c r="H1019" s="87">
        <v>-9.2178423001575398E-3</v>
      </c>
      <c r="I1019" s="53">
        <v>8.8555474082010494E-3</v>
      </c>
      <c r="J1019" s="53">
        <v>-1.3529225240461001E-2</v>
      </c>
      <c r="K1019" s="53">
        <v>-2.3928446974096899E-2</v>
      </c>
      <c r="L1019" s="95">
        <f>IFERROR(B1019*'Stock Statistics'!$C$41+C1019*'Stock Statistics'!$C$42+D1019*'Stock Statistics'!$C$43+E1019*'Stock Statistics'!$C$44+F1019*'Stock Statistics'!$C$45+G1019*'Stock Statistics'!$C$46+H1019*'Stock Statistics'!$C$47+I1019*'Stock Statistics'!$C$48+J1019*'Stock Statistics'!$C$49+K1019*'Stock Statistics'!$C$50,"")</f>
        <v>-1.0236913348005919E-2</v>
      </c>
      <c r="M1019" s="97">
        <v>245.90809999999999</v>
      </c>
      <c r="N1019" s="96">
        <v>328.80880000000002</v>
      </c>
      <c r="O1019" s="93">
        <f t="shared" si="45"/>
        <v>-1.7301949306599229E-2</v>
      </c>
      <c r="P1019" s="93">
        <f t="shared" si="46"/>
        <v>-2.8334178941121779E-3</v>
      </c>
      <c r="Q1019" s="93">
        <f>B1019*'Portfolio 2 &amp; 3'!$F$7+C1019*'Portfolio 2 &amp; 3'!$F$8+D1019*'Portfolio 2 &amp; 3'!$F$9+E1019*'Portfolio 2 &amp; 3'!$F$10+F1019*'Portfolio 2 &amp; 3'!$F$11+G1019*'Portfolio 2 &amp; 3'!$F$12+H1019*'Portfolio 2 &amp; 3'!$F$13+I1019*'Portfolio 2 &amp; 3'!$F$14+J1019*'Portfolio 2 &amp; 3'!$F$15+K1019*'Portfolio 2 &amp; 3'!$F$16</f>
        <v>-9.7109026240740273E-3</v>
      </c>
      <c r="R1019" s="93">
        <f>B1019*'Portfolio 2 &amp; 3'!$B$23+C1019*'Portfolio 2 &amp; 3'!$B$24+D1019*'Portfolio 2 &amp; 3'!$B$25+E1019*'Portfolio 2 &amp; 3'!$B$26+F1019*'Portfolio 2 &amp; 3'!$B$27+G1019*'Portfolio 2 &amp; 3'!$B$28+H1019*'Portfolio 2 &amp; 3'!$B$29+I1019*'Portfolio 2 &amp; 3'!$B$30+J1019*'Portfolio 2 &amp; 3'!$B$31+K1019*'Portfolio 2 &amp; 3'!$B$32</f>
        <v>-5.2396657742788148E-3</v>
      </c>
      <c r="S1019" s="93">
        <f t="shared" si="47"/>
        <v>-1.0067683600355704E-2</v>
      </c>
    </row>
    <row r="1020" spans="1:19" ht="12.75" customHeight="1">
      <c r="A1020" s="81">
        <v>44582</v>
      </c>
      <c r="B1020" s="53">
        <v>9.5999999999999992E-3</v>
      </c>
      <c r="C1020" s="53">
        <v>1.0707841571272299E-2</v>
      </c>
      <c r="D1020" s="53">
        <v>-4.6004303628404096E-3</v>
      </c>
      <c r="E1020" s="53">
        <v>-1.6000000000000001E-4</v>
      </c>
      <c r="F1020" s="53">
        <v>-1.9120458891013398E-2</v>
      </c>
      <c r="G1020" s="53">
        <v>2.2362010714352499E-2</v>
      </c>
      <c r="H1020" s="87">
        <v>2.4573901541960201E-2</v>
      </c>
      <c r="I1020" s="53">
        <v>-8.5560899228274197E-3</v>
      </c>
      <c r="J1020" s="53">
        <v>-6.9797953293099201E-3</v>
      </c>
      <c r="K1020" s="53">
        <v>9.8652183603327205E-3</v>
      </c>
      <c r="L1020" s="95">
        <f>IFERROR(B1020*'Stock Statistics'!$C$41+C1020*'Stock Statistics'!$C$42+D1020*'Stock Statistics'!$C$43+E1020*'Stock Statistics'!$C$44+F1020*'Stock Statistics'!$C$45+G1020*'Stock Statistics'!$C$46+H1020*'Stock Statistics'!$C$47+I1020*'Stock Statistics'!$C$48+J1020*'Stock Statistics'!$C$49+K1020*'Stock Statistics'!$C$50,"")</f>
        <v>3.7692197681926578E-3</v>
      </c>
      <c r="M1020" s="96">
        <v>250.23769999999999</v>
      </c>
      <c r="N1020" s="97">
        <v>329.74310000000003</v>
      </c>
      <c r="O1020" s="93">
        <f t="shared" si="45"/>
        <v>-8.6651480637813805E-3</v>
      </c>
      <c r="P1020" s="93">
        <f t="shared" si="46"/>
        <v>-3.0168630489908477E-3</v>
      </c>
      <c r="Q1020" s="93">
        <f>B1020*'Portfolio 2 &amp; 3'!$F$7+C1020*'Portfolio 2 &amp; 3'!$F$8+D1020*'Portfolio 2 &amp; 3'!$F$9+E1020*'Portfolio 2 &amp; 3'!$F$10+F1020*'Portfolio 2 &amp; 3'!$F$11+G1020*'Portfolio 2 &amp; 3'!$F$12+H1020*'Portfolio 2 &amp; 3'!$F$13+I1020*'Portfolio 2 &amp; 3'!$F$14+J1020*'Portfolio 2 &amp; 3'!$F$15+K1020*'Portfolio 2 &amp; 3'!$F$16</f>
        <v>3.3602977329335831E-3</v>
      </c>
      <c r="R1020" s="93">
        <f>B1020*'Portfolio 2 &amp; 3'!$B$23+C1020*'Portfolio 2 &amp; 3'!$B$24+D1020*'Portfolio 2 &amp; 3'!$B$25+E1020*'Portfolio 2 &amp; 3'!$B$26+F1020*'Portfolio 2 &amp; 3'!$B$27+G1020*'Portfolio 2 &amp; 3'!$B$28+H1020*'Portfolio 2 &amp; 3'!$B$29+I1020*'Portfolio 2 &amp; 3'!$B$30+J1020*'Portfolio 2 &amp; 3'!$B$31+K1020*'Portfolio 2 &amp; 3'!$B$32</f>
        <v>1.8503046990497E-3</v>
      </c>
      <c r="S1020" s="93">
        <f t="shared" si="47"/>
        <v>-5.8410055563861141E-3</v>
      </c>
    </row>
    <row r="1021" spans="1:19" ht="12.75" customHeight="1">
      <c r="A1021" s="82">
        <v>44581</v>
      </c>
      <c r="B1021" s="53">
        <v>-1.17E-2</v>
      </c>
      <c r="C1021" s="53">
        <v>-2.1221771858714499E-2</v>
      </c>
      <c r="D1021" s="53">
        <v>2.4866920152091201E-2</v>
      </c>
      <c r="E1021" s="53">
        <v>-1.9470000000000001E-2</v>
      </c>
      <c r="F1021" s="53">
        <v>-1.25088506018409E-2</v>
      </c>
      <c r="G1021" s="53">
        <v>2.6951655468005998E-3</v>
      </c>
      <c r="H1021" s="87">
        <v>1.5455052523936101E-3</v>
      </c>
      <c r="I1021" s="53">
        <v>7.9476917873853008E-3</v>
      </c>
      <c r="J1021" s="53">
        <v>9.9810884639639497E-4</v>
      </c>
      <c r="K1021" s="53">
        <v>1.0143021340632601E-2</v>
      </c>
      <c r="L1021" s="95">
        <f>IFERROR(B1021*'Stock Statistics'!$C$41+C1021*'Stock Statistics'!$C$42+D1021*'Stock Statistics'!$C$43+E1021*'Stock Statistics'!$C$44+F1021*'Stock Statistics'!$C$45+G1021*'Stock Statistics'!$C$46+H1021*'Stock Statistics'!$C$47+I1021*'Stock Statistics'!$C$48+J1021*'Stock Statistics'!$C$49+K1021*'Stock Statistics'!$C$50,"")</f>
        <v>-1.6704209534855686E-3</v>
      </c>
      <c r="M1021" s="97">
        <v>252.42500000000001</v>
      </c>
      <c r="N1021" s="96">
        <v>330.74090000000001</v>
      </c>
      <c r="O1021" s="93">
        <f t="shared" si="45"/>
        <v>-1.99975645512529E-3</v>
      </c>
      <c r="P1021" s="93">
        <f t="shared" si="46"/>
        <v>4.9017463135878625E-3</v>
      </c>
      <c r="Q1021" s="93">
        <f>B1021*'Portfolio 2 &amp; 3'!$F$7+C1021*'Portfolio 2 &amp; 3'!$F$8+D1021*'Portfolio 2 &amp; 3'!$F$9+E1021*'Portfolio 2 &amp; 3'!$F$10+F1021*'Portfolio 2 &amp; 3'!$F$11+G1021*'Portfolio 2 &amp; 3'!$F$12+H1021*'Portfolio 2 &amp; 3'!$F$13+I1021*'Portfolio 2 &amp; 3'!$F$14+J1021*'Portfolio 2 &amp; 3'!$F$15+K1021*'Portfolio 2 &amp; 3'!$F$16</f>
        <v>-2.0848400075003945E-4</v>
      </c>
      <c r="R1021" s="93">
        <f>B1021*'Portfolio 2 &amp; 3'!$B$23+C1021*'Portfolio 2 &amp; 3'!$B$24+D1021*'Portfolio 2 &amp; 3'!$B$25+E1021*'Portfolio 2 &amp; 3'!$B$26+F1021*'Portfolio 2 &amp; 3'!$B$27+G1021*'Portfolio 2 &amp; 3'!$B$28+H1021*'Portfolio 2 &amp; 3'!$B$29+I1021*'Portfolio 2 &amp; 3'!$B$30+J1021*'Portfolio 2 &amp; 3'!$B$31+K1021*'Portfolio 2 &amp; 3'!$B$32</f>
        <v>-4.0637207097154529E-3</v>
      </c>
      <c r="S1021" s="93">
        <f t="shared" si="47"/>
        <v>1.4509949292312863E-3</v>
      </c>
    </row>
    <row r="1022" spans="1:19" ht="12.75" customHeight="1">
      <c r="A1022" s="81">
        <v>44580</v>
      </c>
      <c r="B1022" s="53">
        <v>-9.4999999999999998E-3</v>
      </c>
      <c r="C1022" s="53">
        <v>-1.33683729433273E-2</v>
      </c>
      <c r="D1022" s="53">
        <v>3.6330680116636302E-2</v>
      </c>
      <c r="E1022" s="53">
        <v>8.7200000000000003E-3</v>
      </c>
      <c r="F1022" s="53">
        <v>3.9094893969908702E-3</v>
      </c>
      <c r="G1022" s="53">
        <v>5.1925573344870904E-3</v>
      </c>
      <c r="H1022" s="87">
        <v>1.9959228179965E-2</v>
      </c>
      <c r="I1022" s="53">
        <v>-7.7185524917502404E-3</v>
      </c>
      <c r="J1022" s="53">
        <v>5.7058326289094498E-3</v>
      </c>
      <c r="K1022" s="53">
        <v>2.7091167987148002E-2</v>
      </c>
      <c r="L1022" s="95">
        <f>IFERROR(B1022*'Stock Statistics'!$C$41+C1022*'Stock Statistics'!$C$42+D1022*'Stock Statistics'!$C$43+E1022*'Stock Statistics'!$C$44+F1022*'Stock Statistics'!$C$45+G1022*'Stock Statistics'!$C$46+H1022*'Stock Statistics'!$C$47+I1022*'Stock Statistics'!$C$48+J1022*'Stock Statistics'!$C$49+K1022*'Stock Statistics'!$C$50,"")</f>
        <v>7.6322030209059165E-3</v>
      </c>
      <c r="M1022" s="96">
        <v>252.9308</v>
      </c>
      <c r="N1022" s="97">
        <v>329.12759999999997</v>
      </c>
      <c r="O1022" s="93">
        <f t="shared" si="45"/>
        <v>-1.3190580063258794E-2</v>
      </c>
      <c r="P1022" s="93">
        <f t="shared" si="46"/>
        <v>-4.3850574086780059E-3</v>
      </c>
      <c r="Q1022" s="93">
        <f>B1022*'Portfolio 2 &amp; 3'!$F$7+C1022*'Portfolio 2 &amp; 3'!$F$8+D1022*'Portfolio 2 &amp; 3'!$F$9+E1022*'Portfolio 2 &amp; 3'!$F$10+F1022*'Portfolio 2 &amp; 3'!$F$11+G1022*'Portfolio 2 &amp; 3'!$F$12+H1022*'Portfolio 2 &amp; 3'!$F$13+I1022*'Portfolio 2 &amp; 3'!$F$14+J1022*'Portfolio 2 &amp; 3'!$F$15+K1022*'Portfolio 2 &amp; 3'!$F$16</f>
        <v>9.8101813583835931E-3</v>
      </c>
      <c r="R1022" s="93">
        <f>B1022*'Portfolio 2 &amp; 3'!$B$23+C1022*'Portfolio 2 &amp; 3'!$B$24+D1022*'Portfolio 2 &amp; 3'!$B$25+E1022*'Portfolio 2 &amp; 3'!$B$26+F1022*'Portfolio 2 &amp; 3'!$B$27+G1022*'Portfolio 2 &amp; 3'!$B$28+H1022*'Portfolio 2 &amp; 3'!$B$29+I1022*'Portfolio 2 &amp; 3'!$B$30+J1022*'Portfolio 2 &amp; 3'!$B$31+K1022*'Portfolio 2 &amp; 3'!$B$32</f>
        <v>-1.0246644604413753E-3</v>
      </c>
      <c r="S1022" s="93">
        <f t="shared" si="47"/>
        <v>-8.7878187359684001E-3</v>
      </c>
    </row>
    <row r="1023" spans="1:19" ht="12.75" customHeight="1">
      <c r="A1023" s="82">
        <v>44579</v>
      </c>
      <c r="B1023" s="53">
        <v>-1.9099999999999999E-2</v>
      </c>
      <c r="C1023" s="53">
        <v>-1.4053566902300901E-2</v>
      </c>
      <c r="D1023" s="53">
        <v>1.69097611796762E-2</v>
      </c>
      <c r="E1023" s="53">
        <v>7.11E-3</v>
      </c>
      <c r="F1023" s="53">
        <v>-3.6525510786440001E-2</v>
      </c>
      <c r="G1023" s="53">
        <v>-9.63294205328857E-3</v>
      </c>
      <c r="H1023" s="87">
        <v>-8.8691014601712803E-3</v>
      </c>
      <c r="I1023" s="53">
        <v>1.1770697753381401E-2</v>
      </c>
      <c r="J1023" s="53">
        <v>1.48148148148142E-3</v>
      </c>
      <c r="K1023" s="53">
        <v>1.7900943980575498E-2</v>
      </c>
      <c r="L1023" s="95">
        <f>IFERROR(B1023*'Stock Statistics'!$C$41+C1023*'Stock Statistics'!$C$42+D1023*'Stock Statistics'!$C$43+E1023*'Stock Statistics'!$C$44+F1023*'Stock Statistics'!$C$45+G1023*'Stock Statistics'!$C$46+H1023*'Stock Statistics'!$C$47+I1023*'Stock Statistics'!$C$48+J1023*'Stock Statistics'!$C$49+K1023*'Stock Statistics'!$C$50,"")</f>
        <v>-3.3008236807086232E-3</v>
      </c>
      <c r="M1023" s="97">
        <v>256.31169999999997</v>
      </c>
      <c r="N1023" s="96">
        <v>330.5772</v>
      </c>
      <c r="O1023" s="93">
        <f t="shared" si="45"/>
        <v>-2.6859713153984943E-3</v>
      </c>
      <c r="P1023" s="93">
        <f t="shared" si="46"/>
        <v>-7.6967340885083502E-3</v>
      </c>
      <c r="Q1023" s="93">
        <f>B1023*'Portfolio 2 &amp; 3'!$F$7+C1023*'Portfolio 2 &amp; 3'!$F$8+D1023*'Portfolio 2 &amp; 3'!$F$9+E1023*'Portfolio 2 &amp; 3'!$F$10+F1023*'Portfolio 2 &amp; 3'!$F$11+G1023*'Portfolio 2 &amp; 3'!$F$12+H1023*'Portfolio 2 &amp; 3'!$F$13+I1023*'Portfolio 2 &amp; 3'!$F$14+J1023*'Portfolio 2 &amp; 3'!$F$15+K1023*'Portfolio 2 &amp; 3'!$F$16</f>
        <v>-2.9797613933773611E-3</v>
      </c>
      <c r="R1023" s="93">
        <f>B1023*'Portfolio 2 &amp; 3'!$B$23+C1023*'Portfolio 2 &amp; 3'!$B$24+D1023*'Portfolio 2 &amp; 3'!$B$25+E1023*'Portfolio 2 &amp; 3'!$B$26+F1023*'Portfolio 2 &amp; 3'!$B$27+G1023*'Portfolio 2 &amp; 3'!$B$28+H1023*'Portfolio 2 &amp; 3'!$B$29+I1023*'Portfolio 2 &amp; 3'!$B$30+J1023*'Portfolio 2 &amp; 3'!$B$31+K1023*'Portfolio 2 &amp; 3'!$B$32</f>
        <v>-7.5529992269603961E-3</v>
      </c>
      <c r="S1023" s="93">
        <f t="shared" si="47"/>
        <v>-5.1913527019534222E-3</v>
      </c>
    </row>
    <row r="1024" spans="1:19" ht="12.75" customHeight="1">
      <c r="A1024" s="81">
        <v>44578</v>
      </c>
      <c r="B1024" s="53">
        <v>-9.9000000000000008E-3</v>
      </c>
      <c r="C1024" s="53">
        <v>6.8195029277076102E-3</v>
      </c>
      <c r="D1024" s="53">
        <v>2.48028909329829E-2</v>
      </c>
      <c r="E1024" s="53">
        <v>-2.7859999999999999E-2</v>
      </c>
      <c r="F1024" s="53">
        <v>-9.1608233431350605E-3</v>
      </c>
      <c r="G1024" s="53">
        <v>-0.15105979120531501</v>
      </c>
      <c r="H1024" s="87">
        <v>-3.3273902131573899E-2</v>
      </c>
      <c r="I1024" s="53">
        <v>-7.9717060573738507E-3</v>
      </c>
      <c r="J1024" s="53">
        <v>1.3676588897827901E-2</v>
      </c>
      <c r="K1024" s="53">
        <v>2.42088968964904E-2</v>
      </c>
      <c r="L1024" s="95">
        <f>IFERROR(B1024*'Stock Statistics'!$C$41+C1024*'Stock Statistics'!$C$42+D1024*'Stock Statistics'!$C$43+E1024*'Stock Statistics'!$C$44+F1024*'Stock Statistics'!$C$45+G1024*'Stock Statistics'!$C$46+H1024*'Stock Statistics'!$C$47+I1024*'Stock Statistics'!$C$48+J1024*'Stock Statistics'!$C$49+K1024*'Stock Statistics'!$C$50,"")</f>
        <v>-1.6971834308238905E-2</v>
      </c>
      <c r="M1024" s="96">
        <v>257.00200000000001</v>
      </c>
      <c r="N1024" s="97">
        <v>333.1413</v>
      </c>
      <c r="O1024" s="93">
        <f t="shared" si="45"/>
        <v>-3.702553641671491E-3</v>
      </c>
      <c r="P1024" s="93">
        <f t="shared" si="46"/>
        <v>-2.7501047715978721E-3</v>
      </c>
      <c r="Q1024" s="93">
        <f>B1024*'Portfolio 2 &amp; 3'!$F$7+C1024*'Portfolio 2 &amp; 3'!$F$8+D1024*'Portfolio 2 &amp; 3'!$F$9+E1024*'Portfolio 2 &amp; 3'!$F$10+F1024*'Portfolio 2 &amp; 3'!$F$11+G1024*'Portfolio 2 &amp; 3'!$F$12+H1024*'Portfolio 2 &amp; 3'!$F$13+I1024*'Portfolio 2 &amp; 3'!$F$14+J1024*'Portfolio 2 &amp; 3'!$F$15+K1024*'Portfolio 2 &amp; 3'!$F$16</f>
        <v>-1.0125829814943456E-2</v>
      </c>
      <c r="R1024" s="93">
        <f>B1024*'Portfolio 2 &amp; 3'!$B$23+C1024*'Portfolio 2 &amp; 3'!$B$24+D1024*'Portfolio 2 &amp; 3'!$B$25+E1024*'Portfolio 2 &amp; 3'!$B$26+F1024*'Portfolio 2 &amp; 3'!$B$27+G1024*'Portfolio 2 &amp; 3'!$B$28+H1024*'Portfolio 2 &amp; 3'!$B$29+I1024*'Portfolio 2 &amp; 3'!$B$30+J1024*'Portfolio 2 &amp; 3'!$B$31+K1024*'Portfolio 2 &amp; 3'!$B$32</f>
        <v>-1.7662026420013792E-2</v>
      </c>
      <c r="S1024" s="93">
        <f t="shared" si="47"/>
        <v>-3.2263292066346816E-3</v>
      </c>
    </row>
    <row r="1025" spans="1:19" ht="12.75" customHeight="1">
      <c r="A1025" s="82">
        <v>44575</v>
      </c>
      <c r="B1025" s="53">
        <v>-6.7000000000000002E-3</v>
      </c>
      <c r="C1025" s="53">
        <v>8.7527352297591694E-3</v>
      </c>
      <c r="D1025" s="53">
        <v>-1.30501742725137E-2</v>
      </c>
      <c r="E1025" s="53">
        <v>4.8300000000000001E-3</v>
      </c>
      <c r="F1025" s="53">
        <v>-1.1514812744550001E-2</v>
      </c>
      <c r="G1025" s="53">
        <v>1.38396651538721E-2</v>
      </c>
      <c r="H1025" s="87">
        <v>8.8214739881082894E-3</v>
      </c>
      <c r="I1025" s="53">
        <v>-1.2335295766751099E-3</v>
      </c>
      <c r="J1025" s="53">
        <v>5.0129366106079799E-3</v>
      </c>
      <c r="K1025" s="53">
        <v>2.1574425422277201E-4</v>
      </c>
      <c r="L1025" s="95">
        <f>IFERROR(B1025*'Stock Statistics'!$C$41+C1025*'Stock Statistics'!$C$42+D1025*'Stock Statistics'!$C$43+E1025*'Stock Statistics'!$C$44+F1025*'Stock Statistics'!$C$45+G1025*'Stock Statistics'!$C$46+H1025*'Stock Statistics'!$C$47+I1025*'Stock Statistics'!$C$48+J1025*'Stock Statistics'!$C$49+K1025*'Stock Statistics'!$C$50,"")</f>
        <v>8.9740386428315E-4</v>
      </c>
      <c r="M1025" s="97">
        <v>257.95710000000003</v>
      </c>
      <c r="N1025" s="96">
        <v>334.06</v>
      </c>
      <c r="O1025" s="93">
        <f t="shared" si="45"/>
        <v>8.1316604423073979E-3</v>
      </c>
      <c r="P1025" s="93">
        <f t="shared" si="46"/>
        <v>-9.8287963577728954E-3</v>
      </c>
      <c r="Q1025" s="93">
        <f>B1025*'Portfolio 2 &amp; 3'!$F$7+C1025*'Portfolio 2 &amp; 3'!$F$8+D1025*'Portfolio 2 &amp; 3'!$F$9+E1025*'Portfolio 2 &amp; 3'!$F$10+F1025*'Portfolio 2 &amp; 3'!$F$11+G1025*'Portfolio 2 &amp; 3'!$F$12+H1025*'Portfolio 2 &amp; 3'!$F$13+I1025*'Portfolio 2 &amp; 3'!$F$14+J1025*'Portfolio 2 &amp; 3'!$F$15+K1025*'Portfolio 2 &amp; 3'!$F$16</f>
        <v>6.6685234529275208E-4</v>
      </c>
      <c r="R1025" s="93">
        <f>B1025*'Portfolio 2 &amp; 3'!$B$23+C1025*'Portfolio 2 &amp; 3'!$B$24+D1025*'Portfolio 2 &amp; 3'!$B$25+E1025*'Portfolio 2 &amp; 3'!$B$26+F1025*'Portfolio 2 &amp; 3'!$B$27+G1025*'Portfolio 2 &amp; 3'!$B$28+H1025*'Portfolio 2 &amp; 3'!$B$29+I1025*'Portfolio 2 &amp; 3'!$B$30+J1025*'Portfolio 2 &amp; 3'!$B$31+K1025*'Portfolio 2 &amp; 3'!$B$32</f>
        <v>4.0884715587767502E-4</v>
      </c>
      <c r="S1025" s="93">
        <f t="shared" si="47"/>
        <v>-8.4856795773274873E-4</v>
      </c>
    </row>
    <row r="1026" spans="1:19" ht="12.75" customHeight="1">
      <c r="A1026" s="81">
        <v>44574</v>
      </c>
      <c r="B1026" s="53">
        <v>-4.4000000000000003E-3</v>
      </c>
      <c r="C1026" s="53">
        <v>2.32228099600063E-3</v>
      </c>
      <c r="D1026" s="53">
        <v>1.1727078891258E-2</v>
      </c>
      <c r="E1026" s="53">
        <v>2.615E-2</v>
      </c>
      <c r="F1026" s="53">
        <v>8.6829048263419306E-3</v>
      </c>
      <c r="G1026" s="53">
        <v>-1.49439994944948E-2</v>
      </c>
      <c r="H1026" s="87">
        <v>-2.9313968617594902E-2</v>
      </c>
      <c r="I1026" s="53">
        <v>6.8603954463750699E-2</v>
      </c>
      <c r="J1026" s="53">
        <v>2.4236736045933901E-2</v>
      </c>
      <c r="K1026" s="53">
        <v>-2.70053343870395E-2</v>
      </c>
      <c r="L1026" s="95">
        <f>IFERROR(B1026*'Stock Statistics'!$C$41+C1026*'Stock Statistics'!$C$42+D1026*'Stock Statistics'!$C$43+E1026*'Stock Statistics'!$C$44+F1026*'Stock Statistics'!$C$45+G1026*'Stock Statistics'!$C$46+H1026*'Stock Statistics'!$C$47+I1026*'Stock Statistics'!$C$48+J1026*'Stock Statistics'!$C$49+K1026*'Stock Statistics'!$C$50,"")</f>
        <v>6.6059652724155971E-3</v>
      </c>
      <c r="M1026" s="96">
        <v>255.87639999999999</v>
      </c>
      <c r="N1026" s="97">
        <v>337.37599999999998</v>
      </c>
      <c r="O1026" s="93">
        <f t="shared" ref="O1026:O1089" si="48">M1026/M1027-1</f>
        <v>3.8738431238696247E-3</v>
      </c>
      <c r="P1026" s="93">
        <f t="shared" ref="P1026:P1089" si="49">N1026/N1027-1</f>
        <v>-3.0189339404299576E-3</v>
      </c>
      <c r="Q1026" s="93">
        <f>B1026*'Portfolio 2 &amp; 3'!$F$7+C1026*'Portfolio 2 &amp; 3'!$F$8+D1026*'Portfolio 2 &amp; 3'!$F$9+E1026*'Portfolio 2 &amp; 3'!$F$10+F1026*'Portfolio 2 &amp; 3'!$F$11+G1026*'Portfolio 2 &amp; 3'!$F$12+H1026*'Portfolio 2 &amp; 3'!$F$13+I1026*'Portfolio 2 &amp; 3'!$F$14+J1026*'Portfolio 2 &amp; 3'!$F$15+K1026*'Portfolio 2 &amp; 3'!$F$16</f>
        <v>5.8985220971478382E-3</v>
      </c>
      <c r="R1026" s="93">
        <f>B1026*'Portfolio 2 &amp; 3'!$B$23+C1026*'Portfolio 2 &amp; 3'!$B$24+D1026*'Portfolio 2 &amp; 3'!$B$25+E1026*'Portfolio 2 &amp; 3'!$B$26+F1026*'Portfolio 2 &amp; 3'!$B$27+G1026*'Portfolio 2 &amp; 3'!$B$28+H1026*'Portfolio 2 &amp; 3'!$B$29+I1026*'Portfolio 2 &amp; 3'!$B$30+J1026*'Portfolio 2 &amp; 3'!$B$31+K1026*'Portfolio 2 &amp; 3'!$B$32</f>
        <v>1.4532157198960054E-2</v>
      </c>
      <c r="S1026" s="93">
        <f t="shared" ref="S1026:S1089" si="50">IFERROR(AVERAGE(O1026,P1026),"")</f>
        <v>4.2745459171983358E-4</v>
      </c>
    </row>
    <row r="1027" spans="1:19" ht="12.75" customHeight="1">
      <c r="A1027" s="82">
        <v>44573</v>
      </c>
      <c r="B1027" s="53">
        <v>-1.55E-2</v>
      </c>
      <c r="C1027" s="53">
        <v>-2.5031446540880499E-2</v>
      </c>
      <c r="D1027" s="53">
        <v>-6.9799374475551207E-2</v>
      </c>
      <c r="E1027" s="53">
        <v>-3.6319999999999998E-2</v>
      </c>
      <c r="F1027" s="53">
        <v>-5.2720134604599097E-3</v>
      </c>
      <c r="G1027" s="53">
        <v>-1.2372066899650499E-2</v>
      </c>
      <c r="H1027" s="87">
        <v>-2.0777297426794999E-2</v>
      </c>
      <c r="I1027" s="53">
        <v>8.6420499184141093E-3</v>
      </c>
      <c r="J1027" s="53">
        <v>1.5188880170384301E-2</v>
      </c>
      <c r="K1027" s="53">
        <v>-1.82418774343052E-3</v>
      </c>
      <c r="L1027" s="95">
        <f>IFERROR(B1027*'Stock Statistics'!$C$41+C1027*'Stock Statistics'!$C$42+D1027*'Stock Statistics'!$C$43+E1027*'Stock Statistics'!$C$44+F1027*'Stock Statistics'!$C$45+G1027*'Stock Statistics'!$C$46+H1027*'Stock Statistics'!$C$47+I1027*'Stock Statistics'!$C$48+J1027*'Stock Statistics'!$C$49+K1027*'Stock Statistics'!$C$50,"")</f>
        <v>-1.6306545645796925E-2</v>
      </c>
      <c r="M1027" s="97">
        <v>254.88900000000001</v>
      </c>
      <c r="N1027" s="96">
        <v>338.39760000000001</v>
      </c>
      <c r="O1027" s="93">
        <f t="shared" si="48"/>
        <v>-2.3293034674173319E-3</v>
      </c>
      <c r="P1027" s="93">
        <f t="shared" si="49"/>
        <v>1.0616325033717233E-2</v>
      </c>
      <c r="Q1027" s="93">
        <f>B1027*'Portfolio 2 &amp; 3'!$F$7+C1027*'Portfolio 2 &amp; 3'!$F$8+D1027*'Portfolio 2 &amp; 3'!$F$9+E1027*'Portfolio 2 &amp; 3'!$F$10+F1027*'Portfolio 2 &amp; 3'!$F$11+G1027*'Portfolio 2 &amp; 3'!$F$12+H1027*'Portfolio 2 &amp; 3'!$F$13+I1027*'Portfolio 2 &amp; 3'!$F$14+J1027*'Portfolio 2 &amp; 3'!$F$15+K1027*'Portfolio 2 &amp; 3'!$F$16</f>
        <v>-1.7227768862314721E-2</v>
      </c>
      <c r="R1027" s="93">
        <f>B1027*'Portfolio 2 &amp; 3'!$B$23+C1027*'Portfolio 2 &amp; 3'!$B$24+D1027*'Portfolio 2 &amp; 3'!$B$25+E1027*'Portfolio 2 &amp; 3'!$B$26+F1027*'Portfolio 2 &amp; 3'!$B$27+G1027*'Portfolio 2 &amp; 3'!$B$28+H1027*'Portfolio 2 &amp; 3'!$B$29+I1027*'Portfolio 2 &amp; 3'!$B$30+J1027*'Portfolio 2 &amp; 3'!$B$31+K1027*'Portfolio 2 &amp; 3'!$B$32</f>
        <v>-7.9905248623259578E-3</v>
      </c>
      <c r="S1027" s="93">
        <f t="shared" si="50"/>
        <v>4.1435107831499507E-3</v>
      </c>
    </row>
    <row r="1028" spans="1:19" ht="12.75" customHeight="1">
      <c r="A1028" s="81">
        <v>44572</v>
      </c>
      <c r="B1028" s="53">
        <v>-7.9000000000000008E-3</v>
      </c>
      <c r="C1028" s="53">
        <v>-1.3130672257317001E-2</v>
      </c>
      <c r="D1028" s="53">
        <v>-8.6963097398668997E-3</v>
      </c>
      <c r="E1028" s="53">
        <v>-2.0129999999999999E-2</v>
      </c>
      <c r="F1028" s="53">
        <v>-1.7630853994490402E-2</v>
      </c>
      <c r="G1028" s="53">
        <v>1.1402152351498399E-3</v>
      </c>
      <c r="H1028" s="87">
        <v>-1.9936178614499599E-2</v>
      </c>
      <c r="I1028" s="53">
        <v>1.8778475557197399E-2</v>
      </c>
      <c r="J1028" s="53">
        <v>2.8416623436509299E-2</v>
      </c>
      <c r="K1028" s="53">
        <v>-2.9382207972436201E-2</v>
      </c>
      <c r="L1028" s="95">
        <f>IFERROR(B1028*'Stock Statistics'!$C$41+C1028*'Stock Statistics'!$C$42+D1028*'Stock Statistics'!$C$43+E1028*'Stock Statistics'!$C$44+F1028*'Stock Statistics'!$C$45+G1028*'Stock Statistics'!$C$46+H1028*'Stock Statistics'!$C$47+I1028*'Stock Statistics'!$C$48+J1028*'Stock Statistics'!$C$49+K1028*'Stock Statistics'!$C$50,"")</f>
        <v>-6.8470908349753563E-3</v>
      </c>
      <c r="M1028" s="96">
        <v>255.48410000000001</v>
      </c>
      <c r="N1028" s="97">
        <v>334.84280000000001</v>
      </c>
      <c r="O1028" s="93">
        <f t="shared" si="48"/>
        <v>7.5144353663914032E-3</v>
      </c>
      <c r="P1028" s="93">
        <f t="shared" si="49"/>
        <v>7.4623318026758589E-3</v>
      </c>
      <c r="Q1028" s="93">
        <f>B1028*'Portfolio 2 &amp; 3'!$F$7+C1028*'Portfolio 2 &amp; 3'!$F$8+D1028*'Portfolio 2 &amp; 3'!$F$9+E1028*'Portfolio 2 &amp; 3'!$F$10+F1028*'Portfolio 2 &amp; 3'!$F$11+G1028*'Portfolio 2 &amp; 3'!$F$12+H1028*'Portfolio 2 &amp; 3'!$F$13+I1028*'Portfolio 2 &amp; 3'!$F$14+J1028*'Portfolio 2 &amp; 3'!$F$15+K1028*'Portfolio 2 &amp; 3'!$F$16</f>
        <v>-6.0283639826685161E-3</v>
      </c>
      <c r="R1028" s="93">
        <f>B1028*'Portfolio 2 &amp; 3'!$B$23+C1028*'Portfolio 2 &amp; 3'!$B$24+D1028*'Portfolio 2 &amp; 3'!$B$25+E1028*'Portfolio 2 &amp; 3'!$B$26+F1028*'Portfolio 2 &amp; 3'!$B$27+G1028*'Portfolio 2 &amp; 3'!$B$28+H1028*'Portfolio 2 &amp; 3'!$B$29+I1028*'Portfolio 2 &amp; 3'!$B$30+J1028*'Portfolio 2 &amp; 3'!$B$31+K1028*'Portfolio 2 &amp; 3'!$B$32</f>
        <v>-3.8272248162383353E-3</v>
      </c>
      <c r="S1028" s="93">
        <f t="shared" si="50"/>
        <v>7.4883835845336311E-3</v>
      </c>
    </row>
    <row r="1029" spans="1:19" ht="12.75" customHeight="1">
      <c r="A1029" s="82">
        <v>44571</v>
      </c>
      <c r="B1029" s="53">
        <v>-3.2000000000000002E-3</v>
      </c>
      <c r="C1029" s="53">
        <v>-1.9567539790936998E-2</v>
      </c>
      <c r="D1029" s="53">
        <v>-1.38702460850111E-2</v>
      </c>
      <c r="E1029" s="53">
        <v>1.529E-2</v>
      </c>
      <c r="F1029" s="53">
        <v>7.2142064372919803E-3</v>
      </c>
      <c r="G1029" s="53">
        <v>4.50294966737785E-3</v>
      </c>
      <c r="H1029" s="87">
        <v>-1.83230177584137E-3</v>
      </c>
      <c r="I1029" s="53">
        <v>5.0120660850194697E-3</v>
      </c>
      <c r="J1029" s="53">
        <v>-1.6886722955743099E-2</v>
      </c>
      <c r="K1029" s="53">
        <v>-3.4724868641376597E-2</v>
      </c>
      <c r="L1029" s="95">
        <f>IFERROR(B1029*'Stock Statistics'!$C$41+C1029*'Stock Statistics'!$C$42+D1029*'Stock Statistics'!$C$43+E1029*'Stock Statistics'!$C$44+F1029*'Stock Statistics'!$C$45+G1029*'Stock Statistics'!$C$46+H1029*'Stock Statistics'!$C$47+I1029*'Stock Statistics'!$C$48+J1029*'Stock Statistics'!$C$49+K1029*'Stock Statistics'!$C$50,"")</f>
        <v>-5.8062457059219873E-3</v>
      </c>
      <c r="M1029" s="97">
        <v>253.57859999999999</v>
      </c>
      <c r="N1029" s="96">
        <v>332.36259999999999</v>
      </c>
      <c r="O1029" s="93">
        <f t="shared" si="48"/>
        <v>-4.5067927731143875E-3</v>
      </c>
      <c r="P1029" s="93">
        <f t="shared" si="49"/>
        <v>1.5105206847905395E-2</v>
      </c>
      <c r="Q1029" s="93">
        <f>B1029*'Portfolio 2 &amp; 3'!$F$7+C1029*'Portfolio 2 &amp; 3'!$F$8+D1029*'Portfolio 2 &amp; 3'!$F$9+E1029*'Portfolio 2 &amp; 3'!$F$10+F1029*'Portfolio 2 &amp; 3'!$F$11+G1029*'Portfolio 2 &amp; 3'!$F$12+H1029*'Portfolio 2 &amp; 3'!$F$13+I1029*'Portfolio 2 &amp; 3'!$F$14+J1029*'Portfolio 2 &amp; 3'!$F$15+K1029*'Portfolio 2 &amp; 3'!$F$16</f>
        <v>-6.9259749098063419E-3</v>
      </c>
      <c r="R1029" s="93">
        <f>B1029*'Portfolio 2 &amp; 3'!$B$23+C1029*'Portfolio 2 &amp; 3'!$B$24+D1029*'Portfolio 2 &amp; 3'!$B$25+E1029*'Portfolio 2 &amp; 3'!$B$26+F1029*'Portfolio 2 &amp; 3'!$B$27+G1029*'Portfolio 2 &amp; 3'!$B$28+H1029*'Portfolio 2 &amp; 3'!$B$29+I1029*'Portfolio 2 &amp; 3'!$B$30+J1029*'Portfolio 2 &amp; 3'!$B$31+K1029*'Portfolio 2 &amp; 3'!$B$32</f>
        <v>-5.0659629832033905E-3</v>
      </c>
      <c r="S1029" s="93">
        <f t="shared" si="50"/>
        <v>5.2992070373955036E-3</v>
      </c>
    </row>
    <row r="1030" spans="1:19" ht="12.75" customHeight="1">
      <c r="A1030" s="81">
        <v>44568</v>
      </c>
      <c r="B1030" s="53">
        <v>-1.8800000000000001E-2</v>
      </c>
      <c r="C1030" s="53">
        <v>4.5998782385159298E-4</v>
      </c>
      <c r="D1030" s="53">
        <v>2.5418660287082101E-3</v>
      </c>
      <c r="E1030" s="53">
        <v>1.8E-3</v>
      </c>
      <c r="F1030" s="53">
        <v>-1.4438853642529101E-2</v>
      </c>
      <c r="G1030" s="53">
        <v>-1.3162018176119401E-3</v>
      </c>
      <c r="H1030" s="87">
        <v>4.5265816282853404E-3</v>
      </c>
      <c r="I1030" s="53">
        <v>8.9904476493725093E-3</v>
      </c>
      <c r="J1030" s="53">
        <v>-1.48495506057053E-2</v>
      </c>
      <c r="K1030" s="53">
        <v>-3.3861430324667999E-2</v>
      </c>
      <c r="L1030" s="95">
        <f>IFERROR(B1030*'Stock Statistics'!$C$41+C1030*'Stock Statistics'!$C$42+D1030*'Stock Statistics'!$C$43+E1030*'Stock Statistics'!$C$44+F1030*'Stock Statistics'!$C$45+G1030*'Stock Statistics'!$C$46+H1030*'Stock Statistics'!$C$47+I1030*'Stock Statistics'!$C$48+J1030*'Stock Statistics'!$C$49+K1030*'Stock Statistics'!$C$50,"")</f>
        <v>-6.4947153260296693E-3</v>
      </c>
      <c r="M1030" s="96">
        <v>254.72659999999999</v>
      </c>
      <c r="N1030" s="97">
        <v>327.4169</v>
      </c>
      <c r="O1030" s="93">
        <f t="shared" si="48"/>
        <v>-6.9482969206916545E-3</v>
      </c>
      <c r="P1030" s="93">
        <f t="shared" si="49"/>
        <v>5.4717688602978765E-3</v>
      </c>
      <c r="Q1030" s="93">
        <f>B1030*'Portfolio 2 &amp; 3'!$F$7+C1030*'Portfolio 2 &amp; 3'!$F$8+D1030*'Portfolio 2 &amp; 3'!$F$9+E1030*'Portfolio 2 &amp; 3'!$F$10+F1030*'Portfolio 2 &amp; 3'!$F$11+G1030*'Portfolio 2 &amp; 3'!$F$12+H1030*'Portfolio 2 &amp; 3'!$F$13+I1030*'Portfolio 2 &amp; 3'!$F$14+J1030*'Portfolio 2 &amp; 3'!$F$15+K1030*'Portfolio 2 &amp; 3'!$F$16</f>
        <v>-5.6226018677029569E-3</v>
      </c>
      <c r="R1030" s="93">
        <f>B1030*'Portfolio 2 &amp; 3'!$B$23+C1030*'Portfolio 2 &amp; 3'!$B$24+D1030*'Portfolio 2 &amp; 3'!$B$25+E1030*'Portfolio 2 &amp; 3'!$B$26+F1030*'Portfolio 2 &amp; 3'!$B$27+G1030*'Portfolio 2 &amp; 3'!$B$28+H1030*'Portfolio 2 &amp; 3'!$B$29+I1030*'Portfolio 2 &amp; 3'!$B$30+J1030*'Portfolio 2 &amp; 3'!$B$31+K1030*'Portfolio 2 &amp; 3'!$B$32</f>
        <v>-5.8265967604058198E-3</v>
      </c>
      <c r="S1030" s="93">
        <f t="shared" si="50"/>
        <v>-7.3826403019688902E-4</v>
      </c>
    </row>
    <row r="1031" spans="1:19" ht="12.75" customHeight="1">
      <c r="A1031" s="82">
        <v>44567</v>
      </c>
      <c r="B1031" s="53">
        <v>-7.4999999999999997E-3</v>
      </c>
      <c r="C1031" s="53">
        <v>-2.7119650277943599E-3</v>
      </c>
      <c r="D1031" s="53">
        <v>-2.47885680956547E-2</v>
      </c>
      <c r="E1031" s="53">
        <v>-9.7199999999999995E-3</v>
      </c>
      <c r="F1031" s="53">
        <v>-3.5967302452315502E-3</v>
      </c>
      <c r="G1031" s="53">
        <v>-1.0018157911213499E-3</v>
      </c>
      <c r="H1031" s="87">
        <v>-3.58270067388899E-3</v>
      </c>
      <c r="I1031" s="53">
        <v>-9.7681607418855804E-3</v>
      </c>
      <c r="J1031" s="53">
        <v>-7.2050102532837997E-3</v>
      </c>
      <c r="K1031" s="53">
        <v>-1.00836066841169E-2</v>
      </c>
      <c r="L1031" s="95">
        <f>IFERROR(B1031*'Stock Statistics'!$C$41+C1031*'Stock Statistics'!$C$42+D1031*'Stock Statistics'!$C$43+E1031*'Stock Statistics'!$C$44+F1031*'Stock Statistics'!$C$45+G1031*'Stock Statistics'!$C$46+H1031*'Stock Statistics'!$C$47+I1031*'Stock Statistics'!$C$48+J1031*'Stock Statistics'!$C$49+K1031*'Stock Statistics'!$C$50,"")</f>
        <v>-7.9958557512977233E-3</v>
      </c>
      <c r="M1031" s="97">
        <v>256.50889999999998</v>
      </c>
      <c r="N1031" s="96">
        <v>325.63510000000002</v>
      </c>
      <c r="O1031" s="93">
        <f t="shared" si="48"/>
        <v>-4.8985225680407973E-3</v>
      </c>
      <c r="P1031" s="93">
        <f t="shared" si="49"/>
        <v>1.5987599797698149E-2</v>
      </c>
      <c r="Q1031" s="93">
        <f>B1031*'Portfolio 2 &amp; 3'!$F$7+C1031*'Portfolio 2 &amp; 3'!$F$8+D1031*'Portfolio 2 &amp; 3'!$F$9+E1031*'Portfolio 2 &amp; 3'!$F$10+F1031*'Portfolio 2 &amp; 3'!$F$11+G1031*'Portfolio 2 &amp; 3'!$F$12+H1031*'Portfolio 2 &amp; 3'!$F$13+I1031*'Portfolio 2 &amp; 3'!$F$14+J1031*'Portfolio 2 &amp; 3'!$F$15+K1031*'Portfolio 2 &amp; 3'!$F$16</f>
        <v>-8.4577878569204457E-3</v>
      </c>
      <c r="R1031" s="93">
        <f>B1031*'Portfolio 2 &amp; 3'!$B$23+C1031*'Portfolio 2 &amp; 3'!$B$24+D1031*'Portfolio 2 &amp; 3'!$B$25+E1031*'Portfolio 2 &amp; 3'!$B$26+F1031*'Portfolio 2 &amp; 3'!$B$27+G1031*'Portfolio 2 &amp; 3'!$B$28+H1031*'Portfolio 2 &amp; 3'!$B$29+I1031*'Portfolio 2 &amp; 3'!$B$30+J1031*'Portfolio 2 &amp; 3'!$B$31+K1031*'Portfolio 2 &amp; 3'!$B$32</f>
        <v>-6.1557510115772462E-3</v>
      </c>
      <c r="S1031" s="93">
        <f t="shared" si="50"/>
        <v>5.5445386148286757E-3</v>
      </c>
    </row>
    <row r="1032" spans="1:19" ht="12.75" customHeight="1">
      <c r="A1032" s="81">
        <v>44566</v>
      </c>
      <c r="B1032" s="53">
        <v>-6.3E-3</v>
      </c>
      <c r="C1032" s="53">
        <v>-8.22951653263038E-3</v>
      </c>
      <c r="D1032" s="53">
        <v>-1.34503344601885E-2</v>
      </c>
      <c r="E1032" s="53">
        <v>-7.4599999999999996E-3</v>
      </c>
      <c r="F1032" s="53">
        <v>-1.26977294737974E-2</v>
      </c>
      <c r="G1032" s="53">
        <v>1.56779129562268E-3</v>
      </c>
      <c r="H1032" s="87">
        <v>-7.7762143061183E-3</v>
      </c>
      <c r="I1032" s="53">
        <v>-1.3719512195121899E-2</v>
      </c>
      <c r="J1032" s="53">
        <v>-8.8442100637223797E-3</v>
      </c>
      <c r="K1032" s="53">
        <v>-2.2287732028896501E-2</v>
      </c>
      <c r="L1032" s="95">
        <f>IFERROR(B1032*'Stock Statistics'!$C$41+C1032*'Stock Statistics'!$C$42+D1032*'Stock Statistics'!$C$43+E1032*'Stock Statistics'!$C$44+F1032*'Stock Statistics'!$C$45+G1032*'Stock Statistics'!$C$46+H1032*'Stock Statistics'!$C$47+I1032*'Stock Statistics'!$C$48+J1032*'Stock Statistics'!$C$49+K1032*'Stock Statistics'!$C$50,"")</f>
        <v>-9.9197457764852691E-3</v>
      </c>
      <c r="M1032" s="96">
        <v>257.77159999999998</v>
      </c>
      <c r="N1032" s="97">
        <v>320.51089999999999</v>
      </c>
      <c r="O1032" s="93">
        <f t="shared" si="48"/>
        <v>-8.6157628230719707E-3</v>
      </c>
      <c r="P1032" s="93">
        <f t="shared" si="49"/>
        <v>-1.0157507769458785E-2</v>
      </c>
      <c r="Q1032" s="93">
        <f>B1032*'Portfolio 2 &amp; 3'!$F$7+C1032*'Portfolio 2 &amp; 3'!$F$8+D1032*'Portfolio 2 &amp; 3'!$F$9+E1032*'Portfolio 2 &amp; 3'!$F$10+F1032*'Portfolio 2 &amp; 3'!$F$11+G1032*'Portfolio 2 &amp; 3'!$F$12+H1032*'Portfolio 2 &amp; 3'!$F$13+I1032*'Portfolio 2 &amp; 3'!$F$14+J1032*'Portfolio 2 &amp; 3'!$F$15+K1032*'Portfolio 2 &amp; 3'!$F$16</f>
        <v>-1.0255657072376224E-2</v>
      </c>
      <c r="R1032" s="93">
        <f>B1032*'Portfolio 2 &amp; 3'!$B$23+C1032*'Portfolio 2 &amp; 3'!$B$24+D1032*'Portfolio 2 &amp; 3'!$B$25+E1032*'Portfolio 2 &amp; 3'!$B$26+F1032*'Portfolio 2 &amp; 3'!$B$27+G1032*'Portfolio 2 &amp; 3'!$B$28+H1032*'Portfolio 2 &amp; 3'!$B$29+I1032*'Portfolio 2 &amp; 3'!$B$30+J1032*'Portfolio 2 &amp; 3'!$B$31+K1032*'Portfolio 2 &amp; 3'!$B$32</f>
        <v>-1.0287795381110689E-2</v>
      </c>
      <c r="S1032" s="93">
        <f t="shared" si="50"/>
        <v>-9.3866352962653776E-3</v>
      </c>
    </row>
    <row r="1033" spans="1:19" ht="12.75" customHeight="1">
      <c r="A1033" s="82">
        <v>44565</v>
      </c>
      <c r="B1033" s="53">
        <v>-1.55E-2</v>
      </c>
      <c r="C1033" s="53">
        <v>1.44020632550563E-2</v>
      </c>
      <c r="D1033" s="53">
        <v>-3.1284838350055799E-2</v>
      </c>
      <c r="E1033" s="53">
        <v>5.1900000000000002E-3</v>
      </c>
      <c r="F1033" s="53">
        <v>-2.6401257202724002E-2</v>
      </c>
      <c r="G1033" s="53">
        <v>9.2724453305483793E-3</v>
      </c>
      <c r="H1033" s="87">
        <v>6.9352708058123599E-3</v>
      </c>
      <c r="I1033" s="53">
        <v>-2.2063208109719699E-2</v>
      </c>
      <c r="J1033" s="53">
        <v>-1.2262615301139399E-2</v>
      </c>
      <c r="K1033" s="53">
        <v>2.9783823593121398E-3</v>
      </c>
      <c r="L1033" s="95">
        <f>IFERROR(B1033*'Stock Statistics'!$C$41+C1033*'Stock Statistics'!$C$42+D1033*'Stock Statistics'!$C$43+E1033*'Stock Statistics'!$C$44+F1033*'Stock Statistics'!$C$45+G1033*'Stock Statistics'!$C$46+H1033*'Stock Statistics'!$C$47+I1033*'Stock Statistics'!$C$48+J1033*'Stock Statistics'!$C$49+K1033*'Stock Statistics'!$C$50,"")</f>
        <v>-6.8733757212909733E-3</v>
      </c>
      <c r="M1033" s="97">
        <v>260.01179999999999</v>
      </c>
      <c r="N1033" s="96">
        <v>323.79989999999998</v>
      </c>
      <c r="O1033" s="93">
        <f t="shared" si="48"/>
        <v>-2.4446669659197173E-3</v>
      </c>
      <c r="P1033" s="93">
        <f t="shared" si="49"/>
        <v>9.5747500226046611E-3</v>
      </c>
      <c r="Q1033" s="93">
        <f>B1033*'Portfolio 2 &amp; 3'!$F$7+C1033*'Portfolio 2 &amp; 3'!$F$8+D1033*'Portfolio 2 &amp; 3'!$F$9+E1033*'Portfolio 2 &amp; 3'!$F$10+F1033*'Portfolio 2 &amp; 3'!$F$11+G1033*'Portfolio 2 &amp; 3'!$F$12+H1033*'Portfolio 2 &amp; 3'!$F$13+I1033*'Portfolio 2 &amp; 3'!$F$14+J1033*'Portfolio 2 &amp; 3'!$F$15+K1033*'Portfolio 2 &amp; 3'!$F$16</f>
        <v>-7.9311466328916922E-3</v>
      </c>
      <c r="R1033" s="93">
        <f>B1033*'Portfolio 2 &amp; 3'!$B$23+C1033*'Portfolio 2 &amp; 3'!$B$24+D1033*'Portfolio 2 &amp; 3'!$B$25+E1033*'Portfolio 2 &amp; 3'!$B$26+F1033*'Portfolio 2 &amp; 3'!$B$27+G1033*'Portfolio 2 &amp; 3'!$B$28+H1033*'Portfolio 2 &amp; 3'!$B$29+I1033*'Portfolio 2 &amp; 3'!$B$30+J1033*'Portfolio 2 &amp; 3'!$B$31+K1033*'Portfolio 2 &amp; 3'!$B$32</f>
        <v>-8.3422429699373905E-3</v>
      </c>
      <c r="S1033" s="93">
        <f t="shared" si="50"/>
        <v>3.5650415283424719E-3</v>
      </c>
    </row>
    <row r="1034" spans="1:19" ht="12.75" customHeight="1">
      <c r="A1034" s="81">
        <v>44564</v>
      </c>
      <c r="B1034" s="53">
        <v>-1.03E-2</v>
      </c>
      <c r="C1034" s="53">
        <v>-1.0858058036322701E-4</v>
      </c>
      <c r="D1034" s="53">
        <v>9.7642627981597797E-4</v>
      </c>
      <c r="E1034" s="53">
        <v>4.7499999999999999E-3</v>
      </c>
      <c r="F1034" s="53">
        <v>-1.22115285108144E-2</v>
      </c>
      <c r="G1034" s="53">
        <v>1.09092072429458E-2</v>
      </c>
      <c r="H1034" s="87">
        <v>5.1721368528134803E-3</v>
      </c>
      <c r="I1034" s="53">
        <v>-9.6846580843273893E-3</v>
      </c>
      <c r="J1034" s="53">
        <v>-2.7595909312265699E-3</v>
      </c>
      <c r="K1034" s="53">
        <v>5.7842507162231297E-3</v>
      </c>
      <c r="L1034" s="95">
        <f>IFERROR(B1034*'Stock Statistics'!$C$41+C1034*'Stock Statistics'!$C$42+D1034*'Stock Statistics'!$C$43+E1034*'Stock Statistics'!$C$44+F1034*'Stock Statistics'!$C$45+G1034*'Stock Statistics'!$C$46+H1034*'Stock Statistics'!$C$47+I1034*'Stock Statistics'!$C$48+J1034*'Stock Statistics'!$C$49+K1034*'Stock Statistics'!$C$50,"")</f>
        <v>-7.4723370149332028E-4</v>
      </c>
      <c r="M1034" s="96">
        <v>260.649</v>
      </c>
      <c r="N1034" s="97">
        <v>320.72899999999998</v>
      </c>
      <c r="O1034" s="93">
        <f t="shared" si="48"/>
        <v>8.860902067930887E-3</v>
      </c>
      <c r="P1034" s="93">
        <f t="shared" si="49"/>
        <v>1.3410438668776337E-2</v>
      </c>
      <c r="Q1034" s="93">
        <f>B1034*'Portfolio 2 &amp; 3'!$F$7+C1034*'Portfolio 2 &amp; 3'!$F$8+D1034*'Portfolio 2 &amp; 3'!$F$9+E1034*'Portfolio 2 &amp; 3'!$F$10+F1034*'Portfolio 2 &amp; 3'!$F$11+G1034*'Portfolio 2 &amp; 3'!$F$12+H1034*'Portfolio 2 &amp; 3'!$F$13+I1034*'Portfolio 2 &amp; 3'!$F$14+J1034*'Portfolio 2 &amp; 3'!$F$15+K1034*'Portfolio 2 &amp; 3'!$F$16</f>
        <v>-8.0570588982029837E-4</v>
      </c>
      <c r="R1034" s="93">
        <f>B1034*'Portfolio 2 &amp; 3'!$B$23+C1034*'Portfolio 2 &amp; 3'!$B$24+D1034*'Portfolio 2 &amp; 3'!$B$25+E1034*'Portfolio 2 &amp; 3'!$B$26+F1034*'Portfolio 2 &amp; 3'!$B$27+G1034*'Portfolio 2 &amp; 3'!$B$28+H1034*'Portfolio 2 &amp; 3'!$B$29+I1034*'Portfolio 2 &amp; 3'!$B$30+J1034*'Portfolio 2 &amp; 3'!$B$31+K1034*'Portfolio 2 &amp; 3'!$B$32</f>
        <v>-4.0139169786615496E-3</v>
      </c>
      <c r="S1034" s="93">
        <f t="shared" si="50"/>
        <v>1.1135670368353612E-2</v>
      </c>
    </row>
    <row r="1035" spans="1:19" ht="12.75" customHeight="1">
      <c r="A1035" s="82">
        <v>44561</v>
      </c>
      <c r="B1035" s="53">
        <v>5.4000000000000003E-3</v>
      </c>
      <c r="C1035" s="53">
        <v>2.2510269790163101E-2</v>
      </c>
      <c r="D1035" s="53">
        <v>-3.8905099346950899E-3</v>
      </c>
      <c r="E1035" s="53">
        <v>4.4099999999999999E-3</v>
      </c>
      <c r="F1035" s="53">
        <v>7.7171759307539398E-3</v>
      </c>
      <c r="G1035" s="53">
        <v>-5.89947047879524E-3</v>
      </c>
      <c r="H1035" s="87">
        <v>-6.3417073663826198E-3</v>
      </c>
      <c r="I1035" s="53">
        <v>-7.6183778715423998E-3</v>
      </c>
      <c r="J1035" s="53">
        <v>1.9697638490399301E-2</v>
      </c>
      <c r="K1035" s="53">
        <v>2.16230051859603E-2</v>
      </c>
      <c r="L1035" s="95">
        <f>IFERROR(B1035*'Stock Statistics'!$C$41+C1035*'Stock Statistics'!$C$42+D1035*'Stock Statistics'!$C$43+E1035*'Stock Statistics'!$C$44+F1035*'Stock Statistics'!$C$45+G1035*'Stock Statistics'!$C$46+H1035*'Stock Statistics'!$C$47+I1035*'Stock Statistics'!$C$48+J1035*'Stock Statistics'!$C$49+K1035*'Stock Statistics'!$C$50,"")</f>
        <v>5.7608023745861284E-3</v>
      </c>
      <c r="M1035" s="97">
        <v>258.35969999999998</v>
      </c>
      <c r="N1035" s="96">
        <v>316.48480000000001</v>
      </c>
      <c r="O1035" s="93">
        <f t="shared" si="48"/>
        <v>4.8965230757740397E-3</v>
      </c>
      <c r="P1035" s="93">
        <f t="shared" si="49"/>
        <v>1.0806729581362307E-2</v>
      </c>
      <c r="Q1035" s="93">
        <f>B1035*'Portfolio 2 &amp; 3'!$F$7+C1035*'Portfolio 2 &amp; 3'!$F$8+D1035*'Portfolio 2 &amp; 3'!$F$9+E1035*'Portfolio 2 &amp; 3'!$F$10+F1035*'Portfolio 2 &amp; 3'!$F$11+G1035*'Portfolio 2 &amp; 3'!$F$12+H1035*'Portfolio 2 &amp; 3'!$F$13+I1035*'Portfolio 2 &amp; 3'!$F$14+J1035*'Portfolio 2 &amp; 3'!$F$15+K1035*'Portfolio 2 &amp; 3'!$F$16</f>
        <v>5.7027203435522445E-3</v>
      </c>
      <c r="R1035" s="93">
        <f>B1035*'Portfolio 2 &amp; 3'!$B$23+C1035*'Portfolio 2 &amp; 3'!$B$24+D1035*'Portfolio 2 &amp; 3'!$B$25+E1035*'Portfolio 2 &amp; 3'!$B$26+F1035*'Portfolio 2 &amp; 3'!$B$27+G1035*'Portfolio 2 &amp; 3'!$B$28+H1035*'Portfolio 2 &amp; 3'!$B$29+I1035*'Portfolio 2 &amp; 3'!$B$30+J1035*'Portfolio 2 &amp; 3'!$B$31+K1035*'Portfolio 2 &amp; 3'!$B$32</f>
        <v>5.9793389030518562E-3</v>
      </c>
      <c r="S1035" s="93">
        <f t="shared" si="50"/>
        <v>7.8516263285681731E-3</v>
      </c>
    </row>
    <row r="1036" spans="1:19" ht="12.75" customHeight="1">
      <c r="A1036" s="81">
        <v>44560</v>
      </c>
      <c r="B1036" s="53">
        <v>3.3999999999999998E-3</v>
      </c>
      <c r="C1036" s="53">
        <v>-3.0438873208257201E-3</v>
      </c>
      <c r="D1036" s="53">
        <v>-2.3870880238708699E-2</v>
      </c>
      <c r="E1036" s="53">
        <v>2.3230000000000001E-2</v>
      </c>
      <c r="F1036" s="53">
        <v>2.17368140649974E-2</v>
      </c>
      <c r="G1036" s="53">
        <v>1.2259194395796199E-3</v>
      </c>
      <c r="H1036" s="87">
        <v>-1.9858125902640902E-3</v>
      </c>
      <c r="I1036" s="53">
        <v>-7.6184937481825797E-3</v>
      </c>
      <c r="J1036" s="53">
        <v>-1.06446858452972E-2</v>
      </c>
      <c r="K1036" s="53">
        <v>-5.2362976165437596E-3</v>
      </c>
      <c r="L1036" s="95">
        <f>IFERROR(B1036*'Stock Statistics'!$C$41+C1036*'Stock Statistics'!$C$42+D1036*'Stock Statistics'!$C$43+E1036*'Stock Statistics'!$C$44+F1036*'Stock Statistics'!$C$45+G1036*'Stock Statistics'!$C$46+H1036*'Stock Statistics'!$C$47+I1036*'Stock Statistics'!$C$48+J1036*'Stock Statistics'!$C$49+K1036*'Stock Statistics'!$C$50,"")</f>
        <v>-2.8073238552450317E-4</v>
      </c>
      <c r="M1036" s="96">
        <v>257.10079999999999</v>
      </c>
      <c r="N1036" s="97">
        <v>313.10120000000001</v>
      </c>
      <c r="O1036" s="93">
        <f t="shared" si="48"/>
        <v>1.9503747883971245E-2</v>
      </c>
      <c r="P1036" s="93">
        <f t="shared" si="49"/>
        <v>-7.102787141538891E-3</v>
      </c>
      <c r="Q1036" s="93">
        <f>B1036*'Portfolio 2 &amp; 3'!$F$7+C1036*'Portfolio 2 &amp; 3'!$F$8+D1036*'Portfolio 2 &amp; 3'!$F$9+E1036*'Portfolio 2 &amp; 3'!$F$10+F1036*'Portfolio 2 &amp; 3'!$F$11+G1036*'Portfolio 2 &amp; 3'!$F$12+H1036*'Portfolio 2 &amp; 3'!$F$13+I1036*'Portfolio 2 &amp; 3'!$F$14+J1036*'Portfolio 2 &amp; 3'!$F$15+K1036*'Portfolio 2 &amp; 3'!$F$16</f>
        <v>-2.1876523032576894E-3</v>
      </c>
      <c r="R1036" s="93">
        <f>B1036*'Portfolio 2 &amp; 3'!$B$23+C1036*'Portfolio 2 &amp; 3'!$B$24+D1036*'Portfolio 2 &amp; 3'!$B$25+E1036*'Portfolio 2 &amp; 3'!$B$26+F1036*'Portfolio 2 &amp; 3'!$B$27+G1036*'Portfolio 2 &amp; 3'!$B$28+H1036*'Portfolio 2 &amp; 3'!$B$29+I1036*'Portfolio 2 &amp; 3'!$B$30+J1036*'Portfolio 2 &amp; 3'!$B$31+K1036*'Portfolio 2 &amp; 3'!$B$32</f>
        <v>3.708121075066255E-4</v>
      </c>
      <c r="S1036" s="93">
        <f t="shared" si="50"/>
        <v>6.2004803712161771E-3</v>
      </c>
    </row>
    <row r="1037" spans="1:19" ht="12.75" customHeight="1">
      <c r="A1037" s="82">
        <v>44559</v>
      </c>
      <c r="B1037" s="53">
        <v>1.4E-2</v>
      </c>
      <c r="C1037" s="53">
        <v>-7.4977342012028103E-3</v>
      </c>
      <c r="D1037" s="53">
        <v>3.84507042253521E-2</v>
      </c>
      <c r="E1037" s="53">
        <v>-1.4999999999999999E-2</v>
      </c>
      <c r="F1037" s="53">
        <v>2.41161065037101E-2</v>
      </c>
      <c r="G1037" s="53">
        <v>-5.8090760878167797E-3</v>
      </c>
      <c r="H1037" s="87">
        <v>-6.5513930941354399E-3</v>
      </c>
      <c r="I1037" s="53">
        <v>-6.6435586366262499E-3</v>
      </c>
      <c r="J1037" s="53">
        <v>-2.7286618642219401E-4</v>
      </c>
      <c r="K1037" s="53">
        <v>1.1364145281920399E-2</v>
      </c>
      <c r="L1037" s="95">
        <f>IFERROR(B1037*'Stock Statistics'!$C$41+C1037*'Stock Statistics'!$C$42+D1037*'Stock Statistics'!$C$43+E1037*'Stock Statistics'!$C$44+F1037*'Stock Statistics'!$C$45+G1037*'Stock Statistics'!$C$46+H1037*'Stock Statistics'!$C$47+I1037*'Stock Statistics'!$C$48+J1037*'Stock Statistics'!$C$49+K1037*'Stock Statistics'!$C$50,"")</f>
        <v>4.6156327804779138E-3</v>
      </c>
      <c r="M1037" s="97">
        <v>252.1823</v>
      </c>
      <c r="N1037" s="96">
        <v>315.34100000000001</v>
      </c>
      <c r="O1037" s="93">
        <f t="shared" si="48"/>
        <v>4.1122916828422174E-3</v>
      </c>
      <c r="P1037" s="93">
        <f t="shared" si="49"/>
        <v>-1.9336432403653681E-2</v>
      </c>
      <c r="Q1037" s="93">
        <f>B1037*'Portfolio 2 &amp; 3'!$F$7+C1037*'Portfolio 2 &amp; 3'!$F$8+D1037*'Portfolio 2 &amp; 3'!$F$9+E1037*'Portfolio 2 &amp; 3'!$F$10+F1037*'Portfolio 2 &amp; 3'!$F$11+G1037*'Portfolio 2 &amp; 3'!$F$12+H1037*'Portfolio 2 &amp; 3'!$F$13+I1037*'Portfolio 2 &amp; 3'!$F$14+J1037*'Portfolio 2 &amp; 3'!$F$15+K1037*'Portfolio 2 &amp; 3'!$F$16</f>
        <v>5.6298881045310917E-3</v>
      </c>
      <c r="R1037" s="93">
        <f>B1037*'Portfolio 2 &amp; 3'!$B$23+C1037*'Portfolio 2 &amp; 3'!$B$24+D1037*'Portfolio 2 &amp; 3'!$B$25+E1037*'Portfolio 2 &amp; 3'!$B$26+F1037*'Portfolio 2 &amp; 3'!$B$27+G1037*'Portfolio 2 &amp; 3'!$B$28+H1037*'Portfolio 2 &amp; 3'!$B$29+I1037*'Portfolio 2 &amp; 3'!$B$30+J1037*'Portfolio 2 &amp; 3'!$B$31+K1037*'Portfolio 2 &amp; 3'!$B$32</f>
        <v>3.2123793984363759E-3</v>
      </c>
      <c r="S1037" s="93">
        <f t="shared" si="50"/>
        <v>-7.6120703604057316E-3</v>
      </c>
    </row>
    <row r="1038" spans="1:19" ht="12.75" customHeight="1">
      <c r="A1038" s="81">
        <v>44558</v>
      </c>
      <c r="B1038" s="53">
        <v>1.3599999999999999E-2</v>
      </c>
      <c r="C1038" s="53">
        <v>4.7046812268041202E-3</v>
      </c>
      <c r="D1038" s="53">
        <v>-1.10731945121527E-2</v>
      </c>
      <c r="E1038" s="53">
        <v>-9.4999999999999998E-3</v>
      </c>
      <c r="F1038" s="53">
        <v>-1.09110747408603E-4</v>
      </c>
      <c r="G1038" s="53">
        <v>-1.2843950686729499E-2</v>
      </c>
      <c r="H1038" s="87">
        <v>-1.06358550434201E-2</v>
      </c>
      <c r="I1038" s="53">
        <v>3.5039464243004102E-2</v>
      </c>
      <c r="J1038" s="53">
        <v>1.5851325498770199E-3</v>
      </c>
      <c r="K1038" s="53">
        <v>-1.12692895255385E-2</v>
      </c>
      <c r="L1038" s="95">
        <f>IFERROR(B1038*'Stock Statistics'!$C$41+C1038*'Stock Statistics'!$C$42+D1038*'Stock Statistics'!$C$43+E1038*'Stock Statistics'!$C$44+F1038*'Stock Statistics'!$C$45+G1038*'Stock Statistics'!$C$46+H1038*'Stock Statistics'!$C$47+I1038*'Stock Statistics'!$C$48+J1038*'Stock Statistics'!$C$49+K1038*'Stock Statistics'!$C$50,"")</f>
        <v>-5.0212249556415896E-5</v>
      </c>
      <c r="M1038" s="96">
        <v>251.14949999999999</v>
      </c>
      <c r="N1038" s="97">
        <v>321.55880000000002</v>
      </c>
      <c r="O1038" s="93">
        <f t="shared" si="48"/>
        <v>1.4575743693782117E-2</v>
      </c>
      <c r="P1038" s="93">
        <f t="shared" si="49"/>
        <v>-6.5635143981785937E-3</v>
      </c>
      <c r="Q1038" s="93">
        <f>B1038*'Portfolio 2 &amp; 3'!$F$7+C1038*'Portfolio 2 &amp; 3'!$F$8+D1038*'Portfolio 2 &amp; 3'!$F$9+E1038*'Portfolio 2 &amp; 3'!$F$10+F1038*'Portfolio 2 &amp; 3'!$F$11+G1038*'Portfolio 2 &amp; 3'!$F$12+H1038*'Portfolio 2 &amp; 3'!$F$13+I1038*'Portfolio 2 &amp; 3'!$F$14+J1038*'Portfolio 2 &amp; 3'!$F$15+K1038*'Portfolio 2 &amp; 3'!$F$16</f>
        <v>-9.4096356321359128E-4</v>
      </c>
      <c r="R1038" s="93">
        <f>B1038*'Portfolio 2 &amp; 3'!$B$23+C1038*'Portfolio 2 &amp; 3'!$B$24+D1038*'Portfolio 2 &amp; 3'!$B$25+E1038*'Portfolio 2 &amp; 3'!$B$26+F1038*'Portfolio 2 &amp; 3'!$B$27+G1038*'Portfolio 2 &amp; 3'!$B$28+H1038*'Portfolio 2 &amp; 3'!$B$29+I1038*'Portfolio 2 &amp; 3'!$B$30+J1038*'Portfolio 2 &amp; 3'!$B$31+K1038*'Portfolio 2 &amp; 3'!$B$32</f>
        <v>8.7255824109128653E-3</v>
      </c>
      <c r="S1038" s="93">
        <f t="shared" si="50"/>
        <v>4.0061146478017617E-3</v>
      </c>
    </row>
    <row r="1039" spans="1:19" ht="12.75" customHeight="1">
      <c r="A1039" s="82">
        <v>44557</v>
      </c>
      <c r="B1039" s="53">
        <v>2.01E-2</v>
      </c>
      <c r="C1039" s="53">
        <v>1.37969094922141E-5</v>
      </c>
      <c r="D1039" s="53">
        <v>-4.6443920698736596E-3</v>
      </c>
      <c r="E1039" s="53">
        <v>-2.0899999999999998E-3</v>
      </c>
      <c r="F1039" s="53">
        <v>1.09199205823958E-2</v>
      </c>
      <c r="G1039" s="53">
        <v>-2.7735793196940199E-3</v>
      </c>
      <c r="H1039" s="87">
        <v>-9.3166096226825496E-3</v>
      </c>
      <c r="I1039" s="53">
        <v>4.5651129264776599E-3</v>
      </c>
      <c r="J1039" s="53">
        <v>-7.8633405639912998E-3</v>
      </c>
      <c r="K1039" s="53">
        <v>6.13701925754318E-3</v>
      </c>
      <c r="L1039" s="95">
        <f>IFERROR(B1039*'Stock Statistics'!$C$41+C1039*'Stock Statistics'!$C$42+D1039*'Stock Statistics'!$C$43+E1039*'Stock Statistics'!$C$44+F1039*'Stock Statistics'!$C$45+G1039*'Stock Statistics'!$C$46+H1039*'Stock Statistics'!$C$47+I1039*'Stock Statistics'!$C$48+J1039*'Stock Statistics'!$C$49+K1039*'Stock Statistics'!$C$50,"")</f>
        <v>1.5047928099667326E-3</v>
      </c>
      <c r="M1039" s="97">
        <v>247.54140000000001</v>
      </c>
      <c r="N1039" s="96">
        <v>323.68329999999997</v>
      </c>
      <c r="O1039" s="93">
        <f t="shared" si="48"/>
        <v>-7.7160722710842844E-3</v>
      </c>
      <c r="P1039" s="93">
        <f t="shared" si="49"/>
        <v>-3.2014988779663911E-3</v>
      </c>
      <c r="Q1039" s="93">
        <f>B1039*'Portfolio 2 &amp; 3'!$F$7+C1039*'Portfolio 2 &amp; 3'!$F$8+D1039*'Portfolio 2 &amp; 3'!$F$9+E1039*'Portfolio 2 &amp; 3'!$F$10+F1039*'Portfolio 2 &amp; 3'!$F$11+G1039*'Portfolio 2 &amp; 3'!$F$12+H1039*'Portfolio 2 &amp; 3'!$F$13+I1039*'Portfolio 2 &amp; 3'!$F$14+J1039*'Portfolio 2 &amp; 3'!$F$15+K1039*'Portfolio 2 &amp; 3'!$F$16</f>
        <v>-2.5354691509899479E-4</v>
      </c>
      <c r="R1039" s="93">
        <f>B1039*'Portfolio 2 &amp; 3'!$B$23+C1039*'Portfolio 2 &amp; 3'!$B$24+D1039*'Portfolio 2 &amp; 3'!$B$25+E1039*'Portfolio 2 &amp; 3'!$B$26+F1039*'Portfolio 2 &amp; 3'!$B$27+G1039*'Portfolio 2 &amp; 3'!$B$28+H1039*'Portfolio 2 &amp; 3'!$B$29+I1039*'Portfolio 2 &amp; 3'!$B$30+J1039*'Portfolio 2 &amp; 3'!$B$31+K1039*'Portfolio 2 &amp; 3'!$B$32</f>
        <v>5.1921908521273758E-3</v>
      </c>
      <c r="S1039" s="93">
        <f t="shared" si="50"/>
        <v>-5.4587855745253377E-3</v>
      </c>
    </row>
    <row r="1040" spans="1:19" ht="12.75" customHeight="1">
      <c r="A1040" s="81">
        <v>44554</v>
      </c>
      <c r="B1040" s="53">
        <v>-1.5599999999999999E-2</v>
      </c>
      <c r="C1040" s="53">
        <v>3.0203965603013298E-2</v>
      </c>
      <c r="D1040" s="53">
        <v>-1.31533402561446E-3</v>
      </c>
      <c r="E1040" s="53">
        <v>-1.37E-2</v>
      </c>
      <c r="F1040" s="53">
        <v>-2.51612903225806E-2</v>
      </c>
      <c r="G1040" s="53">
        <v>-1.32990990436949E-2</v>
      </c>
      <c r="H1040" s="87">
        <v>-3.6471157907750399E-3</v>
      </c>
      <c r="I1040" s="53">
        <v>6.8948832708357602E-3</v>
      </c>
      <c r="J1040" s="53">
        <v>-7.0540089386678098E-3</v>
      </c>
      <c r="K1040" s="53">
        <v>-1.5202535949719801E-2</v>
      </c>
      <c r="L1040" s="95">
        <f>IFERROR(B1040*'Stock Statistics'!$C$41+C1040*'Stock Statistics'!$C$42+D1040*'Stock Statistics'!$C$43+E1040*'Stock Statistics'!$C$44+F1040*'Stock Statistics'!$C$45+G1040*'Stock Statistics'!$C$46+H1040*'Stock Statistics'!$C$47+I1040*'Stock Statistics'!$C$48+J1040*'Stock Statistics'!$C$49+K1040*'Stock Statistics'!$C$50,"")</f>
        <v>-5.7880535197203566E-3</v>
      </c>
      <c r="M1040" s="96">
        <v>249.46629999999999</v>
      </c>
      <c r="N1040" s="97">
        <v>324.72289999999998</v>
      </c>
      <c r="O1040" s="93">
        <f t="shared" si="48"/>
        <v>2.1240997946598394E-2</v>
      </c>
      <c r="P1040" s="93">
        <f t="shared" si="49"/>
        <v>1.2151507179628318E-2</v>
      </c>
      <c r="Q1040" s="93">
        <f>B1040*'Portfolio 2 &amp; 3'!$F$7+C1040*'Portfolio 2 &amp; 3'!$F$8+D1040*'Portfolio 2 &amp; 3'!$F$9+E1040*'Portfolio 2 &amp; 3'!$F$10+F1040*'Portfolio 2 &amp; 3'!$F$11+G1040*'Portfolio 2 &amp; 3'!$F$12+H1040*'Portfolio 2 &amp; 3'!$F$13+I1040*'Portfolio 2 &amp; 3'!$F$14+J1040*'Portfolio 2 &amp; 3'!$F$15+K1040*'Portfolio 2 &amp; 3'!$F$16</f>
        <v>-4.8362464740972109E-3</v>
      </c>
      <c r="R1040" s="93">
        <f>B1040*'Portfolio 2 &amp; 3'!$B$23+C1040*'Portfolio 2 &amp; 3'!$B$24+D1040*'Portfolio 2 &amp; 3'!$B$25+E1040*'Portfolio 2 &amp; 3'!$B$26+F1040*'Portfolio 2 &amp; 3'!$B$27+G1040*'Portfolio 2 &amp; 3'!$B$28+H1040*'Portfolio 2 &amp; 3'!$B$29+I1040*'Portfolio 2 &amp; 3'!$B$30+J1040*'Portfolio 2 &amp; 3'!$B$31+K1040*'Portfolio 2 &amp; 3'!$B$32</f>
        <v>-1.6325591091102491E-3</v>
      </c>
      <c r="S1040" s="93">
        <f t="shared" si="50"/>
        <v>1.6696252563113356E-2</v>
      </c>
    </row>
    <row r="1041" spans="1:19" ht="12.75" customHeight="1">
      <c r="A1041" s="82">
        <v>44553</v>
      </c>
      <c r="B1041" s="53">
        <v>2.7199999999999998E-2</v>
      </c>
      <c r="C1041" s="53">
        <v>9.38293568241488E-3</v>
      </c>
      <c r="D1041" s="53">
        <v>-1.34544461139189E-2</v>
      </c>
      <c r="E1041" s="53">
        <v>-6.0499999999999998E-3</v>
      </c>
      <c r="F1041" s="53">
        <v>-3.8560411311053802E-3</v>
      </c>
      <c r="G1041" s="53">
        <v>-8.03733471610058E-3</v>
      </c>
      <c r="H1041" s="87">
        <v>-1.0974118606073001E-2</v>
      </c>
      <c r="I1041" s="53">
        <v>-2.71427709753302E-3</v>
      </c>
      <c r="J1041" s="53">
        <v>4.65242088179596E-3</v>
      </c>
      <c r="K1041" s="53">
        <v>-1.3685440422355401E-2</v>
      </c>
      <c r="L1041" s="95">
        <f>IFERROR(B1041*'Stock Statistics'!$C$41+C1041*'Stock Statistics'!$C$42+D1041*'Stock Statistics'!$C$43+E1041*'Stock Statistics'!$C$44+F1041*'Stock Statistics'!$C$45+G1041*'Stock Statistics'!$C$46+H1041*'Stock Statistics'!$C$47+I1041*'Stock Statistics'!$C$48+J1041*'Stock Statistics'!$C$49+K1041*'Stock Statistics'!$C$50,"")</f>
        <v>-1.7536301522875441E-3</v>
      </c>
      <c r="M1041" s="97">
        <v>244.27760000000001</v>
      </c>
      <c r="N1041" s="96">
        <v>320.82440000000003</v>
      </c>
      <c r="O1041" s="93">
        <f t="shared" si="48"/>
        <v>1.2676405502367594E-2</v>
      </c>
      <c r="P1041" s="93">
        <f t="shared" si="49"/>
        <v>-3.1394988981923166E-3</v>
      </c>
      <c r="Q1041" s="93">
        <f>B1041*'Portfolio 2 &amp; 3'!$F$7+C1041*'Portfolio 2 &amp; 3'!$F$8+D1041*'Portfolio 2 &amp; 3'!$F$9+E1041*'Portfolio 2 &amp; 3'!$F$10+F1041*'Portfolio 2 &amp; 3'!$F$11+G1041*'Portfolio 2 &amp; 3'!$F$12+H1041*'Portfolio 2 &amp; 3'!$F$13+I1041*'Portfolio 2 &amp; 3'!$F$14+J1041*'Portfolio 2 &amp; 3'!$F$15+K1041*'Portfolio 2 &amp; 3'!$F$16</f>
        <v>-2.7740197655649994E-3</v>
      </c>
      <c r="R1041" s="93">
        <f>B1041*'Portfolio 2 &amp; 3'!$B$23+C1041*'Portfolio 2 &amp; 3'!$B$24+D1041*'Portfolio 2 &amp; 3'!$B$25+E1041*'Portfolio 2 &amp; 3'!$B$26+F1041*'Portfolio 2 &amp; 3'!$B$27+G1041*'Portfolio 2 &amp; 3'!$B$28+H1041*'Portfolio 2 &amp; 3'!$B$29+I1041*'Portfolio 2 &amp; 3'!$B$30+J1041*'Portfolio 2 &amp; 3'!$B$31+K1041*'Portfolio 2 &amp; 3'!$B$32</f>
        <v>1.7745720196052431E-3</v>
      </c>
      <c r="S1041" s="93">
        <f t="shared" si="50"/>
        <v>4.7684533020876385E-3</v>
      </c>
    </row>
    <row r="1042" spans="1:19" ht="12.75" customHeight="1">
      <c r="A1042" s="81">
        <v>44552</v>
      </c>
      <c r="B1042" s="53">
        <v>1.7500000000000002E-2</v>
      </c>
      <c r="C1042" s="53">
        <v>2.7622322289200299E-3</v>
      </c>
      <c r="D1042" s="53">
        <v>-3.0639340913732899E-3</v>
      </c>
      <c r="E1042" s="53">
        <v>1.0359999999999999E-2</v>
      </c>
      <c r="F1042" s="53">
        <v>2.5708635464732899E-2</v>
      </c>
      <c r="G1042" s="53">
        <v>2.7421300866513201E-2</v>
      </c>
      <c r="H1042" s="87">
        <v>4.68937957469384E-4</v>
      </c>
      <c r="I1042" s="53">
        <v>-7.8351012536159704E-4</v>
      </c>
      <c r="J1042" s="53">
        <v>-6.7168189145621103E-3</v>
      </c>
      <c r="K1042" s="53">
        <v>-6.3531308787960804E-3</v>
      </c>
      <c r="L1042" s="95">
        <f>IFERROR(B1042*'Stock Statistics'!$C$41+C1042*'Stock Statistics'!$C$42+D1042*'Stock Statistics'!$C$43+E1042*'Stock Statistics'!$C$44+F1042*'Stock Statistics'!$C$45+G1042*'Stock Statistics'!$C$46+H1042*'Stock Statistics'!$C$47+I1042*'Stock Statistics'!$C$48+J1042*'Stock Statistics'!$C$49+K1042*'Stock Statistics'!$C$50,"")</f>
        <v>6.7303712507542426E-3</v>
      </c>
      <c r="M1042" s="96">
        <v>241.21979999999999</v>
      </c>
      <c r="N1042" s="97">
        <v>321.83479999999997</v>
      </c>
      <c r="O1042" s="93">
        <f t="shared" si="48"/>
        <v>9.4521660638489102E-3</v>
      </c>
      <c r="P1042" s="93">
        <f t="shared" si="49"/>
        <v>-2.6031425335493186E-4</v>
      </c>
      <c r="Q1042" s="93">
        <f>B1042*'Portfolio 2 &amp; 3'!$F$7+C1042*'Portfolio 2 &amp; 3'!$F$8+D1042*'Portfolio 2 &amp; 3'!$F$9+E1042*'Portfolio 2 &amp; 3'!$F$10+F1042*'Portfolio 2 &amp; 3'!$F$11+G1042*'Portfolio 2 &amp; 3'!$F$12+H1042*'Portfolio 2 &amp; 3'!$F$13+I1042*'Portfolio 2 &amp; 3'!$F$14+J1042*'Portfolio 2 &amp; 3'!$F$15+K1042*'Portfolio 2 &amp; 3'!$F$16</f>
        <v>4.4566394186324691E-3</v>
      </c>
      <c r="R1042" s="93">
        <f>B1042*'Portfolio 2 &amp; 3'!$B$23+C1042*'Portfolio 2 &amp; 3'!$B$24+D1042*'Portfolio 2 &amp; 3'!$B$25+E1042*'Portfolio 2 &amp; 3'!$B$26+F1042*'Portfolio 2 &amp; 3'!$B$27+G1042*'Portfolio 2 &amp; 3'!$B$28+H1042*'Portfolio 2 &amp; 3'!$B$29+I1042*'Portfolio 2 &amp; 3'!$B$30+J1042*'Portfolio 2 &amp; 3'!$B$31+K1042*'Portfolio 2 &amp; 3'!$B$32</f>
        <v>8.8495133068545676E-3</v>
      </c>
      <c r="S1042" s="93">
        <f t="shared" si="50"/>
        <v>4.5959259052469892E-3</v>
      </c>
    </row>
    <row r="1043" spans="1:19" ht="12.75" customHeight="1">
      <c r="A1043" s="82">
        <v>44551</v>
      </c>
      <c r="B1043" s="53">
        <v>-5.9999999999999995E-4</v>
      </c>
      <c r="C1043" s="53">
        <v>4.1896011210795798E-3</v>
      </c>
      <c r="D1043" s="53">
        <v>1.4996544574982699E-2</v>
      </c>
      <c r="E1043" s="53">
        <v>1.389E-2</v>
      </c>
      <c r="F1043" s="53">
        <v>2.2237196765498599E-2</v>
      </c>
      <c r="G1043" s="53">
        <v>1.6479894528675901E-3</v>
      </c>
      <c r="H1043" s="87">
        <v>1.4804009807268601E-2</v>
      </c>
      <c r="I1043" s="53">
        <v>-6.5860376002874199E-3</v>
      </c>
      <c r="J1043" s="53">
        <v>-1.4405253680754199E-2</v>
      </c>
      <c r="K1043" s="53">
        <v>-5.76076268650327E-3</v>
      </c>
      <c r="L1043" s="95">
        <f>IFERROR(B1043*'Stock Statistics'!$C$41+C1043*'Stock Statistics'!$C$42+D1043*'Stock Statistics'!$C$43+E1043*'Stock Statistics'!$C$44+F1043*'Stock Statistics'!$C$45+G1043*'Stock Statistics'!$C$46+H1043*'Stock Statistics'!$C$47+I1043*'Stock Statistics'!$C$48+J1043*'Stock Statistics'!$C$49+K1043*'Stock Statistics'!$C$50,"")</f>
        <v>4.4413287754152195E-3</v>
      </c>
      <c r="M1043" s="97">
        <v>238.96109999999999</v>
      </c>
      <c r="N1043" s="96">
        <v>321.91860000000003</v>
      </c>
      <c r="O1043" s="93">
        <f t="shared" si="48"/>
        <v>-4.6812587208697742E-3</v>
      </c>
      <c r="P1043" s="93">
        <f t="shared" si="49"/>
        <v>6.3596859322267996E-4</v>
      </c>
      <c r="Q1043" s="93">
        <f>B1043*'Portfolio 2 &amp; 3'!$F$7+C1043*'Portfolio 2 &amp; 3'!$F$8+D1043*'Portfolio 2 &amp; 3'!$F$9+E1043*'Portfolio 2 &amp; 3'!$F$10+F1043*'Portfolio 2 &amp; 3'!$F$11+G1043*'Portfolio 2 &amp; 3'!$F$12+H1043*'Portfolio 2 &amp; 3'!$F$13+I1043*'Portfolio 2 &amp; 3'!$F$14+J1043*'Portfolio 2 &amp; 3'!$F$15+K1043*'Portfolio 2 &amp; 3'!$F$16</f>
        <v>5.0714520230652257E-3</v>
      </c>
      <c r="R1043" s="93">
        <f>B1043*'Portfolio 2 &amp; 3'!$B$23+C1043*'Portfolio 2 &amp; 3'!$B$24+D1043*'Portfolio 2 &amp; 3'!$B$25+E1043*'Portfolio 2 &amp; 3'!$B$26+F1043*'Portfolio 2 &amp; 3'!$B$27+G1043*'Portfolio 2 &amp; 3'!$B$28+H1043*'Portfolio 2 &amp; 3'!$B$29+I1043*'Portfolio 2 &amp; 3'!$B$30+J1043*'Portfolio 2 &amp; 3'!$B$31+K1043*'Portfolio 2 &amp; 3'!$B$32</f>
        <v>2.4173798301726276E-3</v>
      </c>
      <c r="S1043" s="93">
        <f t="shared" si="50"/>
        <v>-2.0226450638235471E-3</v>
      </c>
    </row>
    <row r="1044" spans="1:19" ht="12.75" customHeight="1">
      <c r="A1044" s="81">
        <v>44550</v>
      </c>
      <c r="B1044" s="53">
        <v>-1.04E-2</v>
      </c>
      <c r="C1044" s="53">
        <v>3.4065870346746698E-3</v>
      </c>
      <c r="D1044" s="53">
        <v>-4.8827453407604996E-3</v>
      </c>
      <c r="E1044" s="53">
        <v>1.264E-2</v>
      </c>
      <c r="F1044" s="53">
        <v>-3.1120783460282901E-2</v>
      </c>
      <c r="G1044" s="53">
        <v>1.3779276985743201E-2</v>
      </c>
      <c r="H1044" s="87">
        <v>1.8835111092373E-2</v>
      </c>
      <c r="I1044" s="53">
        <v>-3.1037364211531399E-3</v>
      </c>
      <c r="J1044" s="53">
        <v>-9.0789818945158397E-3</v>
      </c>
      <c r="K1044" s="53">
        <v>1.08688606063225E-2</v>
      </c>
      <c r="L1044" s="95">
        <f>IFERROR(B1044*'Stock Statistics'!$C$41+C1044*'Stock Statistics'!$C$42+D1044*'Stock Statistics'!$C$43+E1044*'Stock Statistics'!$C$44+F1044*'Stock Statistics'!$C$45+G1044*'Stock Statistics'!$C$46+H1044*'Stock Statistics'!$C$47+I1044*'Stock Statistics'!$C$48+J1044*'Stock Statistics'!$C$49+K1044*'Stock Statistics'!$C$50,"")</f>
        <v>9.4358860240099322E-5</v>
      </c>
      <c r="M1044" s="96">
        <v>240.08500000000001</v>
      </c>
      <c r="N1044" s="97">
        <v>321.714</v>
      </c>
      <c r="O1044" s="93">
        <f t="shared" si="48"/>
        <v>-1.6899251470034127E-2</v>
      </c>
      <c r="P1044" s="93">
        <f t="shared" si="49"/>
        <v>9.573427501692322E-3</v>
      </c>
      <c r="Q1044" s="93">
        <f>B1044*'Portfolio 2 &amp; 3'!$F$7+C1044*'Portfolio 2 &amp; 3'!$F$8+D1044*'Portfolio 2 &amp; 3'!$F$9+E1044*'Portfolio 2 &amp; 3'!$F$10+F1044*'Portfolio 2 &amp; 3'!$F$11+G1044*'Portfolio 2 &amp; 3'!$F$12+H1044*'Portfolio 2 &amp; 3'!$F$13+I1044*'Portfolio 2 &amp; 3'!$F$14+J1044*'Portfolio 2 &amp; 3'!$F$15+K1044*'Portfolio 2 &amp; 3'!$F$16</f>
        <v>-1.9502738717162046E-4</v>
      </c>
      <c r="R1044" s="93">
        <f>B1044*'Portfolio 2 &amp; 3'!$B$23+C1044*'Portfolio 2 &amp; 3'!$B$24+D1044*'Portfolio 2 &amp; 3'!$B$25+E1044*'Portfolio 2 &amp; 3'!$B$26+F1044*'Portfolio 2 &amp; 3'!$B$27+G1044*'Portfolio 2 &amp; 3'!$B$28+H1044*'Portfolio 2 &amp; 3'!$B$29+I1044*'Portfolio 2 &amp; 3'!$B$30+J1044*'Portfolio 2 &amp; 3'!$B$31+K1044*'Portfolio 2 &amp; 3'!$B$32</f>
        <v>-3.8210590877598817E-3</v>
      </c>
      <c r="S1044" s="93">
        <f t="shared" si="50"/>
        <v>-3.6629119841709024E-3</v>
      </c>
    </row>
    <row r="1045" spans="1:19" ht="12.75" customHeight="1">
      <c r="A1045" s="82">
        <v>44547</v>
      </c>
      <c r="B1045" s="53">
        <v>-1.8200000000000001E-2</v>
      </c>
      <c r="C1045" s="53">
        <v>1.74256505576209E-3</v>
      </c>
      <c r="D1045" s="53">
        <v>2.48190279214056E-3</v>
      </c>
      <c r="E1045" s="53">
        <v>-1.5299999999999999E-3</v>
      </c>
      <c r="F1045" s="53">
        <v>-9.5915508136652505E-3</v>
      </c>
      <c r="G1045" s="53">
        <v>-2.0166732830487798E-3</v>
      </c>
      <c r="H1045" s="87">
        <v>1.4566488631806401E-3</v>
      </c>
      <c r="I1045" s="53">
        <v>-1.3251663820013001E-2</v>
      </c>
      <c r="J1045" s="53">
        <v>1.8384907273796301E-2</v>
      </c>
      <c r="K1045" s="53">
        <v>1.36316427211347E-3</v>
      </c>
      <c r="L1045" s="95">
        <f>IFERROR(B1045*'Stock Statistics'!$C$41+C1045*'Stock Statistics'!$C$42+D1045*'Stock Statistics'!$C$43+E1045*'Stock Statistics'!$C$44+F1045*'Stock Statistics'!$C$45+G1045*'Stock Statistics'!$C$46+H1045*'Stock Statistics'!$C$47+I1045*'Stock Statistics'!$C$48+J1045*'Stock Statistics'!$C$49+K1045*'Stock Statistics'!$C$50,"")</f>
        <v>-1.916069965973397E-3</v>
      </c>
      <c r="M1045" s="97">
        <v>244.21199999999999</v>
      </c>
      <c r="N1045" s="96">
        <v>318.66329999999999</v>
      </c>
      <c r="O1045" s="93">
        <f t="shared" si="48"/>
        <v>-4.8909528984488748E-3</v>
      </c>
      <c r="P1045" s="93">
        <f t="shared" si="49"/>
        <v>5.4550720906283434E-3</v>
      </c>
      <c r="Q1045" s="93">
        <f>B1045*'Portfolio 2 &amp; 3'!$F$7+C1045*'Portfolio 2 &amp; 3'!$F$8+D1045*'Portfolio 2 &amp; 3'!$F$9+E1045*'Portfolio 2 &amp; 3'!$F$10+F1045*'Portfolio 2 &amp; 3'!$F$11+G1045*'Portfolio 2 &amp; 3'!$F$12+H1045*'Portfolio 2 &amp; 3'!$F$13+I1045*'Portfolio 2 &amp; 3'!$F$14+J1045*'Portfolio 2 &amp; 3'!$F$15+K1045*'Portfolio 2 &amp; 3'!$F$16</f>
        <v>-2.7384152279884578E-5</v>
      </c>
      <c r="R1045" s="93">
        <f>B1045*'Portfolio 2 &amp; 3'!$B$23+C1045*'Portfolio 2 &amp; 3'!$B$24+D1045*'Portfolio 2 &amp; 3'!$B$25+E1045*'Portfolio 2 &amp; 3'!$B$26+F1045*'Portfolio 2 &amp; 3'!$B$27+G1045*'Portfolio 2 &amp; 3'!$B$28+H1045*'Portfolio 2 &amp; 3'!$B$29+I1045*'Portfolio 2 &amp; 3'!$B$30+J1045*'Portfolio 2 &amp; 3'!$B$31+K1045*'Portfolio 2 &amp; 3'!$B$32</f>
        <v>-6.3452214615159217E-3</v>
      </c>
      <c r="S1045" s="93">
        <f t="shared" si="50"/>
        <v>2.820595960897343E-4</v>
      </c>
    </row>
    <row r="1046" spans="1:19" ht="12.75" customHeight="1">
      <c r="A1046" s="81">
        <v>44546</v>
      </c>
      <c r="B1046" s="53">
        <v>-4.7000000000000002E-3</v>
      </c>
      <c r="C1046" s="53">
        <v>5.4606511899546496E-3</v>
      </c>
      <c r="D1046" s="53">
        <v>-1.17063765321579E-3</v>
      </c>
      <c r="E1046" s="53">
        <v>1.4E-2</v>
      </c>
      <c r="F1046" s="53">
        <v>-3.3297529538131002E-3</v>
      </c>
      <c r="G1046" s="53">
        <v>3.3664893966253197E-2</v>
      </c>
      <c r="H1046" s="87">
        <v>2.11807314628179E-2</v>
      </c>
      <c r="I1046" s="53">
        <v>3.84297032044456E-3</v>
      </c>
      <c r="J1046" s="53">
        <v>2.4108003857281602E-3</v>
      </c>
      <c r="K1046" s="53">
        <v>2.12690731103671E-2</v>
      </c>
      <c r="L1046" s="95">
        <f>IFERROR(B1046*'Stock Statistics'!$C$41+C1046*'Stock Statistics'!$C$42+D1046*'Stock Statistics'!$C$43+E1046*'Stock Statistics'!$C$44+F1046*'Stock Statistics'!$C$45+G1046*'Stock Statistics'!$C$46+H1046*'Stock Statistics'!$C$47+I1046*'Stock Statistics'!$C$48+J1046*'Stock Statistics'!$C$49+K1046*'Stock Statistics'!$C$50,"")</f>
        <v>9.2628729828536684E-3</v>
      </c>
      <c r="M1046" s="96">
        <v>245.41229999999999</v>
      </c>
      <c r="N1046" s="97">
        <v>316.93439999999998</v>
      </c>
      <c r="O1046" s="93">
        <f t="shared" si="48"/>
        <v>-3.5576163726687149E-3</v>
      </c>
      <c r="P1046" s="93">
        <f t="shared" si="49"/>
        <v>-1.7526064972638533E-2</v>
      </c>
      <c r="Q1046" s="93">
        <f>B1046*'Portfolio 2 &amp; 3'!$F$7+C1046*'Portfolio 2 &amp; 3'!$F$8+D1046*'Portfolio 2 &amp; 3'!$F$9+E1046*'Portfolio 2 &amp; 3'!$F$10+F1046*'Portfolio 2 &amp; 3'!$F$11+G1046*'Portfolio 2 &amp; 3'!$F$12+H1046*'Portfolio 2 &amp; 3'!$F$13+I1046*'Portfolio 2 &amp; 3'!$F$14+J1046*'Portfolio 2 &amp; 3'!$F$15+K1046*'Portfolio 2 &amp; 3'!$F$16</f>
        <v>8.3898977565123531E-3</v>
      </c>
      <c r="R1046" s="93">
        <f>B1046*'Portfolio 2 &amp; 3'!$B$23+C1046*'Portfolio 2 &amp; 3'!$B$24+D1046*'Portfolio 2 &amp; 3'!$B$25+E1046*'Portfolio 2 &amp; 3'!$B$26+F1046*'Portfolio 2 &amp; 3'!$B$27+G1046*'Portfolio 2 &amp; 3'!$B$28+H1046*'Portfolio 2 &amp; 3'!$B$29+I1046*'Portfolio 2 &amp; 3'!$B$30+J1046*'Portfolio 2 &amp; 3'!$B$31+K1046*'Portfolio 2 &amp; 3'!$B$32</f>
        <v>6.9533035358858835E-3</v>
      </c>
      <c r="S1046" s="93">
        <f t="shared" si="50"/>
        <v>-1.0541840672653624E-2</v>
      </c>
    </row>
    <row r="1047" spans="1:19" ht="12.75" customHeight="1">
      <c r="A1047" s="82">
        <v>44545</v>
      </c>
      <c r="B1047" s="53">
        <v>1.3899999999999999E-2</v>
      </c>
      <c r="C1047" s="53">
        <v>1.5193063069739899E-2</v>
      </c>
      <c r="D1047" s="53">
        <v>2.4913543651633899E-2</v>
      </c>
      <c r="E1047" s="53">
        <v>-1.7729999999999999E-2</v>
      </c>
      <c r="F1047" s="53">
        <v>-4.4910179640719203E-3</v>
      </c>
      <c r="G1047" s="53">
        <v>-3.6774703557312299E-2</v>
      </c>
      <c r="H1047" s="87">
        <v>-1.1960040896310999E-2</v>
      </c>
      <c r="I1047" s="53">
        <v>1.34819342081611E-2</v>
      </c>
      <c r="J1047" s="53">
        <v>3.2786885245901201E-3</v>
      </c>
      <c r="K1047" s="53">
        <v>1.16583206652956E-2</v>
      </c>
      <c r="L1047" s="95">
        <f>IFERROR(B1047*'Stock Statistics'!$C$41+C1047*'Stock Statistics'!$C$42+D1047*'Stock Statistics'!$C$43+E1047*'Stock Statistics'!$C$44+F1047*'Stock Statistics'!$C$45+G1047*'Stock Statistics'!$C$46+H1047*'Stock Statistics'!$C$47+I1047*'Stock Statistics'!$C$48+J1047*'Stock Statistics'!$C$49+K1047*'Stock Statistics'!$C$50,"")</f>
        <v>1.14697877017254E-3</v>
      </c>
      <c r="M1047" s="97">
        <v>246.2885</v>
      </c>
      <c r="N1047" s="96">
        <v>322.5881</v>
      </c>
      <c r="O1047" s="93">
        <f t="shared" si="48"/>
        <v>6.0118447801966735E-3</v>
      </c>
      <c r="P1047" s="93">
        <f t="shared" si="49"/>
        <v>-7.1166447060837523E-3</v>
      </c>
      <c r="Q1047" s="93">
        <f>B1047*'Portfolio 2 &amp; 3'!$F$7+C1047*'Portfolio 2 &amp; 3'!$F$8+D1047*'Portfolio 2 &amp; 3'!$F$9+E1047*'Portfolio 2 &amp; 3'!$F$10+F1047*'Portfolio 2 &amp; 3'!$F$11+G1047*'Portfolio 2 &amp; 3'!$F$12+H1047*'Portfolio 2 &amp; 3'!$F$13+I1047*'Portfolio 2 &amp; 3'!$F$14+J1047*'Portfolio 2 &amp; 3'!$F$15+K1047*'Portfolio 2 &amp; 3'!$F$16</f>
        <v>2.5459393939370606E-3</v>
      </c>
      <c r="R1047" s="93">
        <f>B1047*'Portfolio 2 &amp; 3'!$B$23+C1047*'Portfolio 2 &amp; 3'!$B$24+D1047*'Portfolio 2 &amp; 3'!$B$25+E1047*'Portfolio 2 &amp; 3'!$B$26+F1047*'Portfolio 2 &amp; 3'!$B$27+G1047*'Portfolio 2 &amp; 3'!$B$28+H1047*'Portfolio 2 &amp; 3'!$B$29+I1047*'Portfolio 2 &amp; 3'!$B$30+J1047*'Portfolio 2 &amp; 3'!$B$31+K1047*'Portfolio 2 &amp; 3'!$B$32</f>
        <v>4.5809554722526721E-3</v>
      </c>
      <c r="S1047" s="93">
        <f t="shared" si="50"/>
        <v>-5.5239996294353944E-4</v>
      </c>
    </row>
    <row r="1048" spans="1:19" ht="12.75" customHeight="1">
      <c r="A1048" s="81">
        <v>44544</v>
      </c>
      <c r="B1048" s="53">
        <v>-3.8E-3</v>
      </c>
      <c r="C1048" s="53">
        <v>-1.0007777304943699E-2</v>
      </c>
      <c r="D1048" s="53">
        <v>-2.02599917023925E-2</v>
      </c>
      <c r="E1048" s="53">
        <v>4.8999999999999998E-3</v>
      </c>
      <c r="F1048" s="53">
        <v>6.1323292092523296E-3</v>
      </c>
      <c r="G1048" s="53">
        <v>2.6185995197611799E-2</v>
      </c>
      <c r="H1048" s="87">
        <v>9.9602022157685398E-3</v>
      </c>
      <c r="I1048" s="53">
        <v>-5.1859799713875896E-3</v>
      </c>
      <c r="J1048" s="53">
        <v>2.4166024441263999E-2</v>
      </c>
      <c r="K1048" s="53">
        <v>5.83506661419975E-3</v>
      </c>
      <c r="L1048" s="95">
        <f>IFERROR(B1048*'Stock Statistics'!$C$41+C1048*'Stock Statistics'!$C$42+D1048*'Stock Statistics'!$C$43+E1048*'Stock Statistics'!$C$44+F1048*'Stock Statistics'!$C$45+G1048*'Stock Statistics'!$C$46+H1048*'Stock Statistics'!$C$47+I1048*'Stock Statistics'!$C$48+J1048*'Stock Statistics'!$C$49+K1048*'Stock Statistics'!$C$50,"")</f>
        <v>3.792586869937263E-3</v>
      </c>
      <c r="M1048" s="96">
        <v>244.8167</v>
      </c>
      <c r="N1048" s="97">
        <v>324.90030000000002</v>
      </c>
      <c r="O1048" s="93">
        <f t="shared" si="48"/>
        <v>1.7648353788728421E-3</v>
      </c>
      <c r="P1048" s="93">
        <f t="shared" si="49"/>
        <v>7.3934362285505983E-3</v>
      </c>
      <c r="Q1048" s="93">
        <f>B1048*'Portfolio 2 &amp; 3'!$F$7+C1048*'Portfolio 2 &amp; 3'!$F$8+D1048*'Portfolio 2 &amp; 3'!$F$9+E1048*'Portfolio 2 &amp; 3'!$F$10+F1048*'Portfolio 2 &amp; 3'!$F$11+G1048*'Portfolio 2 &amp; 3'!$F$12+H1048*'Portfolio 2 &amp; 3'!$F$13+I1048*'Portfolio 2 &amp; 3'!$F$14+J1048*'Portfolio 2 &amp; 3'!$F$15+K1048*'Portfolio 2 &amp; 3'!$F$16</f>
        <v>3.6560090412443551E-3</v>
      </c>
      <c r="R1048" s="93">
        <f>B1048*'Portfolio 2 &amp; 3'!$B$23+C1048*'Portfolio 2 &amp; 3'!$B$24+D1048*'Portfolio 2 &amp; 3'!$B$25+E1048*'Portfolio 2 &amp; 3'!$B$26+F1048*'Portfolio 2 &amp; 3'!$B$27+G1048*'Portfolio 2 &amp; 3'!$B$28+H1048*'Portfolio 2 &amp; 3'!$B$29+I1048*'Portfolio 2 &amp; 3'!$B$30+J1048*'Portfolio 2 &amp; 3'!$B$31+K1048*'Portfolio 2 &amp; 3'!$B$32</f>
        <v>1.3734755883740661E-3</v>
      </c>
      <c r="S1048" s="93">
        <f t="shared" si="50"/>
        <v>4.5791358037117202E-3</v>
      </c>
    </row>
    <row r="1049" spans="1:19" ht="12.75" customHeight="1">
      <c r="A1049" s="82">
        <v>44543</v>
      </c>
      <c r="B1049" s="53">
        <v>-1.6899999999999998E-2</v>
      </c>
      <c r="C1049" s="53">
        <v>-3.5385807659126202E-3</v>
      </c>
      <c r="D1049" s="53">
        <v>6.9628185489485402E-3</v>
      </c>
      <c r="E1049" s="53">
        <v>2.8910000000000002E-2</v>
      </c>
      <c r="F1049" s="53">
        <v>-5.8823529411764497E-3</v>
      </c>
      <c r="G1049" s="53">
        <v>2.7494427904404301E-3</v>
      </c>
      <c r="H1049" s="87">
        <v>5.9728624293968798E-3</v>
      </c>
      <c r="I1049" s="53">
        <v>2.9076186970923699E-2</v>
      </c>
      <c r="J1049" s="53">
        <v>-1.59384446276456E-3</v>
      </c>
      <c r="K1049" s="53">
        <v>-6.9777827397565799E-3</v>
      </c>
      <c r="L1049" s="95">
        <f>IFERROR(B1049*'Stock Statistics'!$C$41+C1049*'Stock Statistics'!$C$42+D1049*'Stock Statistics'!$C$43+E1049*'Stock Statistics'!$C$44+F1049*'Stock Statistics'!$C$45+G1049*'Stock Statistics'!$C$46+H1049*'Stock Statistics'!$C$47+I1049*'Stock Statistics'!$C$48+J1049*'Stock Statistics'!$C$49+K1049*'Stock Statistics'!$C$50,"")</f>
        <v>3.8778749830099342E-3</v>
      </c>
      <c r="M1049" s="97">
        <v>244.3854</v>
      </c>
      <c r="N1049" s="96">
        <v>322.51580000000001</v>
      </c>
      <c r="O1049" s="93">
        <f t="shared" si="48"/>
        <v>-6.285293435691619E-4</v>
      </c>
      <c r="P1049" s="93">
        <f t="shared" si="49"/>
        <v>-1.4440414458688489E-2</v>
      </c>
      <c r="Q1049" s="93">
        <f>B1049*'Portfolio 2 &amp; 3'!$F$7+C1049*'Portfolio 2 &amp; 3'!$F$8+D1049*'Portfolio 2 &amp; 3'!$F$9+E1049*'Portfolio 2 &amp; 3'!$F$10+F1049*'Portfolio 2 &amp; 3'!$F$11+G1049*'Portfolio 2 &amp; 3'!$F$12+H1049*'Portfolio 2 &amp; 3'!$F$13+I1049*'Portfolio 2 &amp; 3'!$F$14+J1049*'Portfolio 2 &amp; 3'!$F$15+K1049*'Portfolio 2 &amp; 3'!$F$16</f>
        <v>3.7678797660587442E-3</v>
      </c>
      <c r="R1049" s="93">
        <f>B1049*'Portfolio 2 &amp; 3'!$B$23+C1049*'Portfolio 2 &amp; 3'!$B$24+D1049*'Portfolio 2 &amp; 3'!$B$25+E1049*'Portfolio 2 &amp; 3'!$B$26+F1049*'Portfolio 2 &amp; 3'!$B$27+G1049*'Portfolio 2 &amp; 3'!$B$28+H1049*'Portfolio 2 &amp; 3'!$B$29+I1049*'Portfolio 2 &amp; 3'!$B$30+J1049*'Portfolio 2 &amp; 3'!$B$31+K1049*'Portfolio 2 &amp; 3'!$B$32</f>
        <v>3.3092896685285029E-3</v>
      </c>
      <c r="S1049" s="93">
        <f t="shared" si="50"/>
        <v>-7.5344719011288253E-3</v>
      </c>
    </row>
    <row r="1050" spans="1:19" ht="12.75" customHeight="1">
      <c r="A1050" s="81">
        <v>44540</v>
      </c>
      <c r="B1050" s="53">
        <v>-1.06E-2</v>
      </c>
      <c r="C1050" s="53">
        <v>-3.2646874499002699E-3</v>
      </c>
      <c r="D1050" s="53">
        <v>3.5099099099099099E-2</v>
      </c>
      <c r="E1050" s="53">
        <v>-4.8300000000000001E-3</v>
      </c>
      <c r="F1050" s="53">
        <v>1.10294117647058E-2</v>
      </c>
      <c r="G1050" s="53">
        <v>1.7927864791302799E-3</v>
      </c>
      <c r="H1050" s="87">
        <v>1.3199728111912499E-2</v>
      </c>
      <c r="I1050" s="53">
        <v>2.64450321118248E-2</v>
      </c>
      <c r="J1050" s="53">
        <v>2.2535686186354799E-2</v>
      </c>
      <c r="K1050" s="53">
        <v>-1.8626054563383398E-2</v>
      </c>
      <c r="L1050" s="95">
        <f>IFERROR(B1050*'Stock Statistics'!$C$41+C1050*'Stock Statistics'!$C$42+D1050*'Stock Statistics'!$C$43+E1050*'Stock Statistics'!$C$44+F1050*'Stock Statistics'!$C$45+G1050*'Stock Statistics'!$C$46+H1050*'Stock Statistics'!$C$47+I1050*'Stock Statistics'!$C$48+J1050*'Stock Statistics'!$C$49+K1050*'Stock Statistics'!$C$50,"")</f>
        <v>7.2781001739743618E-3</v>
      </c>
      <c r="M1050" s="96">
        <v>244.53909999999999</v>
      </c>
      <c r="N1050" s="97">
        <v>327.24130000000002</v>
      </c>
      <c r="O1050" s="93">
        <f t="shared" si="48"/>
        <v>1.5079602032839201E-3</v>
      </c>
      <c r="P1050" s="93">
        <f t="shared" si="49"/>
        <v>2.436104970755526E-4</v>
      </c>
      <c r="Q1050" s="93">
        <f>B1050*'Portfolio 2 &amp; 3'!$F$7+C1050*'Portfolio 2 &amp; 3'!$F$8+D1050*'Portfolio 2 &amp; 3'!$F$9+E1050*'Portfolio 2 &amp; 3'!$F$10+F1050*'Portfolio 2 &amp; 3'!$F$11+G1050*'Portfolio 2 &amp; 3'!$F$12+H1050*'Portfolio 2 &amp; 3'!$F$13+I1050*'Portfolio 2 &amp; 3'!$F$14+J1050*'Portfolio 2 &amp; 3'!$F$15+K1050*'Portfolio 2 &amp; 3'!$F$16</f>
        <v>1.0753703800179773E-2</v>
      </c>
      <c r="R1050" s="93">
        <f>B1050*'Portfolio 2 &amp; 3'!$B$23+C1050*'Portfolio 2 &amp; 3'!$B$24+D1050*'Portfolio 2 &amp; 3'!$B$25+E1050*'Portfolio 2 &amp; 3'!$B$26+F1050*'Portfolio 2 &amp; 3'!$B$27+G1050*'Portfolio 2 &amp; 3'!$B$28+H1050*'Portfolio 2 &amp; 3'!$B$29+I1050*'Portfolio 2 &amp; 3'!$B$30+J1050*'Portfolio 2 &amp; 3'!$B$31+K1050*'Portfolio 2 &amp; 3'!$B$32</f>
        <v>6.4711686076356512E-3</v>
      </c>
      <c r="S1050" s="93">
        <f t="shared" si="50"/>
        <v>8.7578535017973635E-4</v>
      </c>
    </row>
    <row r="1051" spans="1:19" ht="12.75" customHeight="1">
      <c r="A1051" s="82">
        <v>44539</v>
      </c>
      <c r="B1051" s="53">
        <v>-3.8999999999999998E-3</v>
      </c>
      <c r="C1051" s="53">
        <v>-1.03275685499574E-2</v>
      </c>
      <c r="D1051" s="53">
        <v>1.04872187022067E-2</v>
      </c>
      <c r="E1051" s="53">
        <v>3.6099999999999999E-3</v>
      </c>
      <c r="F1051" s="53">
        <v>1.08248538644729E-3</v>
      </c>
      <c r="G1051" s="53">
        <v>-4.3650407295622298E-3</v>
      </c>
      <c r="H1051" s="87">
        <v>9.4622561117321292E-3</v>
      </c>
      <c r="I1051" s="53">
        <v>1.10771581359817E-2</v>
      </c>
      <c r="J1051" s="53">
        <v>3.32675500422908E-3</v>
      </c>
      <c r="K1051" s="53">
        <v>3.5817236761468203E-2</v>
      </c>
      <c r="L1051" s="95">
        <f>IFERROR(B1051*'Stock Statistics'!$C$41+C1051*'Stock Statistics'!$C$42+D1051*'Stock Statistics'!$C$43+E1051*'Stock Statistics'!$C$44+F1051*'Stock Statistics'!$C$45+G1051*'Stock Statistics'!$C$46+H1051*'Stock Statistics'!$C$47+I1051*'Stock Statistics'!$C$48+J1051*'Stock Statistics'!$C$49+K1051*'Stock Statistics'!$C$50,"")</f>
        <v>5.6270500822545484E-3</v>
      </c>
      <c r="M1051" s="97">
        <v>244.17089999999999</v>
      </c>
      <c r="N1051" s="96">
        <v>327.16160000000002</v>
      </c>
      <c r="O1051" s="93">
        <f t="shared" si="48"/>
        <v>1.1795326125331629E-2</v>
      </c>
      <c r="P1051" s="93">
        <f t="shared" si="49"/>
        <v>-7.93472463166911E-3</v>
      </c>
      <c r="Q1051" s="93">
        <f>B1051*'Portfolio 2 &amp; 3'!$F$7+C1051*'Portfolio 2 &amp; 3'!$F$8+D1051*'Portfolio 2 &amp; 3'!$F$9+E1051*'Portfolio 2 &amp; 3'!$F$10+F1051*'Portfolio 2 &amp; 3'!$F$11+G1051*'Portfolio 2 &amp; 3'!$F$12+H1051*'Portfolio 2 &amp; 3'!$F$13+I1051*'Portfolio 2 &amp; 3'!$F$14+J1051*'Portfolio 2 &amp; 3'!$F$15+K1051*'Portfolio 2 &amp; 3'!$F$16</f>
        <v>6.0669207671143555E-3</v>
      </c>
      <c r="R1051" s="93">
        <f>B1051*'Portfolio 2 &amp; 3'!$B$23+C1051*'Portfolio 2 &amp; 3'!$B$24+D1051*'Portfolio 2 &amp; 3'!$B$25+E1051*'Portfolio 2 &amp; 3'!$B$26+F1051*'Portfolio 2 &amp; 3'!$B$27+G1051*'Portfolio 2 &amp; 3'!$B$28+H1051*'Portfolio 2 &amp; 3'!$B$29+I1051*'Portfolio 2 &amp; 3'!$B$30+J1051*'Portfolio 2 &amp; 3'!$B$31+K1051*'Portfolio 2 &amp; 3'!$B$32</f>
        <v>3.5800391199153807E-3</v>
      </c>
      <c r="S1051" s="93">
        <f t="shared" si="50"/>
        <v>1.9303007468312594E-3</v>
      </c>
    </row>
    <row r="1052" spans="1:19" ht="12.75" customHeight="1">
      <c r="A1052" s="81">
        <v>44538</v>
      </c>
      <c r="B1052" s="53">
        <v>9.1999999999999998E-3</v>
      </c>
      <c r="C1052" s="53">
        <v>7.6889534883719498E-3</v>
      </c>
      <c r="D1052" s="53">
        <v>1.02266038846379E-2</v>
      </c>
      <c r="E1052" s="53">
        <v>-3.2779999999999997E-2</v>
      </c>
      <c r="F1052" s="53">
        <v>2.8272484416740799E-2</v>
      </c>
      <c r="G1052" s="53">
        <v>-3.4766578806940699E-3</v>
      </c>
      <c r="H1052" s="87">
        <v>-1.72708190588058E-2</v>
      </c>
      <c r="I1052" s="53">
        <v>-8.8964603445013096E-3</v>
      </c>
      <c r="J1052" s="53">
        <v>-7.88767061982543E-3</v>
      </c>
      <c r="K1052" s="53">
        <v>-6.2380201658174305E-4</v>
      </c>
      <c r="L1052" s="95">
        <f>IFERROR(B1052*'Stock Statistics'!$C$41+C1052*'Stock Statistics'!$C$42+D1052*'Stock Statistics'!$C$43+E1052*'Stock Statistics'!$C$44+F1052*'Stock Statistics'!$C$45+G1052*'Stock Statistics'!$C$46+H1052*'Stock Statistics'!$C$47+I1052*'Stock Statistics'!$C$48+J1052*'Stock Statistics'!$C$49+K1052*'Stock Statistics'!$C$50,"")</f>
        <v>-1.5547368130657698E-3</v>
      </c>
      <c r="M1052" s="96">
        <v>241.3244</v>
      </c>
      <c r="N1052" s="97">
        <v>329.7783</v>
      </c>
      <c r="O1052" s="93">
        <f t="shared" si="48"/>
        <v>3.6227408814932804E-3</v>
      </c>
      <c r="P1052" s="93">
        <f t="shared" si="49"/>
        <v>1.1563812466181878E-2</v>
      </c>
      <c r="Q1052" s="93">
        <f>B1052*'Portfolio 2 &amp; 3'!$F$7+C1052*'Portfolio 2 &amp; 3'!$F$8+D1052*'Portfolio 2 &amp; 3'!$F$9+E1052*'Portfolio 2 &amp; 3'!$F$10+F1052*'Portfolio 2 &amp; 3'!$F$11+G1052*'Portfolio 2 &amp; 3'!$F$12+H1052*'Portfolio 2 &amp; 3'!$F$13+I1052*'Portfolio 2 &amp; 3'!$F$14+J1052*'Portfolio 2 &amp; 3'!$F$15+K1052*'Portfolio 2 &amp; 3'!$F$16</f>
        <v>-1.7156680307140358E-3</v>
      </c>
      <c r="R1052" s="93">
        <f>B1052*'Portfolio 2 &amp; 3'!$B$23+C1052*'Portfolio 2 &amp; 3'!$B$24+D1052*'Portfolio 2 &amp; 3'!$B$25+E1052*'Portfolio 2 &amp; 3'!$B$26+F1052*'Portfolio 2 &amp; 3'!$B$27+G1052*'Portfolio 2 &amp; 3'!$B$28+H1052*'Portfolio 2 &amp; 3'!$B$29+I1052*'Portfolio 2 &amp; 3'!$B$30+J1052*'Portfolio 2 &amp; 3'!$B$31+K1052*'Portfolio 2 &amp; 3'!$B$32</f>
        <v>3.8619189062304104E-3</v>
      </c>
      <c r="S1052" s="93">
        <f t="shared" si="50"/>
        <v>7.593276673837579E-3</v>
      </c>
    </row>
    <row r="1053" spans="1:19" ht="12.75" customHeight="1">
      <c r="A1053" s="82">
        <v>44537</v>
      </c>
      <c r="B1053" s="53">
        <v>2.5999999999999999E-3</v>
      </c>
      <c r="C1053" s="53">
        <v>7.5566750629723102E-3</v>
      </c>
      <c r="D1053" s="53">
        <v>-5.9967822144215699E-3</v>
      </c>
      <c r="E1053" s="53">
        <v>-2.2290000000000001E-2</v>
      </c>
      <c r="F1053" s="53">
        <v>-7.2928176795580297E-3</v>
      </c>
      <c r="G1053" s="53">
        <v>-7.2241575829573596E-3</v>
      </c>
      <c r="H1053" s="87">
        <v>-6.41262526356989E-4</v>
      </c>
      <c r="I1053" s="53">
        <v>-6.3322884012538801E-3</v>
      </c>
      <c r="J1053" s="53">
        <v>3.9060683561962198E-2</v>
      </c>
      <c r="K1053" s="53">
        <v>-2.2830797193806901E-2</v>
      </c>
      <c r="L1053" s="95">
        <f>IFERROR(B1053*'Stock Statistics'!$C$41+C1053*'Stock Statistics'!$C$42+D1053*'Stock Statistics'!$C$43+E1053*'Stock Statistics'!$C$44+F1053*'Stock Statistics'!$C$45+G1053*'Stock Statistics'!$C$46+H1053*'Stock Statistics'!$C$47+I1053*'Stock Statistics'!$C$48+J1053*'Stock Statistics'!$C$49+K1053*'Stock Statistics'!$C$50,"")</f>
        <v>-2.3390746973420227E-3</v>
      </c>
      <c r="M1053" s="97">
        <v>240.45330000000001</v>
      </c>
      <c r="N1053" s="96">
        <v>326.00839999999999</v>
      </c>
      <c r="O1053" s="93">
        <f t="shared" si="48"/>
        <v>-1.6897117211484902E-2</v>
      </c>
      <c r="P1053" s="93">
        <f t="shared" si="49"/>
        <v>1.2363559577302619E-2</v>
      </c>
      <c r="Q1053" s="93">
        <f>B1053*'Portfolio 2 &amp; 3'!$F$7+C1053*'Portfolio 2 &amp; 3'!$F$8+D1053*'Portfolio 2 &amp; 3'!$F$9+E1053*'Portfolio 2 &amp; 3'!$F$10+F1053*'Portfolio 2 &amp; 3'!$F$11+G1053*'Portfolio 2 &amp; 3'!$F$12+H1053*'Portfolio 2 &amp; 3'!$F$13+I1053*'Portfolio 2 &amp; 3'!$F$14+J1053*'Portfolio 2 &amp; 3'!$F$15+K1053*'Portfolio 2 &amp; 3'!$F$16</f>
        <v>5.8055872502781633E-4</v>
      </c>
      <c r="R1053" s="93">
        <f>B1053*'Portfolio 2 &amp; 3'!$B$23+C1053*'Portfolio 2 &amp; 3'!$B$24+D1053*'Portfolio 2 &amp; 3'!$B$25+E1053*'Portfolio 2 &amp; 3'!$B$26+F1053*'Portfolio 2 &amp; 3'!$B$27+G1053*'Portfolio 2 &amp; 3'!$B$28+H1053*'Portfolio 2 &amp; 3'!$B$29+I1053*'Portfolio 2 &amp; 3'!$B$30+J1053*'Portfolio 2 &amp; 3'!$B$31+K1053*'Portfolio 2 &amp; 3'!$B$32</f>
        <v>-2.4773056766585308E-3</v>
      </c>
      <c r="S1053" s="93">
        <f t="shared" si="50"/>
        <v>-2.2667788170911418E-3</v>
      </c>
    </row>
    <row r="1054" spans="1:19" ht="12.75" customHeight="1">
      <c r="A1054" s="81">
        <v>44536</v>
      </c>
      <c r="B1054" s="53">
        <v>-1.5100000000000001E-2</v>
      </c>
      <c r="C1054" s="53">
        <v>-1.2537779641653901E-2</v>
      </c>
      <c r="D1054" s="53">
        <v>-1.33487264593405E-2</v>
      </c>
      <c r="E1054" s="53">
        <v>-2.7470000000000001E-2</v>
      </c>
      <c r="F1054" s="53">
        <v>-1.72657183190357E-2</v>
      </c>
      <c r="G1054" s="53">
        <v>-1.9227379788819799E-3</v>
      </c>
      <c r="H1054" s="87">
        <v>-9.9536215041267102E-3</v>
      </c>
      <c r="I1054" s="53">
        <v>2.4340119452829E-2</v>
      </c>
      <c r="J1054" s="53">
        <v>-2.3609534619750201E-2</v>
      </c>
      <c r="K1054" s="53">
        <v>-1.9559052037944599E-2</v>
      </c>
      <c r="L1054" s="95">
        <f>IFERROR(B1054*'Stock Statistics'!$C$41+C1054*'Stock Statistics'!$C$42+D1054*'Stock Statistics'!$C$43+E1054*'Stock Statistics'!$C$44+F1054*'Stock Statistics'!$C$45+G1054*'Stock Statistics'!$C$46+H1054*'Stock Statistics'!$C$47+I1054*'Stock Statistics'!$C$48+J1054*'Stock Statistics'!$C$49+K1054*'Stock Statistics'!$C$50,"")</f>
        <v>-1.164270511079046E-2</v>
      </c>
      <c r="M1054" s="96">
        <v>244.58609999999999</v>
      </c>
      <c r="N1054" s="97">
        <v>322.02699999999999</v>
      </c>
      <c r="O1054" s="93">
        <f t="shared" si="48"/>
        <v>-6.680312389585441E-3</v>
      </c>
      <c r="P1054" s="93">
        <f t="shared" si="49"/>
        <v>-3.802248433981692E-3</v>
      </c>
      <c r="Q1054" s="93">
        <f>B1054*'Portfolio 2 &amp; 3'!$F$7+C1054*'Portfolio 2 &amp; 3'!$F$8+D1054*'Portfolio 2 &amp; 3'!$F$9+E1054*'Portfolio 2 &amp; 3'!$F$10+F1054*'Portfolio 2 &amp; 3'!$F$11+G1054*'Portfolio 2 &amp; 3'!$F$12+H1054*'Portfolio 2 &amp; 3'!$F$13+I1054*'Portfolio 2 &amp; 3'!$F$14+J1054*'Portfolio 2 &amp; 3'!$F$15+K1054*'Portfolio 2 &amp; 3'!$F$16</f>
        <v>-1.242255106208847E-2</v>
      </c>
      <c r="R1054" s="93">
        <f>B1054*'Portfolio 2 &amp; 3'!$B$23+C1054*'Portfolio 2 &amp; 3'!$B$24+D1054*'Portfolio 2 &amp; 3'!$B$25+E1054*'Portfolio 2 &amp; 3'!$B$26+F1054*'Portfolio 2 &amp; 3'!$B$27+G1054*'Portfolio 2 &amp; 3'!$B$28+H1054*'Portfolio 2 &amp; 3'!$B$29+I1054*'Portfolio 2 &amp; 3'!$B$30+J1054*'Portfolio 2 &amp; 3'!$B$31+K1054*'Portfolio 2 &amp; 3'!$B$32</f>
        <v>-4.180581268815018E-3</v>
      </c>
      <c r="S1054" s="93">
        <f t="shared" si="50"/>
        <v>-5.2412804117835665E-3</v>
      </c>
    </row>
    <row r="1055" spans="1:19" ht="12.75" customHeight="1">
      <c r="A1055" s="82">
        <v>44533</v>
      </c>
      <c r="B1055" s="53">
        <v>-4.0000000000000002E-4</v>
      </c>
      <c r="C1055" s="53">
        <v>2.4499144704417399E-3</v>
      </c>
      <c r="D1055" s="53">
        <v>-2.2430697608803001E-2</v>
      </c>
      <c r="E1055" s="53">
        <v>6.4689999999999998E-2</v>
      </c>
      <c r="F1055" s="53">
        <v>-2.17131690370298E-4</v>
      </c>
      <c r="G1055" s="53">
        <v>1.48130081300815E-2</v>
      </c>
      <c r="H1055" s="87">
        <v>1.01634853689292E-2</v>
      </c>
      <c r="I1055" s="53">
        <v>1.9111198376857E-2</v>
      </c>
      <c r="J1055" s="53">
        <v>-1.6411745003907598E-2</v>
      </c>
      <c r="K1055" s="53">
        <v>2.7785647351101801E-3</v>
      </c>
      <c r="L1055" s="95">
        <f>IFERROR(B1055*'Stock Statistics'!$C$41+C1055*'Stock Statistics'!$C$42+D1055*'Stock Statistics'!$C$43+E1055*'Stock Statistics'!$C$44+F1055*'Stock Statistics'!$C$45+G1055*'Stock Statistics'!$C$46+H1055*'Stock Statistics'!$C$47+I1055*'Stock Statistics'!$C$48+J1055*'Stock Statistics'!$C$49+K1055*'Stock Statistics'!$C$50,"")</f>
        <v>7.454659677833873E-3</v>
      </c>
      <c r="M1055" s="97">
        <v>246.23099999999999</v>
      </c>
      <c r="N1055" s="96">
        <v>323.2561</v>
      </c>
      <c r="O1055" s="93">
        <f t="shared" si="48"/>
        <v>6.9648494098220048E-3</v>
      </c>
      <c r="P1055" s="93">
        <f t="shared" si="49"/>
        <v>1.0435815483679445E-2</v>
      </c>
      <c r="Q1055" s="93">
        <f>B1055*'Portfolio 2 &amp; 3'!$F$7+C1055*'Portfolio 2 &amp; 3'!$F$8+D1055*'Portfolio 2 &amp; 3'!$F$9+E1055*'Portfolio 2 &amp; 3'!$F$10+F1055*'Portfolio 2 &amp; 3'!$F$11+G1055*'Portfolio 2 &amp; 3'!$F$12+H1055*'Portfolio 2 &amp; 3'!$F$13+I1055*'Portfolio 2 &amp; 3'!$F$14+J1055*'Portfolio 2 &amp; 3'!$F$15+K1055*'Portfolio 2 &amp; 3'!$F$16</f>
        <v>3.8269058319247056E-3</v>
      </c>
      <c r="R1055" s="93">
        <f>B1055*'Portfolio 2 &amp; 3'!$B$23+C1055*'Portfolio 2 &amp; 3'!$B$24+D1055*'Portfolio 2 &amp; 3'!$B$25+E1055*'Portfolio 2 &amp; 3'!$B$26+F1055*'Portfolio 2 &amp; 3'!$B$27+G1055*'Portfolio 2 &amp; 3'!$B$28+H1055*'Portfolio 2 &amp; 3'!$B$29+I1055*'Portfolio 2 &amp; 3'!$B$30+J1055*'Portfolio 2 &amp; 3'!$B$31+K1055*'Portfolio 2 &amp; 3'!$B$32</f>
        <v>6.4570992476420935E-3</v>
      </c>
      <c r="S1055" s="93">
        <f t="shared" si="50"/>
        <v>8.7003324467507248E-3</v>
      </c>
    </row>
    <row r="1056" spans="1:19" ht="12.75" customHeight="1">
      <c r="A1056" s="81">
        <v>44532</v>
      </c>
      <c r="B1056" s="53">
        <v>3.0000000000000001E-3</v>
      </c>
      <c r="C1056" s="53">
        <v>5.9057701561748797E-3</v>
      </c>
      <c r="D1056" s="53">
        <v>2.25764570109637E-2</v>
      </c>
      <c r="E1056" s="53">
        <v>-1.2840000000000001E-2</v>
      </c>
      <c r="F1056" s="53">
        <v>1.39806252752093E-2</v>
      </c>
      <c r="G1056" s="53">
        <v>-3.7743184358447501E-3</v>
      </c>
      <c r="H1056" s="87">
        <v>1.41510460888683E-3</v>
      </c>
      <c r="I1056" s="53">
        <v>-6.5023733662786798E-3</v>
      </c>
      <c r="J1056" s="53">
        <v>1.1165698972748199E-4</v>
      </c>
      <c r="K1056" s="53">
        <v>-1.4115675489859E-2</v>
      </c>
      <c r="L1056" s="95">
        <f>IFERROR(B1056*'Stock Statistics'!$C$41+C1056*'Stock Statistics'!$C$42+D1056*'Stock Statistics'!$C$43+E1056*'Stock Statistics'!$C$44+F1056*'Stock Statistics'!$C$45+G1056*'Stock Statistics'!$C$46+H1056*'Stock Statistics'!$C$47+I1056*'Stock Statistics'!$C$48+J1056*'Stock Statistics'!$C$49+K1056*'Stock Statistics'!$C$50,"")</f>
        <v>9.7572467489797634E-4</v>
      </c>
      <c r="M1056" s="96">
        <v>244.52789999999999</v>
      </c>
      <c r="N1056" s="97">
        <v>319.91750000000002</v>
      </c>
      <c r="O1056" s="93">
        <f t="shared" si="48"/>
        <v>-1.4453833941722838E-2</v>
      </c>
      <c r="P1056" s="93">
        <f t="shared" si="49"/>
        <v>-1.6191513263159374E-2</v>
      </c>
      <c r="Q1056" s="93">
        <f>B1056*'Portfolio 2 &amp; 3'!$F$7+C1056*'Portfolio 2 &amp; 3'!$F$8+D1056*'Portfolio 2 &amp; 3'!$F$9+E1056*'Portfolio 2 &amp; 3'!$F$10+F1056*'Portfolio 2 &amp; 3'!$F$11+G1056*'Portfolio 2 &amp; 3'!$F$12+H1056*'Portfolio 2 &amp; 3'!$F$13+I1056*'Portfolio 2 &amp; 3'!$F$14+J1056*'Portfolio 2 &amp; 3'!$F$15+K1056*'Portfolio 2 &amp; 3'!$F$16</f>
        <v>2.6675559042017589E-3</v>
      </c>
      <c r="R1056" s="93">
        <f>B1056*'Portfolio 2 &amp; 3'!$B$23+C1056*'Portfolio 2 &amp; 3'!$B$24+D1056*'Portfolio 2 &amp; 3'!$B$25+E1056*'Portfolio 2 &amp; 3'!$B$26+F1056*'Portfolio 2 &amp; 3'!$B$27+G1056*'Portfolio 2 &amp; 3'!$B$28+H1056*'Portfolio 2 &amp; 3'!$B$29+I1056*'Portfolio 2 &amp; 3'!$B$30+J1056*'Portfolio 2 &amp; 3'!$B$31+K1056*'Portfolio 2 &amp; 3'!$B$32</f>
        <v>8.2244009589046182E-4</v>
      </c>
      <c r="S1056" s="93">
        <f t="shared" si="50"/>
        <v>-1.5322673602441106E-2</v>
      </c>
    </row>
    <row r="1057" spans="1:19" ht="12.75" customHeight="1">
      <c r="A1057" s="82">
        <v>44531</v>
      </c>
      <c r="B1057" s="53">
        <v>-7.3000000000000001E-3</v>
      </c>
      <c r="C1057" s="53">
        <v>5.5868379377088696E-3</v>
      </c>
      <c r="D1057" s="53">
        <v>-1.5830198054944199E-2</v>
      </c>
      <c r="E1057" s="53">
        <v>-1.24E-3</v>
      </c>
      <c r="F1057" s="53">
        <v>-2.3750671681891499E-2</v>
      </c>
      <c r="G1057" s="53">
        <v>-8.4007967103573201E-3</v>
      </c>
      <c r="H1057" s="87">
        <v>-2.0678021439835001E-4</v>
      </c>
      <c r="I1057" s="53">
        <v>5.8865851265614798E-3</v>
      </c>
      <c r="J1057" s="53">
        <v>4.8244137776283199E-3</v>
      </c>
      <c r="K1057" s="53">
        <v>2.7370651598092901E-2</v>
      </c>
      <c r="L1057" s="95">
        <f>IFERROR(B1057*'Stock Statistics'!$C$41+C1057*'Stock Statistics'!$C$42+D1057*'Stock Statistics'!$C$43+E1057*'Stock Statistics'!$C$44+F1057*'Stock Statistics'!$C$45+G1057*'Stock Statistics'!$C$46+H1057*'Stock Statistics'!$C$47+I1057*'Stock Statistics'!$C$48+J1057*'Stock Statistics'!$C$49+K1057*'Stock Statistics'!$C$50,"")</f>
        <v>-1.3059958221599789E-3</v>
      </c>
      <c r="M1057" s="97">
        <v>248.11410000000001</v>
      </c>
      <c r="N1057" s="96">
        <v>325.18270000000001</v>
      </c>
      <c r="O1057" s="93">
        <f t="shared" si="48"/>
        <v>2.9342547461843616E-3</v>
      </c>
      <c r="P1057" s="93">
        <f t="shared" si="49"/>
        <v>-1.2966581738424687E-2</v>
      </c>
      <c r="Q1057" s="93">
        <f>B1057*'Portfolio 2 &amp; 3'!$F$7+C1057*'Portfolio 2 &amp; 3'!$F$8+D1057*'Portfolio 2 &amp; 3'!$F$9+E1057*'Portfolio 2 &amp; 3'!$F$10+F1057*'Portfolio 2 &amp; 3'!$F$11+G1057*'Portfolio 2 &amp; 3'!$F$12+H1057*'Portfolio 2 &amp; 3'!$F$13+I1057*'Portfolio 2 &amp; 3'!$F$14+J1057*'Portfolio 2 &amp; 3'!$F$15+K1057*'Portfolio 2 &amp; 3'!$F$16</f>
        <v>-1.7272121925418745E-3</v>
      </c>
      <c r="R1057" s="93">
        <f>B1057*'Portfolio 2 &amp; 3'!$B$23+C1057*'Portfolio 2 &amp; 3'!$B$24+D1057*'Portfolio 2 &amp; 3'!$B$25+E1057*'Portfolio 2 &amp; 3'!$B$26+F1057*'Portfolio 2 &amp; 3'!$B$27+G1057*'Portfolio 2 &amp; 3'!$B$28+H1057*'Portfolio 2 &amp; 3'!$B$29+I1057*'Portfolio 2 &amp; 3'!$B$30+J1057*'Portfolio 2 &amp; 3'!$B$31+K1057*'Portfolio 2 &amp; 3'!$B$32</f>
        <v>-7.6717151629703819E-4</v>
      </c>
      <c r="S1057" s="93">
        <f t="shared" si="50"/>
        <v>-5.0161634961201629E-3</v>
      </c>
    </row>
    <row r="1058" spans="1:19" ht="12.75" customHeight="1">
      <c r="A1058" s="81">
        <v>44530</v>
      </c>
      <c r="B1058" s="53">
        <v>-3.7000000000000002E-3</v>
      </c>
      <c r="C1058" s="53">
        <v>-8.4331743631499406E-3</v>
      </c>
      <c r="D1058" s="53">
        <v>-1.27614321162706E-3</v>
      </c>
      <c r="E1058" s="53">
        <v>-1.103E-2</v>
      </c>
      <c r="F1058" s="53">
        <v>1.9726027397260398E-2</v>
      </c>
      <c r="G1058" s="53">
        <v>-7.9989802096943601E-3</v>
      </c>
      <c r="H1058" s="87">
        <v>5.1523836611460103E-3</v>
      </c>
      <c r="I1058" s="53">
        <v>-1.37401625596697E-2</v>
      </c>
      <c r="J1058" s="53">
        <v>-2.90860275198568E-3</v>
      </c>
      <c r="K1058" s="53">
        <v>5.3146046222636301E-3</v>
      </c>
      <c r="L1058" s="95">
        <f>IFERROR(B1058*'Stock Statistics'!$C$41+C1058*'Stock Statistics'!$C$42+D1058*'Stock Statistics'!$C$43+E1058*'Stock Statistics'!$C$44+F1058*'Stock Statistics'!$C$45+G1058*'Stock Statistics'!$C$46+H1058*'Stock Statistics'!$C$47+I1058*'Stock Statistics'!$C$48+J1058*'Stock Statistics'!$C$49+K1058*'Stock Statistics'!$C$50,"")</f>
        <v>-1.8894047415456703E-3</v>
      </c>
      <c r="M1058" s="96">
        <v>247.38820000000001</v>
      </c>
      <c r="N1058" s="97">
        <v>329.45460000000003</v>
      </c>
      <c r="O1058" s="93">
        <f t="shared" si="48"/>
        <v>-8.134964228609709E-3</v>
      </c>
      <c r="P1058" s="93">
        <f t="shared" si="49"/>
        <v>3.6370482363561329E-3</v>
      </c>
      <c r="Q1058" s="93">
        <f>B1058*'Portfolio 2 &amp; 3'!$F$7+C1058*'Portfolio 2 &amp; 3'!$F$8+D1058*'Portfolio 2 &amp; 3'!$F$9+E1058*'Portfolio 2 &amp; 3'!$F$10+F1058*'Portfolio 2 &amp; 3'!$F$11+G1058*'Portfolio 2 &amp; 3'!$F$12+H1058*'Portfolio 2 &amp; 3'!$F$13+I1058*'Portfolio 2 &amp; 3'!$F$14+J1058*'Portfolio 2 &amp; 3'!$F$15+K1058*'Portfolio 2 &amp; 3'!$F$16</f>
        <v>-7.6775042147078469E-4</v>
      </c>
      <c r="R1058" s="93">
        <f>B1058*'Portfolio 2 &amp; 3'!$B$23+C1058*'Portfolio 2 &amp; 3'!$B$24+D1058*'Portfolio 2 &amp; 3'!$B$25+E1058*'Portfolio 2 &amp; 3'!$B$26+F1058*'Portfolio 2 &amp; 3'!$B$27+G1058*'Portfolio 2 &amp; 3'!$B$28+H1058*'Portfolio 2 &amp; 3'!$B$29+I1058*'Portfolio 2 &amp; 3'!$B$30+J1058*'Portfolio 2 &amp; 3'!$B$31+K1058*'Portfolio 2 &amp; 3'!$B$32</f>
        <v>-2.7816419153509483E-3</v>
      </c>
      <c r="S1058" s="93">
        <f t="shared" si="50"/>
        <v>-2.248957996126788E-3</v>
      </c>
    </row>
    <row r="1059" spans="1:19" ht="12.75" customHeight="1">
      <c r="A1059" s="82">
        <v>44529</v>
      </c>
      <c r="B1059" s="53">
        <v>-2.1600000000000001E-2</v>
      </c>
      <c r="C1059" s="53">
        <v>-9.9044109178854107E-3</v>
      </c>
      <c r="D1059" s="53">
        <v>4.7011895434148103E-3</v>
      </c>
      <c r="E1059" s="53">
        <v>2.002E-2</v>
      </c>
      <c r="F1059" s="53">
        <v>-3.5819949281487698E-2</v>
      </c>
      <c r="G1059" s="53">
        <v>2.0588043973199799E-2</v>
      </c>
      <c r="H1059" s="87">
        <v>1.1060234034552301E-2</v>
      </c>
      <c r="I1059" s="53">
        <v>2.51967462469414E-2</v>
      </c>
      <c r="J1059" s="53">
        <v>-6.7076579094471601E-4</v>
      </c>
      <c r="K1059" s="53">
        <v>-1.54032707370629E-2</v>
      </c>
      <c r="L1059" s="95">
        <f>IFERROR(B1059*'Stock Statistics'!$C$41+C1059*'Stock Statistics'!$C$42+D1059*'Stock Statistics'!$C$43+E1059*'Stock Statistics'!$C$44+F1059*'Stock Statistics'!$C$45+G1059*'Stock Statistics'!$C$46+H1059*'Stock Statistics'!$C$47+I1059*'Stock Statistics'!$C$48+J1059*'Stock Statistics'!$C$49+K1059*'Stock Statistics'!$C$50,"")</f>
        <v>-1.8321829292724189E-4</v>
      </c>
      <c r="M1059" s="97">
        <v>249.41720000000001</v>
      </c>
      <c r="N1059" s="96">
        <v>328.26069999999999</v>
      </c>
      <c r="O1059" s="93">
        <f t="shared" si="48"/>
        <v>1.5363333744498719E-2</v>
      </c>
      <c r="P1059" s="93">
        <f t="shared" si="49"/>
        <v>-7.582637782039936E-3</v>
      </c>
      <c r="Q1059" s="93">
        <f>B1059*'Portfolio 2 &amp; 3'!$F$7+C1059*'Portfolio 2 &amp; 3'!$F$8+D1059*'Portfolio 2 &amp; 3'!$F$9+E1059*'Portfolio 2 &amp; 3'!$F$10+F1059*'Portfolio 2 &amp; 3'!$F$11+G1059*'Portfolio 2 &amp; 3'!$F$12+H1059*'Portfolio 2 &amp; 3'!$F$13+I1059*'Portfolio 2 &amp; 3'!$F$14+J1059*'Portfolio 2 &amp; 3'!$F$15+K1059*'Portfolio 2 &amp; 3'!$F$16</f>
        <v>-2.4855320564807592E-4</v>
      </c>
      <c r="R1059" s="93">
        <f>B1059*'Portfolio 2 &amp; 3'!$B$23+C1059*'Portfolio 2 &amp; 3'!$B$24+D1059*'Portfolio 2 &amp; 3'!$B$25+E1059*'Portfolio 2 &amp; 3'!$B$26+F1059*'Portfolio 2 &amp; 3'!$B$27+G1059*'Portfolio 2 &amp; 3'!$B$28+H1059*'Portfolio 2 &amp; 3'!$B$29+I1059*'Portfolio 2 &amp; 3'!$B$30+J1059*'Portfolio 2 &amp; 3'!$B$31+K1059*'Portfolio 2 &amp; 3'!$B$32</f>
        <v>-2.9020799169620051E-3</v>
      </c>
      <c r="S1059" s="93">
        <f t="shared" si="50"/>
        <v>3.8903479812293917E-3</v>
      </c>
    </row>
    <row r="1060" spans="1:19" ht="12.75" customHeight="1">
      <c r="A1060" s="81">
        <v>44526</v>
      </c>
      <c r="B1060" s="53">
        <v>1.3599999999999999E-2</v>
      </c>
      <c r="C1060" s="53">
        <v>9.3870789618994994E-3</v>
      </c>
      <c r="D1060" s="53">
        <v>4.2474196183262897E-2</v>
      </c>
      <c r="E1060" s="53">
        <v>2.7200000000000002E-3</v>
      </c>
      <c r="F1060" s="53">
        <v>2.4020774724085699E-2</v>
      </c>
      <c r="G1060" s="53">
        <v>4.6868349818689502E-2</v>
      </c>
      <c r="H1060" s="87">
        <v>4.8903016426968798E-3</v>
      </c>
      <c r="I1060" s="53">
        <v>-8.5890375032783295E-3</v>
      </c>
      <c r="J1060" s="53">
        <v>-3.84208474859404E-3</v>
      </c>
      <c r="K1060" s="53">
        <v>-6.0804134681158297E-3</v>
      </c>
      <c r="L1060" s="95">
        <f>IFERROR(B1060*'Stock Statistics'!$C$41+C1060*'Stock Statistics'!$C$42+D1060*'Stock Statistics'!$C$43+E1060*'Stock Statistics'!$C$44+F1060*'Stock Statistics'!$C$45+G1060*'Stock Statistics'!$C$46+H1060*'Stock Statistics'!$C$47+I1060*'Stock Statistics'!$C$48+J1060*'Stock Statistics'!$C$49+K1060*'Stock Statistics'!$C$50,"")</f>
        <v>1.2544916561064628E-2</v>
      </c>
      <c r="M1060" s="96">
        <v>245.64330000000001</v>
      </c>
      <c r="N1060" s="97">
        <v>330.7688</v>
      </c>
      <c r="O1060" s="93">
        <f t="shared" si="48"/>
        <v>1.3144636786093011E-2</v>
      </c>
      <c r="P1060" s="93">
        <f t="shared" si="49"/>
        <v>2.0276043398518295E-2</v>
      </c>
      <c r="Q1060" s="93">
        <f>B1060*'Portfolio 2 &amp; 3'!$F$7+C1060*'Portfolio 2 &amp; 3'!$F$8+D1060*'Portfolio 2 &amp; 3'!$F$9+E1060*'Portfolio 2 &amp; 3'!$F$10+F1060*'Portfolio 2 &amp; 3'!$F$11+G1060*'Portfolio 2 &amp; 3'!$F$12+H1060*'Portfolio 2 &amp; 3'!$F$13+I1060*'Portfolio 2 &amp; 3'!$F$14+J1060*'Portfolio 2 &amp; 3'!$F$15+K1060*'Portfolio 2 &amp; 3'!$F$16</f>
        <v>1.1742849141545421E-2</v>
      </c>
      <c r="R1060" s="93">
        <f>B1060*'Portfolio 2 &amp; 3'!$B$23+C1060*'Portfolio 2 &amp; 3'!$B$24+D1060*'Portfolio 2 &amp; 3'!$B$25+E1060*'Portfolio 2 &amp; 3'!$B$26+F1060*'Portfolio 2 &amp; 3'!$B$27+G1060*'Portfolio 2 &amp; 3'!$B$28+H1060*'Portfolio 2 &amp; 3'!$B$29+I1060*'Portfolio 2 &amp; 3'!$B$30+J1060*'Portfolio 2 &amp; 3'!$B$31+K1060*'Portfolio 2 &amp; 3'!$B$32</f>
        <v>1.0257402023242213E-2</v>
      </c>
      <c r="S1060" s="93">
        <f t="shared" si="50"/>
        <v>1.6710340092305653E-2</v>
      </c>
    </row>
    <row r="1061" spans="1:19" ht="12.75" customHeight="1">
      <c r="A1061" s="82">
        <v>44525</v>
      </c>
      <c r="B1061" s="53">
        <v>7.9000000000000008E-3</v>
      </c>
      <c r="C1061" s="53">
        <v>-4.2452239491296603E-2</v>
      </c>
      <c r="D1061" s="53">
        <v>1.7452402538531399E-2</v>
      </c>
      <c r="E1061" s="53">
        <v>-2.4660000000000001E-2</v>
      </c>
      <c r="F1061" s="53">
        <v>5.9867203657342199E-3</v>
      </c>
      <c r="G1061" s="53">
        <v>-1.5041250251526E-2</v>
      </c>
      <c r="H1061" s="87">
        <v>-2.1277058631567598E-2</v>
      </c>
      <c r="I1061" s="53">
        <v>1.64182045051553E-3</v>
      </c>
      <c r="J1061" s="53">
        <v>9.78352544278893E-3</v>
      </c>
      <c r="K1061" s="53">
        <v>-4.2920774952430697E-3</v>
      </c>
      <c r="L1061" s="95">
        <f>IFERROR(B1061*'Stock Statistics'!$C$41+C1061*'Stock Statistics'!$C$42+D1061*'Stock Statistics'!$C$43+E1061*'Stock Statistics'!$C$44+F1061*'Stock Statistics'!$C$45+G1061*'Stock Statistics'!$C$46+H1061*'Stock Statistics'!$C$47+I1061*'Stock Statistics'!$C$48+J1061*'Stock Statistics'!$C$49+K1061*'Stock Statistics'!$C$50,"")</f>
        <v>-6.4958157072063189E-3</v>
      </c>
      <c r="M1061" s="97">
        <v>242.4563</v>
      </c>
      <c r="N1061" s="96">
        <v>324.19540000000001</v>
      </c>
      <c r="O1061" s="93">
        <f t="shared" si="48"/>
        <v>-5.3615034975584841E-5</v>
      </c>
      <c r="P1061" s="93">
        <f t="shared" si="49"/>
        <v>2.7025722995308588E-3</v>
      </c>
      <c r="Q1061" s="93">
        <f>B1061*'Portfolio 2 &amp; 3'!$F$7+C1061*'Portfolio 2 &amp; 3'!$F$8+D1061*'Portfolio 2 &amp; 3'!$F$9+E1061*'Portfolio 2 &amp; 3'!$F$10+F1061*'Portfolio 2 &amp; 3'!$F$11+G1061*'Portfolio 2 &amp; 3'!$F$12+H1061*'Portfolio 2 &amp; 3'!$F$13+I1061*'Portfolio 2 &amp; 3'!$F$14+J1061*'Portfolio 2 &amp; 3'!$F$15+K1061*'Portfolio 2 &amp; 3'!$F$16</f>
        <v>-5.5174998522160047E-3</v>
      </c>
      <c r="R1061" s="93">
        <f>B1061*'Portfolio 2 &amp; 3'!$B$23+C1061*'Portfolio 2 &amp; 3'!$B$24+D1061*'Portfolio 2 &amp; 3'!$B$25+E1061*'Portfolio 2 &amp; 3'!$B$26+F1061*'Portfolio 2 &amp; 3'!$B$27+G1061*'Portfolio 2 &amp; 3'!$B$28+H1061*'Portfolio 2 &amp; 3'!$B$29+I1061*'Portfolio 2 &amp; 3'!$B$30+J1061*'Portfolio 2 &amp; 3'!$B$31+K1061*'Portfolio 2 &amp; 3'!$B$32</f>
        <v>-7.7713814903856643E-3</v>
      </c>
      <c r="S1061" s="93">
        <f t="shared" si="50"/>
        <v>1.324478632277637E-3</v>
      </c>
    </row>
    <row r="1062" spans="1:19" ht="12.75" customHeight="1">
      <c r="A1062" s="81">
        <v>44524</v>
      </c>
      <c r="B1062" s="53">
        <v>-2.8899999999999999E-2</v>
      </c>
      <c r="C1062" s="53">
        <v>2.4738358000399301E-2</v>
      </c>
      <c r="D1062" s="53">
        <v>-1.83193651264556E-2</v>
      </c>
      <c r="E1062" s="53">
        <v>-5.47E-3</v>
      </c>
      <c r="F1062" s="53">
        <v>-8.8466932786707107E-3</v>
      </c>
      <c r="G1062" s="53">
        <v>3.5844706595089498E-3</v>
      </c>
      <c r="H1062" s="87">
        <v>-1.42083534394939E-2</v>
      </c>
      <c r="I1062" s="53">
        <v>2.10595590654816E-3</v>
      </c>
      <c r="J1062" s="53">
        <v>-6.3690708978155798E-3</v>
      </c>
      <c r="K1062" s="53">
        <v>-4.7344409055694002E-3</v>
      </c>
      <c r="L1062" s="95">
        <f>IFERROR(B1062*'Stock Statistics'!$C$41+C1062*'Stock Statistics'!$C$42+D1062*'Stock Statistics'!$C$43+E1062*'Stock Statistics'!$C$44+F1062*'Stock Statistics'!$C$45+G1062*'Stock Statistics'!$C$46+H1062*'Stock Statistics'!$C$47+I1062*'Stock Statistics'!$C$48+J1062*'Stock Statistics'!$C$49+K1062*'Stock Statistics'!$C$50,"")</f>
        <v>-5.6419139081548787E-3</v>
      </c>
      <c r="M1062" s="96">
        <v>242.4693</v>
      </c>
      <c r="N1062" s="97">
        <v>323.32159999999999</v>
      </c>
      <c r="O1062" s="93">
        <f t="shared" si="48"/>
        <v>1.3962674758207116E-2</v>
      </c>
      <c r="P1062" s="93">
        <f t="shared" si="49"/>
        <v>-6.9520994664682423E-3</v>
      </c>
      <c r="Q1062" s="93">
        <f>B1062*'Portfolio 2 &amp; 3'!$F$7+C1062*'Portfolio 2 &amp; 3'!$F$8+D1062*'Portfolio 2 &amp; 3'!$F$9+E1062*'Portfolio 2 &amp; 3'!$F$10+F1062*'Portfolio 2 &amp; 3'!$F$11+G1062*'Portfolio 2 &amp; 3'!$F$12+H1062*'Portfolio 2 &amp; 3'!$F$13+I1062*'Portfolio 2 &amp; 3'!$F$14+J1062*'Portfolio 2 &amp; 3'!$F$15+K1062*'Portfolio 2 &amp; 3'!$F$16</f>
        <v>-6.5298996852854131E-3</v>
      </c>
      <c r="R1062" s="93">
        <f>B1062*'Portfolio 2 &amp; 3'!$B$23+C1062*'Portfolio 2 &amp; 3'!$B$24+D1062*'Portfolio 2 &amp; 3'!$B$25+E1062*'Portfolio 2 &amp; 3'!$B$26+F1062*'Portfolio 2 &amp; 3'!$B$27+G1062*'Portfolio 2 &amp; 3'!$B$28+H1062*'Portfolio 2 &amp; 3'!$B$29+I1062*'Portfolio 2 &amp; 3'!$B$30+J1062*'Portfolio 2 &amp; 3'!$B$31+K1062*'Portfolio 2 &amp; 3'!$B$32</f>
        <v>-8.9445135677254433E-4</v>
      </c>
      <c r="S1062" s="93">
        <f t="shared" si="50"/>
        <v>3.5052876458694371E-3</v>
      </c>
    </row>
    <row r="1063" spans="1:19" ht="12.75" customHeight="1">
      <c r="A1063" s="82">
        <v>44523</v>
      </c>
      <c r="B1063" s="53">
        <v>1.15E-2</v>
      </c>
      <c r="C1063" s="53">
        <v>-1.5773667518033101E-2</v>
      </c>
      <c r="D1063" s="53">
        <v>8.9080246455353095E-4</v>
      </c>
      <c r="E1063" s="53">
        <v>-2.7299999999999998E-3</v>
      </c>
      <c r="F1063" s="53">
        <v>1.5669515669515698E-2</v>
      </c>
      <c r="G1063" s="53">
        <v>-1.5122746290726599E-3</v>
      </c>
      <c r="H1063" s="87">
        <v>1.22439675665114E-2</v>
      </c>
      <c r="I1063" s="53">
        <v>2.9040987393571501E-3</v>
      </c>
      <c r="J1063" s="53">
        <v>-1.87489720958279E-2</v>
      </c>
      <c r="K1063" s="53">
        <v>-2.3176128062559798E-2</v>
      </c>
      <c r="L1063" s="95">
        <f>IFERROR(B1063*'Stock Statistics'!$C$41+C1063*'Stock Statistics'!$C$42+D1063*'Stock Statistics'!$C$43+E1063*'Stock Statistics'!$C$44+F1063*'Stock Statistics'!$C$45+G1063*'Stock Statistics'!$C$46+H1063*'Stock Statistics'!$C$47+I1063*'Stock Statistics'!$C$48+J1063*'Stock Statistics'!$C$49+K1063*'Stock Statistics'!$C$50,"")</f>
        <v>-1.8732657865555681E-3</v>
      </c>
      <c r="M1063" s="97">
        <v>239.13040000000001</v>
      </c>
      <c r="N1063" s="96">
        <v>325.58510000000001</v>
      </c>
      <c r="O1063" s="93">
        <f t="shared" si="48"/>
        <v>-2.076684969842546E-2</v>
      </c>
      <c r="P1063" s="93">
        <f t="shared" si="49"/>
        <v>1.6933576630433489E-3</v>
      </c>
      <c r="Q1063" s="93">
        <f>B1063*'Portfolio 2 &amp; 3'!$F$7+C1063*'Portfolio 2 &amp; 3'!$F$8+D1063*'Portfolio 2 &amp; 3'!$F$9+E1063*'Portfolio 2 &amp; 3'!$F$10+F1063*'Portfolio 2 &amp; 3'!$F$11+G1063*'Portfolio 2 &amp; 3'!$F$12+H1063*'Portfolio 2 &amp; 3'!$F$13+I1063*'Portfolio 2 &amp; 3'!$F$14+J1063*'Portfolio 2 &amp; 3'!$F$15+K1063*'Portfolio 2 &amp; 3'!$F$16</f>
        <v>-1.6138801200883512E-3</v>
      </c>
      <c r="R1063" s="93">
        <f>B1063*'Portfolio 2 &amp; 3'!$B$23+C1063*'Portfolio 2 &amp; 3'!$B$24+D1063*'Portfolio 2 &amp; 3'!$B$25+E1063*'Portfolio 2 &amp; 3'!$B$26+F1063*'Portfolio 2 &amp; 3'!$B$27+G1063*'Portfolio 2 &amp; 3'!$B$28+H1063*'Portfolio 2 &amp; 3'!$B$29+I1063*'Portfolio 2 &amp; 3'!$B$30+J1063*'Portfolio 2 &amp; 3'!$B$31+K1063*'Portfolio 2 &amp; 3'!$B$32</f>
        <v>-6.7002709410435139E-4</v>
      </c>
      <c r="S1063" s="93">
        <f t="shared" si="50"/>
        <v>-9.5367460176910557E-3</v>
      </c>
    </row>
    <row r="1064" spans="1:19" ht="12.75" customHeight="1">
      <c r="A1064" s="81">
        <v>44522</v>
      </c>
      <c r="B1064" s="53">
        <v>-4.5999999999999999E-3</v>
      </c>
      <c r="C1064" s="53">
        <v>6.8367867102461899E-2</v>
      </c>
      <c r="D1064" s="53">
        <v>1.6525807425294099E-2</v>
      </c>
      <c r="E1064" s="53">
        <v>-2.0789999999999999E-2</v>
      </c>
      <c r="F1064" s="53">
        <v>-1.3725278288122599E-2</v>
      </c>
      <c r="G1064" s="53">
        <v>-2.1827386137637499E-2</v>
      </c>
      <c r="H1064" s="87">
        <v>-1.4863607686303E-2</v>
      </c>
      <c r="I1064" s="53">
        <v>1.8623100712652701E-2</v>
      </c>
      <c r="J1064" s="53">
        <v>-9.9864314789688303E-3</v>
      </c>
      <c r="K1064" s="53">
        <v>-4.2387959726205597E-3</v>
      </c>
      <c r="L1064" s="95">
        <f>IFERROR(B1064*'Stock Statistics'!$C$41+C1064*'Stock Statistics'!$C$42+D1064*'Stock Statistics'!$C$43+E1064*'Stock Statistics'!$C$44+F1064*'Stock Statistics'!$C$45+G1064*'Stock Statistics'!$C$46+H1064*'Stock Statistics'!$C$47+I1064*'Stock Statistics'!$C$48+J1064*'Stock Statistics'!$C$49+K1064*'Stock Statistics'!$C$50,"")</f>
        <v>1.34852756767562E-3</v>
      </c>
      <c r="M1064" s="96">
        <v>244.20169999999999</v>
      </c>
      <c r="N1064" s="97">
        <v>325.03469999999999</v>
      </c>
      <c r="O1064" s="93">
        <f t="shared" si="48"/>
        <v>-1.3935633299670624E-2</v>
      </c>
      <c r="P1064" s="93">
        <f t="shared" si="49"/>
        <v>4.7493294400620112E-3</v>
      </c>
      <c r="Q1064" s="93">
        <f>B1064*'Portfolio 2 &amp; 3'!$F$7+C1064*'Portfolio 2 &amp; 3'!$F$8+D1064*'Portfolio 2 &amp; 3'!$F$9+E1064*'Portfolio 2 &amp; 3'!$F$10+F1064*'Portfolio 2 &amp; 3'!$F$11+G1064*'Portfolio 2 &amp; 3'!$F$12+H1064*'Portfolio 2 &amp; 3'!$F$13+I1064*'Portfolio 2 &amp; 3'!$F$14+J1064*'Portfolio 2 &amp; 3'!$F$15+K1064*'Portfolio 2 &amp; 3'!$F$16</f>
        <v>1.7710589707071304E-3</v>
      </c>
      <c r="R1064" s="93">
        <f>B1064*'Portfolio 2 &amp; 3'!$B$23+C1064*'Portfolio 2 &amp; 3'!$B$24+D1064*'Portfolio 2 &amp; 3'!$B$25+E1064*'Portfolio 2 &amp; 3'!$B$26+F1064*'Portfolio 2 &amp; 3'!$B$27+G1064*'Portfolio 2 &amp; 3'!$B$28+H1064*'Portfolio 2 &amp; 3'!$B$29+I1064*'Portfolio 2 &amp; 3'!$B$30+J1064*'Portfolio 2 &amp; 3'!$B$31+K1064*'Portfolio 2 &amp; 3'!$B$32</f>
        <v>1.1696032186078233E-2</v>
      </c>
      <c r="S1064" s="93">
        <f t="shared" si="50"/>
        <v>-4.5931519298043066E-3</v>
      </c>
    </row>
    <row r="1065" spans="1:19" ht="12.75" customHeight="1">
      <c r="A1065" s="82">
        <v>44518</v>
      </c>
      <c r="B1065" s="53">
        <v>-3.2000000000000002E-3</v>
      </c>
      <c r="C1065" s="53">
        <v>7.0516571394274596E-4</v>
      </c>
      <c r="D1065" s="53">
        <v>3.55925785687239E-3</v>
      </c>
      <c r="E1065" s="53">
        <v>-1.0630000000000001E-2</v>
      </c>
      <c r="F1065" s="53">
        <v>-2.0016945562381001E-2</v>
      </c>
      <c r="G1065" s="53">
        <v>1.56388898034443E-3</v>
      </c>
      <c r="H1065" s="87">
        <v>-4.6300238419618696E-3</v>
      </c>
      <c r="I1065" s="53">
        <v>8.8855728142169799E-3</v>
      </c>
      <c r="J1065" s="53">
        <v>-7.4341431880622401E-3</v>
      </c>
      <c r="K1065" s="53">
        <v>5.2817642355120799E-3</v>
      </c>
      <c r="L1065" s="95">
        <f>IFERROR(B1065*'Stock Statistics'!$C$41+C1065*'Stock Statistics'!$C$42+D1065*'Stock Statistics'!$C$43+E1065*'Stock Statistics'!$C$44+F1065*'Stock Statistics'!$C$45+G1065*'Stock Statistics'!$C$46+H1065*'Stock Statistics'!$C$47+I1065*'Stock Statistics'!$C$48+J1065*'Stock Statistics'!$C$49+K1065*'Stock Statistics'!$C$50,"")</f>
        <v>-2.5915462991516489E-3</v>
      </c>
      <c r="M1065" s="97">
        <v>247.65289999999999</v>
      </c>
      <c r="N1065" s="96">
        <v>323.49829999999997</v>
      </c>
      <c r="O1065" s="93">
        <f t="shared" si="48"/>
        <v>-1.3702016228704927E-3</v>
      </c>
      <c r="P1065" s="93">
        <f t="shared" si="49"/>
        <v>-1.6994343448059057E-3</v>
      </c>
      <c r="Q1065" s="93">
        <f>B1065*'Portfolio 2 &amp; 3'!$F$7+C1065*'Portfolio 2 &amp; 3'!$F$8+D1065*'Portfolio 2 &amp; 3'!$F$9+E1065*'Portfolio 2 &amp; 3'!$F$10+F1065*'Portfolio 2 &amp; 3'!$F$11+G1065*'Portfolio 2 &amp; 3'!$F$12+H1065*'Portfolio 2 &amp; 3'!$F$13+I1065*'Portfolio 2 &amp; 3'!$F$14+J1065*'Portfolio 2 &amp; 3'!$F$15+K1065*'Portfolio 2 &amp; 3'!$F$16</f>
        <v>-3.0894295469628495E-3</v>
      </c>
      <c r="R1065" s="93">
        <f>B1065*'Portfolio 2 &amp; 3'!$B$23+C1065*'Portfolio 2 &amp; 3'!$B$24+D1065*'Portfolio 2 &amp; 3'!$B$25+E1065*'Portfolio 2 &amp; 3'!$B$26+F1065*'Portfolio 2 &amp; 3'!$B$27+G1065*'Portfolio 2 &amp; 3'!$B$28+H1065*'Portfolio 2 &amp; 3'!$B$29+I1065*'Portfolio 2 &amp; 3'!$B$30+J1065*'Portfolio 2 &amp; 3'!$B$31+K1065*'Portfolio 2 &amp; 3'!$B$32</f>
        <v>-9.481720983052055E-4</v>
      </c>
      <c r="S1065" s="93">
        <f t="shared" si="50"/>
        <v>-1.5348179838381992E-3</v>
      </c>
    </row>
    <row r="1066" spans="1:19" ht="12.75" customHeight="1">
      <c r="A1066" s="81">
        <v>44517</v>
      </c>
      <c r="B1066" s="53">
        <v>-6.1000000000000004E-3</v>
      </c>
      <c r="C1066" s="53">
        <v>-4.9713364385524103E-3</v>
      </c>
      <c r="D1066" s="53">
        <v>8.1691861352879407E-3</v>
      </c>
      <c r="E1066" s="53">
        <v>-3.9890000000000002E-2</v>
      </c>
      <c r="F1066" s="53">
        <v>-1.76862255513941E-2</v>
      </c>
      <c r="G1066" s="53">
        <v>3.9524389842249301E-4</v>
      </c>
      <c r="H1066" s="87">
        <v>-1.1218926940158599E-2</v>
      </c>
      <c r="I1066" s="53">
        <v>-1.94865655759511E-2</v>
      </c>
      <c r="J1066" s="53">
        <v>-4.4424997426129903E-2</v>
      </c>
      <c r="K1066" s="53">
        <v>-2.5949003853406601E-2</v>
      </c>
      <c r="L1066" s="95">
        <f>IFERROR(B1066*'Stock Statistics'!$C$41+C1066*'Stock Statistics'!$C$42+D1066*'Stock Statistics'!$C$43+E1066*'Stock Statistics'!$C$44+F1066*'Stock Statistics'!$C$45+G1066*'Stock Statistics'!$C$46+H1066*'Stock Statistics'!$C$47+I1066*'Stock Statistics'!$C$48+J1066*'Stock Statistics'!$C$49+K1066*'Stock Statistics'!$C$50,"")</f>
        <v>-1.6116262575188226E-2</v>
      </c>
      <c r="M1066" s="96">
        <v>247.99270000000001</v>
      </c>
      <c r="N1066" s="97">
        <v>324.04899999999998</v>
      </c>
      <c r="O1066" s="93">
        <f t="shared" si="48"/>
        <v>-6.0552256781968294E-3</v>
      </c>
      <c r="P1066" s="93">
        <f t="shared" si="49"/>
        <v>-4.0878470682351731E-3</v>
      </c>
      <c r="Q1066" s="93">
        <f>B1066*'Portfolio 2 &amp; 3'!$F$7+C1066*'Portfolio 2 &amp; 3'!$F$8+D1066*'Portfolio 2 &amp; 3'!$F$9+E1066*'Portfolio 2 &amp; 3'!$F$10+F1066*'Portfolio 2 &amp; 3'!$F$11+G1066*'Portfolio 2 &amp; 3'!$F$12+H1066*'Portfolio 2 &amp; 3'!$F$13+I1066*'Portfolio 2 &amp; 3'!$F$14+J1066*'Portfolio 2 &amp; 3'!$F$15+K1066*'Portfolio 2 &amp; 3'!$F$16</f>
        <v>-1.6496774915741832E-2</v>
      </c>
      <c r="R1066" s="93">
        <f>B1066*'Portfolio 2 &amp; 3'!$B$23+C1066*'Portfolio 2 &amp; 3'!$B$24+D1066*'Portfolio 2 &amp; 3'!$B$25+E1066*'Portfolio 2 &amp; 3'!$B$26+F1066*'Portfolio 2 &amp; 3'!$B$27+G1066*'Portfolio 2 &amp; 3'!$B$28+H1066*'Portfolio 2 &amp; 3'!$B$29+I1066*'Portfolio 2 &amp; 3'!$B$30+J1066*'Portfolio 2 &amp; 3'!$B$31+K1066*'Portfolio 2 &amp; 3'!$B$32</f>
        <v>-1.3311355534935867E-2</v>
      </c>
      <c r="S1066" s="93">
        <f t="shared" si="50"/>
        <v>-5.0715363732160013E-3</v>
      </c>
    </row>
    <row r="1067" spans="1:19" ht="12.75" customHeight="1">
      <c r="A1067" s="82">
        <v>44516</v>
      </c>
      <c r="B1067" s="53">
        <v>-8.3000000000000001E-3</v>
      </c>
      <c r="C1067" s="53">
        <v>2.0071269759083701E-2</v>
      </c>
      <c r="D1067" s="53">
        <v>-3.4853732223122803E-2</v>
      </c>
      <c r="E1067" s="53">
        <v>2.3879999999999998E-2</v>
      </c>
      <c r="F1067" s="53">
        <v>-2.5744982769106001E-2</v>
      </c>
      <c r="G1067" s="53">
        <v>1.52313119660261E-2</v>
      </c>
      <c r="H1067" s="87">
        <v>3.4693788657548498E-2</v>
      </c>
      <c r="I1067" s="53">
        <v>-1.8858075040783101E-2</v>
      </c>
      <c r="J1067" s="53">
        <v>6.5284974093264801E-3</v>
      </c>
      <c r="K1067" s="53">
        <v>-8.6460016052506399E-3</v>
      </c>
      <c r="L1067" s="95">
        <f>IFERROR(B1067*'Stock Statistics'!$C$41+C1067*'Stock Statistics'!$C$42+D1067*'Stock Statistics'!$C$43+E1067*'Stock Statistics'!$C$44+F1067*'Stock Statistics'!$C$45+G1067*'Stock Statistics'!$C$46+H1067*'Stock Statistics'!$C$47+I1067*'Stock Statistics'!$C$48+J1067*'Stock Statistics'!$C$49+K1067*'Stock Statistics'!$C$50,"")</f>
        <v>4.0020761537222396E-4</v>
      </c>
      <c r="M1067" s="97">
        <v>249.5035</v>
      </c>
      <c r="N1067" s="96">
        <v>325.37909999999999</v>
      </c>
      <c r="O1067" s="93">
        <f t="shared" si="48"/>
        <v>1.5449263860484397E-2</v>
      </c>
      <c r="P1067" s="93">
        <f t="shared" si="49"/>
        <v>4.1968672000525231E-4</v>
      </c>
      <c r="Q1067" s="93">
        <f>B1067*'Portfolio 2 &amp; 3'!$F$7+C1067*'Portfolio 2 &amp; 3'!$F$8+D1067*'Portfolio 2 &amp; 3'!$F$9+E1067*'Portfolio 2 &amp; 3'!$F$10+F1067*'Portfolio 2 &amp; 3'!$F$11+G1067*'Portfolio 2 &amp; 3'!$F$12+H1067*'Portfolio 2 &amp; 3'!$F$13+I1067*'Portfolio 2 &amp; 3'!$F$14+J1067*'Portfolio 2 &amp; 3'!$F$15+K1067*'Portfolio 2 &amp; 3'!$F$16</f>
        <v>1.0063058666332949E-3</v>
      </c>
      <c r="R1067" s="93">
        <f>B1067*'Portfolio 2 &amp; 3'!$B$23+C1067*'Portfolio 2 &amp; 3'!$B$24+D1067*'Portfolio 2 &amp; 3'!$B$25+E1067*'Portfolio 2 &amp; 3'!$B$26+F1067*'Portfolio 2 &amp; 3'!$B$27+G1067*'Portfolio 2 &amp; 3'!$B$28+H1067*'Portfolio 2 &amp; 3'!$B$29+I1067*'Portfolio 2 &amp; 3'!$B$30+J1067*'Portfolio 2 &amp; 3'!$B$31+K1067*'Portfolio 2 &amp; 3'!$B$32</f>
        <v>-4.3491270271194728E-3</v>
      </c>
      <c r="S1067" s="93">
        <f t="shared" si="50"/>
        <v>7.9344752902448246E-3</v>
      </c>
    </row>
    <row r="1068" spans="1:19" ht="12.75" customHeight="1">
      <c r="A1068" s="81">
        <v>44515</v>
      </c>
      <c r="B1068" s="53">
        <v>9.9000000000000008E-3</v>
      </c>
      <c r="C1068" s="53">
        <v>-5.7024283067909201E-2</v>
      </c>
      <c r="D1068" s="53">
        <v>1.4426670653311401E-2</v>
      </c>
      <c r="E1068" s="53">
        <v>2.7299999999999998E-3</v>
      </c>
      <c r="F1068" s="53">
        <v>1.4210312626876699E-3</v>
      </c>
      <c r="G1068" s="53">
        <v>6.14196983141082E-2</v>
      </c>
      <c r="H1068" s="87">
        <v>-1.4027685649350399E-3</v>
      </c>
      <c r="I1068" s="53">
        <v>2.80405178775072E-2</v>
      </c>
      <c r="J1068" s="53">
        <v>-1.7585600496534701E-3</v>
      </c>
      <c r="K1068" s="53">
        <v>-3.3314431528210799E-3</v>
      </c>
      <c r="L1068" s="95">
        <f>IFERROR(B1068*'Stock Statistics'!$C$41+C1068*'Stock Statistics'!$C$42+D1068*'Stock Statistics'!$C$43+E1068*'Stock Statistics'!$C$44+F1068*'Stock Statistics'!$C$45+G1068*'Stock Statistics'!$C$46+H1068*'Stock Statistics'!$C$47+I1068*'Stock Statistics'!$C$48+J1068*'Stock Statistics'!$C$49+K1068*'Stock Statistics'!$C$50,"")</f>
        <v>5.4420863272295677E-3</v>
      </c>
      <c r="M1068" s="96">
        <v>245.70750000000001</v>
      </c>
      <c r="N1068" s="97">
        <v>325.24259999999998</v>
      </c>
      <c r="O1068" s="93">
        <f t="shared" si="48"/>
        <v>2.5824789676287541E-3</v>
      </c>
      <c r="P1068" s="93">
        <f t="shared" si="49"/>
        <v>9.5625832849879355E-3</v>
      </c>
      <c r="Q1068" s="93">
        <f>B1068*'Portfolio 2 &amp; 3'!$F$7+C1068*'Portfolio 2 &amp; 3'!$F$8+D1068*'Portfolio 2 &amp; 3'!$F$9+E1068*'Portfolio 2 &amp; 3'!$F$10+F1068*'Portfolio 2 &amp; 3'!$F$11+G1068*'Portfolio 2 &amp; 3'!$F$12+H1068*'Portfolio 2 &amp; 3'!$F$13+I1068*'Portfolio 2 &amp; 3'!$F$14+J1068*'Portfolio 2 &amp; 3'!$F$15+K1068*'Portfolio 2 &amp; 3'!$F$16</f>
        <v>2.3804323541361527E-3</v>
      </c>
      <c r="R1068" s="93">
        <f>B1068*'Portfolio 2 &amp; 3'!$B$23+C1068*'Portfolio 2 &amp; 3'!$B$24+D1068*'Portfolio 2 &amp; 3'!$B$25+E1068*'Portfolio 2 &amp; 3'!$B$26+F1068*'Portfolio 2 &amp; 3'!$B$27+G1068*'Portfolio 2 &amp; 3'!$B$28+H1068*'Portfolio 2 &amp; 3'!$B$29+I1068*'Portfolio 2 &amp; 3'!$B$30+J1068*'Portfolio 2 &amp; 3'!$B$31+K1068*'Portfolio 2 &amp; 3'!$B$32</f>
        <v>3.9713552045687779E-3</v>
      </c>
      <c r="S1068" s="93">
        <f t="shared" si="50"/>
        <v>6.0725311263083448E-3</v>
      </c>
    </row>
    <row r="1069" spans="1:19" ht="12.75" customHeight="1">
      <c r="A1069" s="82">
        <v>44512</v>
      </c>
      <c r="B1069" s="53">
        <v>-1.18E-2</v>
      </c>
      <c r="C1069" s="53">
        <v>1.4236820155886199E-3</v>
      </c>
      <c r="D1069" s="53">
        <v>1.52538514077558E-2</v>
      </c>
      <c r="E1069" s="53">
        <v>5.5100000000000001E-3</v>
      </c>
      <c r="F1069" s="53">
        <v>1.3212724870415001E-3</v>
      </c>
      <c r="G1069" s="53">
        <v>-1.41768562821198E-3</v>
      </c>
      <c r="H1069" s="87">
        <v>-7.3187318515959303E-3</v>
      </c>
      <c r="I1069" s="53">
        <v>-1.0947452229299401E-2</v>
      </c>
      <c r="J1069" s="53">
        <v>7.4170787265959201E-2</v>
      </c>
      <c r="K1069" s="53">
        <v>2.8751197966582001E-2</v>
      </c>
      <c r="L1069" s="95">
        <f>IFERROR(B1069*'Stock Statistics'!$C$41+C1069*'Stock Statistics'!$C$42+D1069*'Stock Statistics'!$C$43+E1069*'Stock Statistics'!$C$44+F1069*'Stock Statistics'!$C$45+G1069*'Stock Statistics'!$C$46+H1069*'Stock Statistics'!$C$47+I1069*'Stock Statistics'!$C$48+J1069*'Stock Statistics'!$C$49+K1069*'Stock Statistics'!$C$50,"")</f>
        <v>9.4946921433819824E-3</v>
      </c>
      <c r="M1069" s="97">
        <v>245.0746</v>
      </c>
      <c r="N1069" s="96">
        <v>322.1619</v>
      </c>
      <c r="O1069" s="93">
        <f t="shared" si="48"/>
        <v>-1.1327544300222869E-2</v>
      </c>
      <c r="P1069" s="93">
        <f t="shared" si="49"/>
        <v>9.1918743868011354E-3</v>
      </c>
      <c r="Q1069" s="93">
        <f>B1069*'Portfolio 2 &amp; 3'!$F$7+C1069*'Portfolio 2 &amp; 3'!$F$8+D1069*'Portfolio 2 &amp; 3'!$F$9+E1069*'Portfolio 2 &amp; 3'!$F$10+F1069*'Portfolio 2 &amp; 3'!$F$11+G1069*'Portfolio 2 &amp; 3'!$F$12+H1069*'Portfolio 2 &amp; 3'!$F$13+I1069*'Portfolio 2 &amp; 3'!$F$14+J1069*'Portfolio 2 &amp; 3'!$F$15+K1069*'Portfolio 2 &amp; 3'!$F$16</f>
        <v>1.2772002918734229E-2</v>
      </c>
      <c r="R1069" s="93">
        <f>B1069*'Portfolio 2 &amp; 3'!$B$23+C1069*'Portfolio 2 &amp; 3'!$B$24+D1069*'Portfolio 2 &amp; 3'!$B$25+E1069*'Portfolio 2 &amp; 3'!$B$26+F1069*'Portfolio 2 &amp; 3'!$B$27+G1069*'Portfolio 2 &amp; 3'!$B$28+H1069*'Portfolio 2 &amp; 3'!$B$29+I1069*'Portfolio 2 &amp; 3'!$B$30+J1069*'Portfolio 2 &amp; 3'!$B$31+K1069*'Portfolio 2 &amp; 3'!$B$32</f>
        <v>8.9384400983377266E-4</v>
      </c>
      <c r="S1069" s="93">
        <f t="shared" si="50"/>
        <v>-1.0678349567108669E-3</v>
      </c>
    </row>
    <row r="1070" spans="1:19" ht="12.75" customHeight="1">
      <c r="A1070" s="81">
        <v>44511</v>
      </c>
      <c r="B1070" s="53">
        <v>-3.3999999999999998E-3</v>
      </c>
      <c r="C1070" s="53">
        <v>-2.06881011731237E-2</v>
      </c>
      <c r="D1070" s="53">
        <v>1.21361087641139E-2</v>
      </c>
      <c r="E1070" s="53">
        <v>1.6109999999999999E-2</v>
      </c>
      <c r="F1070" s="53">
        <v>-2.01175181754806E-2</v>
      </c>
      <c r="G1070" s="53">
        <v>2.4826108275974899E-2</v>
      </c>
      <c r="H1070" s="87">
        <v>5.2847469398384899E-3</v>
      </c>
      <c r="I1070" s="53">
        <v>3.3952466546836001E-3</v>
      </c>
      <c r="J1070" s="53">
        <v>7.2751692875929804E-3</v>
      </c>
      <c r="K1070" s="53">
        <v>2.5006940440344402E-2</v>
      </c>
      <c r="L1070" s="95">
        <f>IFERROR(B1070*'Stock Statistics'!$C$41+C1070*'Stock Statistics'!$C$42+D1070*'Stock Statistics'!$C$43+E1070*'Stock Statistics'!$C$44+F1070*'Stock Statistics'!$C$45+G1070*'Stock Statistics'!$C$46+H1070*'Stock Statistics'!$C$47+I1070*'Stock Statistics'!$C$48+J1070*'Stock Statistics'!$C$49+K1070*'Stock Statistics'!$C$50,"")</f>
        <v>4.9828701013943976E-3</v>
      </c>
      <c r="M1070" s="96">
        <v>247.88249999999999</v>
      </c>
      <c r="N1070" s="97">
        <v>319.2276</v>
      </c>
      <c r="O1070" s="93">
        <f t="shared" si="48"/>
        <v>2.8351613408272858E-3</v>
      </c>
      <c r="P1070" s="93">
        <f t="shared" si="49"/>
        <v>-1.8967448023906708E-2</v>
      </c>
      <c r="Q1070" s="93">
        <f>B1070*'Portfolio 2 &amp; 3'!$F$7+C1070*'Portfolio 2 &amp; 3'!$F$8+D1070*'Portfolio 2 &amp; 3'!$F$9+E1070*'Portfolio 2 &amp; 3'!$F$10+F1070*'Portfolio 2 &amp; 3'!$F$11+G1070*'Portfolio 2 &amp; 3'!$F$12+H1070*'Portfolio 2 &amp; 3'!$F$13+I1070*'Portfolio 2 &amp; 3'!$F$14+J1070*'Portfolio 2 &amp; 3'!$F$15+K1070*'Portfolio 2 &amp; 3'!$F$16</f>
        <v>4.0197445376305985E-3</v>
      </c>
      <c r="R1070" s="93">
        <f>B1070*'Portfolio 2 &amp; 3'!$B$23+C1070*'Portfolio 2 &amp; 3'!$B$24+D1070*'Portfolio 2 &amp; 3'!$B$25+E1070*'Portfolio 2 &amp; 3'!$B$26+F1070*'Portfolio 2 &amp; 3'!$B$27+G1070*'Portfolio 2 &amp; 3'!$B$28+H1070*'Portfolio 2 &amp; 3'!$B$29+I1070*'Portfolio 2 &amp; 3'!$B$30+J1070*'Portfolio 2 &amp; 3'!$B$31+K1070*'Portfolio 2 &amp; 3'!$B$32</f>
        <v>-1.4011937877375486E-3</v>
      </c>
      <c r="S1070" s="93">
        <f t="shared" si="50"/>
        <v>-8.066143341539711E-3</v>
      </c>
    </row>
    <row r="1071" spans="1:19" ht="12.75" customHeight="1">
      <c r="A1071" s="82">
        <v>44510</v>
      </c>
      <c r="B1071" s="53">
        <v>-6.9999999999999999E-4</v>
      </c>
      <c r="C1071" s="53">
        <v>-1.08379187852615E-2</v>
      </c>
      <c r="D1071" s="53">
        <v>3.7205226258763699E-2</v>
      </c>
      <c r="E1071" s="53">
        <v>-3.4520000000000002E-2</v>
      </c>
      <c r="F1071" s="53">
        <v>7.3234349919744099E-3</v>
      </c>
      <c r="G1071" s="53">
        <v>-1.36674667717551E-2</v>
      </c>
      <c r="H1071" s="87">
        <v>-1.36681330207964E-2</v>
      </c>
      <c r="I1071" s="53">
        <v>-2.1178157174508001E-2</v>
      </c>
      <c r="J1071" s="53">
        <v>-1.8833735998242899E-2</v>
      </c>
      <c r="K1071" s="53">
        <v>-1.6921042134654601E-2</v>
      </c>
      <c r="L1071" s="95">
        <f>IFERROR(B1071*'Stock Statistics'!$C$41+C1071*'Stock Statistics'!$C$42+D1071*'Stock Statistics'!$C$43+E1071*'Stock Statistics'!$C$44+F1071*'Stock Statistics'!$C$45+G1071*'Stock Statistics'!$C$46+H1071*'Stock Statistics'!$C$47+I1071*'Stock Statistics'!$C$48+J1071*'Stock Statistics'!$C$49+K1071*'Stock Statistics'!$C$50,"")</f>
        <v>-8.5797792634480386E-3</v>
      </c>
      <c r="M1071" s="97">
        <v>247.18170000000001</v>
      </c>
      <c r="N1071" s="96">
        <v>325.39960000000002</v>
      </c>
      <c r="O1071" s="93">
        <f t="shared" si="48"/>
        <v>5.7709976343101044E-3</v>
      </c>
      <c r="P1071" s="93">
        <f t="shared" si="49"/>
        <v>4.4325967485236983E-3</v>
      </c>
      <c r="Q1071" s="93">
        <f>B1071*'Portfolio 2 &amp; 3'!$F$7+C1071*'Portfolio 2 &amp; 3'!$F$8+D1071*'Portfolio 2 &amp; 3'!$F$9+E1071*'Portfolio 2 &amp; 3'!$F$10+F1071*'Portfolio 2 &amp; 3'!$F$11+G1071*'Portfolio 2 &amp; 3'!$F$12+H1071*'Portfolio 2 &amp; 3'!$F$13+I1071*'Portfolio 2 &amp; 3'!$F$14+J1071*'Portfolio 2 &amp; 3'!$F$15+K1071*'Portfolio 2 &amp; 3'!$F$16</f>
        <v>-6.7445911070701074E-3</v>
      </c>
      <c r="R1071" s="93">
        <f>B1071*'Portfolio 2 &amp; 3'!$B$23+C1071*'Portfolio 2 &amp; 3'!$B$24+D1071*'Portfolio 2 &amp; 3'!$B$25+E1071*'Portfolio 2 &amp; 3'!$B$26+F1071*'Portfolio 2 &amp; 3'!$B$27+G1071*'Portfolio 2 &amp; 3'!$B$28+H1071*'Portfolio 2 &amp; 3'!$B$29+I1071*'Portfolio 2 &amp; 3'!$B$30+J1071*'Portfolio 2 &amp; 3'!$B$31+K1071*'Portfolio 2 &amp; 3'!$B$32</f>
        <v>-9.7788352570192718E-3</v>
      </c>
      <c r="S1071" s="93">
        <f t="shared" si="50"/>
        <v>5.1017971914169014E-3</v>
      </c>
    </row>
    <row r="1072" spans="1:19" ht="12.75" customHeight="1">
      <c r="A1072" s="81">
        <v>44509</v>
      </c>
      <c r="B1072" s="53">
        <v>2.3E-3</v>
      </c>
      <c r="C1072" s="53">
        <v>1.0999380316601999E-2</v>
      </c>
      <c r="D1072" s="53">
        <v>-1.8685012899695E-2</v>
      </c>
      <c r="E1072" s="53">
        <v>-9.1500000000000001E-3</v>
      </c>
      <c r="F1072" s="53">
        <v>7.8867542972698192E-3</v>
      </c>
      <c r="G1072" s="53">
        <v>-1.5206040079028999E-2</v>
      </c>
      <c r="H1072" s="87">
        <v>-2.0311222028815398E-2</v>
      </c>
      <c r="I1072" s="53">
        <v>-1.99259164644272E-2</v>
      </c>
      <c r="J1072" s="53">
        <v>1.6975653339289701E-2</v>
      </c>
      <c r="K1072" s="53">
        <v>1.7984035562014701E-2</v>
      </c>
      <c r="L1072" s="95">
        <f>IFERROR(B1072*'Stock Statistics'!$C$41+C1072*'Stock Statistics'!$C$42+D1072*'Stock Statistics'!$C$43+E1072*'Stock Statistics'!$C$44+F1072*'Stock Statistics'!$C$45+G1072*'Stock Statistics'!$C$46+H1072*'Stock Statistics'!$C$47+I1072*'Stock Statistics'!$C$48+J1072*'Stock Statistics'!$C$49+K1072*'Stock Statistics'!$C$50,"")</f>
        <v>-2.7132367956790391E-3</v>
      </c>
      <c r="M1072" s="96">
        <v>245.76339999999999</v>
      </c>
      <c r="N1072" s="97">
        <v>323.96359999999999</v>
      </c>
      <c r="O1072" s="93">
        <f t="shared" si="48"/>
        <v>-2.6912679069549528E-3</v>
      </c>
      <c r="P1072" s="93">
        <f t="shared" si="49"/>
        <v>3.2177800074009166E-3</v>
      </c>
      <c r="Q1072" s="93">
        <f>B1072*'Portfolio 2 &amp; 3'!$F$7+C1072*'Portfolio 2 &amp; 3'!$F$8+D1072*'Portfolio 2 &amp; 3'!$F$9+E1072*'Portfolio 2 &amp; 3'!$F$10+F1072*'Portfolio 2 &amp; 3'!$F$11+G1072*'Portfolio 2 &amp; 3'!$F$12+H1072*'Portfolio 2 &amp; 3'!$F$13+I1072*'Portfolio 2 &amp; 3'!$F$14+J1072*'Portfolio 2 &amp; 3'!$F$15+K1072*'Portfolio 2 &amp; 3'!$F$16</f>
        <v>-3.0819237528253622E-3</v>
      </c>
      <c r="R1072" s="93">
        <f>B1072*'Portfolio 2 &amp; 3'!$B$23+C1072*'Portfolio 2 &amp; 3'!$B$24+D1072*'Portfolio 2 &amp; 3'!$B$25+E1072*'Portfolio 2 &amp; 3'!$B$26+F1072*'Portfolio 2 &amp; 3'!$B$27+G1072*'Portfolio 2 &amp; 3'!$B$28+H1072*'Portfolio 2 &amp; 3'!$B$29+I1072*'Portfolio 2 &amp; 3'!$B$30+J1072*'Portfolio 2 &amp; 3'!$B$31+K1072*'Portfolio 2 &amp; 3'!$B$32</f>
        <v>-1.6795010744669132E-3</v>
      </c>
      <c r="S1072" s="93">
        <f t="shared" si="50"/>
        <v>2.6325605022298193E-4</v>
      </c>
    </row>
    <row r="1073" spans="1:19" ht="12.75" customHeight="1">
      <c r="A1073" s="82">
        <v>44508</v>
      </c>
      <c r="B1073" s="53">
        <v>-1.3299999999999999E-2</v>
      </c>
      <c r="C1073" s="53">
        <v>5.66540139368876E-3</v>
      </c>
      <c r="D1073" s="53">
        <v>-4.05070887405296E-2</v>
      </c>
      <c r="E1073" s="53">
        <v>-2.2919999999999999E-2</v>
      </c>
      <c r="F1073" s="53">
        <v>5.5922724961869896E-3</v>
      </c>
      <c r="G1073" s="53">
        <v>1.6260016851615999E-2</v>
      </c>
      <c r="H1073" s="87">
        <v>-1.0233311192295E-2</v>
      </c>
      <c r="I1073" s="53">
        <v>5.0709288144295001E-3</v>
      </c>
      <c r="J1073" s="53">
        <v>3.47416788075772E-3</v>
      </c>
      <c r="K1073" s="53">
        <v>-2.2243814777666501E-2</v>
      </c>
      <c r="L1073" s="95">
        <f>IFERROR(B1073*'Stock Statistics'!$C$41+C1073*'Stock Statistics'!$C$42+D1073*'Stock Statistics'!$C$43+E1073*'Stock Statistics'!$C$44+F1073*'Stock Statistics'!$C$45+G1073*'Stock Statistics'!$C$46+H1073*'Stock Statistics'!$C$47+I1073*'Stock Statistics'!$C$48+J1073*'Stock Statistics'!$C$49+K1073*'Stock Statistics'!$C$50,"")</f>
        <v>-7.3141427273812135E-3</v>
      </c>
      <c r="M1073" s="97">
        <v>246.42660000000001</v>
      </c>
      <c r="N1073" s="96">
        <v>322.92450000000002</v>
      </c>
      <c r="O1073" s="93">
        <f t="shared" si="48"/>
        <v>-3.8278150246489062E-3</v>
      </c>
      <c r="P1073" s="93">
        <f t="shared" si="49"/>
        <v>7.0840689330120554E-4</v>
      </c>
      <c r="Q1073" s="93">
        <f>B1073*'Portfolio 2 &amp; 3'!$F$7+C1073*'Portfolio 2 &amp; 3'!$F$8+D1073*'Portfolio 2 &amp; 3'!$F$9+E1073*'Portfolio 2 &amp; 3'!$F$10+F1073*'Portfolio 2 &amp; 3'!$F$11+G1073*'Portfolio 2 &amp; 3'!$F$12+H1073*'Portfolio 2 &amp; 3'!$F$13+I1073*'Portfolio 2 &amp; 3'!$F$14+J1073*'Portfolio 2 &amp; 3'!$F$15+K1073*'Portfolio 2 &amp; 3'!$F$16</f>
        <v>-8.4335558039656932E-3</v>
      </c>
      <c r="R1073" s="93">
        <f>B1073*'Portfolio 2 &amp; 3'!$B$23+C1073*'Portfolio 2 &amp; 3'!$B$24+D1073*'Portfolio 2 &amp; 3'!$B$25+E1073*'Portfolio 2 &amp; 3'!$B$26+F1073*'Portfolio 2 &amp; 3'!$B$27+G1073*'Portfolio 2 &amp; 3'!$B$28+H1073*'Portfolio 2 &amp; 3'!$B$29+I1073*'Portfolio 2 &amp; 3'!$B$30+J1073*'Portfolio 2 &amp; 3'!$B$31+K1073*'Portfolio 2 &amp; 3'!$B$32</f>
        <v>5.7440131009493301E-4</v>
      </c>
      <c r="S1073" s="93">
        <f t="shared" si="50"/>
        <v>-1.5597040656738503E-3</v>
      </c>
    </row>
    <row r="1074" spans="1:19" ht="12.75" customHeight="1">
      <c r="A1074" s="81">
        <v>44504</v>
      </c>
      <c r="B1074" s="53">
        <v>0</v>
      </c>
      <c r="C1074" s="53">
        <v>-6.7386013533475798E-3</v>
      </c>
      <c r="D1074" s="53">
        <v>-2.9484566103669198E-2</v>
      </c>
      <c r="E1074" s="53">
        <v>-2.0199999999999999E-2</v>
      </c>
      <c r="F1074" s="53">
        <v>2.5484199796126398E-3</v>
      </c>
      <c r="G1074" s="53">
        <v>-2.0038287442076799E-3</v>
      </c>
      <c r="H1074" s="87">
        <v>-1.15006206847023E-2</v>
      </c>
      <c r="I1074" s="53">
        <v>-7.9597554763117806E-3</v>
      </c>
      <c r="J1074" s="53">
        <v>-1.44143149058376E-2</v>
      </c>
      <c r="K1074" s="53">
        <v>4.5656349381277802E-3</v>
      </c>
      <c r="L1074" s="95">
        <f>IFERROR(B1074*'Stock Statistics'!$C$41+C1074*'Stock Statistics'!$C$42+D1074*'Stock Statistics'!$C$43+E1074*'Stock Statistics'!$C$44+F1074*'Stock Statistics'!$C$45+G1074*'Stock Statistics'!$C$46+H1074*'Stock Statistics'!$C$47+I1074*'Stock Statistics'!$C$48+J1074*'Stock Statistics'!$C$49+K1074*'Stock Statistics'!$C$50,"")</f>
        <v>-8.5187632350335728E-3</v>
      </c>
      <c r="M1074" s="96">
        <v>247.37350000000001</v>
      </c>
      <c r="N1074" s="97">
        <v>322.69589999999999</v>
      </c>
      <c r="O1074" s="93">
        <f t="shared" si="48"/>
        <v>-1.1834458098103351E-3</v>
      </c>
      <c r="P1074" s="93">
        <f t="shared" si="49"/>
        <v>-1.1246259187912555E-2</v>
      </c>
      <c r="Q1074" s="93">
        <f>B1074*'Portfolio 2 &amp; 3'!$F$7+C1074*'Portfolio 2 &amp; 3'!$F$8+D1074*'Portfolio 2 &amp; 3'!$F$9+E1074*'Portfolio 2 &amp; 3'!$F$10+F1074*'Portfolio 2 &amp; 3'!$F$11+G1074*'Portfolio 2 &amp; 3'!$F$12+H1074*'Portfolio 2 &amp; 3'!$F$13+I1074*'Portfolio 2 &amp; 3'!$F$14+J1074*'Portfolio 2 &amp; 3'!$F$15+K1074*'Portfolio 2 &amp; 3'!$F$16</f>
        <v>-1.0194745658657614E-2</v>
      </c>
      <c r="R1074" s="93">
        <f>B1074*'Portfolio 2 &amp; 3'!$B$23+C1074*'Portfolio 2 &amp; 3'!$B$24+D1074*'Portfolio 2 &amp; 3'!$B$25+E1074*'Portfolio 2 &amp; 3'!$B$26+F1074*'Portfolio 2 &amp; 3'!$B$27+G1074*'Portfolio 2 &amp; 3'!$B$28+H1074*'Portfolio 2 &amp; 3'!$B$29+I1074*'Portfolio 2 &amp; 3'!$B$30+J1074*'Portfolio 2 &amp; 3'!$B$31+K1074*'Portfolio 2 &amp; 3'!$B$32</f>
        <v>-3.8819503891313928E-3</v>
      </c>
      <c r="S1074" s="93">
        <f t="shared" si="50"/>
        <v>-6.2148524988614451E-3</v>
      </c>
    </row>
    <row r="1075" spans="1:19" ht="12.75" customHeight="1">
      <c r="A1075" s="82">
        <v>44503</v>
      </c>
      <c r="B1075" s="53">
        <v>-5.9999999999999995E-4</v>
      </c>
      <c r="C1075" s="53">
        <v>-8.1626388346263106E-3</v>
      </c>
      <c r="D1075" s="53">
        <v>-1.2863816025871401E-2</v>
      </c>
      <c r="E1075" s="53">
        <v>1.6999999999999999E-3</v>
      </c>
      <c r="F1075" s="53">
        <v>-1.00908173562059E-2</v>
      </c>
      <c r="G1075" s="53">
        <v>1.1822236552205801E-3</v>
      </c>
      <c r="H1075" s="87">
        <v>6.2767769576213004E-3</v>
      </c>
      <c r="I1075" s="53">
        <v>1.87479727538114E-2</v>
      </c>
      <c r="J1075" s="53">
        <v>-1.7792243016002102E-2</v>
      </c>
      <c r="K1075" s="53">
        <v>-1.8289164571569899E-2</v>
      </c>
      <c r="L1075" s="95">
        <f>IFERROR(B1075*'Stock Statistics'!$C$41+C1075*'Stock Statistics'!$C$42+D1075*'Stock Statistics'!$C$43+E1075*'Stock Statistics'!$C$44+F1075*'Stock Statistics'!$C$45+G1075*'Stock Statistics'!$C$46+H1075*'Stock Statistics'!$C$47+I1075*'Stock Statistics'!$C$48+J1075*'Stock Statistics'!$C$49+K1075*'Stock Statistics'!$C$50,"")</f>
        <v>-3.989170643762233E-3</v>
      </c>
      <c r="M1075" s="97">
        <v>247.66659999999999</v>
      </c>
      <c r="N1075" s="96">
        <v>326.36630000000002</v>
      </c>
      <c r="O1075" s="93">
        <f t="shared" si="48"/>
        <v>1.4165008922743416E-2</v>
      </c>
      <c r="P1075" s="93">
        <f t="shared" si="49"/>
        <v>3.204499640050873E-3</v>
      </c>
      <c r="Q1075" s="93">
        <f>B1075*'Portfolio 2 &amp; 3'!$F$7+C1075*'Portfolio 2 &amp; 3'!$F$8+D1075*'Portfolio 2 &amp; 3'!$F$9+E1075*'Portfolio 2 &amp; 3'!$F$10+F1075*'Portfolio 2 &amp; 3'!$F$11+G1075*'Portfolio 2 &amp; 3'!$F$12+H1075*'Portfolio 2 &amp; 3'!$F$13+I1075*'Portfolio 2 &amp; 3'!$F$14+J1075*'Portfolio 2 &amp; 3'!$F$15+K1075*'Portfolio 2 &amp; 3'!$F$16</f>
        <v>-4.8093238271941282E-3</v>
      </c>
      <c r="R1075" s="93">
        <f>B1075*'Portfolio 2 &amp; 3'!$B$23+C1075*'Portfolio 2 &amp; 3'!$B$24+D1075*'Portfolio 2 &amp; 3'!$B$25+E1075*'Portfolio 2 &amp; 3'!$B$26+F1075*'Portfolio 2 &amp; 3'!$B$27+G1075*'Portfolio 2 &amp; 3'!$B$28+H1075*'Portfolio 2 &amp; 3'!$B$29+I1075*'Portfolio 2 &amp; 3'!$B$30+J1075*'Portfolio 2 &amp; 3'!$B$31+K1075*'Portfolio 2 &amp; 3'!$B$32</f>
        <v>-5.4736514353343553E-4</v>
      </c>
      <c r="S1075" s="93">
        <f t="shared" si="50"/>
        <v>8.6847542813971446E-3</v>
      </c>
    </row>
    <row r="1076" spans="1:19" ht="12.75" customHeight="1">
      <c r="A1076" s="81">
        <v>44502</v>
      </c>
      <c r="B1076" s="53">
        <v>1.7600000000000001E-2</v>
      </c>
      <c r="C1076" s="53">
        <v>-4.5558086560364402E-3</v>
      </c>
      <c r="D1076" s="53">
        <v>1.1411542375345401E-2</v>
      </c>
      <c r="E1076" s="53">
        <v>7.7000000000000002E-3</v>
      </c>
      <c r="F1076" s="53">
        <v>-1.1865589789610101E-2</v>
      </c>
      <c r="G1076" s="53">
        <v>-1.5257884710364799E-2</v>
      </c>
      <c r="H1076" s="87">
        <v>5.8775272848108403E-3</v>
      </c>
      <c r="I1076" s="53">
        <v>-2.5169164611395602E-2</v>
      </c>
      <c r="J1076" s="53">
        <v>-1.74812130256355E-2</v>
      </c>
      <c r="K1076" s="53">
        <v>-1.12171813393375E-2</v>
      </c>
      <c r="L1076" s="95">
        <f>IFERROR(B1076*'Stock Statistics'!$C$41+C1076*'Stock Statistics'!$C$42+D1076*'Stock Statistics'!$C$43+E1076*'Stock Statistics'!$C$44+F1076*'Stock Statistics'!$C$45+G1076*'Stock Statistics'!$C$46+H1076*'Stock Statistics'!$C$47+I1076*'Stock Statistics'!$C$48+J1076*'Stock Statistics'!$C$49+K1076*'Stock Statistics'!$C$50,"")</f>
        <v>-4.2957772472223708E-3</v>
      </c>
      <c r="M1076" s="96">
        <v>244.20740000000001</v>
      </c>
      <c r="N1076" s="97">
        <v>325.32380000000001</v>
      </c>
      <c r="O1076" s="93">
        <f t="shared" si="48"/>
        <v>4.2682162031011384E-3</v>
      </c>
      <c r="P1076" s="93">
        <f t="shared" si="49"/>
        <v>-1.3159838513435385E-2</v>
      </c>
      <c r="Q1076" s="93">
        <f>B1076*'Portfolio 2 &amp; 3'!$F$7+C1076*'Portfolio 2 &amp; 3'!$F$8+D1076*'Portfolio 2 &amp; 3'!$F$9+E1076*'Portfolio 2 &amp; 3'!$F$10+F1076*'Portfolio 2 &amp; 3'!$F$11+G1076*'Portfolio 2 &amp; 3'!$F$12+H1076*'Portfolio 2 &amp; 3'!$F$13+I1076*'Portfolio 2 &amp; 3'!$F$14+J1076*'Portfolio 2 &amp; 3'!$F$15+K1076*'Portfolio 2 &amp; 3'!$F$16</f>
        <v>-3.8419547451631775E-3</v>
      </c>
      <c r="R1076" s="93">
        <f>B1076*'Portfolio 2 &amp; 3'!$B$23+C1076*'Portfolio 2 &amp; 3'!$B$24+D1076*'Portfolio 2 &amp; 3'!$B$25+E1076*'Portfolio 2 &amp; 3'!$B$26+F1076*'Portfolio 2 &amp; 3'!$B$27+G1076*'Portfolio 2 &amp; 3'!$B$28+H1076*'Portfolio 2 &amp; 3'!$B$29+I1076*'Portfolio 2 &amp; 3'!$B$30+J1076*'Portfolio 2 &amp; 3'!$B$31+K1076*'Portfolio 2 &amp; 3'!$B$32</f>
        <v>-9.5209314755392137E-3</v>
      </c>
      <c r="S1076" s="93">
        <f t="shared" si="50"/>
        <v>-4.4458111551671231E-3</v>
      </c>
    </row>
    <row r="1077" spans="1:19" ht="12.75" customHeight="1">
      <c r="A1077" s="82">
        <v>44501</v>
      </c>
      <c r="B1077" s="53">
        <v>-4.5999999999999999E-3</v>
      </c>
      <c r="C1077" s="53">
        <v>-1.32397686466927E-2</v>
      </c>
      <c r="D1077" s="53">
        <v>1.9663535066638499E-3</v>
      </c>
      <c r="E1077" s="53">
        <v>-6.79E-3</v>
      </c>
      <c r="F1077" s="53">
        <v>-2.6849642004773701E-3</v>
      </c>
      <c r="G1077" s="53">
        <v>3.06091756754379E-3</v>
      </c>
      <c r="H1077" s="87">
        <v>-2.98176773271774E-3</v>
      </c>
      <c r="I1077" s="53">
        <v>-8.8456435205663798E-4</v>
      </c>
      <c r="J1077" s="53">
        <v>2.4237130847753599E-2</v>
      </c>
      <c r="K1077" s="53">
        <v>1.3181799413683399E-2</v>
      </c>
      <c r="L1077" s="95">
        <f>IFERROR(B1077*'Stock Statistics'!$C$41+C1077*'Stock Statistics'!$C$42+D1077*'Stock Statistics'!$C$43+E1077*'Stock Statistics'!$C$44+F1077*'Stock Statistics'!$C$45+G1077*'Stock Statistics'!$C$46+H1077*'Stock Statistics'!$C$47+I1077*'Stock Statistics'!$C$48+J1077*'Stock Statistics'!$C$49+K1077*'Stock Statistics'!$C$50,"")</f>
        <v>1.1265136403700187E-3</v>
      </c>
      <c r="M1077" s="97">
        <v>243.1695</v>
      </c>
      <c r="N1077" s="96">
        <v>329.66210000000001</v>
      </c>
      <c r="O1077" s="93">
        <f t="shared" si="48"/>
        <v>-1.8157481936394326E-2</v>
      </c>
      <c r="P1077" s="93">
        <f t="shared" si="49"/>
        <v>-1.2858273031014278E-2</v>
      </c>
      <c r="Q1077" s="93">
        <f>B1077*'Portfolio 2 &amp; 3'!$F$7+C1077*'Portfolio 2 &amp; 3'!$F$8+D1077*'Portfolio 2 &amp; 3'!$F$9+E1077*'Portfolio 2 &amp; 3'!$F$10+F1077*'Portfolio 2 &amp; 3'!$F$11+G1077*'Portfolio 2 &amp; 3'!$F$12+H1077*'Portfolio 2 &amp; 3'!$F$13+I1077*'Portfolio 2 &amp; 3'!$F$14+J1077*'Portfolio 2 &amp; 3'!$F$15+K1077*'Portfolio 2 &amp; 3'!$F$16</f>
        <v>2.0691530212793869E-3</v>
      </c>
      <c r="R1077" s="93">
        <f>B1077*'Portfolio 2 &amp; 3'!$B$23+C1077*'Portfolio 2 &amp; 3'!$B$24+D1077*'Portfolio 2 &amp; 3'!$B$25+E1077*'Portfolio 2 &amp; 3'!$B$26+F1077*'Portfolio 2 &amp; 3'!$B$27+G1077*'Portfolio 2 &amp; 3'!$B$28+H1077*'Portfolio 2 &amp; 3'!$B$29+I1077*'Portfolio 2 &amp; 3'!$B$30+J1077*'Portfolio 2 &amp; 3'!$B$31+K1077*'Portfolio 2 &amp; 3'!$B$32</f>
        <v>-1.6017663359763369E-3</v>
      </c>
      <c r="S1077" s="93">
        <f t="shared" si="50"/>
        <v>-1.5507877483704302E-2</v>
      </c>
    </row>
    <row r="1078" spans="1:19" ht="12.75" customHeight="1">
      <c r="A1078" s="81">
        <v>44498</v>
      </c>
      <c r="B1078" s="53">
        <v>1.6000000000000001E-3</v>
      </c>
      <c r="C1078" s="53">
        <v>-7.8061874306689703E-4</v>
      </c>
      <c r="D1078" s="53">
        <v>-1.90040723012075E-2</v>
      </c>
      <c r="E1078" s="53">
        <v>4.4200000000000003E-3</v>
      </c>
      <c r="F1078" s="53">
        <v>2.2574740695546099E-2</v>
      </c>
      <c r="G1078" s="53">
        <v>-7.5157602683196796E-3</v>
      </c>
      <c r="H1078" s="87">
        <v>7.7206381003056598E-3</v>
      </c>
      <c r="I1078" s="53">
        <v>-8.8922286930929201E-3</v>
      </c>
      <c r="J1078" s="53">
        <v>1.2211294065642701E-2</v>
      </c>
      <c r="K1078" s="53">
        <v>2.1827962551079802E-3</v>
      </c>
      <c r="L1078" s="95">
        <f>IFERROR(B1078*'Stock Statistics'!$C$41+C1078*'Stock Statistics'!$C$42+D1078*'Stock Statistics'!$C$43+E1078*'Stock Statistics'!$C$44+F1078*'Stock Statistics'!$C$45+G1078*'Stock Statistics'!$C$46+H1078*'Stock Statistics'!$C$47+I1078*'Stock Statistics'!$C$48+J1078*'Stock Statistics'!$C$49+K1078*'Stock Statistics'!$C$50,"")</f>
        <v>1.4516789110915447E-3</v>
      </c>
      <c r="M1078" s="96">
        <v>247.66650000000001</v>
      </c>
      <c r="N1078" s="97">
        <v>333.95620000000002</v>
      </c>
      <c r="O1078" s="93">
        <f t="shared" si="48"/>
        <v>6.0464379432769721E-3</v>
      </c>
      <c r="P1078" s="93">
        <f t="shared" si="49"/>
        <v>-5.0495886949274427E-3</v>
      </c>
      <c r="Q1078" s="93">
        <f>B1078*'Portfolio 2 &amp; 3'!$F$7+C1078*'Portfolio 2 &amp; 3'!$F$8+D1078*'Portfolio 2 &amp; 3'!$F$9+E1078*'Portfolio 2 &amp; 3'!$F$10+F1078*'Portfolio 2 &amp; 3'!$F$11+G1078*'Portfolio 2 &amp; 3'!$F$12+H1078*'Portfolio 2 &amp; 3'!$F$13+I1078*'Portfolio 2 &amp; 3'!$F$14+J1078*'Portfolio 2 &amp; 3'!$F$15+K1078*'Portfolio 2 &amp; 3'!$F$16</f>
        <v>2.1915314835791008E-3</v>
      </c>
      <c r="R1078" s="93">
        <f>B1078*'Portfolio 2 &amp; 3'!$B$23+C1078*'Portfolio 2 &amp; 3'!$B$24+D1078*'Portfolio 2 &amp; 3'!$B$25+E1078*'Portfolio 2 &amp; 3'!$B$26+F1078*'Portfolio 2 &amp; 3'!$B$27+G1078*'Portfolio 2 &amp; 3'!$B$28+H1078*'Portfolio 2 &amp; 3'!$B$29+I1078*'Portfolio 2 &amp; 3'!$B$30+J1078*'Portfolio 2 &amp; 3'!$B$31+K1078*'Portfolio 2 &amp; 3'!$B$32</f>
        <v>1.1888538097920669E-3</v>
      </c>
      <c r="S1078" s="93">
        <f t="shared" si="50"/>
        <v>4.9842462417476474E-4</v>
      </c>
    </row>
    <row r="1079" spans="1:19" ht="12.75" customHeight="1">
      <c r="A1079" s="82">
        <v>44497</v>
      </c>
      <c r="B1079" s="53">
        <v>-2.87E-2</v>
      </c>
      <c r="C1079" s="53">
        <v>-1.3296758239530901E-2</v>
      </c>
      <c r="D1079" s="53">
        <v>3.3751846381093097E-2</v>
      </c>
      <c r="E1079" s="53">
        <v>4.9899999999999996E-3</v>
      </c>
      <c r="F1079" s="53">
        <v>-3.4367635506677097E-2</v>
      </c>
      <c r="G1079" s="53">
        <v>-1.9085350099044E-2</v>
      </c>
      <c r="H1079" s="87">
        <v>7.5176194205184299E-4</v>
      </c>
      <c r="I1079" s="53">
        <v>-1.5110398421117501E-2</v>
      </c>
      <c r="J1079" s="53">
        <v>-8.2744259959450801E-3</v>
      </c>
      <c r="K1079" s="53">
        <v>-1.4778576160627801E-2</v>
      </c>
      <c r="L1079" s="95">
        <f>IFERROR(B1079*'Stock Statistics'!$C$41+C1079*'Stock Statistics'!$C$42+D1079*'Stock Statistics'!$C$43+E1079*'Stock Statistics'!$C$44+F1079*'Stock Statistics'!$C$45+G1079*'Stock Statistics'!$C$46+H1079*'Stock Statistics'!$C$47+I1079*'Stock Statistics'!$C$48+J1079*'Stock Statistics'!$C$49+K1079*'Stock Statistics'!$C$50,"")</f>
        <v>-9.4119536099797445E-3</v>
      </c>
      <c r="M1079" s="97">
        <v>246.178</v>
      </c>
      <c r="N1079" s="96">
        <v>335.65109999999999</v>
      </c>
      <c r="O1079" s="93">
        <f t="shared" si="48"/>
        <v>5.5695230470416135E-3</v>
      </c>
      <c r="P1079" s="93">
        <f t="shared" si="49"/>
        <v>1.3281389140227251E-3</v>
      </c>
      <c r="Q1079" s="93">
        <f>B1079*'Portfolio 2 &amp; 3'!$F$7+C1079*'Portfolio 2 &amp; 3'!$F$8+D1079*'Portfolio 2 &amp; 3'!$F$9+E1079*'Portfolio 2 &amp; 3'!$F$10+F1079*'Portfolio 2 &amp; 3'!$F$11+G1079*'Portfolio 2 &amp; 3'!$F$12+H1079*'Portfolio 2 &amp; 3'!$F$13+I1079*'Portfolio 2 &amp; 3'!$F$14+J1079*'Portfolio 2 &amp; 3'!$F$15+K1079*'Portfolio 2 &amp; 3'!$F$16</f>
        <v>-6.448492032754191E-3</v>
      </c>
      <c r="R1079" s="93">
        <f>B1079*'Portfolio 2 &amp; 3'!$B$23+C1079*'Portfolio 2 &amp; 3'!$B$24+D1079*'Portfolio 2 &amp; 3'!$B$25+E1079*'Portfolio 2 &amp; 3'!$B$26+F1079*'Portfolio 2 &amp; 3'!$B$27+G1079*'Portfolio 2 &amp; 3'!$B$28+H1079*'Portfolio 2 &amp; 3'!$B$29+I1079*'Portfolio 2 &amp; 3'!$B$30+J1079*'Portfolio 2 &amp; 3'!$B$31+K1079*'Portfolio 2 &amp; 3'!$B$32</f>
        <v>-1.8707272634676548E-2</v>
      </c>
      <c r="S1079" s="93">
        <f t="shared" si="50"/>
        <v>3.4488309805321693E-3</v>
      </c>
    </row>
    <row r="1080" spans="1:19" ht="12.75" customHeight="1">
      <c r="A1080" s="81">
        <v>44496</v>
      </c>
      <c r="B1080" s="53">
        <v>1.9900000000000001E-2</v>
      </c>
      <c r="C1080" s="53">
        <v>-1.6192286728440201E-2</v>
      </c>
      <c r="D1080" s="53">
        <v>7.4404761904762803E-3</v>
      </c>
      <c r="E1080" s="53">
        <v>-6.1000000000000004E-3</v>
      </c>
      <c r="F1080" s="53">
        <v>7.8616352201255101E-4</v>
      </c>
      <c r="G1080" s="53">
        <v>2.9581286466738899E-2</v>
      </c>
      <c r="H1080" s="87">
        <v>4.7417727096295001E-3</v>
      </c>
      <c r="I1080" s="53">
        <v>5.2076875387476696E-3</v>
      </c>
      <c r="J1080" s="53">
        <v>-1.8596510419515201E-3</v>
      </c>
      <c r="K1080" s="53">
        <v>-9.1996041443661598E-3</v>
      </c>
      <c r="L1080" s="95">
        <f>IFERROR(B1080*'Stock Statistics'!$C$41+C1080*'Stock Statistics'!$C$42+D1080*'Stock Statistics'!$C$43+E1080*'Stock Statistics'!$C$44+F1080*'Stock Statistics'!$C$45+G1080*'Stock Statistics'!$C$46+H1080*'Stock Statistics'!$C$47+I1080*'Stock Statistics'!$C$48+J1080*'Stock Statistics'!$C$49+K1080*'Stock Statistics'!$C$50,"")</f>
        <v>3.4305844512847019E-3</v>
      </c>
      <c r="M1080" s="96">
        <v>244.81450000000001</v>
      </c>
      <c r="N1080" s="97">
        <v>335.20589999999999</v>
      </c>
      <c r="O1080" s="93">
        <f t="shared" si="48"/>
        <v>-4.1025453273290102E-3</v>
      </c>
      <c r="P1080" s="93">
        <f t="shared" si="49"/>
        <v>6.1496513206531489E-3</v>
      </c>
      <c r="Q1080" s="93">
        <f>B1080*'Portfolio 2 &amp; 3'!$F$7+C1080*'Portfolio 2 &amp; 3'!$F$8+D1080*'Portfolio 2 &amp; 3'!$F$9+E1080*'Portfolio 2 &amp; 3'!$F$10+F1080*'Portfolio 2 &amp; 3'!$F$11+G1080*'Portfolio 2 &amp; 3'!$F$12+H1080*'Portfolio 2 &amp; 3'!$F$13+I1080*'Portfolio 2 &amp; 3'!$F$14+J1080*'Portfolio 2 &amp; 3'!$F$15+K1080*'Portfolio 2 &amp; 3'!$F$16</f>
        <v>2.221934887449489E-3</v>
      </c>
      <c r="R1080" s="93">
        <f>B1080*'Portfolio 2 &amp; 3'!$B$23+C1080*'Portfolio 2 &amp; 3'!$B$24+D1080*'Portfolio 2 &amp; 3'!$B$25+E1080*'Portfolio 2 &amp; 3'!$B$26+F1080*'Portfolio 2 &amp; 3'!$B$27+G1080*'Portfolio 2 &amp; 3'!$B$28+H1080*'Portfolio 2 &amp; 3'!$B$29+I1080*'Portfolio 2 &amp; 3'!$B$30+J1080*'Portfolio 2 &amp; 3'!$B$31+K1080*'Portfolio 2 &amp; 3'!$B$32</f>
        <v>3.5171738431677342E-3</v>
      </c>
      <c r="S1080" s="93">
        <f t="shared" si="50"/>
        <v>1.0235529966620693E-3</v>
      </c>
    </row>
    <row r="1081" spans="1:19" ht="12.75" customHeight="1">
      <c r="A1081" s="82">
        <v>44495</v>
      </c>
      <c r="B1081" s="53">
        <v>7.7999999999999996E-3</v>
      </c>
      <c r="C1081" s="53">
        <v>4.1654549734812397E-2</v>
      </c>
      <c r="D1081" s="53">
        <v>-2.6157524817042099E-2</v>
      </c>
      <c r="E1081" s="53">
        <v>-6.1199999999999996E-3</v>
      </c>
      <c r="F1081" s="53">
        <v>1.9843656043295299E-2</v>
      </c>
      <c r="G1081" s="53">
        <v>5.3846839618436598E-3</v>
      </c>
      <c r="H1081" s="87">
        <v>-1.15264111994806E-3</v>
      </c>
      <c r="I1081" s="53">
        <v>1.46568534943701E-2</v>
      </c>
      <c r="J1081" s="53">
        <v>4.9250300974046401E-4</v>
      </c>
      <c r="K1081" s="53">
        <v>1.1150366573406701E-2</v>
      </c>
      <c r="L1081" s="95">
        <f>IFERROR(B1081*'Stock Statistics'!$C$41+C1081*'Stock Statistics'!$C$42+D1081*'Stock Statistics'!$C$43+E1081*'Stock Statistics'!$C$44+F1081*'Stock Statistics'!$C$45+G1081*'Stock Statistics'!$C$46+H1081*'Stock Statistics'!$C$47+I1081*'Stock Statistics'!$C$48+J1081*'Stock Statistics'!$C$49+K1081*'Stock Statistics'!$C$50,"")</f>
        <v>6.7552446880478475E-3</v>
      </c>
      <c r="M1081" s="97">
        <v>245.82300000000001</v>
      </c>
      <c r="N1081" s="96">
        <v>333.15710000000001</v>
      </c>
      <c r="O1081" s="93">
        <f t="shared" si="48"/>
        <v>-1.436139160112393E-2</v>
      </c>
      <c r="P1081" s="93">
        <f t="shared" si="49"/>
        <v>-7.4144214696680866E-4</v>
      </c>
      <c r="Q1081" s="93">
        <f>B1081*'Portfolio 2 &amp; 3'!$F$7+C1081*'Portfolio 2 &amp; 3'!$F$8+D1081*'Portfolio 2 &amp; 3'!$F$9+E1081*'Portfolio 2 &amp; 3'!$F$10+F1081*'Portfolio 2 &amp; 3'!$F$11+G1081*'Portfolio 2 &amp; 3'!$F$12+H1081*'Portfolio 2 &amp; 3'!$F$13+I1081*'Portfolio 2 &amp; 3'!$F$14+J1081*'Portfolio 2 &amp; 3'!$F$15+K1081*'Portfolio 2 &amp; 3'!$F$16</f>
        <v>4.9698244517898619E-3</v>
      </c>
      <c r="R1081" s="93">
        <f>B1081*'Portfolio 2 &amp; 3'!$B$23+C1081*'Portfolio 2 &amp; 3'!$B$24+D1081*'Portfolio 2 &amp; 3'!$B$25+E1081*'Portfolio 2 &amp; 3'!$B$26+F1081*'Portfolio 2 &amp; 3'!$B$27+G1081*'Portfolio 2 &amp; 3'!$B$28+H1081*'Portfolio 2 &amp; 3'!$B$29+I1081*'Portfolio 2 &amp; 3'!$B$30+J1081*'Portfolio 2 &amp; 3'!$B$31+K1081*'Portfolio 2 &amp; 3'!$B$32</f>
        <v>1.6988488574010453E-2</v>
      </c>
      <c r="S1081" s="93">
        <f t="shared" si="50"/>
        <v>-7.5514168740453691E-3</v>
      </c>
    </row>
    <row r="1082" spans="1:19" ht="12.75" customHeight="1">
      <c r="A1082" s="81">
        <v>44494</v>
      </c>
      <c r="B1082" s="53">
        <v>-9.4000000000000004E-3</v>
      </c>
      <c r="C1082" s="53">
        <v>-2.2497461928933999E-2</v>
      </c>
      <c r="D1082" s="53">
        <v>6.1971420239137504E-3</v>
      </c>
      <c r="E1082" s="53">
        <v>1.1E-4</v>
      </c>
      <c r="F1082" s="53">
        <v>-6.9665605095541299E-3</v>
      </c>
      <c r="G1082" s="53">
        <v>-1.2257621387436E-2</v>
      </c>
      <c r="H1082" s="87">
        <v>5.38336739638856E-3</v>
      </c>
      <c r="I1082" s="53">
        <v>-2.0034521020835899E-2</v>
      </c>
      <c r="J1082" s="53">
        <v>3.2941693203030198E-3</v>
      </c>
      <c r="K1082" s="53">
        <v>-5.9782452165397897E-2</v>
      </c>
      <c r="L1082" s="95">
        <f>IFERROR(B1082*'Stock Statistics'!$C$41+C1082*'Stock Statistics'!$C$42+D1082*'Stock Statistics'!$C$43+E1082*'Stock Statistics'!$C$44+F1082*'Stock Statistics'!$C$45+G1082*'Stock Statistics'!$C$46+H1082*'Stock Statistics'!$C$47+I1082*'Stock Statistics'!$C$48+J1082*'Stock Statistics'!$C$49+K1082*'Stock Statistics'!$C$50,"")</f>
        <v>-1.159539382715526E-2</v>
      </c>
      <c r="M1082" s="96">
        <v>249.40479999999999</v>
      </c>
      <c r="N1082" s="97">
        <v>333.40429999999998</v>
      </c>
      <c r="O1082" s="93">
        <f t="shared" si="48"/>
        <v>-1.0704341672962414E-4</v>
      </c>
      <c r="P1082" s="93">
        <f t="shared" si="49"/>
        <v>3.7113358611440272E-3</v>
      </c>
      <c r="Q1082" s="93">
        <f>B1082*'Portfolio 2 &amp; 3'!$F$7+C1082*'Portfolio 2 &amp; 3'!$F$8+D1082*'Portfolio 2 &amp; 3'!$F$9+E1082*'Portfolio 2 &amp; 3'!$F$10+F1082*'Portfolio 2 &amp; 3'!$F$11+G1082*'Portfolio 2 &amp; 3'!$F$12+H1082*'Portfolio 2 &amp; 3'!$F$13+I1082*'Portfolio 2 &amp; 3'!$F$14+J1082*'Portfolio 2 &amp; 3'!$F$15+K1082*'Portfolio 2 &amp; 3'!$F$16</f>
        <v>-8.4102822820502875E-3</v>
      </c>
      <c r="R1082" s="93">
        <f>B1082*'Portfolio 2 &amp; 3'!$B$23+C1082*'Portfolio 2 &amp; 3'!$B$24+D1082*'Portfolio 2 &amp; 3'!$B$25+E1082*'Portfolio 2 &amp; 3'!$B$26+F1082*'Portfolio 2 &amp; 3'!$B$27+G1082*'Portfolio 2 &amp; 3'!$B$28+H1082*'Portfolio 2 &amp; 3'!$B$29+I1082*'Portfolio 2 &amp; 3'!$B$30+J1082*'Portfolio 2 &amp; 3'!$B$31+K1082*'Portfolio 2 &amp; 3'!$B$32</f>
        <v>-1.7756839847105067E-2</v>
      </c>
      <c r="S1082" s="93">
        <f t="shared" si="50"/>
        <v>1.8021462222072016E-3</v>
      </c>
    </row>
    <row r="1083" spans="1:19" ht="12.75" customHeight="1">
      <c r="A1083" s="82">
        <v>44491</v>
      </c>
      <c r="B1083" s="53">
        <v>-3.5799999999999998E-2</v>
      </c>
      <c r="C1083" s="53">
        <v>-9.9308459311676592E-3</v>
      </c>
      <c r="D1083" s="53">
        <v>-7.8125000000001093E-3</v>
      </c>
      <c r="E1083" s="53">
        <v>-1.7829999999999999E-2</v>
      </c>
      <c r="F1083" s="53">
        <v>-1.60595377986683E-2</v>
      </c>
      <c r="G1083" s="53">
        <v>-1.40133361116899E-2</v>
      </c>
      <c r="H1083" s="87">
        <v>-1.1527767653521301E-2</v>
      </c>
      <c r="I1083" s="53">
        <v>1.2166968241093199E-2</v>
      </c>
      <c r="J1083" s="53">
        <v>-2.1366350736864402E-3</v>
      </c>
      <c r="K1083" s="53">
        <v>1.32097312335244E-2</v>
      </c>
      <c r="L1083" s="95">
        <f>IFERROR(B1083*'Stock Statistics'!$C$41+C1083*'Stock Statistics'!$C$42+D1083*'Stock Statistics'!$C$43+E1083*'Stock Statistics'!$C$44+F1083*'Stock Statistics'!$C$45+G1083*'Stock Statistics'!$C$46+H1083*'Stock Statistics'!$C$47+I1083*'Stock Statistics'!$C$48+J1083*'Stock Statistics'!$C$49+K1083*'Stock Statistics'!$C$50,"")</f>
        <v>-8.9733923094116111E-3</v>
      </c>
      <c r="M1083" s="97">
        <v>249.4315</v>
      </c>
      <c r="N1083" s="96">
        <v>332.17149999999998</v>
      </c>
      <c r="O1083" s="93">
        <f t="shared" si="48"/>
        <v>-1.2356653396802697E-2</v>
      </c>
      <c r="P1083" s="93">
        <f t="shared" si="49"/>
        <v>-2.9523786368571558E-3</v>
      </c>
      <c r="Q1083" s="93">
        <f>B1083*'Portfolio 2 &amp; 3'!$F$7+C1083*'Portfolio 2 &amp; 3'!$F$8+D1083*'Portfolio 2 &amp; 3'!$F$9+E1083*'Portfolio 2 &amp; 3'!$F$10+F1083*'Portfolio 2 &amp; 3'!$F$11+G1083*'Portfolio 2 &amp; 3'!$F$12+H1083*'Portfolio 2 &amp; 3'!$F$13+I1083*'Portfolio 2 &amp; 3'!$F$14+J1083*'Portfolio 2 &amp; 3'!$F$15+K1083*'Portfolio 2 &amp; 3'!$F$16</f>
        <v>-8.2310642999011072E-3</v>
      </c>
      <c r="R1083" s="93">
        <f>B1083*'Portfolio 2 &amp; 3'!$B$23+C1083*'Portfolio 2 &amp; 3'!$B$24+D1083*'Portfolio 2 &amp; 3'!$B$25+E1083*'Portfolio 2 &amp; 3'!$B$26+F1083*'Portfolio 2 &amp; 3'!$B$27+G1083*'Portfolio 2 &amp; 3'!$B$28+H1083*'Portfolio 2 &amp; 3'!$B$29+I1083*'Portfolio 2 &amp; 3'!$B$30+J1083*'Portfolio 2 &amp; 3'!$B$31+K1083*'Portfolio 2 &amp; 3'!$B$32</f>
        <v>-7.0461684982475927E-3</v>
      </c>
      <c r="S1083" s="93">
        <f t="shared" si="50"/>
        <v>-7.6545160168299264E-3</v>
      </c>
    </row>
    <row r="1084" spans="1:19" ht="12.75" customHeight="1">
      <c r="A1084" s="81">
        <v>44490</v>
      </c>
      <c r="B1084" s="53">
        <v>1.4800000000000001E-2</v>
      </c>
      <c r="C1084" s="53">
        <v>9.4565526198304699E-3</v>
      </c>
      <c r="D1084" s="53">
        <v>-9.1743119266054496E-3</v>
      </c>
      <c r="E1084" s="53">
        <v>1.9820000000000001E-2</v>
      </c>
      <c r="F1084" s="53">
        <v>-1.27610208816705E-2</v>
      </c>
      <c r="G1084" s="53">
        <v>6.6424276324989996E-3</v>
      </c>
      <c r="H1084" s="87">
        <v>3.0530992445055E-2</v>
      </c>
      <c r="I1084" s="53">
        <v>1.68750000000006E-3</v>
      </c>
      <c r="J1084" s="53">
        <v>1.0239096745627599E-2</v>
      </c>
      <c r="K1084" s="53">
        <v>-1.25350597456487E-2</v>
      </c>
      <c r="L1084" s="95">
        <f>IFERROR(B1084*'Stock Statistics'!$C$41+C1084*'Stock Statistics'!$C$42+D1084*'Stock Statistics'!$C$43+E1084*'Stock Statistics'!$C$44+F1084*'Stock Statistics'!$C$45+G1084*'Stock Statistics'!$C$46+H1084*'Stock Statistics'!$C$47+I1084*'Stock Statistics'!$C$48+J1084*'Stock Statistics'!$C$49+K1084*'Stock Statistics'!$C$50,"")</f>
        <v>5.8706176889087476E-3</v>
      </c>
      <c r="M1084" s="96">
        <v>252.5522</v>
      </c>
      <c r="N1084" s="97">
        <v>333.1551</v>
      </c>
      <c r="O1084" s="93">
        <f t="shared" si="48"/>
        <v>-1.3367378471008107E-2</v>
      </c>
      <c r="P1084" s="93">
        <f t="shared" si="49"/>
        <v>2.053519399003445E-4</v>
      </c>
      <c r="Q1084" s="93">
        <f>B1084*'Portfolio 2 &amp; 3'!$F$7+C1084*'Portfolio 2 &amp; 3'!$F$8+D1084*'Portfolio 2 &amp; 3'!$F$9+E1084*'Portfolio 2 &amp; 3'!$F$10+F1084*'Portfolio 2 &amp; 3'!$F$11+G1084*'Portfolio 2 &amp; 3'!$F$12+H1084*'Portfolio 2 &amp; 3'!$F$13+I1084*'Portfolio 2 &amp; 3'!$F$14+J1084*'Portfolio 2 &amp; 3'!$F$15+K1084*'Portfolio 2 &amp; 3'!$F$16</f>
        <v>6.8102958451768201E-3</v>
      </c>
      <c r="R1084" s="93">
        <f>B1084*'Portfolio 2 &amp; 3'!$B$23+C1084*'Portfolio 2 &amp; 3'!$B$24+D1084*'Portfolio 2 &amp; 3'!$B$25+E1084*'Portfolio 2 &amp; 3'!$B$26+F1084*'Portfolio 2 &amp; 3'!$B$27+G1084*'Portfolio 2 &amp; 3'!$B$28+H1084*'Portfolio 2 &amp; 3'!$B$29+I1084*'Portfolio 2 &amp; 3'!$B$30+J1084*'Portfolio 2 &amp; 3'!$B$31+K1084*'Portfolio 2 &amp; 3'!$B$32</f>
        <v>2.9654936386852232E-3</v>
      </c>
      <c r="S1084" s="93">
        <f t="shared" si="50"/>
        <v>-6.5810132655538811E-3</v>
      </c>
    </row>
    <row r="1085" spans="1:19" ht="12.75" customHeight="1">
      <c r="A1085" s="82">
        <v>44489</v>
      </c>
      <c r="B1085" s="53">
        <v>5.4999999999999997E-3</v>
      </c>
      <c r="C1085" s="53">
        <v>-3.2094936282112099E-3</v>
      </c>
      <c r="D1085" s="53">
        <v>1.19677957496192E-2</v>
      </c>
      <c r="E1085" s="53">
        <v>3.0020000000000002E-2</v>
      </c>
      <c r="F1085" s="53">
        <v>-1.8782014797951101E-2</v>
      </c>
      <c r="G1085" s="53">
        <v>2.7700930550066401E-2</v>
      </c>
      <c r="H1085" s="87">
        <v>1.9529754154859399E-2</v>
      </c>
      <c r="I1085" s="53">
        <v>5.7200326859010399E-3</v>
      </c>
      <c r="J1085" s="53">
        <v>-6.4338740720374403E-3</v>
      </c>
      <c r="K1085" s="53">
        <v>-4.3609655330706402E-3</v>
      </c>
      <c r="L1085" s="95">
        <f>IFERROR(B1085*'Stock Statistics'!$C$41+C1085*'Stock Statistics'!$C$42+D1085*'Stock Statistics'!$C$43+E1085*'Stock Statistics'!$C$44+F1085*'Stock Statistics'!$C$45+G1085*'Stock Statistics'!$C$46+H1085*'Stock Statistics'!$C$47+I1085*'Stock Statistics'!$C$48+J1085*'Stock Statistics'!$C$49+K1085*'Stock Statistics'!$C$50,"")</f>
        <v>6.7652165109175653E-3</v>
      </c>
      <c r="M1085" s="97">
        <v>255.97389999999999</v>
      </c>
      <c r="N1085" s="96">
        <v>333.08670000000001</v>
      </c>
      <c r="O1085" s="93">
        <f t="shared" si="48"/>
        <v>-7.5880729388585477E-3</v>
      </c>
      <c r="P1085" s="93">
        <f t="shared" si="49"/>
        <v>-1.749727006128865E-2</v>
      </c>
      <c r="Q1085" s="93">
        <f>B1085*'Portfolio 2 &amp; 3'!$F$7+C1085*'Portfolio 2 &amp; 3'!$F$8+D1085*'Portfolio 2 &amp; 3'!$F$9+E1085*'Portfolio 2 &amp; 3'!$F$10+F1085*'Portfolio 2 &amp; 3'!$F$11+G1085*'Portfolio 2 &amp; 3'!$F$12+H1085*'Portfolio 2 &amp; 3'!$F$13+I1085*'Portfolio 2 &amp; 3'!$F$14+J1085*'Portfolio 2 &amp; 3'!$F$15+K1085*'Portfolio 2 &amp; 3'!$F$16</f>
        <v>5.8119516481859009E-3</v>
      </c>
      <c r="R1085" s="93">
        <f>B1085*'Portfolio 2 &amp; 3'!$B$23+C1085*'Portfolio 2 &amp; 3'!$B$24+D1085*'Portfolio 2 &amp; 3'!$B$25+E1085*'Portfolio 2 &amp; 3'!$B$26+F1085*'Portfolio 2 &amp; 3'!$B$27+G1085*'Portfolio 2 &amp; 3'!$B$28+H1085*'Portfolio 2 &amp; 3'!$B$29+I1085*'Portfolio 2 &amp; 3'!$B$30+J1085*'Portfolio 2 &amp; 3'!$B$31+K1085*'Portfolio 2 &amp; 3'!$B$32</f>
        <v>1.6801799762217002E-3</v>
      </c>
      <c r="S1085" s="93">
        <f t="shared" si="50"/>
        <v>-1.2542671500073599E-2</v>
      </c>
    </row>
    <row r="1086" spans="1:19" ht="12.75" customHeight="1">
      <c r="A1086" s="81">
        <v>44488</v>
      </c>
      <c r="B1086" s="53">
        <v>-4.0099999999999997E-2</v>
      </c>
      <c r="C1086" s="53">
        <v>-1.0541063446527501E-2</v>
      </c>
      <c r="D1086" s="53">
        <v>1.5766595446843099E-2</v>
      </c>
      <c r="E1086" s="53">
        <v>-2.3050000000000001E-2</v>
      </c>
      <c r="F1086" s="53">
        <v>-1.34755755193711E-2</v>
      </c>
      <c r="G1086" s="53">
        <v>-1.3521416293040701E-2</v>
      </c>
      <c r="H1086" s="87">
        <v>-1.9891908121903699E-2</v>
      </c>
      <c r="I1086" s="53">
        <v>9.5183704549781593E-3</v>
      </c>
      <c r="J1086" s="53">
        <v>4.6406275896360202E-3</v>
      </c>
      <c r="K1086" s="53">
        <v>1.51548984010175E-2</v>
      </c>
      <c r="L1086" s="95">
        <f>IFERROR(B1086*'Stock Statistics'!$C$41+C1086*'Stock Statistics'!$C$42+D1086*'Stock Statistics'!$C$43+E1086*'Stock Statistics'!$C$44+F1086*'Stock Statistics'!$C$45+G1086*'Stock Statistics'!$C$46+H1086*'Stock Statistics'!$C$47+I1086*'Stock Statistics'!$C$48+J1086*'Stock Statistics'!$C$49+K1086*'Stock Statistics'!$C$50,"")</f>
        <v>-7.5499471488368226E-3</v>
      </c>
      <c r="M1086" s="96">
        <v>257.93110000000001</v>
      </c>
      <c r="N1086" s="97">
        <v>339.01859999999999</v>
      </c>
      <c r="O1086" s="93">
        <f t="shared" si="48"/>
        <v>3.0067129961788286E-3</v>
      </c>
      <c r="P1086" s="93">
        <f t="shared" si="49"/>
        <v>-3.1351004220123713E-3</v>
      </c>
      <c r="Q1086" s="93">
        <f>B1086*'Portfolio 2 &amp; 3'!$F$7+C1086*'Portfolio 2 &amp; 3'!$F$8+D1086*'Portfolio 2 &amp; 3'!$F$9+E1086*'Portfolio 2 &amp; 3'!$F$10+F1086*'Portfolio 2 &amp; 3'!$F$11+G1086*'Portfolio 2 &amp; 3'!$F$12+H1086*'Portfolio 2 &amp; 3'!$F$13+I1086*'Portfolio 2 &amp; 3'!$F$14+J1086*'Portfolio 2 &amp; 3'!$F$15+K1086*'Portfolio 2 &amp; 3'!$F$16</f>
        <v>-5.9739699232592754E-3</v>
      </c>
      <c r="R1086" s="93">
        <f>B1086*'Portfolio 2 &amp; 3'!$B$23+C1086*'Portfolio 2 &amp; 3'!$B$24+D1086*'Portfolio 2 &amp; 3'!$B$25+E1086*'Portfolio 2 &amp; 3'!$B$26+F1086*'Portfolio 2 &amp; 3'!$B$27+G1086*'Portfolio 2 &amp; 3'!$B$28+H1086*'Portfolio 2 &amp; 3'!$B$29+I1086*'Portfolio 2 &amp; 3'!$B$30+J1086*'Portfolio 2 &amp; 3'!$B$31+K1086*'Portfolio 2 &amp; 3'!$B$32</f>
        <v>-7.5090804267270933E-3</v>
      </c>
      <c r="S1086" s="93">
        <f t="shared" si="50"/>
        <v>-6.4193712916771339E-5</v>
      </c>
    </row>
    <row r="1087" spans="1:19" ht="12.75" customHeight="1">
      <c r="A1087" s="82">
        <v>44487</v>
      </c>
      <c r="B1087" s="53">
        <v>-5.4999999999999997E-3</v>
      </c>
      <c r="C1087" s="53">
        <v>-1.1553527386871799E-2</v>
      </c>
      <c r="D1087" s="53">
        <v>-3.9555618454571201E-2</v>
      </c>
      <c r="E1087" s="53">
        <v>2.3E-3</v>
      </c>
      <c r="F1087" s="53">
        <v>-1.8011394964161199E-2</v>
      </c>
      <c r="G1087" s="53">
        <v>-4.1708414706631697E-2</v>
      </c>
      <c r="H1087" s="87">
        <v>-7.5007500750079502E-4</v>
      </c>
      <c r="I1087" s="53">
        <v>-3.3664459161147797E-2</v>
      </c>
      <c r="J1087" s="53">
        <v>1.4914493972525899E-2</v>
      </c>
      <c r="K1087" s="53">
        <v>5.6627905841462097E-3</v>
      </c>
      <c r="L1087" s="95">
        <f>IFERROR(B1087*'Stock Statistics'!$C$41+C1087*'Stock Statistics'!$C$42+D1087*'Stock Statistics'!$C$43+E1087*'Stock Statistics'!$C$44+F1087*'Stock Statistics'!$C$45+G1087*'Stock Statistics'!$C$46+H1087*'Stock Statistics'!$C$47+I1087*'Stock Statistics'!$C$48+J1087*'Stock Statistics'!$C$49+K1087*'Stock Statistics'!$C$50,"")</f>
        <v>-1.2786620512421238E-2</v>
      </c>
      <c r="M1087" s="97">
        <v>257.15789999999998</v>
      </c>
      <c r="N1087" s="96">
        <v>340.08479999999997</v>
      </c>
      <c r="O1087" s="93">
        <f t="shared" si="48"/>
        <v>3.1836399681988148E-3</v>
      </c>
      <c r="P1087" s="93">
        <f t="shared" si="49"/>
        <v>1.9969930386415147E-2</v>
      </c>
      <c r="Q1087" s="93">
        <f>B1087*'Portfolio 2 &amp; 3'!$F$7+C1087*'Portfolio 2 &amp; 3'!$F$8+D1087*'Portfolio 2 &amp; 3'!$F$9+E1087*'Portfolio 2 &amp; 3'!$F$10+F1087*'Portfolio 2 &amp; 3'!$F$11+G1087*'Portfolio 2 &amp; 3'!$F$12+H1087*'Portfolio 2 &amp; 3'!$F$13+I1087*'Portfolio 2 &amp; 3'!$F$14+J1087*'Portfolio 2 &amp; 3'!$F$15+K1087*'Portfolio 2 &amp; 3'!$F$16</f>
        <v>-1.1088120069484906E-2</v>
      </c>
      <c r="R1087" s="93">
        <f>B1087*'Portfolio 2 &amp; 3'!$B$23+C1087*'Portfolio 2 &amp; 3'!$B$24+D1087*'Portfolio 2 &amp; 3'!$B$25+E1087*'Portfolio 2 &amp; 3'!$B$26+F1087*'Portfolio 2 &amp; 3'!$B$27+G1087*'Portfolio 2 &amp; 3'!$B$28+H1087*'Portfolio 2 &amp; 3'!$B$29+I1087*'Portfolio 2 &amp; 3'!$B$30+J1087*'Portfolio 2 &amp; 3'!$B$31+K1087*'Portfolio 2 &amp; 3'!$B$32</f>
        <v>-1.8166751210536788E-2</v>
      </c>
      <c r="S1087" s="93">
        <f t="shared" si="50"/>
        <v>1.1576785177306981E-2</v>
      </c>
    </row>
    <row r="1088" spans="1:19" ht="12.75" customHeight="1">
      <c r="A1088" s="81">
        <v>44483</v>
      </c>
      <c r="B1088" s="53">
        <v>-1.6999999999999999E-3</v>
      </c>
      <c r="C1088" s="53">
        <v>-8.6425564185036406E-3</v>
      </c>
      <c r="D1088" s="53">
        <v>4.4065387348970501E-3</v>
      </c>
      <c r="E1088" s="53">
        <v>-3.2000000000000003E-4</v>
      </c>
      <c r="F1088" s="53">
        <v>-2.8406487675248799E-3</v>
      </c>
      <c r="G1088" s="53">
        <v>-4.5314526588845598E-2</v>
      </c>
      <c r="H1088" s="87">
        <v>-2.1278188253156501E-3</v>
      </c>
      <c r="I1088" s="53">
        <v>4.4345898004434199E-3</v>
      </c>
      <c r="J1088" s="53">
        <v>-3.3333333333333298E-2</v>
      </c>
      <c r="K1088" s="53">
        <v>-5.4764193538991996E-3</v>
      </c>
      <c r="L1088" s="95">
        <f>IFERROR(B1088*'Stock Statistics'!$C$41+C1088*'Stock Statistics'!$C$42+D1088*'Stock Statistics'!$C$43+E1088*'Stock Statistics'!$C$44+F1088*'Stock Statistics'!$C$45+G1088*'Stock Statistics'!$C$46+H1088*'Stock Statistics'!$C$47+I1088*'Stock Statistics'!$C$48+J1088*'Stock Statistics'!$C$49+K1088*'Stock Statistics'!$C$50,"")</f>
        <v>-9.0914174752081793E-3</v>
      </c>
      <c r="M1088" s="96">
        <v>256.34179999999998</v>
      </c>
      <c r="N1088" s="97">
        <v>333.42630000000003</v>
      </c>
      <c r="O1088" s="93">
        <f t="shared" si="48"/>
        <v>-1.7263462716490263E-3</v>
      </c>
      <c r="P1088" s="93">
        <f t="shared" si="49"/>
        <v>7.1558609340438561E-3</v>
      </c>
      <c r="Q1088" s="93">
        <f>B1088*'Portfolio 2 &amp; 3'!$F$7+C1088*'Portfolio 2 &amp; 3'!$F$8+D1088*'Portfolio 2 &amp; 3'!$F$9+E1088*'Portfolio 2 &amp; 3'!$F$10+F1088*'Portfolio 2 &amp; 3'!$F$11+G1088*'Portfolio 2 &amp; 3'!$F$12+H1088*'Portfolio 2 &amp; 3'!$F$13+I1088*'Portfolio 2 &amp; 3'!$F$14+J1088*'Portfolio 2 &amp; 3'!$F$15+K1088*'Portfolio 2 &amp; 3'!$F$16</f>
        <v>-8.4033886154779389E-3</v>
      </c>
      <c r="R1088" s="93">
        <f>B1088*'Portfolio 2 &amp; 3'!$B$23+C1088*'Portfolio 2 &amp; 3'!$B$24+D1088*'Portfolio 2 &amp; 3'!$B$25+E1088*'Portfolio 2 &amp; 3'!$B$26+F1088*'Portfolio 2 &amp; 3'!$B$27+G1088*'Portfolio 2 &amp; 3'!$B$28+H1088*'Portfolio 2 &amp; 3'!$B$29+I1088*'Portfolio 2 &amp; 3'!$B$30+J1088*'Portfolio 2 &amp; 3'!$B$31+K1088*'Portfolio 2 &amp; 3'!$B$32</f>
        <v>-7.6079269450944698E-3</v>
      </c>
      <c r="S1088" s="93">
        <f t="shared" si="50"/>
        <v>2.7147573311974149E-3</v>
      </c>
    </row>
    <row r="1089" spans="1:19" ht="12.75" customHeight="1">
      <c r="A1089" s="82">
        <v>44482</v>
      </c>
      <c r="B1089" s="53">
        <v>-5.4000000000000003E-3</v>
      </c>
      <c r="C1089" s="53">
        <v>-4.6978905040147003E-3</v>
      </c>
      <c r="D1089" s="53">
        <v>2.64828189975925E-2</v>
      </c>
      <c r="E1089" s="53">
        <v>8.26E-3</v>
      </c>
      <c r="F1089" s="53">
        <v>7.8500184706315999E-3</v>
      </c>
      <c r="G1089" s="53">
        <v>3.8593655283895703E-2</v>
      </c>
      <c r="H1089" s="87">
        <v>8.3451034512500594E-3</v>
      </c>
      <c r="I1089" s="53">
        <v>2.1132075471698201E-2</v>
      </c>
      <c r="J1089" s="53">
        <v>1.6528925619834701E-2</v>
      </c>
      <c r="K1089" s="53">
        <v>2.59917511805377E-2</v>
      </c>
      <c r="L1089" s="95">
        <f>IFERROR(B1089*'Stock Statistics'!$C$41+C1089*'Stock Statistics'!$C$42+D1089*'Stock Statistics'!$C$43+E1089*'Stock Statistics'!$C$44+F1089*'Stock Statistics'!$C$45+G1089*'Stock Statistics'!$C$46+H1089*'Stock Statistics'!$C$47+I1089*'Stock Statistics'!$C$48+J1089*'Stock Statistics'!$C$49+K1089*'Stock Statistics'!$C$50,"")</f>
        <v>1.4308645797142578E-2</v>
      </c>
      <c r="M1089" s="97">
        <v>256.7851</v>
      </c>
      <c r="N1089" s="96">
        <v>331.0573</v>
      </c>
      <c r="O1089" s="93">
        <f t="shared" si="48"/>
        <v>4.8248478490295899E-3</v>
      </c>
      <c r="P1089" s="93">
        <f t="shared" si="49"/>
        <v>2.8650925520619097E-3</v>
      </c>
      <c r="Q1089" s="93">
        <f>B1089*'Portfolio 2 &amp; 3'!$F$7+C1089*'Portfolio 2 &amp; 3'!$F$8+D1089*'Portfolio 2 &amp; 3'!$F$9+E1089*'Portfolio 2 &amp; 3'!$F$10+F1089*'Portfolio 2 &amp; 3'!$F$11+G1089*'Portfolio 2 &amp; 3'!$F$12+H1089*'Portfolio 2 &amp; 3'!$F$13+I1089*'Portfolio 2 &amp; 3'!$F$14+J1089*'Portfolio 2 &amp; 3'!$F$15+K1089*'Portfolio 2 &amp; 3'!$F$16</f>
        <v>1.3840744311813015E-2</v>
      </c>
      <c r="R1089" s="93">
        <f>B1089*'Portfolio 2 &amp; 3'!$B$23+C1089*'Portfolio 2 &amp; 3'!$B$24+D1089*'Portfolio 2 &amp; 3'!$B$25+E1089*'Portfolio 2 &amp; 3'!$B$26+F1089*'Portfolio 2 &amp; 3'!$B$27+G1089*'Portfolio 2 &amp; 3'!$B$28+H1089*'Portfolio 2 &amp; 3'!$B$29+I1089*'Portfolio 2 &amp; 3'!$B$30+J1089*'Portfolio 2 &amp; 3'!$B$31+K1089*'Portfolio 2 &amp; 3'!$B$32</f>
        <v>1.2354089445933665E-2</v>
      </c>
      <c r="S1089" s="93">
        <f t="shared" si="50"/>
        <v>3.8449702005457498E-3</v>
      </c>
    </row>
    <row r="1090" spans="1:19" ht="12.75" customHeight="1">
      <c r="A1090" s="81">
        <v>44481</v>
      </c>
      <c r="B1090" s="53">
        <v>-1.4500000000000001E-2</v>
      </c>
      <c r="C1090" s="53">
        <v>-4.9594696086809904E-3</v>
      </c>
      <c r="D1090" s="53">
        <v>-1.3955830515790101E-2</v>
      </c>
      <c r="E1090" s="53">
        <v>-5.4099999999999999E-3</v>
      </c>
      <c r="F1090" s="53">
        <v>-1.28544078767436E-2</v>
      </c>
      <c r="G1090" s="53">
        <v>-1.4323413719274401E-2</v>
      </c>
      <c r="H1090" s="87">
        <v>-3.0526802317456499E-3</v>
      </c>
      <c r="I1090" s="53">
        <v>-1.56017830609213E-2</v>
      </c>
      <c r="J1090" s="53">
        <v>6.2648999279259999E-3</v>
      </c>
      <c r="K1090" s="53">
        <v>4.59372091394017E-3</v>
      </c>
      <c r="L1090" s="95">
        <f>IFERROR(B1090*'Stock Statistics'!$C$41+C1090*'Stock Statistics'!$C$42+D1090*'Stock Statistics'!$C$43+E1090*'Stock Statistics'!$C$44+F1090*'Stock Statistics'!$C$45+G1090*'Stock Statistics'!$C$46+H1090*'Stock Statistics'!$C$47+I1090*'Stock Statistics'!$C$48+J1090*'Stock Statistics'!$C$49+K1090*'Stock Statistics'!$C$50,"")</f>
        <v>-7.3798964171289862E-3</v>
      </c>
      <c r="M1090" s="96">
        <v>255.5521</v>
      </c>
      <c r="N1090" s="97">
        <v>330.11149999999998</v>
      </c>
      <c r="O1090" s="93">
        <f t="shared" ref="O1090:O1153" si="51">M1090/M1091-1</f>
        <v>-3.6966818362395015E-3</v>
      </c>
      <c r="P1090" s="93">
        <f t="shared" ref="P1090:P1153" si="52">N1090/N1091-1</f>
        <v>3.4043432733064094E-3</v>
      </c>
      <c r="Q1090" s="93">
        <f>B1090*'Portfolio 2 &amp; 3'!$F$7+C1090*'Portfolio 2 &amp; 3'!$F$8+D1090*'Portfolio 2 &amp; 3'!$F$9+E1090*'Portfolio 2 &amp; 3'!$F$10+F1090*'Portfolio 2 &amp; 3'!$F$11+G1090*'Portfolio 2 &amp; 3'!$F$12+H1090*'Portfolio 2 &amp; 3'!$F$13+I1090*'Portfolio 2 &amp; 3'!$F$14+J1090*'Portfolio 2 &amp; 3'!$F$15+K1090*'Portfolio 2 &amp; 3'!$F$16</f>
        <v>-6.3576169783210509E-3</v>
      </c>
      <c r="R1090" s="93">
        <f>B1090*'Portfolio 2 &amp; 3'!$B$23+C1090*'Portfolio 2 &amp; 3'!$B$24+D1090*'Portfolio 2 &amp; 3'!$B$25+E1090*'Portfolio 2 &amp; 3'!$B$26+F1090*'Portfolio 2 &amp; 3'!$B$27+G1090*'Portfolio 2 &amp; 3'!$B$28+H1090*'Portfolio 2 &amp; 3'!$B$29+I1090*'Portfolio 2 &amp; 3'!$B$30+J1090*'Portfolio 2 &amp; 3'!$B$31+K1090*'Portfolio 2 &amp; 3'!$B$32</f>
        <v>-1.000099988477148E-2</v>
      </c>
      <c r="S1090" s="93">
        <f t="shared" ref="S1090:S1153" si="53">IFERROR(AVERAGE(O1090,P1090),"")</f>
        <v>-1.4616928146654606E-4</v>
      </c>
    </row>
    <row r="1091" spans="1:19" ht="12.75" customHeight="1">
      <c r="A1091" s="82">
        <v>44480</v>
      </c>
      <c r="B1091" s="53">
        <v>1.04E-2</v>
      </c>
      <c r="C1091" s="53">
        <v>-8.0663806612376598E-3</v>
      </c>
      <c r="D1091" s="53">
        <v>-1.53704490721066E-2</v>
      </c>
      <c r="E1091" s="53">
        <v>-1.4500000000000001E-2</v>
      </c>
      <c r="F1091" s="53">
        <v>-2.4554383412148701E-3</v>
      </c>
      <c r="G1091" s="53">
        <v>1.016011400788E-2</v>
      </c>
      <c r="H1091" s="87">
        <v>-2.15086560508214E-2</v>
      </c>
      <c r="I1091" s="53">
        <v>-2.1209550357532501E-2</v>
      </c>
      <c r="J1091" s="53">
        <v>6.1359959837117301E-3</v>
      </c>
      <c r="K1091" s="53">
        <v>-1.5265896637363399E-2</v>
      </c>
      <c r="L1091" s="95">
        <f>IFERROR(B1091*'Stock Statistics'!$C$41+C1091*'Stock Statistics'!$C$42+D1091*'Stock Statistics'!$C$43+E1091*'Stock Statistics'!$C$44+F1091*'Stock Statistics'!$C$45+G1091*'Stock Statistics'!$C$46+H1091*'Stock Statistics'!$C$47+I1091*'Stock Statistics'!$C$48+J1091*'Stock Statistics'!$C$49+K1091*'Stock Statistics'!$C$50,"")</f>
        <v>-7.1680261128684707E-3</v>
      </c>
      <c r="M1091" s="97">
        <v>256.50029999999998</v>
      </c>
      <c r="N1091" s="96">
        <v>328.99149999999997</v>
      </c>
      <c r="O1091" s="93">
        <f t="shared" si="51"/>
        <v>1.4078254952276659E-3</v>
      </c>
      <c r="P1091" s="93">
        <f t="shared" si="52"/>
        <v>-6.4497872720816751E-3</v>
      </c>
      <c r="Q1091" s="93">
        <f>B1091*'Portfolio 2 &amp; 3'!$F$7+C1091*'Portfolio 2 &amp; 3'!$F$8+D1091*'Portfolio 2 &amp; 3'!$F$9+E1091*'Portfolio 2 &amp; 3'!$F$10+F1091*'Portfolio 2 &amp; 3'!$F$11+G1091*'Portfolio 2 &amp; 3'!$F$12+H1091*'Portfolio 2 &amp; 3'!$F$13+I1091*'Portfolio 2 &amp; 3'!$F$14+J1091*'Portfolio 2 &amp; 3'!$F$15+K1091*'Portfolio 2 &amp; 3'!$F$16</f>
        <v>-8.5210519209100357E-3</v>
      </c>
      <c r="R1091" s="93">
        <f>B1091*'Portfolio 2 &amp; 3'!$B$23+C1091*'Portfolio 2 &amp; 3'!$B$24+D1091*'Portfolio 2 &amp; 3'!$B$25+E1091*'Portfolio 2 &amp; 3'!$B$26+F1091*'Portfolio 2 &amp; 3'!$B$27+G1091*'Portfolio 2 &amp; 3'!$B$28+H1091*'Portfolio 2 &amp; 3'!$B$29+I1091*'Portfolio 2 &amp; 3'!$B$30+J1091*'Portfolio 2 &amp; 3'!$B$31+K1091*'Portfolio 2 &amp; 3'!$B$32</f>
        <v>-6.7066975938886589E-3</v>
      </c>
      <c r="S1091" s="93">
        <f t="shared" si="53"/>
        <v>-2.5209808884270046E-3</v>
      </c>
    </row>
    <row r="1092" spans="1:19" ht="12.75" customHeight="1">
      <c r="A1092" s="81">
        <v>44477</v>
      </c>
      <c r="B1092" s="53">
        <v>2.5999999999999999E-3</v>
      </c>
      <c r="C1092" s="53">
        <v>-1.1490750263461901E-2</v>
      </c>
      <c r="D1092" s="53">
        <v>5.9854638734499997E-3</v>
      </c>
      <c r="E1092" s="53">
        <v>-9.3200000000000002E-3</v>
      </c>
      <c r="F1092" s="53">
        <v>9.0950432014569302E-5</v>
      </c>
      <c r="G1092" s="53">
        <v>-2.95156120340389E-2</v>
      </c>
      <c r="H1092" s="87">
        <v>-9.9754258819610992E-3</v>
      </c>
      <c r="I1092" s="53">
        <v>1.4259373079286999E-2</v>
      </c>
      <c r="J1092" s="53">
        <v>-1.6674894410619201E-2</v>
      </c>
      <c r="K1092" s="53">
        <v>-2.3153273709241098E-2</v>
      </c>
      <c r="L1092" s="95">
        <f>IFERROR(B1092*'Stock Statistics'!$C$41+C1092*'Stock Statistics'!$C$42+D1092*'Stock Statistics'!$C$43+E1092*'Stock Statistics'!$C$44+F1092*'Stock Statistics'!$C$45+G1092*'Stock Statistics'!$C$46+H1092*'Stock Statistics'!$C$47+I1092*'Stock Statistics'!$C$48+J1092*'Stock Statistics'!$C$49+K1092*'Stock Statistics'!$C$50,"")</f>
        <v>-7.7194168914570633E-3</v>
      </c>
      <c r="M1092" s="96">
        <v>256.1397</v>
      </c>
      <c r="N1092" s="97">
        <v>331.12720000000002</v>
      </c>
      <c r="O1092" s="93">
        <f t="shared" si="51"/>
        <v>-1.6335667493876493E-2</v>
      </c>
      <c r="P1092" s="93">
        <f t="shared" si="52"/>
        <v>-1.0428941275829051E-2</v>
      </c>
      <c r="Q1092" s="93">
        <f>B1092*'Portfolio 2 &amp; 3'!$F$7+C1092*'Portfolio 2 &amp; 3'!$F$8+D1092*'Portfolio 2 &amp; 3'!$F$9+E1092*'Portfolio 2 &amp; 3'!$F$10+F1092*'Portfolio 2 &amp; 3'!$F$11+G1092*'Portfolio 2 &amp; 3'!$F$12+H1092*'Portfolio 2 &amp; 3'!$F$13+I1092*'Portfolio 2 &amp; 3'!$F$14+J1092*'Portfolio 2 &amp; 3'!$F$15+K1092*'Portfolio 2 &amp; 3'!$F$16</f>
        <v>-7.0933421196334515E-3</v>
      </c>
      <c r="R1092" s="93">
        <f>B1092*'Portfolio 2 &amp; 3'!$B$23+C1092*'Portfolio 2 &amp; 3'!$B$24+D1092*'Portfolio 2 &amp; 3'!$B$25+E1092*'Portfolio 2 &amp; 3'!$B$26+F1092*'Portfolio 2 &amp; 3'!$B$27+G1092*'Portfolio 2 &amp; 3'!$B$28+H1092*'Portfolio 2 &amp; 3'!$B$29+I1092*'Portfolio 2 &amp; 3'!$B$30+J1092*'Portfolio 2 &amp; 3'!$B$31+K1092*'Portfolio 2 &amp; 3'!$B$32</f>
        <v>-4.1670365575996338E-3</v>
      </c>
      <c r="S1092" s="93">
        <f t="shared" si="53"/>
        <v>-1.3382304384852772E-2</v>
      </c>
    </row>
    <row r="1093" spans="1:19" ht="12.75" customHeight="1">
      <c r="A1093" s="82">
        <v>44476</v>
      </c>
      <c r="B1093" s="53">
        <v>-1.6199999999999999E-2</v>
      </c>
      <c r="C1093" s="53">
        <v>-5.0762065508447296E-4</v>
      </c>
      <c r="D1093" s="53">
        <v>-1.52270016139217E-2</v>
      </c>
      <c r="E1093" s="53">
        <v>-3.6099999999999999E-3</v>
      </c>
      <c r="F1093" s="53">
        <v>-1.09021531752529E-3</v>
      </c>
      <c r="G1093" s="53">
        <v>-1.24688680003214E-2</v>
      </c>
      <c r="H1093" s="87">
        <v>-1.5520246027678101E-2</v>
      </c>
      <c r="I1093" s="53">
        <v>3.6891293654695001E-4</v>
      </c>
      <c r="J1093" s="53">
        <v>6.2368914891268697E-3</v>
      </c>
      <c r="K1093" s="53">
        <v>1.50985067625675E-2</v>
      </c>
      <c r="L1093" s="95">
        <f>IFERROR(B1093*'Stock Statistics'!$C$41+C1093*'Stock Statistics'!$C$42+D1093*'Stock Statistics'!$C$43+E1093*'Stock Statistics'!$C$44+F1093*'Stock Statistics'!$C$45+G1093*'Stock Statistics'!$C$46+H1093*'Stock Statistics'!$C$47+I1093*'Stock Statistics'!$C$48+J1093*'Stock Statistics'!$C$49+K1093*'Stock Statistics'!$C$50,"")</f>
        <v>-4.2919640426289651E-3</v>
      </c>
      <c r="M1093" s="97">
        <v>260.39339999999999</v>
      </c>
      <c r="N1093" s="96">
        <v>334.61689999999999</v>
      </c>
      <c r="O1093" s="93">
        <f t="shared" si="51"/>
        <v>-4.2511599200170114E-3</v>
      </c>
      <c r="P1093" s="93">
        <f t="shared" si="52"/>
        <v>-1.4485680870295448E-2</v>
      </c>
      <c r="Q1093" s="93">
        <f>B1093*'Portfolio 2 &amp; 3'!$F$7+C1093*'Portfolio 2 &amp; 3'!$F$8+D1093*'Portfolio 2 &amp; 3'!$F$9+E1093*'Portfolio 2 &amp; 3'!$F$10+F1093*'Portfolio 2 &amp; 3'!$F$11+G1093*'Portfolio 2 &amp; 3'!$F$12+H1093*'Portfolio 2 &amp; 3'!$F$13+I1093*'Portfolio 2 &amp; 3'!$F$14+J1093*'Portfolio 2 &amp; 3'!$F$15+K1093*'Portfolio 2 &amp; 3'!$F$16</f>
        <v>-4.6260928264950339E-3</v>
      </c>
      <c r="R1093" s="93">
        <f>B1093*'Portfolio 2 &amp; 3'!$B$23+C1093*'Portfolio 2 &amp; 3'!$B$24+D1093*'Portfolio 2 &amp; 3'!$B$25+E1093*'Portfolio 2 &amp; 3'!$B$26+F1093*'Portfolio 2 &amp; 3'!$B$27+G1093*'Portfolio 2 &amp; 3'!$B$28+H1093*'Portfolio 2 &amp; 3'!$B$29+I1093*'Portfolio 2 &amp; 3'!$B$30+J1093*'Portfolio 2 &amp; 3'!$B$31+K1093*'Portfolio 2 &amp; 3'!$B$32</f>
        <v>-2.8207763122694344E-3</v>
      </c>
      <c r="S1093" s="93">
        <f t="shared" si="53"/>
        <v>-9.3684203951562295E-3</v>
      </c>
    </row>
    <row r="1094" spans="1:19" ht="12.75" customHeight="1">
      <c r="A1094" s="81">
        <v>44475</v>
      </c>
      <c r="B1094" s="53">
        <v>-4.6800000000000001E-2</v>
      </c>
      <c r="C1094" s="53">
        <v>1.62702901958789E-3</v>
      </c>
      <c r="D1094" s="53">
        <v>-7.9359554472677694E-3</v>
      </c>
      <c r="E1094" s="53">
        <v>-2.7200000000000002E-3</v>
      </c>
      <c r="F1094" s="53">
        <v>-2.4115613086266498E-2</v>
      </c>
      <c r="G1094" s="53">
        <v>-5.9577050856121101E-3</v>
      </c>
      <c r="H1094" s="87">
        <v>-1.6375259644664901E-2</v>
      </c>
      <c r="I1094" s="53">
        <v>7.9995077226025001E-4</v>
      </c>
      <c r="J1094" s="53">
        <v>-3.3105274773792602E-4</v>
      </c>
      <c r="K1094" s="53">
        <v>-1.45798424529575E-2</v>
      </c>
      <c r="L1094" s="95">
        <f>IFERROR(B1094*'Stock Statistics'!$C$41+C1094*'Stock Statistics'!$C$42+D1094*'Stock Statistics'!$C$43+E1094*'Stock Statistics'!$C$44+F1094*'Stock Statistics'!$C$45+G1094*'Stock Statistics'!$C$46+H1094*'Stock Statistics'!$C$47+I1094*'Stock Statistics'!$C$48+J1094*'Stock Statistics'!$C$49+K1094*'Stock Statistics'!$C$50,"")</f>
        <v>-1.1638844867265857E-2</v>
      </c>
      <c r="M1094" s="96">
        <v>261.50510000000003</v>
      </c>
      <c r="N1094" s="97">
        <v>339.53530000000001</v>
      </c>
      <c r="O1094" s="93">
        <f t="shared" si="51"/>
        <v>1.3789202638359255E-2</v>
      </c>
      <c r="P1094" s="93">
        <f t="shared" si="52"/>
        <v>7.836262482735723E-3</v>
      </c>
      <c r="Q1094" s="93">
        <f>B1094*'Portfolio 2 &amp; 3'!$F$7+C1094*'Portfolio 2 &amp; 3'!$F$8+D1094*'Portfolio 2 &amp; 3'!$F$9+E1094*'Portfolio 2 &amp; 3'!$F$10+F1094*'Portfolio 2 &amp; 3'!$F$11+G1094*'Portfolio 2 &amp; 3'!$F$12+H1094*'Portfolio 2 &amp; 3'!$F$13+I1094*'Portfolio 2 &amp; 3'!$F$14+J1094*'Portfolio 2 &amp; 3'!$F$15+K1094*'Portfolio 2 &amp; 3'!$F$16</f>
        <v>-1.0836359037527218E-2</v>
      </c>
      <c r="R1094" s="93">
        <f>B1094*'Portfolio 2 &amp; 3'!$B$23+C1094*'Portfolio 2 &amp; 3'!$B$24+D1094*'Portfolio 2 &amp; 3'!$B$25+E1094*'Portfolio 2 &amp; 3'!$B$26+F1094*'Portfolio 2 &amp; 3'!$B$27+G1094*'Portfolio 2 &amp; 3'!$B$28+H1094*'Portfolio 2 &amp; 3'!$B$29+I1094*'Portfolio 2 &amp; 3'!$B$30+J1094*'Portfolio 2 &amp; 3'!$B$31+K1094*'Portfolio 2 &amp; 3'!$B$32</f>
        <v>-1.2039468561181661E-2</v>
      </c>
      <c r="S1094" s="93">
        <f t="shared" si="53"/>
        <v>1.0812732560547489E-2</v>
      </c>
    </row>
    <row r="1095" spans="1:19" ht="12.75" customHeight="1">
      <c r="A1095" s="82">
        <v>44474</v>
      </c>
      <c r="B1095" s="53">
        <v>3.3E-3</v>
      </c>
      <c r="C1095" s="53">
        <v>-3.1767815390870702E-4</v>
      </c>
      <c r="D1095" s="53">
        <v>-1.22395654266657E-2</v>
      </c>
      <c r="E1095" s="53">
        <v>-1.7489999999999999E-2</v>
      </c>
      <c r="F1095" s="53">
        <v>3.2019923507962101E-3</v>
      </c>
      <c r="G1095" s="53">
        <v>9.75266599517299E-4</v>
      </c>
      <c r="H1095" s="87">
        <v>6.1378323813774402E-3</v>
      </c>
      <c r="I1095" s="53">
        <v>-7.1480938416422796E-3</v>
      </c>
      <c r="J1095" s="53">
        <v>2.7109266943292601E-3</v>
      </c>
      <c r="K1095" s="53">
        <v>-2.8251654017836299E-2</v>
      </c>
      <c r="L1095" s="95">
        <f>IFERROR(B1095*'Stock Statistics'!$C$41+C1095*'Stock Statistics'!$C$42+D1095*'Stock Statistics'!$C$43+E1095*'Stock Statistics'!$C$44+F1095*'Stock Statistics'!$C$45+G1095*'Stock Statistics'!$C$46+H1095*'Stock Statistics'!$C$47+I1095*'Stock Statistics'!$C$48+J1095*'Stock Statistics'!$C$49+K1095*'Stock Statistics'!$C$50,"")</f>
        <v>-4.9120973414032779E-3</v>
      </c>
      <c r="M1095" s="97">
        <v>257.94819999999999</v>
      </c>
      <c r="N1095" s="96">
        <v>336.89530000000002</v>
      </c>
      <c r="O1095" s="93">
        <f t="shared" si="51"/>
        <v>4.635102066886887E-3</v>
      </c>
      <c r="P1095" s="93">
        <f t="shared" si="52"/>
        <v>5.6495067054684878E-3</v>
      </c>
      <c r="Q1095" s="93">
        <f>B1095*'Portfolio 2 &amp; 3'!$F$7+C1095*'Portfolio 2 &amp; 3'!$F$8+D1095*'Portfolio 2 &amp; 3'!$F$9+E1095*'Portfolio 2 &amp; 3'!$F$10+F1095*'Portfolio 2 &amp; 3'!$F$11+G1095*'Portfolio 2 &amp; 3'!$F$12+H1095*'Portfolio 2 &amp; 3'!$F$13+I1095*'Portfolio 2 &amp; 3'!$F$14+J1095*'Portfolio 2 &amp; 3'!$F$15+K1095*'Portfolio 2 &amp; 3'!$F$16</f>
        <v>-3.7653522517803887E-3</v>
      </c>
      <c r="R1095" s="93">
        <f>B1095*'Portfolio 2 &amp; 3'!$B$23+C1095*'Portfolio 2 &amp; 3'!$B$24+D1095*'Portfolio 2 &amp; 3'!$B$25+E1095*'Portfolio 2 &amp; 3'!$B$26+F1095*'Portfolio 2 &amp; 3'!$B$27+G1095*'Portfolio 2 &amp; 3'!$B$28+H1095*'Portfolio 2 &amp; 3'!$B$29+I1095*'Portfolio 2 &amp; 3'!$B$30+J1095*'Portfolio 2 &amp; 3'!$B$31+K1095*'Portfolio 2 &amp; 3'!$B$32</f>
        <v>-3.1029592485866523E-3</v>
      </c>
      <c r="S1095" s="93">
        <f t="shared" si="53"/>
        <v>5.1423043861776874E-3</v>
      </c>
    </row>
    <row r="1096" spans="1:19" ht="12.75" customHeight="1">
      <c r="A1096" s="81">
        <v>44473</v>
      </c>
      <c r="B1096" s="53">
        <v>4.8899999999999999E-2</v>
      </c>
      <c r="C1096" s="53">
        <v>6.3813189764314604E-3</v>
      </c>
      <c r="D1096" s="53">
        <v>-1.9216251458376E-3</v>
      </c>
      <c r="E1096" s="53">
        <v>-3.9300000000000003E-3</v>
      </c>
      <c r="F1096" s="53">
        <v>1.16069821846319E-2</v>
      </c>
      <c r="G1096" s="53">
        <v>4.4322397263572002E-3</v>
      </c>
      <c r="H1096" s="87">
        <v>3.6963118343074099E-3</v>
      </c>
      <c r="I1096" s="53">
        <v>4.29500552215001E-3</v>
      </c>
      <c r="J1096" s="53">
        <v>-8.3392768969111596E-3</v>
      </c>
      <c r="K1096" s="53">
        <v>-5.4168256657016701E-3</v>
      </c>
      <c r="L1096" s="95">
        <f>IFERROR(B1096*'Stock Statistics'!$C$41+C1096*'Stock Statistics'!$C$42+D1096*'Stock Statistics'!$C$43+E1096*'Stock Statistics'!$C$44+F1096*'Stock Statistics'!$C$45+G1096*'Stock Statistics'!$C$46+H1096*'Stock Statistics'!$C$47+I1096*'Stock Statistics'!$C$48+J1096*'Stock Statistics'!$C$49+K1096*'Stock Statistics'!$C$50,"")</f>
        <v>5.9704130535427544E-3</v>
      </c>
      <c r="M1096" s="96">
        <v>256.75810000000001</v>
      </c>
      <c r="N1096" s="97">
        <v>335.0027</v>
      </c>
      <c r="O1096" s="93">
        <f t="shared" si="51"/>
        <v>2.863783952264054E-3</v>
      </c>
      <c r="P1096" s="93">
        <f t="shared" si="52"/>
        <v>7.994384162519852E-3</v>
      </c>
      <c r="Q1096" s="93">
        <f>B1096*'Portfolio 2 &amp; 3'!$F$7+C1096*'Portfolio 2 &amp; 3'!$F$8+D1096*'Portfolio 2 &amp; 3'!$F$9+E1096*'Portfolio 2 &amp; 3'!$F$10+F1096*'Portfolio 2 &amp; 3'!$F$11+G1096*'Portfolio 2 &amp; 3'!$F$12+H1096*'Portfolio 2 &amp; 3'!$F$13+I1096*'Portfolio 2 &amp; 3'!$F$14+J1096*'Portfolio 2 &amp; 3'!$F$15+K1096*'Portfolio 2 &amp; 3'!$F$16</f>
        <v>4.1038989257384476E-3</v>
      </c>
      <c r="R1096" s="93">
        <f>B1096*'Portfolio 2 &amp; 3'!$B$23+C1096*'Portfolio 2 &amp; 3'!$B$24+D1096*'Portfolio 2 &amp; 3'!$B$25+E1096*'Portfolio 2 &amp; 3'!$B$26+F1096*'Portfolio 2 &amp; 3'!$B$27+G1096*'Portfolio 2 &amp; 3'!$B$28+H1096*'Portfolio 2 &amp; 3'!$B$29+I1096*'Portfolio 2 &amp; 3'!$B$30+J1096*'Portfolio 2 &amp; 3'!$B$31+K1096*'Portfolio 2 &amp; 3'!$B$32</f>
        <v>1.0485198186915469E-2</v>
      </c>
      <c r="S1096" s="93">
        <f t="shared" si="53"/>
        <v>5.429084057391953E-3</v>
      </c>
    </row>
    <row r="1097" spans="1:19" ht="12.75" customHeight="1">
      <c r="A1097" s="82">
        <v>44470</v>
      </c>
      <c r="B1097" s="53">
        <v>7.3800000000000004E-2</v>
      </c>
      <c r="C1097" s="53">
        <v>-6.5807025344597498E-3</v>
      </c>
      <c r="D1097" s="53">
        <v>-1.78118791532511E-3</v>
      </c>
      <c r="E1097" s="53">
        <v>5.5199999999999997E-3</v>
      </c>
      <c r="F1097" s="53">
        <v>6.9765334783002996E-3</v>
      </c>
      <c r="G1097" s="53">
        <v>-1.6939252336448399E-2</v>
      </c>
      <c r="H1097" s="87">
        <v>3.2588597055789302E-3</v>
      </c>
      <c r="I1097" s="53">
        <v>-1.50480449628332E-2</v>
      </c>
      <c r="J1097" s="53">
        <v>-2.35358511220574E-3</v>
      </c>
      <c r="K1097" s="53">
        <v>2.34811103278783E-2</v>
      </c>
      <c r="L1097" s="95">
        <f>IFERROR(B1097*'Stock Statistics'!$C$41+C1097*'Stock Statistics'!$C$42+D1097*'Stock Statistics'!$C$43+E1097*'Stock Statistics'!$C$44+F1097*'Stock Statistics'!$C$45+G1097*'Stock Statistics'!$C$46+H1097*'Stock Statistics'!$C$47+I1097*'Stock Statistics'!$C$48+J1097*'Stock Statistics'!$C$49+K1097*'Stock Statistics'!$C$50,"")</f>
        <v>7.0333730650485333E-3</v>
      </c>
      <c r="M1097" s="97">
        <v>256.0249</v>
      </c>
      <c r="N1097" s="96">
        <v>332.3458</v>
      </c>
      <c r="O1097" s="93">
        <f t="shared" si="51"/>
        <v>3.993623691945114E-3</v>
      </c>
      <c r="P1097" s="93">
        <f t="shared" si="52"/>
        <v>-1.5714413487503909E-2</v>
      </c>
      <c r="Q1097" s="93">
        <f>B1097*'Portfolio 2 &amp; 3'!$F$7+C1097*'Portfolio 2 &amp; 3'!$F$8+D1097*'Portfolio 2 &amp; 3'!$F$9+E1097*'Portfolio 2 &amp; 3'!$F$10+F1097*'Portfolio 2 &amp; 3'!$F$11+G1097*'Portfolio 2 &amp; 3'!$F$12+H1097*'Portfolio 2 &amp; 3'!$F$13+I1097*'Portfolio 2 &amp; 3'!$F$14+J1097*'Portfolio 2 &amp; 3'!$F$15+K1097*'Portfolio 2 &amp; 3'!$F$16</f>
        <v>5.00482059124247E-3</v>
      </c>
      <c r="R1097" s="93">
        <f>B1097*'Portfolio 2 &amp; 3'!$B$23+C1097*'Portfolio 2 &amp; 3'!$B$24+D1097*'Portfolio 2 &amp; 3'!$B$25+E1097*'Portfolio 2 &amp; 3'!$B$26+F1097*'Portfolio 2 &amp; 3'!$B$27+G1097*'Portfolio 2 &amp; 3'!$B$28+H1097*'Portfolio 2 &amp; 3'!$B$29+I1097*'Portfolio 2 &amp; 3'!$B$30+J1097*'Portfolio 2 &amp; 3'!$B$31+K1097*'Portfolio 2 &amp; 3'!$B$32</f>
        <v>6.1707226540906445E-3</v>
      </c>
      <c r="S1097" s="93">
        <f t="shared" si="53"/>
        <v>-5.8603948977793974E-3</v>
      </c>
    </row>
    <row r="1098" spans="1:19" ht="12.75" customHeight="1">
      <c r="A1098" s="81">
        <v>44469</v>
      </c>
      <c r="B1098" s="53">
        <v>4.9200000000000001E-2</v>
      </c>
      <c r="C1098" s="53">
        <v>-8.7270803949224297E-3</v>
      </c>
      <c r="D1098" s="53">
        <v>1.2906807299979201E-2</v>
      </c>
      <c r="E1098" s="53">
        <v>6.8300000000000001E-3</v>
      </c>
      <c r="F1098" s="53">
        <v>7.7611395178962504E-3</v>
      </c>
      <c r="G1098" s="53">
        <v>2.9883263421454798E-2</v>
      </c>
      <c r="H1098" s="87">
        <v>9.3108141549123093E-3</v>
      </c>
      <c r="I1098" s="53">
        <v>-1.02284962316066E-2</v>
      </c>
      <c r="J1098" s="53">
        <v>-2.6748184944593899E-3</v>
      </c>
      <c r="K1098" s="53">
        <v>4.4011557817791296E-3</v>
      </c>
      <c r="L1098" s="95">
        <f>IFERROR(B1098*'Stock Statistics'!$C$41+C1098*'Stock Statistics'!$C$42+D1098*'Stock Statistics'!$C$43+E1098*'Stock Statistics'!$C$44+F1098*'Stock Statistics'!$C$45+G1098*'Stock Statistics'!$C$46+H1098*'Stock Statistics'!$C$47+I1098*'Stock Statistics'!$C$48+J1098*'Stock Statistics'!$C$49+K1098*'Stock Statistics'!$C$50,"")</f>
        <v>9.8662785055033276E-3</v>
      </c>
      <c r="M1098" s="96">
        <v>255.00649999999999</v>
      </c>
      <c r="N1098" s="97">
        <v>337.65179999999998</v>
      </c>
      <c r="O1098" s="93">
        <f t="shared" si="51"/>
        <v>7.2285667306193346E-4</v>
      </c>
      <c r="P1098" s="93">
        <f t="shared" si="52"/>
        <v>-1.0202786426263377E-2</v>
      </c>
      <c r="Q1098" s="93">
        <f>B1098*'Portfolio 2 &amp; 3'!$F$7+C1098*'Portfolio 2 &amp; 3'!$F$8+D1098*'Portfolio 2 &amp; 3'!$F$9+E1098*'Portfolio 2 &amp; 3'!$F$10+F1098*'Portfolio 2 &amp; 3'!$F$11+G1098*'Portfolio 2 &amp; 3'!$F$12+H1098*'Portfolio 2 &amp; 3'!$F$13+I1098*'Portfolio 2 &amp; 3'!$F$14+J1098*'Portfolio 2 &amp; 3'!$F$15+K1098*'Portfolio 2 &amp; 3'!$F$16</f>
        <v>7.6944098976627628E-3</v>
      </c>
      <c r="R1098" s="93">
        <f>B1098*'Portfolio 2 &amp; 3'!$B$23+C1098*'Portfolio 2 &amp; 3'!$B$24+D1098*'Portfolio 2 &amp; 3'!$B$25+E1098*'Portfolio 2 &amp; 3'!$B$26+F1098*'Portfolio 2 &amp; 3'!$B$27+G1098*'Portfolio 2 &amp; 3'!$B$28+H1098*'Portfolio 2 &amp; 3'!$B$29+I1098*'Portfolio 2 &amp; 3'!$B$30+J1098*'Portfolio 2 &amp; 3'!$B$31+K1098*'Portfolio 2 &amp; 3'!$B$32</f>
        <v>7.4841790362741439E-3</v>
      </c>
      <c r="S1098" s="93">
        <f t="shared" si="53"/>
        <v>-4.7399648766007219E-3</v>
      </c>
    </row>
    <row r="1099" spans="1:19" ht="12.75" customHeight="1">
      <c r="A1099" s="82">
        <v>44468</v>
      </c>
      <c r="B1099" s="53">
        <v>-6.93E-2</v>
      </c>
      <c r="C1099" s="53">
        <v>1.2594775687047E-4</v>
      </c>
      <c r="D1099" s="53">
        <v>8.1147254284714698E-3</v>
      </c>
      <c r="E1099" s="53">
        <v>-1.323E-2</v>
      </c>
      <c r="F1099" s="53">
        <v>5.9704234408009E-3</v>
      </c>
      <c r="G1099" s="53">
        <v>3.4154671871200498E-4</v>
      </c>
      <c r="H1099" s="87">
        <v>-8.5665801149027408E-3</v>
      </c>
      <c r="I1099" s="53">
        <v>-6.41863782241769E-3</v>
      </c>
      <c r="J1099" s="53">
        <v>2.4076607387142398E-3</v>
      </c>
      <c r="K1099" s="53">
        <v>1.6109118130292099E-2</v>
      </c>
      <c r="L1099" s="95">
        <f>IFERROR(B1099*'Stock Statistics'!$C$41+C1099*'Stock Statistics'!$C$42+D1099*'Stock Statistics'!$C$43+E1099*'Stock Statistics'!$C$44+F1099*'Stock Statistics'!$C$45+G1099*'Stock Statistics'!$C$46+H1099*'Stock Statistics'!$C$47+I1099*'Stock Statistics'!$C$48+J1099*'Stock Statistics'!$C$49+K1099*'Stock Statistics'!$C$50,"")</f>
        <v>-6.4445795723459248E-3</v>
      </c>
      <c r="M1099" s="97">
        <v>254.82230000000001</v>
      </c>
      <c r="N1099" s="96">
        <v>341.13229999999999</v>
      </c>
      <c r="O1099" s="93">
        <f t="shared" si="51"/>
        <v>-8.9952643608246508E-3</v>
      </c>
      <c r="P1099" s="93">
        <f t="shared" si="52"/>
        <v>-1.0433730437854338E-3</v>
      </c>
      <c r="Q1099" s="93">
        <f>B1099*'Portfolio 2 &amp; 3'!$F$7+C1099*'Portfolio 2 &amp; 3'!$F$8+D1099*'Portfolio 2 &amp; 3'!$F$9+E1099*'Portfolio 2 &amp; 3'!$F$10+F1099*'Portfolio 2 &amp; 3'!$F$11+G1099*'Portfolio 2 &amp; 3'!$F$12+H1099*'Portfolio 2 &amp; 3'!$F$13+I1099*'Portfolio 2 &amp; 3'!$F$14+J1099*'Portfolio 2 &amp; 3'!$F$15+K1099*'Portfolio 2 &amp; 3'!$F$16</f>
        <v>-4.181248222393694E-3</v>
      </c>
      <c r="R1099" s="93">
        <f>B1099*'Portfolio 2 &amp; 3'!$B$23+C1099*'Portfolio 2 &amp; 3'!$B$24+D1099*'Portfolio 2 &amp; 3'!$B$25+E1099*'Portfolio 2 &amp; 3'!$B$26+F1099*'Portfolio 2 &amp; 3'!$B$27+G1099*'Portfolio 2 &amp; 3'!$B$28+H1099*'Portfolio 2 &amp; 3'!$B$29+I1099*'Portfolio 2 &amp; 3'!$B$30+J1099*'Portfolio 2 &amp; 3'!$B$31+K1099*'Portfolio 2 &amp; 3'!$B$32</f>
        <v>-8.568499728787515E-3</v>
      </c>
      <c r="S1099" s="93">
        <f t="shared" si="53"/>
        <v>-5.0193187023050423E-3</v>
      </c>
    </row>
    <row r="1100" spans="1:19" ht="12.75" customHeight="1">
      <c r="A1100" s="81">
        <v>44467</v>
      </c>
      <c r="B1100" s="53">
        <v>-8.0999999999999996E-3</v>
      </c>
      <c r="C1100" s="53">
        <v>-5.0500620292979201E-3</v>
      </c>
      <c r="D1100" s="53">
        <v>-6.7398554752640099E-3</v>
      </c>
      <c r="E1100" s="53">
        <v>-4.1099999999999999E-3</v>
      </c>
      <c r="F1100" s="53">
        <v>-2.3587443946188301E-2</v>
      </c>
      <c r="G1100" s="53">
        <v>3.03430724807918E-3</v>
      </c>
      <c r="H1100" s="87">
        <v>-1.32147036274866E-2</v>
      </c>
      <c r="I1100" s="53">
        <v>-1.4835914782505E-3</v>
      </c>
      <c r="J1100" s="53">
        <v>-3.6528186675389698E-3</v>
      </c>
      <c r="K1100" s="53">
        <v>1.41482460118707E-2</v>
      </c>
      <c r="L1100" s="95">
        <f>IFERROR(B1100*'Stock Statistics'!$C$41+C1100*'Stock Statistics'!$C$42+D1100*'Stock Statistics'!$C$43+E1100*'Stock Statistics'!$C$44+F1100*'Stock Statistics'!$C$45+G1100*'Stock Statistics'!$C$46+H1100*'Stock Statistics'!$C$47+I1100*'Stock Statistics'!$C$48+J1100*'Stock Statistics'!$C$49+K1100*'Stock Statistics'!$C$50,"")</f>
        <v>-4.8755921964076417E-3</v>
      </c>
      <c r="M1100" s="96">
        <v>257.13529999999997</v>
      </c>
      <c r="N1100" s="97">
        <v>341.48860000000002</v>
      </c>
      <c r="O1100" s="93">
        <f t="shared" si="51"/>
        <v>-1.1426813913478218E-2</v>
      </c>
      <c r="P1100" s="93">
        <f t="shared" si="52"/>
        <v>7.1758142322380092E-3</v>
      </c>
      <c r="Q1100" s="93">
        <f>B1100*'Portfolio 2 &amp; 3'!$F$7+C1100*'Portfolio 2 &amp; 3'!$F$8+D1100*'Portfolio 2 &amp; 3'!$F$9+E1100*'Portfolio 2 &amp; 3'!$F$10+F1100*'Portfolio 2 &amp; 3'!$F$11+G1100*'Portfolio 2 &amp; 3'!$F$12+H1100*'Portfolio 2 &amp; 3'!$F$13+I1100*'Portfolio 2 &amp; 3'!$F$14+J1100*'Portfolio 2 &amp; 3'!$F$15+K1100*'Portfolio 2 &amp; 3'!$F$16</f>
        <v>-6.1968686259474227E-3</v>
      </c>
      <c r="R1100" s="93">
        <f>B1100*'Portfolio 2 &amp; 3'!$B$23+C1100*'Portfolio 2 &amp; 3'!$B$24+D1100*'Portfolio 2 &amp; 3'!$B$25+E1100*'Portfolio 2 &amp; 3'!$B$26+F1100*'Portfolio 2 &amp; 3'!$B$27+G1100*'Portfolio 2 &amp; 3'!$B$28+H1100*'Portfolio 2 &amp; 3'!$B$29+I1100*'Portfolio 2 &amp; 3'!$B$30+J1100*'Portfolio 2 &amp; 3'!$B$31+K1100*'Portfolio 2 &amp; 3'!$B$32</f>
        <v>-5.2026049285924837E-3</v>
      </c>
      <c r="S1100" s="93">
        <f t="shared" si="53"/>
        <v>-2.1254998406201042E-3</v>
      </c>
    </row>
    <row r="1101" spans="1:19" ht="12.75" customHeight="1">
      <c r="A1101" s="82">
        <v>44466</v>
      </c>
      <c r="B1101" s="53">
        <v>-1E-3</v>
      </c>
      <c r="C1101" s="53">
        <v>2.3362431702569401E-3</v>
      </c>
      <c r="D1101" s="53">
        <v>5.9411476899420296E-3</v>
      </c>
      <c r="E1101" s="53">
        <v>-1.9009999999999999E-2</v>
      </c>
      <c r="F1101" s="53">
        <v>-1.1612445705167999E-2</v>
      </c>
      <c r="G1101" s="53">
        <v>-2.0563704342824399E-2</v>
      </c>
      <c r="H1101" s="87">
        <v>-1.5492789893934E-2</v>
      </c>
      <c r="I1101" s="53">
        <v>1.54875256116667E-2</v>
      </c>
      <c r="J1101" s="53">
        <v>1.14622564270506E-3</v>
      </c>
      <c r="K1101" s="53">
        <v>-5.2080779151996203E-3</v>
      </c>
      <c r="L1101" s="95">
        <f>IFERROR(B1101*'Stock Statistics'!$C$41+C1101*'Stock Statistics'!$C$42+D1101*'Stock Statistics'!$C$43+E1101*'Stock Statistics'!$C$44+F1101*'Stock Statistics'!$C$45+G1101*'Stock Statistics'!$C$46+H1101*'Stock Statistics'!$C$47+I1101*'Stock Statistics'!$C$48+J1101*'Stock Statistics'!$C$49+K1101*'Stock Statistics'!$C$50,"")</f>
        <v>-4.7975875742555293E-3</v>
      </c>
      <c r="M1101" s="97">
        <v>260.10750000000002</v>
      </c>
      <c r="N1101" s="96">
        <v>339.05560000000003</v>
      </c>
      <c r="O1101" s="93">
        <f t="shared" si="51"/>
        <v>6.3026543030286764E-3</v>
      </c>
      <c r="P1101" s="93">
        <f t="shared" si="52"/>
        <v>7.0182712658370949E-3</v>
      </c>
      <c r="Q1101" s="93">
        <f>B1101*'Portfolio 2 &amp; 3'!$F$7+C1101*'Portfolio 2 &amp; 3'!$F$8+D1101*'Portfolio 2 &amp; 3'!$F$9+E1101*'Portfolio 2 &amp; 3'!$F$10+F1101*'Portfolio 2 &amp; 3'!$F$11+G1101*'Portfolio 2 &amp; 3'!$F$12+H1101*'Portfolio 2 &amp; 3'!$F$13+I1101*'Portfolio 2 &amp; 3'!$F$14+J1101*'Portfolio 2 &amp; 3'!$F$15+K1101*'Portfolio 2 &amp; 3'!$F$16</f>
        <v>-4.2133051043393805E-3</v>
      </c>
      <c r="R1101" s="93">
        <f>B1101*'Portfolio 2 &amp; 3'!$B$23+C1101*'Portfolio 2 &amp; 3'!$B$24+D1101*'Portfolio 2 &amp; 3'!$B$25+E1101*'Portfolio 2 &amp; 3'!$B$26+F1101*'Portfolio 2 &amp; 3'!$B$27+G1101*'Portfolio 2 &amp; 3'!$B$28+H1101*'Portfolio 2 &amp; 3'!$B$29+I1101*'Portfolio 2 &amp; 3'!$B$30+J1101*'Portfolio 2 &amp; 3'!$B$31+K1101*'Portfolio 2 &amp; 3'!$B$32</f>
        <v>-6.3115352657653234E-4</v>
      </c>
      <c r="S1101" s="93">
        <f t="shared" si="53"/>
        <v>6.6604627844328856E-3</v>
      </c>
    </row>
    <row r="1102" spans="1:19" ht="12.75" customHeight="1">
      <c r="A1102" s="81">
        <v>44463</v>
      </c>
      <c r="B1102" s="53">
        <v>-1.8499999999999999E-2</v>
      </c>
      <c r="C1102" s="53">
        <v>1.1356563051790501E-2</v>
      </c>
      <c r="D1102" s="53">
        <v>-1.19475138121546E-2</v>
      </c>
      <c r="E1102" s="53">
        <v>-1.6000000000000001E-4</v>
      </c>
      <c r="F1102" s="53">
        <v>-5.6412516527105704E-3</v>
      </c>
      <c r="G1102" s="53">
        <v>1.58250961678921E-2</v>
      </c>
      <c r="H1102" s="87">
        <v>1.5890311450104298E-2</v>
      </c>
      <c r="I1102" s="53">
        <v>-3.42321782475519E-3</v>
      </c>
      <c r="J1102" s="53">
        <v>2.8463517433903198E-3</v>
      </c>
      <c r="K1102" s="53">
        <v>-7.5342399081095301E-3</v>
      </c>
      <c r="L1102" s="95">
        <f>IFERROR(B1102*'Stock Statistics'!$C$41+C1102*'Stock Statistics'!$C$42+D1102*'Stock Statistics'!$C$43+E1102*'Stock Statistics'!$C$44+F1102*'Stock Statistics'!$C$45+G1102*'Stock Statistics'!$C$46+H1102*'Stock Statistics'!$C$47+I1102*'Stock Statistics'!$C$48+J1102*'Stock Statistics'!$C$49+K1102*'Stock Statistics'!$C$50,"")</f>
        <v>-1.2879007845526739E-4</v>
      </c>
      <c r="M1102" s="96">
        <v>258.47840000000002</v>
      </c>
      <c r="N1102" s="97">
        <v>336.69260000000003</v>
      </c>
      <c r="O1102" s="93">
        <f t="shared" si="51"/>
        <v>7.674560582090928E-3</v>
      </c>
      <c r="P1102" s="93">
        <f t="shared" si="52"/>
        <v>-1.1195903665328633E-4</v>
      </c>
      <c r="Q1102" s="93">
        <f>B1102*'Portfolio 2 &amp; 3'!$F$7+C1102*'Portfolio 2 &amp; 3'!$F$8+D1102*'Portfolio 2 &amp; 3'!$F$9+E1102*'Portfolio 2 &amp; 3'!$F$10+F1102*'Portfolio 2 &amp; 3'!$F$11+G1102*'Portfolio 2 &amp; 3'!$F$12+H1102*'Portfolio 2 &amp; 3'!$F$13+I1102*'Portfolio 2 &amp; 3'!$F$14+J1102*'Portfolio 2 &amp; 3'!$F$15+K1102*'Portfolio 2 &amp; 3'!$F$16</f>
        <v>6.7542409102050427E-4</v>
      </c>
      <c r="R1102" s="93">
        <f>B1102*'Portfolio 2 &amp; 3'!$B$23+C1102*'Portfolio 2 &amp; 3'!$B$24+D1102*'Portfolio 2 &amp; 3'!$B$25+E1102*'Portfolio 2 &amp; 3'!$B$26+F1102*'Portfolio 2 &amp; 3'!$B$27+G1102*'Portfolio 2 &amp; 3'!$B$28+H1102*'Portfolio 2 &amp; 3'!$B$29+I1102*'Portfolio 2 &amp; 3'!$B$30+J1102*'Portfolio 2 &amp; 3'!$B$31+K1102*'Portfolio 2 &amp; 3'!$B$32</f>
        <v>-5.9371583680542452E-4</v>
      </c>
      <c r="S1102" s="93">
        <f t="shared" si="53"/>
        <v>3.7813007727188208E-3</v>
      </c>
    </row>
    <row r="1103" spans="1:19" ht="12.75" customHeight="1">
      <c r="A1103" s="82">
        <v>44462</v>
      </c>
      <c r="B1103" s="53">
        <v>6.4999999999999997E-3</v>
      </c>
      <c r="C1103" s="53">
        <v>-6.3511419353234899E-5</v>
      </c>
      <c r="D1103" s="53">
        <v>9.3405827408337104E-3</v>
      </c>
      <c r="E1103" s="53">
        <v>0</v>
      </c>
      <c r="F1103" s="53">
        <v>1.0870533725385399E-2</v>
      </c>
      <c r="G1103" s="53">
        <v>-1.5657203112268502E-2</v>
      </c>
      <c r="H1103" s="87">
        <v>-1.7222916294841999E-2</v>
      </c>
      <c r="I1103" s="53">
        <v>1.3574385196006801E-2</v>
      </c>
      <c r="J1103" s="53">
        <v>-2.2577711197902601E-2</v>
      </c>
      <c r="K1103" s="53">
        <v>-1.55811301589736E-2</v>
      </c>
      <c r="L1103" s="95">
        <f>IFERROR(B1103*'Stock Statistics'!$C$41+C1103*'Stock Statistics'!$C$42+D1103*'Stock Statistics'!$C$43+E1103*'Stock Statistics'!$C$44+F1103*'Stock Statistics'!$C$45+G1103*'Stock Statistics'!$C$46+H1103*'Stock Statistics'!$C$47+I1103*'Stock Statistics'!$C$48+J1103*'Stock Statistics'!$C$49+K1103*'Stock Statistics'!$C$50,"")</f>
        <v>-3.0816970521114033E-3</v>
      </c>
      <c r="M1103" s="97">
        <v>256.50979999999998</v>
      </c>
      <c r="N1103" s="96">
        <v>336.7303</v>
      </c>
      <c r="O1103" s="93">
        <f t="shared" si="51"/>
        <v>5.9290684354655898E-3</v>
      </c>
      <c r="P1103" s="93">
        <f t="shared" si="52"/>
        <v>3.1073088002497862E-4</v>
      </c>
      <c r="Q1103" s="93">
        <f>B1103*'Portfolio 2 &amp; 3'!$F$7+C1103*'Portfolio 2 &amp; 3'!$F$8+D1103*'Portfolio 2 &amp; 3'!$F$9+E1103*'Portfolio 2 &amp; 3'!$F$10+F1103*'Portfolio 2 &amp; 3'!$F$11+G1103*'Portfolio 2 &amp; 3'!$F$12+H1103*'Portfolio 2 &amp; 3'!$F$13+I1103*'Portfolio 2 &amp; 3'!$F$14+J1103*'Portfolio 2 &amp; 3'!$F$15+K1103*'Portfolio 2 &amp; 3'!$F$16</f>
        <v>-4.2396134855947447E-3</v>
      </c>
      <c r="R1103" s="93">
        <f>B1103*'Portfolio 2 &amp; 3'!$B$23+C1103*'Portfolio 2 &amp; 3'!$B$24+D1103*'Portfolio 2 &amp; 3'!$B$25+E1103*'Portfolio 2 &amp; 3'!$B$26+F1103*'Portfolio 2 &amp; 3'!$B$27+G1103*'Portfolio 2 &amp; 3'!$B$28+H1103*'Portfolio 2 &amp; 3'!$B$29+I1103*'Portfolio 2 &amp; 3'!$B$30+J1103*'Portfolio 2 &amp; 3'!$B$31+K1103*'Portfolio 2 &amp; 3'!$B$32</f>
        <v>1.8205510716659741E-3</v>
      </c>
      <c r="S1103" s="93">
        <f t="shared" si="53"/>
        <v>3.1198996577452842E-3</v>
      </c>
    </row>
    <row r="1104" spans="1:19" ht="12.75" customHeight="1">
      <c r="A1104" s="81">
        <v>44461</v>
      </c>
      <c r="B1104" s="53">
        <v>3.2599999999999997E-2</v>
      </c>
      <c r="C1104" s="53">
        <v>-1.5925000000000002E-2</v>
      </c>
      <c r="D1104" s="53">
        <v>-2.02827289489859E-2</v>
      </c>
      <c r="E1104" s="53">
        <v>-8.8199999999999997E-3</v>
      </c>
      <c r="F1104" s="53">
        <v>1.87908496732026E-2</v>
      </c>
      <c r="G1104" s="53">
        <v>1.5906250507214701E-2</v>
      </c>
      <c r="H1104" s="87">
        <v>1.75247434849721E-2</v>
      </c>
      <c r="I1104" s="53">
        <v>-2.2471910112359401E-3</v>
      </c>
      <c r="J1104" s="53">
        <v>-2.3968668407310701E-2</v>
      </c>
      <c r="K1104" s="53">
        <v>-5.4590380600294498E-4</v>
      </c>
      <c r="L1104" s="95">
        <f>IFERROR(B1104*'Stock Statistics'!$C$41+C1104*'Stock Statistics'!$C$42+D1104*'Stock Statistics'!$C$43+E1104*'Stock Statistics'!$C$44+F1104*'Stock Statistics'!$C$45+G1104*'Stock Statistics'!$C$46+H1104*'Stock Statistics'!$C$47+I1104*'Stock Statistics'!$C$48+J1104*'Stock Statistics'!$C$49+K1104*'Stock Statistics'!$C$50,"")</f>
        <v>1.3032351491853908E-3</v>
      </c>
      <c r="M1104" s="96">
        <v>254.99789999999999</v>
      </c>
      <c r="N1104" s="97">
        <v>336.62569999999999</v>
      </c>
      <c r="O1104" s="93">
        <f t="shared" si="51"/>
        <v>-1.6919532466210696E-2</v>
      </c>
      <c r="P1104" s="93">
        <f t="shared" si="52"/>
        <v>-1.6779782408513633E-3</v>
      </c>
      <c r="Q1104" s="93">
        <f>B1104*'Portfolio 2 &amp; 3'!$F$7+C1104*'Portfolio 2 &amp; 3'!$F$8+D1104*'Portfolio 2 &amp; 3'!$F$9+E1104*'Portfolio 2 &amp; 3'!$F$10+F1104*'Portfolio 2 &amp; 3'!$F$11+G1104*'Portfolio 2 &amp; 3'!$F$12+H1104*'Portfolio 2 &amp; 3'!$F$13+I1104*'Portfolio 2 &amp; 3'!$F$14+J1104*'Portfolio 2 &amp; 3'!$F$15+K1104*'Portfolio 2 &amp; 3'!$F$16</f>
        <v>-7.6543472233251417E-4</v>
      </c>
      <c r="R1104" s="93">
        <f>B1104*'Portfolio 2 &amp; 3'!$B$23+C1104*'Portfolio 2 &amp; 3'!$B$24+D1104*'Portfolio 2 &amp; 3'!$B$25+E1104*'Portfolio 2 &amp; 3'!$B$26+F1104*'Portfolio 2 &amp; 3'!$B$27+G1104*'Portfolio 2 &amp; 3'!$B$28+H1104*'Portfolio 2 &amp; 3'!$B$29+I1104*'Portfolio 2 &amp; 3'!$B$30+J1104*'Portfolio 2 &amp; 3'!$B$31+K1104*'Portfolio 2 &amp; 3'!$B$32</f>
        <v>4.8465571825668284E-3</v>
      </c>
      <c r="S1104" s="93">
        <f t="shared" si="53"/>
        <v>-9.2987553535310297E-3</v>
      </c>
    </row>
    <row r="1105" spans="1:19" ht="12.75" customHeight="1">
      <c r="A1105" s="82">
        <v>44460</v>
      </c>
      <c r="B1105" s="53">
        <v>1.0999999999999999E-2</v>
      </c>
      <c r="C1105" s="53">
        <v>-7.7439984012384099E-4</v>
      </c>
      <c r="D1105" s="53">
        <v>2.0702634880803001E-2</v>
      </c>
      <c r="E1105" s="53">
        <v>2.1559999999999999E-2</v>
      </c>
      <c r="F1105" s="53">
        <v>8.79120879120876E-3</v>
      </c>
      <c r="G1105" s="53">
        <v>-1.60427807486629E-3</v>
      </c>
      <c r="H1105" s="87">
        <v>1.53973815231423E-2</v>
      </c>
      <c r="I1105" s="53">
        <v>2.82912815388459E-2</v>
      </c>
      <c r="J1105" s="53">
        <v>-2.9101602109105701E-2</v>
      </c>
      <c r="K1105" s="53">
        <v>8.0375804482337498E-2</v>
      </c>
      <c r="L1105" s="95">
        <f>IFERROR(B1105*'Stock Statistics'!$C$41+C1105*'Stock Statistics'!$C$42+D1105*'Stock Statistics'!$C$43+E1105*'Stock Statistics'!$C$44+F1105*'Stock Statistics'!$C$45+G1105*'Stock Statistics'!$C$46+H1105*'Stock Statistics'!$C$47+I1105*'Stock Statistics'!$C$48+J1105*'Stock Statistics'!$C$49+K1105*'Stock Statistics'!$C$50,"")</f>
        <v>1.5463803119224163E-2</v>
      </c>
      <c r="M1105" s="97">
        <v>259.38659999999999</v>
      </c>
      <c r="N1105" s="96">
        <v>337.19150000000002</v>
      </c>
      <c r="O1105" s="93">
        <f t="shared" si="51"/>
        <v>-1.3625149066660236E-2</v>
      </c>
      <c r="P1105" s="93">
        <f t="shared" si="52"/>
        <v>-8.0820406255358579E-3</v>
      </c>
      <c r="Q1105" s="93">
        <f>B1105*'Portfolio 2 &amp; 3'!$F$7+C1105*'Portfolio 2 &amp; 3'!$F$8+D1105*'Portfolio 2 &amp; 3'!$F$9+E1105*'Portfolio 2 &amp; 3'!$F$10+F1105*'Portfolio 2 &amp; 3'!$F$11+G1105*'Portfolio 2 &amp; 3'!$F$12+H1105*'Portfolio 2 &amp; 3'!$F$13+I1105*'Portfolio 2 &amp; 3'!$F$14+J1105*'Portfolio 2 &amp; 3'!$F$15+K1105*'Portfolio 2 &amp; 3'!$F$16</f>
        <v>1.2824568891108924E-2</v>
      </c>
      <c r="R1105" s="93">
        <f>B1105*'Portfolio 2 &amp; 3'!$B$23+C1105*'Portfolio 2 &amp; 3'!$B$24+D1105*'Portfolio 2 &amp; 3'!$B$25+E1105*'Portfolio 2 &amp; 3'!$B$26+F1105*'Portfolio 2 &amp; 3'!$B$27+G1105*'Portfolio 2 &amp; 3'!$B$28+H1105*'Portfolio 2 &amp; 3'!$B$29+I1105*'Portfolio 2 &amp; 3'!$B$30+J1105*'Portfolio 2 &amp; 3'!$B$31+K1105*'Portfolio 2 &amp; 3'!$B$32</f>
        <v>1.6278027443962059E-2</v>
      </c>
      <c r="S1105" s="93">
        <f t="shared" si="53"/>
        <v>-1.0853594846098047E-2</v>
      </c>
    </row>
    <row r="1106" spans="1:19" ht="12.75" customHeight="1">
      <c r="A1106" s="81">
        <v>44459</v>
      </c>
      <c r="B1106" s="53">
        <v>3.8E-3</v>
      </c>
      <c r="C1106" s="53">
        <v>1.0067622123536501E-2</v>
      </c>
      <c r="D1106" s="53">
        <v>-1.0347682119205301E-2</v>
      </c>
      <c r="E1106" s="53">
        <v>7.3999999999999999E-4</v>
      </c>
      <c r="F1106" s="53">
        <v>-2.0100502512562901E-2</v>
      </c>
      <c r="G1106" s="53">
        <v>-1.5742380018182602E-2</v>
      </c>
      <c r="H1106" s="87">
        <v>-6.14628149969709E-5</v>
      </c>
      <c r="I1106" s="53">
        <v>-2.4253503960999401E-2</v>
      </c>
      <c r="J1106" s="53">
        <v>0</v>
      </c>
      <c r="K1106" s="53">
        <v>7.0018963469273797E-3</v>
      </c>
      <c r="L1106" s="95">
        <f>IFERROR(B1106*'Stock Statistics'!$C$41+C1106*'Stock Statistics'!$C$42+D1106*'Stock Statistics'!$C$43+E1106*'Stock Statistics'!$C$44+F1106*'Stock Statistics'!$C$45+G1106*'Stock Statistics'!$C$46+H1106*'Stock Statistics'!$C$47+I1106*'Stock Statistics'!$C$48+J1106*'Stock Statistics'!$C$49+K1106*'Stock Statistics'!$C$50,"")</f>
        <v>-4.8896012955483301E-3</v>
      </c>
      <c r="M1106" s="96">
        <v>262.96960000000001</v>
      </c>
      <c r="N1106" s="97">
        <v>339.93889999999999</v>
      </c>
      <c r="O1106" s="93">
        <f t="shared" si="51"/>
        <v>1.0572681863441069E-4</v>
      </c>
      <c r="P1106" s="93">
        <f t="shared" si="52"/>
        <v>-6.7730979838576122E-4</v>
      </c>
      <c r="Q1106" s="93">
        <f>B1106*'Portfolio 2 &amp; 3'!$F$7+C1106*'Portfolio 2 &amp; 3'!$F$8+D1106*'Portfolio 2 &amp; 3'!$F$9+E1106*'Portfolio 2 &amp; 3'!$F$10+F1106*'Portfolio 2 &amp; 3'!$F$11+G1106*'Portfolio 2 &amp; 3'!$F$12+H1106*'Portfolio 2 &amp; 3'!$F$13+I1106*'Portfolio 2 &amp; 3'!$F$14+J1106*'Portfolio 2 &amp; 3'!$F$15+K1106*'Portfolio 2 &amp; 3'!$F$16</f>
        <v>-4.5421873604363592E-3</v>
      </c>
      <c r="R1106" s="93">
        <f>B1106*'Portfolio 2 &amp; 3'!$B$23+C1106*'Portfolio 2 &amp; 3'!$B$24+D1106*'Portfolio 2 &amp; 3'!$B$25+E1106*'Portfolio 2 &amp; 3'!$B$26+F1106*'Portfolio 2 &amp; 3'!$B$27+G1106*'Portfolio 2 &amp; 3'!$B$28+H1106*'Portfolio 2 &amp; 3'!$B$29+I1106*'Portfolio 2 &amp; 3'!$B$30+J1106*'Portfolio 2 &amp; 3'!$B$31+K1106*'Portfolio 2 &amp; 3'!$B$32</f>
        <v>-8.0003888909188255E-3</v>
      </c>
      <c r="S1106" s="93">
        <f t="shared" si="53"/>
        <v>-2.8579148987567526E-4</v>
      </c>
    </row>
    <row r="1107" spans="1:19" ht="12.75" customHeight="1">
      <c r="A1107" s="82">
        <v>44456</v>
      </c>
      <c r="B1107" s="53">
        <v>-2.4899999999999999E-2</v>
      </c>
      <c r="C1107" s="53">
        <v>1.7614132388435299E-2</v>
      </c>
      <c r="D1107" s="53">
        <v>-4.3272202761179797E-3</v>
      </c>
      <c r="E1107" s="53">
        <v>-7.7999999999999996E-3</v>
      </c>
      <c r="F1107" s="53">
        <v>-1.29317980513728E-2</v>
      </c>
      <c r="G1107" s="53">
        <v>8.6876779767364205E-3</v>
      </c>
      <c r="H1107" s="87">
        <v>9.9003755314857108E-3</v>
      </c>
      <c r="I1107" s="53">
        <v>-7.3796273893056404E-3</v>
      </c>
      <c r="J1107" s="53">
        <v>2.6943215901582599E-3</v>
      </c>
      <c r="K1107" s="53">
        <v>-1.61241664846201E-3</v>
      </c>
      <c r="L1107" s="95">
        <f>IFERROR(B1107*'Stock Statistics'!$C$41+C1107*'Stock Statistics'!$C$42+D1107*'Stock Statistics'!$C$43+E1107*'Stock Statistics'!$C$44+F1107*'Stock Statistics'!$C$45+G1107*'Stock Statistics'!$C$46+H1107*'Stock Statistics'!$C$47+I1107*'Stock Statistics'!$C$48+J1107*'Stock Statistics'!$C$49+K1107*'Stock Statistics'!$C$50,"")</f>
        <v>-2.0054554878442738E-3</v>
      </c>
      <c r="M1107" s="97">
        <v>262.9418</v>
      </c>
      <c r="N1107" s="96">
        <v>340.16930000000002</v>
      </c>
      <c r="O1107" s="93">
        <f t="shared" si="51"/>
        <v>9.2952485066417623E-3</v>
      </c>
      <c r="P1107" s="93">
        <f t="shared" si="52"/>
        <v>1.4410630246486367E-3</v>
      </c>
      <c r="Q1107" s="93">
        <f>B1107*'Portfolio 2 &amp; 3'!$F$7+C1107*'Portfolio 2 &amp; 3'!$F$8+D1107*'Portfolio 2 &amp; 3'!$F$9+E1107*'Portfolio 2 &amp; 3'!$F$10+F1107*'Portfolio 2 &amp; 3'!$F$11+G1107*'Portfolio 2 &amp; 3'!$F$12+H1107*'Portfolio 2 &amp; 3'!$F$13+I1107*'Portfolio 2 &amp; 3'!$F$14+J1107*'Portfolio 2 &amp; 3'!$F$15+K1107*'Portfolio 2 &amp; 3'!$F$16</f>
        <v>-6.9591839581038275E-4</v>
      </c>
      <c r="R1107" s="93">
        <f>B1107*'Portfolio 2 &amp; 3'!$B$23+C1107*'Portfolio 2 &amp; 3'!$B$24+D1107*'Portfolio 2 &amp; 3'!$B$25+E1107*'Portfolio 2 &amp; 3'!$B$26+F1107*'Portfolio 2 &amp; 3'!$B$27+G1107*'Portfolio 2 &amp; 3'!$B$28+H1107*'Portfolio 2 &amp; 3'!$B$29+I1107*'Portfolio 2 &amp; 3'!$B$30+J1107*'Portfolio 2 &amp; 3'!$B$31+K1107*'Portfolio 2 &amp; 3'!$B$32</f>
        <v>-2.731927561495635E-3</v>
      </c>
      <c r="S1107" s="93">
        <f t="shared" si="53"/>
        <v>5.3681557656451995E-3</v>
      </c>
    </row>
    <row r="1108" spans="1:19" ht="12.75" customHeight="1">
      <c r="A1108" s="81">
        <v>44455</v>
      </c>
      <c r="B1108" s="53">
        <v>-5.7000000000000002E-3</v>
      </c>
      <c r="C1108" s="53">
        <v>9.2774955944852095E-3</v>
      </c>
      <c r="D1108" s="53">
        <v>3.9997241569547102E-3</v>
      </c>
      <c r="E1108" s="53">
        <v>9.4699999999999993E-3</v>
      </c>
      <c r="F1108" s="53">
        <v>-2.9144219729753101E-3</v>
      </c>
      <c r="G1108" s="53">
        <v>6.2488870181800502E-3</v>
      </c>
      <c r="H1108" s="87">
        <v>8.6608996900858805E-3</v>
      </c>
      <c r="I1108" s="53">
        <v>-6.4903846153845403E-3</v>
      </c>
      <c r="J1108" s="53">
        <v>-4.1008505467801104E-3</v>
      </c>
      <c r="K1108" s="53">
        <v>4.6822253111902298E-3</v>
      </c>
      <c r="L1108" s="95">
        <f>IFERROR(B1108*'Stock Statistics'!$C$41+C1108*'Stock Statistics'!$C$42+D1108*'Stock Statistics'!$C$43+E1108*'Stock Statistics'!$C$44+F1108*'Stock Statistics'!$C$45+G1108*'Stock Statistics'!$C$46+H1108*'Stock Statistics'!$C$47+I1108*'Stock Statistics'!$C$48+J1108*'Stock Statistics'!$C$49+K1108*'Stock Statistics'!$C$50,"")</f>
        <v>2.3133574635756122E-3</v>
      </c>
      <c r="M1108" s="96">
        <v>260.52019999999999</v>
      </c>
      <c r="N1108" s="97">
        <v>339.6798</v>
      </c>
      <c r="O1108" s="93">
        <f t="shared" si="51"/>
        <v>1.1847996094297653E-2</v>
      </c>
      <c r="P1108" s="93">
        <f t="shared" si="52"/>
        <v>3.2779041261776776E-3</v>
      </c>
      <c r="Q1108" s="93">
        <f>B1108*'Portfolio 2 &amp; 3'!$F$7+C1108*'Portfolio 2 &amp; 3'!$F$8+D1108*'Portfolio 2 &amp; 3'!$F$9+E1108*'Portfolio 2 &amp; 3'!$F$10+F1108*'Portfolio 2 &amp; 3'!$F$11+G1108*'Portfolio 2 &amp; 3'!$F$12+H1108*'Portfolio 2 &amp; 3'!$F$13+I1108*'Portfolio 2 &amp; 3'!$F$14+J1108*'Portfolio 2 &amp; 3'!$F$15+K1108*'Portfolio 2 &amp; 3'!$F$16</f>
        <v>2.4211884456211679E-3</v>
      </c>
      <c r="R1108" s="93">
        <f>B1108*'Portfolio 2 &amp; 3'!$B$23+C1108*'Portfolio 2 &amp; 3'!$B$24+D1108*'Portfolio 2 &amp; 3'!$B$25+E1108*'Portfolio 2 &amp; 3'!$B$26+F1108*'Portfolio 2 &amp; 3'!$B$27+G1108*'Portfolio 2 &amp; 3'!$B$28+H1108*'Portfolio 2 &amp; 3'!$B$29+I1108*'Portfolio 2 &amp; 3'!$B$30+J1108*'Portfolio 2 &amp; 3'!$B$31+K1108*'Portfolio 2 &amp; 3'!$B$32</f>
        <v>1.6933720150294162E-4</v>
      </c>
      <c r="S1108" s="93">
        <f t="shared" si="53"/>
        <v>7.5629501102376651E-3</v>
      </c>
    </row>
    <row r="1109" spans="1:19" ht="12.75" customHeight="1">
      <c r="A1109" s="82">
        <v>44454</v>
      </c>
      <c r="B1109" s="53">
        <v>-1.54E-2</v>
      </c>
      <c r="C1109" s="53">
        <v>1.87712860046996E-2</v>
      </c>
      <c r="D1109" s="53">
        <v>4.2243767313019402E-3</v>
      </c>
      <c r="E1109" s="53">
        <v>9.1599999999999997E-3</v>
      </c>
      <c r="F1109" s="53">
        <v>9.4499420522420295E-3</v>
      </c>
      <c r="G1109" s="53">
        <v>-3.7256862681848101E-3</v>
      </c>
      <c r="H1109" s="87">
        <v>2.71378918033083E-4</v>
      </c>
      <c r="I1109" s="53">
        <v>6.5327849020082604E-3</v>
      </c>
      <c r="J1109" s="53">
        <v>1.7095777548918702E-2</v>
      </c>
      <c r="K1109" s="53">
        <v>-3.0106131716860499E-2</v>
      </c>
      <c r="L1109" s="95">
        <f>IFERROR(B1109*'Stock Statistics'!$C$41+C1109*'Stock Statistics'!$C$42+D1109*'Stock Statistics'!$C$43+E1109*'Stock Statistics'!$C$44+F1109*'Stock Statistics'!$C$45+G1109*'Stock Statistics'!$C$46+H1109*'Stock Statistics'!$C$47+I1109*'Stock Statistics'!$C$48+J1109*'Stock Statistics'!$C$49+K1109*'Stock Statistics'!$C$50,"")</f>
        <v>1.6273728172158312E-3</v>
      </c>
      <c r="M1109" s="97">
        <v>257.46969999999999</v>
      </c>
      <c r="N1109" s="96">
        <v>338.57</v>
      </c>
      <c r="O1109" s="93">
        <f t="shared" si="51"/>
        <v>3.3957269011897218E-4</v>
      </c>
      <c r="P1109" s="93">
        <f t="shared" si="52"/>
        <v>-7.7029551605378721E-4</v>
      </c>
      <c r="Q1109" s="93">
        <f>B1109*'Portfolio 2 &amp; 3'!$F$7+C1109*'Portfolio 2 &amp; 3'!$F$8+D1109*'Portfolio 2 &amp; 3'!$F$9+E1109*'Portfolio 2 &amp; 3'!$F$10+F1109*'Portfolio 2 &amp; 3'!$F$11+G1109*'Portfolio 2 &amp; 3'!$F$12+H1109*'Portfolio 2 &amp; 3'!$F$13+I1109*'Portfolio 2 &amp; 3'!$F$14+J1109*'Portfolio 2 &amp; 3'!$F$15+K1109*'Portfolio 2 &amp; 3'!$F$16</f>
        <v>3.5067870964130827E-3</v>
      </c>
      <c r="R1109" s="93">
        <f>B1109*'Portfolio 2 &amp; 3'!$B$23+C1109*'Portfolio 2 &amp; 3'!$B$24+D1109*'Portfolio 2 &amp; 3'!$B$25+E1109*'Portfolio 2 &amp; 3'!$B$26+F1109*'Portfolio 2 &amp; 3'!$B$27+G1109*'Portfolio 2 &amp; 3'!$B$28+H1109*'Portfolio 2 &amp; 3'!$B$29+I1109*'Portfolio 2 &amp; 3'!$B$30+J1109*'Portfolio 2 &amp; 3'!$B$31+K1109*'Portfolio 2 &amp; 3'!$B$32</f>
        <v>2.2931920954482148E-3</v>
      </c>
      <c r="S1109" s="93">
        <f t="shared" si="53"/>
        <v>-2.1536141296740752E-4</v>
      </c>
    </row>
    <row r="1110" spans="1:19" ht="12.75" customHeight="1">
      <c r="A1110" s="81">
        <v>44453</v>
      </c>
      <c r="B1110" s="53">
        <v>3.5000000000000001E-3</v>
      </c>
      <c r="C1110" s="53">
        <v>-9.7386893946326304E-3</v>
      </c>
      <c r="D1110" s="53">
        <v>6.2365740419934002E-4</v>
      </c>
      <c r="E1110" s="53">
        <v>-1.7819999999999999E-2</v>
      </c>
      <c r="F1110" s="53">
        <v>9.5400954009541294E-3</v>
      </c>
      <c r="G1110" s="53">
        <v>-3.0634784992189502E-4</v>
      </c>
      <c r="H1110" s="87">
        <v>-1.44873157817937E-3</v>
      </c>
      <c r="I1110" s="53">
        <v>1.0204705163458601E-2</v>
      </c>
      <c r="J1110" s="53">
        <v>8.6215851251687497E-3</v>
      </c>
      <c r="K1110" s="53">
        <v>-3.4452046079611602E-2</v>
      </c>
      <c r="L1110" s="95">
        <f>IFERROR(B1110*'Stock Statistics'!$C$41+C1110*'Stock Statistics'!$C$42+D1110*'Stock Statistics'!$C$43+E1110*'Stock Statistics'!$C$44+F1110*'Stock Statistics'!$C$45+G1110*'Stock Statistics'!$C$46+H1110*'Stock Statistics'!$C$47+I1110*'Stock Statistics'!$C$48+J1110*'Stock Statistics'!$C$49+K1110*'Stock Statistics'!$C$50,"")</f>
        <v>-3.1275771808564681E-3</v>
      </c>
      <c r="M1110" s="96">
        <v>257.38229999999999</v>
      </c>
      <c r="N1110" s="97">
        <v>338.83100000000002</v>
      </c>
      <c r="O1110" s="93">
        <f t="shared" si="51"/>
        <v>-1.4432348946264995E-3</v>
      </c>
      <c r="P1110" s="93">
        <f t="shared" si="52"/>
        <v>1.4293706955208929E-2</v>
      </c>
      <c r="Q1110" s="93">
        <f>B1110*'Portfolio 2 &amp; 3'!$F$7+C1110*'Portfolio 2 &amp; 3'!$F$8+D1110*'Portfolio 2 &amp; 3'!$F$9+E1110*'Portfolio 2 &amp; 3'!$F$10+F1110*'Portfolio 2 &amp; 3'!$F$11+G1110*'Portfolio 2 &amp; 3'!$F$12+H1110*'Portfolio 2 &amp; 3'!$F$13+I1110*'Portfolio 2 &amp; 3'!$F$14+J1110*'Portfolio 2 &amp; 3'!$F$15+K1110*'Portfolio 2 &amp; 3'!$F$16</f>
        <v>-1.7892273491402232E-3</v>
      </c>
      <c r="R1110" s="93">
        <f>B1110*'Portfolio 2 &amp; 3'!$B$23+C1110*'Portfolio 2 &amp; 3'!$B$24+D1110*'Portfolio 2 &amp; 3'!$B$25+E1110*'Portfolio 2 &amp; 3'!$B$26+F1110*'Portfolio 2 &amp; 3'!$B$27+G1110*'Portfolio 2 &amp; 3'!$B$28+H1110*'Portfolio 2 &amp; 3'!$B$29+I1110*'Portfolio 2 &amp; 3'!$B$30+J1110*'Portfolio 2 &amp; 3'!$B$31+K1110*'Portfolio 2 &amp; 3'!$B$32</f>
        <v>-8.213142147424227E-5</v>
      </c>
      <c r="S1110" s="93">
        <f t="shared" si="53"/>
        <v>6.4252360302912148E-3</v>
      </c>
    </row>
    <row r="1111" spans="1:19" ht="12.75" customHeight="1">
      <c r="A1111" s="82">
        <v>44452</v>
      </c>
      <c r="B1111" s="53">
        <v>3.2399999999999998E-2</v>
      </c>
      <c r="C1111" s="53">
        <v>-1.2648588649827699E-2</v>
      </c>
      <c r="D1111" s="53">
        <v>-1.6224691526348201E-2</v>
      </c>
      <c r="E1111" s="53">
        <v>-8.0700000000000008E-3</v>
      </c>
      <c r="F1111" s="53">
        <v>-4.5690736427165301E-3</v>
      </c>
      <c r="G1111" s="53">
        <v>5.0397018311456598E-3</v>
      </c>
      <c r="H1111" s="87">
        <v>-1.0121018911139401E-2</v>
      </c>
      <c r="I1111" s="53">
        <v>8.5664982127451293E-3</v>
      </c>
      <c r="J1111" s="53">
        <v>-5.11548597116718E-3</v>
      </c>
      <c r="K1111" s="53">
        <v>-1.9867232017804701E-2</v>
      </c>
      <c r="L1111" s="95">
        <f>IFERROR(B1111*'Stock Statistics'!$C$41+C1111*'Stock Statistics'!$C$42+D1111*'Stock Statistics'!$C$43+E1111*'Stock Statistics'!$C$44+F1111*'Stock Statistics'!$C$45+G1111*'Stock Statistics'!$C$46+H1111*'Stock Statistics'!$C$47+I1111*'Stock Statistics'!$C$48+J1111*'Stock Statistics'!$C$49+K1111*'Stock Statistics'!$C$50,"")</f>
        <v>-3.0609890675112931E-3</v>
      </c>
      <c r="M1111" s="97">
        <v>257.7543</v>
      </c>
      <c r="N1111" s="96">
        <v>334.05610000000001</v>
      </c>
      <c r="O1111" s="93">
        <f t="shared" si="51"/>
        <v>2.1847278597442177E-4</v>
      </c>
      <c r="P1111" s="93">
        <f t="shared" si="52"/>
        <v>9.9319498782994842E-3</v>
      </c>
      <c r="Q1111" s="93">
        <f>B1111*'Portfolio 2 &amp; 3'!$F$7+C1111*'Portfolio 2 &amp; 3'!$F$8+D1111*'Portfolio 2 &amp; 3'!$F$9+E1111*'Portfolio 2 &amp; 3'!$F$10+F1111*'Portfolio 2 &amp; 3'!$F$11+G1111*'Portfolio 2 &amp; 3'!$F$12+H1111*'Portfolio 2 &amp; 3'!$F$13+I1111*'Portfolio 2 &amp; 3'!$F$14+J1111*'Portfolio 2 &amp; 3'!$F$15+K1111*'Portfolio 2 &amp; 3'!$F$16</f>
        <v>-5.2512714096035092E-3</v>
      </c>
      <c r="R1111" s="93">
        <f>B1111*'Portfolio 2 &amp; 3'!$B$23+C1111*'Portfolio 2 &amp; 3'!$B$24+D1111*'Portfolio 2 &amp; 3'!$B$25+E1111*'Portfolio 2 &amp; 3'!$B$26+F1111*'Portfolio 2 &amp; 3'!$B$27+G1111*'Portfolio 2 &amp; 3'!$B$28+H1111*'Portfolio 2 &amp; 3'!$B$29+I1111*'Portfolio 2 &amp; 3'!$B$30+J1111*'Portfolio 2 &amp; 3'!$B$31+K1111*'Portfolio 2 &amp; 3'!$B$32</f>
        <v>1.4932963633087735E-3</v>
      </c>
      <c r="S1111" s="93">
        <f t="shared" si="53"/>
        <v>5.075211332136953E-3</v>
      </c>
    </row>
    <row r="1112" spans="1:19" ht="12.75" customHeight="1">
      <c r="A1112" s="81">
        <v>44448</v>
      </c>
      <c r="B1112" s="53">
        <v>3.56E-2</v>
      </c>
      <c r="C1112" s="53">
        <v>5.6591773425229697E-3</v>
      </c>
      <c r="D1112" s="53">
        <v>3.2143345643551599E-3</v>
      </c>
      <c r="E1112" s="53">
        <v>1.064E-2</v>
      </c>
      <c r="F1112" s="53">
        <v>4.9518321779058504E-3</v>
      </c>
      <c r="G1112" s="53">
        <v>1.37665921934551E-2</v>
      </c>
      <c r="H1112" s="87">
        <v>-1.50402274576855E-3</v>
      </c>
      <c r="I1112" s="53">
        <v>4.6703651141787997E-2</v>
      </c>
      <c r="J1112" s="53">
        <v>-4.6482801363500998E-4</v>
      </c>
      <c r="K1112" s="53">
        <v>1.4046965894278301E-2</v>
      </c>
      <c r="L1112" s="95">
        <f>IFERROR(B1112*'Stock Statistics'!$C$41+C1112*'Stock Statistics'!$C$42+D1112*'Stock Statistics'!$C$43+E1112*'Stock Statistics'!$C$44+F1112*'Stock Statistics'!$C$45+G1112*'Stock Statistics'!$C$46+H1112*'Stock Statistics'!$C$47+I1112*'Stock Statistics'!$C$48+J1112*'Stock Statistics'!$C$49+K1112*'Stock Statistics'!$C$50,"")</f>
        <v>1.3261370255490183E-2</v>
      </c>
      <c r="M1112" s="96">
        <v>257.69799999999998</v>
      </c>
      <c r="N1112" s="97">
        <v>330.77089999999998</v>
      </c>
      <c r="O1112" s="93">
        <f t="shared" si="51"/>
        <v>-6.856481747329668E-3</v>
      </c>
      <c r="P1112" s="93">
        <f t="shared" si="52"/>
        <v>1.4501781515120493E-2</v>
      </c>
      <c r="Q1112" s="93">
        <f>B1112*'Portfolio 2 &amp; 3'!$F$7+C1112*'Portfolio 2 &amp; 3'!$F$8+D1112*'Portfolio 2 &amp; 3'!$F$9+E1112*'Portfolio 2 &amp; 3'!$F$10+F1112*'Portfolio 2 &amp; 3'!$F$11+G1112*'Portfolio 2 &amp; 3'!$F$12+H1112*'Portfolio 2 &amp; 3'!$F$13+I1112*'Portfolio 2 &amp; 3'!$F$14+J1112*'Portfolio 2 &amp; 3'!$F$15+K1112*'Portfolio 2 &amp; 3'!$F$16</f>
        <v>1.0141332489753546E-2</v>
      </c>
      <c r="R1112" s="93">
        <f>B1112*'Portfolio 2 &amp; 3'!$B$23+C1112*'Portfolio 2 &amp; 3'!$B$24+D1112*'Portfolio 2 &amp; 3'!$B$25+E1112*'Portfolio 2 &amp; 3'!$B$26+F1112*'Portfolio 2 &amp; 3'!$B$27+G1112*'Portfolio 2 &amp; 3'!$B$28+H1112*'Portfolio 2 &amp; 3'!$B$29+I1112*'Portfolio 2 &amp; 3'!$B$30+J1112*'Portfolio 2 &amp; 3'!$B$31+K1112*'Portfolio 2 &amp; 3'!$B$32</f>
        <v>2.0950222113632937E-2</v>
      </c>
      <c r="S1112" s="93">
        <f t="shared" si="53"/>
        <v>3.8226498838954126E-3</v>
      </c>
    </row>
    <row r="1113" spans="1:19" ht="12.75" customHeight="1">
      <c r="A1113" s="82">
        <v>44447</v>
      </c>
      <c r="B1113" s="53">
        <v>1.44E-2</v>
      </c>
      <c r="C1113" s="53">
        <v>1.20458187741377E-2</v>
      </c>
      <c r="D1113" s="53">
        <v>6.4702643171807902E-3</v>
      </c>
      <c r="E1113" s="53">
        <v>1.1E-4</v>
      </c>
      <c r="F1113" s="53">
        <v>2.7083145255935E-3</v>
      </c>
      <c r="G1113" s="53">
        <v>-4.6601370243798401E-3</v>
      </c>
      <c r="H1113" s="87">
        <v>1.64818479774658E-2</v>
      </c>
      <c r="I1113" s="53">
        <v>1.5791887818622698E-2</v>
      </c>
      <c r="J1113" s="53">
        <v>4.7742605085625599E-3</v>
      </c>
      <c r="K1113" s="53">
        <v>-7.6359459015918896E-3</v>
      </c>
      <c r="L1113" s="95">
        <f>IFERROR(B1113*'Stock Statistics'!$C$41+C1113*'Stock Statistics'!$C$42+D1113*'Stock Statistics'!$C$43+E1113*'Stock Statistics'!$C$44+F1113*'Stock Statistics'!$C$45+G1113*'Stock Statistics'!$C$46+H1113*'Stock Statistics'!$C$47+I1113*'Stock Statistics'!$C$48+J1113*'Stock Statistics'!$C$49+K1113*'Stock Statistics'!$C$50,"")</f>
        <v>6.0486310995591323E-3</v>
      </c>
      <c r="M1113" s="97">
        <v>259.47710000000001</v>
      </c>
      <c r="N1113" s="96">
        <v>326.04270000000002</v>
      </c>
      <c r="O1113" s="93">
        <f t="shared" si="51"/>
        <v>1.2645215462585568E-3</v>
      </c>
      <c r="P1113" s="93">
        <f t="shared" si="52"/>
        <v>-4.6035635410222042E-3</v>
      </c>
      <c r="Q1113" s="93">
        <f>B1113*'Portfolio 2 &amp; 3'!$F$7+C1113*'Portfolio 2 &amp; 3'!$F$8+D1113*'Portfolio 2 &amp; 3'!$F$9+E1113*'Portfolio 2 &amp; 3'!$F$10+F1113*'Portfolio 2 &amp; 3'!$F$11+G1113*'Portfolio 2 &amp; 3'!$F$12+H1113*'Portfolio 2 &amp; 3'!$F$13+I1113*'Portfolio 2 &amp; 3'!$F$14+J1113*'Portfolio 2 &amp; 3'!$F$15+K1113*'Portfolio 2 &amp; 3'!$F$16</f>
        <v>7.1533958146482004E-3</v>
      </c>
      <c r="R1113" s="93">
        <f>B1113*'Portfolio 2 &amp; 3'!$B$23+C1113*'Portfolio 2 &amp; 3'!$B$24+D1113*'Portfolio 2 &amp; 3'!$B$25+E1113*'Portfolio 2 &amp; 3'!$B$26+F1113*'Portfolio 2 &amp; 3'!$B$27+G1113*'Portfolio 2 &amp; 3'!$B$28+H1113*'Portfolio 2 &amp; 3'!$B$29+I1113*'Portfolio 2 &amp; 3'!$B$30+J1113*'Portfolio 2 &amp; 3'!$B$31+K1113*'Portfolio 2 &amp; 3'!$B$32</f>
        <v>8.1858792876097399E-3</v>
      </c>
      <c r="S1113" s="93">
        <f t="shared" si="53"/>
        <v>-1.6695209973818237E-3</v>
      </c>
    </row>
    <row r="1114" spans="1:19" ht="12.75" customHeight="1">
      <c r="A1114" s="81">
        <v>44446</v>
      </c>
      <c r="B1114" s="53">
        <v>4.7999999999999996E-3</v>
      </c>
      <c r="C1114" s="53">
        <v>-4.5896151784196003E-3</v>
      </c>
      <c r="D1114" s="53">
        <v>1.9651880965749598E-2</v>
      </c>
      <c r="E1114" s="53">
        <v>1.384E-2</v>
      </c>
      <c r="F1114" s="53">
        <v>-5.4767462740168398E-3</v>
      </c>
      <c r="G1114" s="53">
        <v>-1.2705023892548101E-2</v>
      </c>
      <c r="H1114" s="87">
        <v>-2.24380956280518E-2</v>
      </c>
      <c r="I1114" s="53">
        <v>-9.6047764293595295E-3</v>
      </c>
      <c r="J1114" s="53">
        <v>7.7397761740403102E-3</v>
      </c>
      <c r="K1114" s="53">
        <v>1.3571162990939399E-2</v>
      </c>
      <c r="L1114" s="95">
        <f>IFERROR(B1114*'Stock Statistics'!$C$41+C1114*'Stock Statistics'!$C$42+D1114*'Stock Statistics'!$C$43+E1114*'Stock Statistics'!$C$44+F1114*'Stock Statistics'!$C$45+G1114*'Stock Statistics'!$C$46+H1114*'Stock Statistics'!$C$47+I1114*'Stock Statistics'!$C$48+J1114*'Stock Statistics'!$C$49+K1114*'Stock Statistics'!$C$50,"")</f>
        <v>4.7885627283334332E-4</v>
      </c>
      <c r="M1114" s="96">
        <v>259.14940000000001</v>
      </c>
      <c r="N1114" s="97">
        <v>327.55059999999997</v>
      </c>
      <c r="O1114" s="93">
        <f t="shared" si="51"/>
        <v>4.0596416294977899E-3</v>
      </c>
      <c r="P1114" s="93">
        <f t="shared" si="52"/>
        <v>9.1902644261843136E-5</v>
      </c>
      <c r="Q1114" s="93">
        <f>B1114*'Portfolio 2 &amp; 3'!$F$7+C1114*'Portfolio 2 &amp; 3'!$F$8+D1114*'Portfolio 2 &amp; 3'!$F$9+E1114*'Portfolio 2 &amp; 3'!$F$10+F1114*'Portfolio 2 &amp; 3'!$F$11+G1114*'Portfolio 2 &amp; 3'!$F$12+H1114*'Portfolio 2 &amp; 3'!$F$13+I1114*'Portfolio 2 &amp; 3'!$F$14+J1114*'Portfolio 2 &amp; 3'!$F$15+K1114*'Portfolio 2 &amp; 3'!$F$16</f>
        <v>-4.7139807325418401E-5</v>
      </c>
      <c r="R1114" s="93">
        <f>B1114*'Portfolio 2 &amp; 3'!$B$23+C1114*'Portfolio 2 &amp; 3'!$B$24+D1114*'Portfolio 2 &amp; 3'!$B$25+E1114*'Portfolio 2 &amp; 3'!$B$26+F1114*'Portfolio 2 &amp; 3'!$B$27+G1114*'Portfolio 2 &amp; 3'!$B$28+H1114*'Portfolio 2 &amp; 3'!$B$29+I1114*'Portfolio 2 &amp; 3'!$B$30+J1114*'Portfolio 2 &amp; 3'!$B$31+K1114*'Portfolio 2 &amp; 3'!$B$32</f>
        <v>-3.858502962073412E-3</v>
      </c>
      <c r="S1114" s="93">
        <f t="shared" si="53"/>
        <v>2.0757721368798165E-3</v>
      </c>
    </row>
    <row r="1115" spans="1:19" ht="12.75" customHeight="1">
      <c r="A1115" s="82">
        <v>44445</v>
      </c>
      <c r="B1115" s="53">
        <v>-1.17E-2</v>
      </c>
      <c r="C1115" s="53">
        <v>7.4560999064694497E-3</v>
      </c>
      <c r="D1115" s="53">
        <v>-4.5296167247386797E-2</v>
      </c>
      <c r="E1115" s="53">
        <v>-1.7610000000000001E-2</v>
      </c>
      <c r="F1115" s="53">
        <v>2.2496175650139599E-3</v>
      </c>
      <c r="G1115" s="53">
        <v>-5.4748334269888498E-3</v>
      </c>
      <c r="H1115" s="87">
        <v>-9.6108030292276804E-3</v>
      </c>
      <c r="I1115" s="53">
        <v>7.7937260505289696E-4</v>
      </c>
      <c r="J1115" s="53">
        <v>1.9187719859289999E-2</v>
      </c>
      <c r="K1115" s="53">
        <v>-2.4791129850863002E-3</v>
      </c>
      <c r="L1115" s="95">
        <f>IFERROR(B1115*'Stock Statistics'!$C$41+C1115*'Stock Statistics'!$C$42+D1115*'Stock Statistics'!$C$43+E1115*'Stock Statistics'!$C$44+F1115*'Stock Statistics'!$C$45+G1115*'Stock Statistics'!$C$46+H1115*'Stock Statistics'!$C$47+I1115*'Stock Statistics'!$C$48+J1115*'Stock Statistics'!$C$49+K1115*'Stock Statistics'!$C$50,"")</f>
        <v>-6.2498106752863327E-3</v>
      </c>
      <c r="M1115" s="97">
        <v>258.10160000000002</v>
      </c>
      <c r="N1115" s="96">
        <v>327.52050000000003</v>
      </c>
      <c r="O1115" s="93">
        <f t="shared" si="51"/>
        <v>5.0759721353079712E-3</v>
      </c>
      <c r="P1115" s="93">
        <f t="shared" si="52"/>
        <v>7.9486006086706418E-3</v>
      </c>
      <c r="Q1115" s="93">
        <f>B1115*'Portfolio 2 &amp; 3'!$F$7+C1115*'Portfolio 2 &amp; 3'!$F$8+D1115*'Portfolio 2 &amp; 3'!$F$9+E1115*'Portfolio 2 &amp; 3'!$F$10+F1115*'Portfolio 2 &amp; 3'!$F$11+G1115*'Portfolio 2 &amp; 3'!$F$12+H1115*'Portfolio 2 &amp; 3'!$F$13+I1115*'Portfolio 2 &amp; 3'!$F$14+J1115*'Portfolio 2 &amp; 3'!$F$15+K1115*'Portfolio 2 &amp; 3'!$F$16</f>
        <v>-6.3549802465347237E-3</v>
      </c>
      <c r="R1115" s="93">
        <f>B1115*'Portfolio 2 &amp; 3'!$B$23+C1115*'Portfolio 2 &amp; 3'!$B$24+D1115*'Portfolio 2 &amp; 3'!$B$25+E1115*'Portfolio 2 &amp; 3'!$B$26+F1115*'Portfolio 2 &amp; 3'!$B$27+G1115*'Portfolio 2 &amp; 3'!$B$28+H1115*'Portfolio 2 &amp; 3'!$B$29+I1115*'Portfolio 2 &amp; 3'!$B$30+J1115*'Portfolio 2 &amp; 3'!$B$31+K1115*'Portfolio 2 &amp; 3'!$B$32</f>
        <v>-6.0334955335603015E-4</v>
      </c>
      <c r="S1115" s="93">
        <f t="shared" si="53"/>
        <v>6.5122863719893065E-3</v>
      </c>
    </row>
    <row r="1116" spans="1:19" ht="12.75" customHeight="1">
      <c r="A1116" s="81">
        <v>44442</v>
      </c>
      <c r="B1116" s="53">
        <v>8.9999999999999998E-4</v>
      </c>
      <c r="C1116" s="53">
        <v>1.17419698787151E-2</v>
      </c>
      <c r="D1116" s="53">
        <v>-1.1328254388870401E-2</v>
      </c>
      <c r="E1116" s="53">
        <v>-1.214E-2</v>
      </c>
      <c r="F1116" s="53">
        <v>-1.5274034141958799E-3</v>
      </c>
      <c r="G1116" s="53">
        <v>-2.6261429326329701E-3</v>
      </c>
      <c r="H1116" s="87">
        <v>-6.1761979607465297E-3</v>
      </c>
      <c r="I1116" s="53">
        <v>-3.2463316452413499E-4</v>
      </c>
      <c r="J1116" s="53">
        <v>-1.6718201352130299E-2</v>
      </c>
      <c r="K1116" s="53">
        <v>-8.5350984149101805E-3</v>
      </c>
      <c r="L1116" s="95">
        <f>IFERROR(B1116*'Stock Statistics'!$C$41+C1116*'Stock Statistics'!$C$42+D1116*'Stock Statistics'!$C$43+E1116*'Stock Statistics'!$C$44+F1116*'Stock Statistics'!$C$45+G1116*'Stock Statistics'!$C$46+H1116*'Stock Statistics'!$C$47+I1116*'Stock Statistics'!$C$48+J1116*'Stock Statistics'!$C$49+K1116*'Stock Statistics'!$C$50,"")</f>
        <v>-4.6733961749295299E-3</v>
      </c>
      <c r="M1116" s="96">
        <v>256.79809999999998</v>
      </c>
      <c r="N1116" s="97">
        <v>324.93770000000001</v>
      </c>
      <c r="O1116" s="93">
        <f t="shared" si="51"/>
        <v>-2.2891572350306477E-3</v>
      </c>
      <c r="P1116" s="93">
        <f t="shared" si="52"/>
        <v>-4.1395893939227824E-3</v>
      </c>
      <c r="Q1116" s="93">
        <f>B1116*'Portfolio 2 &amp; 3'!$F$7+C1116*'Portfolio 2 &amp; 3'!$F$8+D1116*'Portfolio 2 &amp; 3'!$F$9+E1116*'Portfolio 2 &amp; 3'!$F$10+F1116*'Portfolio 2 &amp; 3'!$F$11+G1116*'Portfolio 2 &amp; 3'!$F$12+H1116*'Portfolio 2 &amp; 3'!$F$13+I1116*'Portfolio 2 &amp; 3'!$F$14+J1116*'Portfolio 2 &amp; 3'!$F$15+K1116*'Portfolio 2 &amp; 3'!$F$16</f>
        <v>-5.6377366304193191E-3</v>
      </c>
      <c r="R1116" s="93">
        <f>B1116*'Portfolio 2 &amp; 3'!$B$23+C1116*'Portfolio 2 &amp; 3'!$B$24+D1116*'Portfolio 2 &amp; 3'!$B$25+E1116*'Portfolio 2 &amp; 3'!$B$26+F1116*'Portfolio 2 &amp; 3'!$B$27+G1116*'Portfolio 2 &amp; 3'!$B$28+H1116*'Portfolio 2 &amp; 3'!$B$29+I1116*'Portfolio 2 &amp; 3'!$B$30+J1116*'Portfolio 2 &amp; 3'!$B$31+K1116*'Portfolio 2 &amp; 3'!$B$32</f>
        <v>1.5560838024472135E-4</v>
      </c>
      <c r="S1116" s="93">
        <f t="shared" si="53"/>
        <v>-3.214373314476715E-3</v>
      </c>
    </row>
    <row r="1117" spans="1:19" ht="12.75" customHeight="1">
      <c r="A1117" s="82">
        <v>44441</v>
      </c>
      <c r="B1117" s="53">
        <v>-9.7999999999999997E-3</v>
      </c>
      <c r="C1117" s="53">
        <v>-9.4787981200824493E-3</v>
      </c>
      <c r="D1117" s="53">
        <v>-5.5994729907773398E-3</v>
      </c>
      <c r="E1117" s="53">
        <v>1.82E-3</v>
      </c>
      <c r="F1117" s="53">
        <v>7.51335204127823E-3</v>
      </c>
      <c r="G1117" s="53">
        <v>-3.3991893013309901E-3</v>
      </c>
      <c r="H1117" s="87">
        <v>6.45946357045091E-3</v>
      </c>
      <c r="I1117" s="53">
        <v>7.3250490516678698E-3</v>
      </c>
      <c r="J1117" s="53">
        <v>5.2410901467458997E-5</v>
      </c>
      <c r="K1117" s="53">
        <v>1.55071817635544E-3</v>
      </c>
      <c r="L1117" s="95">
        <f>IFERROR(B1117*'Stock Statistics'!$C$41+C1117*'Stock Statistics'!$C$42+D1117*'Stock Statistics'!$C$43+E1117*'Stock Statistics'!$C$44+F1117*'Stock Statistics'!$C$45+G1117*'Stock Statistics'!$C$46+H1117*'Stock Statistics'!$C$47+I1117*'Stock Statistics'!$C$48+J1117*'Stock Statistics'!$C$49+K1117*'Stock Statistics'!$C$50,"")</f>
        <v>-3.5564666709708682E-4</v>
      </c>
      <c r="M1117" s="97">
        <v>257.38729999999998</v>
      </c>
      <c r="N1117" s="96">
        <v>326.28840000000002</v>
      </c>
      <c r="O1117" s="93">
        <f t="shared" si="51"/>
        <v>1.185867245768768E-2</v>
      </c>
      <c r="P1117" s="93">
        <f t="shared" si="52"/>
        <v>-1.8093541124926227E-2</v>
      </c>
      <c r="Q1117" s="93">
        <f>B1117*'Portfolio 2 &amp; 3'!$F$7+C1117*'Portfolio 2 &amp; 3'!$F$8+D1117*'Portfolio 2 &amp; 3'!$F$9+E1117*'Portfolio 2 &amp; 3'!$F$10+F1117*'Portfolio 2 &amp; 3'!$F$11+G1117*'Portfolio 2 &amp; 3'!$F$12+H1117*'Portfolio 2 &amp; 3'!$F$13+I1117*'Portfolio 2 &amp; 3'!$F$14+J1117*'Portfolio 2 &amp; 3'!$F$15+K1117*'Portfolio 2 &amp; 3'!$F$16</f>
        <v>2.1029397772542285E-4</v>
      </c>
      <c r="R1117" s="93">
        <f>B1117*'Portfolio 2 &amp; 3'!$B$23+C1117*'Portfolio 2 &amp; 3'!$B$24+D1117*'Portfolio 2 &amp; 3'!$B$25+E1117*'Portfolio 2 &amp; 3'!$B$26+F1117*'Portfolio 2 &amp; 3'!$B$27+G1117*'Portfolio 2 &amp; 3'!$B$28+H1117*'Portfolio 2 &amp; 3'!$B$29+I1117*'Portfolio 2 &amp; 3'!$B$30+J1117*'Portfolio 2 &amp; 3'!$B$31+K1117*'Portfolio 2 &amp; 3'!$B$32</f>
        <v>-2.0918077249947126E-4</v>
      </c>
      <c r="S1117" s="93">
        <f t="shared" si="53"/>
        <v>-3.1174343336192734E-3</v>
      </c>
    </row>
    <row r="1118" spans="1:19" ht="12.75" customHeight="1">
      <c r="A1118" s="81">
        <v>44440</v>
      </c>
      <c r="B1118" s="53">
        <v>3.9300000000000002E-2</v>
      </c>
      <c r="C1118" s="53">
        <v>-9.85595147839269E-3</v>
      </c>
      <c r="D1118" s="53">
        <v>1.4638058953278601E-2</v>
      </c>
      <c r="E1118" s="53">
        <v>-1.8799999999999999E-3</v>
      </c>
      <c r="F1118" s="53">
        <v>-3.2482179915184202E-3</v>
      </c>
      <c r="G1118" s="53">
        <v>2.2552422386077401E-3</v>
      </c>
      <c r="H1118" s="87">
        <v>-1.31808411404366E-4</v>
      </c>
      <c r="I1118" s="53">
        <v>1.05750165234633E-2</v>
      </c>
      <c r="J1118" s="53">
        <v>1.1018416496142399E-3</v>
      </c>
      <c r="K1118" s="53">
        <v>1.25715182978889E-2</v>
      </c>
      <c r="L1118" s="95">
        <f>IFERROR(B1118*'Stock Statistics'!$C$41+C1118*'Stock Statistics'!$C$42+D1118*'Stock Statistics'!$C$43+E1118*'Stock Statistics'!$C$44+F1118*'Stock Statistics'!$C$45+G1118*'Stock Statistics'!$C$46+H1118*'Stock Statistics'!$C$47+I1118*'Stock Statistics'!$C$48+J1118*'Stock Statistics'!$C$49+K1118*'Stock Statistics'!$C$50,"")</f>
        <v>6.532569978153731E-3</v>
      </c>
      <c r="M1118" s="96">
        <v>254.3708</v>
      </c>
      <c r="N1118" s="97">
        <v>332.30090000000001</v>
      </c>
      <c r="O1118" s="93">
        <f t="shared" si="51"/>
        <v>1.512769769027944E-2</v>
      </c>
      <c r="P1118" s="93">
        <f t="shared" si="52"/>
        <v>-2.4310236807163488E-3</v>
      </c>
      <c r="Q1118" s="93">
        <f>B1118*'Portfolio 2 &amp; 3'!$F$7+C1118*'Portfolio 2 &amp; 3'!$F$8+D1118*'Portfolio 2 &amp; 3'!$F$9+E1118*'Portfolio 2 &amp; 3'!$F$10+F1118*'Portfolio 2 &amp; 3'!$F$11+G1118*'Portfolio 2 &amp; 3'!$F$12+H1118*'Portfolio 2 &amp; 3'!$F$13+I1118*'Portfolio 2 &amp; 3'!$F$14+J1118*'Portfolio 2 &amp; 3'!$F$15+K1118*'Portfolio 2 &amp; 3'!$F$16</f>
        <v>5.2940902381416266E-3</v>
      </c>
      <c r="R1118" s="93">
        <f>B1118*'Portfolio 2 &amp; 3'!$B$23+C1118*'Portfolio 2 &amp; 3'!$B$24+D1118*'Portfolio 2 &amp; 3'!$B$25+E1118*'Portfolio 2 &amp; 3'!$B$26+F1118*'Portfolio 2 &amp; 3'!$B$27+G1118*'Portfolio 2 &amp; 3'!$B$28+H1118*'Portfolio 2 &amp; 3'!$B$29+I1118*'Portfolio 2 &amp; 3'!$B$30+J1118*'Portfolio 2 &amp; 3'!$B$31+K1118*'Portfolio 2 &amp; 3'!$B$32</f>
        <v>7.0386006474143182E-3</v>
      </c>
      <c r="S1118" s="93">
        <f t="shared" si="53"/>
        <v>6.3483370047815457E-3</v>
      </c>
    </row>
    <row r="1119" spans="1:19" ht="12.75" customHeight="1">
      <c r="A1119" s="82">
        <v>44439</v>
      </c>
      <c r="B1119" s="53">
        <v>7.0000000000000001E-3</v>
      </c>
      <c r="C1119" s="53">
        <v>-2.5554773266578401E-3</v>
      </c>
      <c r="D1119" s="53">
        <v>1.6165183726142701E-2</v>
      </c>
      <c r="E1119" s="53">
        <v>2.65E-3</v>
      </c>
      <c r="F1119" s="53">
        <v>-1.5315315315316299E-3</v>
      </c>
      <c r="G1119" s="53">
        <v>5.69433944053932E-3</v>
      </c>
      <c r="H1119" s="87">
        <v>3.93929214889899E-3</v>
      </c>
      <c r="I1119" s="53">
        <v>-1.74048577737368E-2</v>
      </c>
      <c r="J1119" s="53">
        <v>-2.09830561821223E-4</v>
      </c>
      <c r="K1119" s="53">
        <v>1.89766380869982E-3</v>
      </c>
      <c r="L1119" s="95">
        <f>IFERROR(B1119*'Stock Statistics'!$C$41+C1119*'Stock Statistics'!$C$42+D1119*'Stock Statistics'!$C$43+E1119*'Stock Statistics'!$C$44+F1119*'Stock Statistics'!$C$45+G1119*'Stock Statistics'!$C$46+H1119*'Stock Statistics'!$C$47+I1119*'Stock Statistics'!$C$48+J1119*'Stock Statistics'!$C$49+K1119*'Stock Statistics'!$C$50,"")</f>
        <v>1.564478193053334E-3</v>
      </c>
      <c r="M1119" s="97">
        <v>250.58009999999999</v>
      </c>
      <c r="N1119" s="96">
        <v>333.11070000000001</v>
      </c>
      <c r="O1119" s="93">
        <f t="shared" si="51"/>
        <v>1.2353225405054236E-2</v>
      </c>
      <c r="P1119" s="93">
        <f t="shared" si="52"/>
        <v>1.5720444658430255E-2</v>
      </c>
      <c r="Q1119" s="93">
        <f>B1119*'Portfolio 2 &amp; 3'!$F$7+C1119*'Portfolio 2 &amp; 3'!$F$8+D1119*'Portfolio 2 &amp; 3'!$F$9+E1119*'Portfolio 2 &amp; 3'!$F$10+F1119*'Portfolio 2 &amp; 3'!$F$11+G1119*'Portfolio 2 &amp; 3'!$F$12+H1119*'Portfolio 2 &amp; 3'!$F$13+I1119*'Portfolio 2 &amp; 3'!$F$14+J1119*'Portfolio 2 &amp; 3'!$F$15+K1119*'Portfolio 2 &amp; 3'!$F$16</f>
        <v>2.0065818114834905E-3</v>
      </c>
      <c r="R1119" s="93">
        <f>B1119*'Portfolio 2 &amp; 3'!$B$23+C1119*'Portfolio 2 &amp; 3'!$B$24+D1119*'Portfolio 2 &amp; 3'!$B$25+E1119*'Portfolio 2 &amp; 3'!$B$26+F1119*'Portfolio 2 &amp; 3'!$B$27+G1119*'Portfolio 2 &amp; 3'!$B$28+H1119*'Portfolio 2 &amp; 3'!$B$29+I1119*'Portfolio 2 &amp; 3'!$B$30+J1119*'Portfolio 2 &amp; 3'!$B$31+K1119*'Portfolio 2 &amp; 3'!$B$32</f>
        <v>-3.0652724438739059E-3</v>
      </c>
      <c r="S1119" s="93">
        <f t="shared" si="53"/>
        <v>1.4036835031742245E-2</v>
      </c>
    </row>
    <row r="1120" spans="1:19" ht="12.75" customHeight="1">
      <c r="A1120" s="81">
        <v>44438</v>
      </c>
      <c r="B1120" s="53">
        <v>5.7000000000000002E-3</v>
      </c>
      <c r="C1120" s="53">
        <v>-1.8968803161893501E-2</v>
      </c>
      <c r="D1120" s="53">
        <v>-7.5497135153353998E-3</v>
      </c>
      <c r="E1120" s="53">
        <v>1.8400000000000001E-3</v>
      </c>
      <c r="F1120" s="53">
        <v>8.0828262646446304E-3</v>
      </c>
      <c r="G1120" s="53">
        <v>2.5156827014560798E-3</v>
      </c>
      <c r="H1120" s="87">
        <v>1.5270905870146099E-4</v>
      </c>
      <c r="I1120" s="53">
        <v>-1.4275654567569299E-2</v>
      </c>
      <c r="J1120" s="53">
        <v>2.8407596401702801E-3</v>
      </c>
      <c r="K1120" s="53">
        <v>5.99418386120409E-3</v>
      </c>
      <c r="L1120" s="95">
        <f>IFERROR(B1120*'Stock Statistics'!$C$41+C1120*'Stock Statistics'!$C$42+D1120*'Stock Statistics'!$C$43+E1120*'Stock Statistics'!$C$44+F1120*'Stock Statistics'!$C$45+G1120*'Stock Statistics'!$C$46+H1120*'Stock Statistics'!$C$47+I1120*'Stock Statistics'!$C$48+J1120*'Stock Statistics'!$C$49+K1120*'Stock Statistics'!$C$50,"")</f>
        <v>-1.3668009718621654E-3</v>
      </c>
      <c r="M1120" s="96">
        <v>247.5224</v>
      </c>
      <c r="N1120" s="97">
        <v>327.95510000000002</v>
      </c>
      <c r="O1120" s="93">
        <f t="shared" si="51"/>
        <v>-2.8389325742435023E-3</v>
      </c>
      <c r="P1120" s="93">
        <f t="shared" si="52"/>
        <v>-1.9273352315539727E-3</v>
      </c>
      <c r="Q1120" s="93">
        <f>B1120*'Portfolio 2 &amp; 3'!$F$7+C1120*'Portfolio 2 &amp; 3'!$F$8+D1120*'Portfolio 2 &amp; 3'!$F$9+E1120*'Portfolio 2 &amp; 3'!$F$10+F1120*'Portfolio 2 &amp; 3'!$F$11+G1120*'Portfolio 2 &amp; 3'!$F$12+H1120*'Portfolio 2 &amp; 3'!$F$13+I1120*'Portfolio 2 &amp; 3'!$F$14+J1120*'Portfolio 2 &amp; 3'!$F$15+K1120*'Portfolio 2 &amp; 3'!$F$16</f>
        <v>-1.6630227570721345E-3</v>
      </c>
      <c r="R1120" s="93">
        <f>B1120*'Portfolio 2 &amp; 3'!$B$23+C1120*'Portfolio 2 &amp; 3'!$B$24+D1120*'Portfolio 2 &amp; 3'!$B$25+E1120*'Portfolio 2 &amp; 3'!$B$26+F1120*'Portfolio 2 &amp; 3'!$B$27+G1120*'Portfolio 2 &amp; 3'!$B$28+H1120*'Portfolio 2 &amp; 3'!$B$29+I1120*'Portfolio 2 &amp; 3'!$B$30+J1120*'Portfolio 2 &amp; 3'!$B$31+K1120*'Portfolio 2 &amp; 3'!$B$32</f>
        <v>-4.3719353916073503E-3</v>
      </c>
      <c r="S1120" s="93">
        <f t="shared" si="53"/>
        <v>-2.3831339028987375E-3</v>
      </c>
    </row>
    <row r="1121" spans="1:19" ht="12.75" customHeight="1">
      <c r="A1121" s="82">
        <v>44435</v>
      </c>
      <c r="B1121" s="53">
        <v>6.4999999999999997E-3</v>
      </c>
      <c r="C1121" s="53">
        <v>1.37840711636712E-2</v>
      </c>
      <c r="D1121" s="53">
        <v>-2.0181634712411701E-3</v>
      </c>
      <c r="E1121" s="53">
        <v>-7.9299999999999995E-3</v>
      </c>
      <c r="F1121" s="53">
        <v>1.8405475397706102E-2</v>
      </c>
      <c r="G1121" s="53">
        <v>1.9388925691943299E-3</v>
      </c>
      <c r="H1121" s="87">
        <v>2.8280023277420501E-3</v>
      </c>
      <c r="I1121" s="53">
        <v>5.1239351822207602E-4</v>
      </c>
      <c r="J1121" s="53">
        <v>1.21141894027188E-3</v>
      </c>
      <c r="K1121" s="53">
        <v>-5.9291452394766297E-3</v>
      </c>
      <c r="L1121" s="95">
        <f>IFERROR(B1121*'Stock Statistics'!$C$41+C1121*'Stock Statistics'!$C$42+D1121*'Stock Statistics'!$C$43+E1121*'Stock Statistics'!$C$44+F1121*'Stock Statistics'!$C$45+G1121*'Stock Statistics'!$C$46+H1121*'Stock Statistics'!$C$47+I1121*'Stock Statistics'!$C$48+J1121*'Stock Statistics'!$C$49+K1121*'Stock Statistics'!$C$50,"")</f>
        <v>2.9302945206089838E-3</v>
      </c>
      <c r="M1121" s="97">
        <v>248.22710000000001</v>
      </c>
      <c r="N1121" s="96">
        <v>328.58839999999998</v>
      </c>
      <c r="O1121" s="93">
        <f t="shared" si="51"/>
        <v>2.1753146999676787E-3</v>
      </c>
      <c r="P1121" s="93">
        <f t="shared" si="52"/>
        <v>-1.0212402181224323E-2</v>
      </c>
      <c r="Q1121" s="93">
        <f>B1121*'Portfolio 2 &amp; 3'!$F$7+C1121*'Portfolio 2 &amp; 3'!$F$8+D1121*'Portfolio 2 &amp; 3'!$F$9+E1121*'Portfolio 2 &amp; 3'!$F$10+F1121*'Portfolio 2 &amp; 3'!$F$11+G1121*'Portfolio 2 &amp; 3'!$F$12+H1121*'Portfolio 2 &amp; 3'!$F$13+I1121*'Portfolio 2 &amp; 3'!$F$14+J1121*'Portfolio 2 &amp; 3'!$F$15+K1121*'Portfolio 2 &amp; 3'!$F$16</f>
        <v>3.1415357314706644E-3</v>
      </c>
      <c r="R1121" s="93">
        <f>B1121*'Portfolio 2 &amp; 3'!$B$23+C1121*'Portfolio 2 &amp; 3'!$B$24+D1121*'Portfolio 2 &amp; 3'!$B$25+E1121*'Portfolio 2 &amp; 3'!$B$26+F1121*'Portfolio 2 &amp; 3'!$B$27+G1121*'Portfolio 2 &amp; 3'!$B$28+H1121*'Portfolio 2 &amp; 3'!$B$29+I1121*'Portfolio 2 &amp; 3'!$B$30+J1121*'Portfolio 2 &amp; 3'!$B$31+K1121*'Portfolio 2 &amp; 3'!$B$32</f>
        <v>6.3321235969689164E-3</v>
      </c>
      <c r="S1121" s="93">
        <f t="shared" si="53"/>
        <v>-4.018543740628322E-3</v>
      </c>
    </row>
    <row r="1122" spans="1:19" ht="12.75" customHeight="1">
      <c r="A1122" s="81">
        <v>44434</v>
      </c>
      <c r="B1122" s="53">
        <v>4.0000000000000002E-4</v>
      </c>
      <c r="C1122" s="53">
        <v>-5.8526272366317099E-3</v>
      </c>
      <c r="D1122" s="53">
        <v>-4.0868283532090599E-3</v>
      </c>
      <c r="E1122" s="53">
        <v>3.65E-3</v>
      </c>
      <c r="F1122" s="53">
        <v>-4.4198895027624001E-3</v>
      </c>
      <c r="G1122" s="53">
        <v>-1.14837885321834E-2</v>
      </c>
      <c r="H1122" s="87">
        <v>-3.7632604074492302E-3</v>
      </c>
      <c r="I1122" s="53">
        <v>-9.5981571538261701E-4</v>
      </c>
      <c r="J1122" s="53">
        <v>-2.6266022273586701E-3</v>
      </c>
      <c r="K1122" s="53">
        <v>-2.4001458705207201E-2</v>
      </c>
      <c r="L1122" s="95">
        <f>IFERROR(B1122*'Stock Statistics'!$C$41+C1122*'Stock Statistics'!$C$42+D1122*'Stock Statistics'!$C$43+E1122*'Stock Statistics'!$C$44+F1122*'Stock Statistics'!$C$45+G1122*'Stock Statistics'!$C$46+H1122*'Stock Statistics'!$C$47+I1122*'Stock Statistics'!$C$48+J1122*'Stock Statistics'!$C$49+K1122*'Stock Statistics'!$C$50,"")</f>
        <v>-5.3144270680184295E-3</v>
      </c>
      <c r="M1122" s="96">
        <v>247.6883</v>
      </c>
      <c r="N1122" s="97">
        <v>331.9787</v>
      </c>
      <c r="O1122" s="93">
        <f t="shared" si="51"/>
        <v>7.2704203529476708E-3</v>
      </c>
      <c r="P1122" s="93">
        <f t="shared" si="52"/>
        <v>1.2456053204539241E-3</v>
      </c>
      <c r="Q1122" s="93">
        <f>B1122*'Portfolio 2 &amp; 3'!$F$7+C1122*'Portfolio 2 &amp; 3'!$F$8+D1122*'Portfolio 2 &amp; 3'!$F$9+E1122*'Portfolio 2 &amp; 3'!$F$10+F1122*'Portfolio 2 &amp; 3'!$F$11+G1122*'Portfolio 2 &amp; 3'!$F$12+H1122*'Portfolio 2 &amp; 3'!$F$13+I1122*'Portfolio 2 &amp; 3'!$F$14+J1122*'Portfolio 2 &amp; 3'!$F$15+K1122*'Portfolio 2 &amp; 3'!$F$16</f>
        <v>-4.8724081547521546E-3</v>
      </c>
      <c r="R1122" s="93">
        <f>B1122*'Portfolio 2 &amp; 3'!$B$23+C1122*'Portfolio 2 &amp; 3'!$B$24+D1122*'Portfolio 2 &amp; 3'!$B$25+E1122*'Portfolio 2 &amp; 3'!$B$26+F1122*'Portfolio 2 &amp; 3'!$B$27+G1122*'Portfolio 2 &amp; 3'!$B$28+H1122*'Portfolio 2 &amp; 3'!$B$29+I1122*'Portfolio 2 &amp; 3'!$B$30+J1122*'Portfolio 2 &amp; 3'!$B$31+K1122*'Portfolio 2 &amp; 3'!$B$32</f>
        <v>-5.5337661730538133E-3</v>
      </c>
      <c r="S1122" s="93">
        <f t="shared" si="53"/>
        <v>4.2580128367007974E-3</v>
      </c>
    </row>
    <row r="1123" spans="1:19" ht="12.75" customHeight="1">
      <c r="A1123" s="82">
        <v>44433</v>
      </c>
      <c r="B1123" s="53">
        <v>-1.4E-3</v>
      </c>
      <c r="C1123" s="53">
        <v>-5.9459736531858303E-3</v>
      </c>
      <c r="D1123" s="53">
        <v>-1.1195760185491999E-2</v>
      </c>
      <c r="E1123" s="53">
        <v>7.1300000000000001E-3</v>
      </c>
      <c r="F1123" s="53">
        <v>-1.0748770267808299E-2</v>
      </c>
      <c r="G1123" s="53">
        <v>-1.85443543962504E-2</v>
      </c>
      <c r="H1123" s="87">
        <v>3.5520715313714902E-3</v>
      </c>
      <c r="I1123" s="53">
        <v>1.40971421248248E-3</v>
      </c>
      <c r="J1123" s="53">
        <v>1.36770120988938E-3</v>
      </c>
      <c r="K1123" s="53">
        <v>9.6059633820666502E-4</v>
      </c>
      <c r="L1123" s="95">
        <f>IFERROR(B1123*'Stock Statistics'!$C$41+C1123*'Stock Statistics'!$C$42+D1123*'Stock Statistics'!$C$43+E1123*'Stock Statistics'!$C$44+F1123*'Stock Statistics'!$C$45+G1123*'Stock Statistics'!$C$46+H1123*'Stock Statistics'!$C$47+I1123*'Stock Statistics'!$C$48+J1123*'Stock Statistics'!$C$49+K1123*'Stock Statistics'!$C$50,"")</f>
        <v>-3.3414775210786518E-3</v>
      </c>
      <c r="M1123" s="97">
        <v>245.90049999999999</v>
      </c>
      <c r="N1123" s="96">
        <v>331.56569999999999</v>
      </c>
      <c r="O1123" s="93">
        <f t="shared" si="51"/>
        <v>-6.7435472795572826E-3</v>
      </c>
      <c r="P1123" s="93">
        <f t="shared" si="52"/>
        <v>-1.1722258072688785E-2</v>
      </c>
      <c r="Q1123" s="93">
        <f>B1123*'Portfolio 2 &amp; 3'!$F$7+C1123*'Portfolio 2 &amp; 3'!$F$8+D1123*'Portfolio 2 &amp; 3'!$F$9+E1123*'Portfolio 2 &amp; 3'!$F$10+F1123*'Portfolio 2 &amp; 3'!$F$11+G1123*'Portfolio 2 &amp; 3'!$F$12+H1123*'Portfolio 2 &amp; 3'!$F$13+I1123*'Portfolio 2 &amp; 3'!$F$14+J1123*'Portfolio 2 &amp; 3'!$F$15+K1123*'Portfolio 2 &amp; 3'!$F$16</f>
        <v>-2.7876125751210611E-3</v>
      </c>
      <c r="R1123" s="93">
        <f>B1123*'Portfolio 2 &amp; 3'!$B$23+C1123*'Portfolio 2 &amp; 3'!$B$24+D1123*'Portfolio 2 &amp; 3'!$B$25+E1123*'Portfolio 2 &amp; 3'!$B$26+F1123*'Portfolio 2 &amp; 3'!$B$27+G1123*'Portfolio 2 &amp; 3'!$B$28+H1123*'Portfolio 2 &amp; 3'!$B$29+I1123*'Portfolio 2 &amp; 3'!$B$30+J1123*'Portfolio 2 &amp; 3'!$B$31+K1123*'Portfolio 2 &amp; 3'!$B$32</f>
        <v>-4.5410058025853158E-3</v>
      </c>
      <c r="S1123" s="93">
        <f t="shared" si="53"/>
        <v>-9.2329026761230337E-3</v>
      </c>
    </row>
    <row r="1124" spans="1:19" ht="12.75" customHeight="1">
      <c r="A1124" s="81">
        <v>44432</v>
      </c>
      <c r="B1124" s="53">
        <v>-1.1000000000000001E-3</v>
      </c>
      <c r="C1124" s="53">
        <v>3.6397309428575198E-3</v>
      </c>
      <c r="D1124" s="53">
        <v>-4.15622113735314E-3</v>
      </c>
      <c r="E1124" s="53">
        <v>-3.5500000000000002E-3</v>
      </c>
      <c r="F1124" s="53">
        <v>3.2900749405957398E-3</v>
      </c>
      <c r="G1124" s="53">
        <v>1.47940760065539E-2</v>
      </c>
      <c r="H1124" s="87">
        <v>7.9943206370765001E-3</v>
      </c>
      <c r="I1124" s="53">
        <v>5.1526471724847598E-3</v>
      </c>
      <c r="J1124" s="53">
        <v>3.1572300568294398E-4</v>
      </c>
      <c r="K1124" s="53">
        <v>-6.1440393218514799E-4</v>
      </c>
      <c r="L1124" s="95">
        <f>IFERROR(B1124*'Stock Statistics'!$C$41+C1124*'Stock Statistics'!$C$42+D1124*'Stock Statistics'!$C$43+E1124*'Stock Statistics'!$C$44+F1124*'Stock Statistics'!$C$45+G1124*'Stock Statistics'!$C$46+H1124*'Stock Statistics'!$C$47+I1124*'Stock Statistics'!$C$48+J1124*'Stock Statistics'!$C$49+K1124*'Stock Statistics'!$C$50,"")</f>
        <v>2.5765947635713075E-3</v>
      </c>
      <c r="M1124" s="96">
        <v>247.57</v>
      </c>
      <c r="N1124" s="97">
        <v>335.49849999999998</v>
      </c>
      <c r="O1124" s="93">
        <f t="shared" si="51"/>
        <v>-2.2251219470774797E-2</v>
      </c>
      <c r="P1124" s="93">
        <f t="shared" si="52"/>
        <v>-1.7094500302017313E-3</v>
      </c>
      <c r="Q1124" s="93">
        <f>B1124*'Portfolio 2 &amp; 3'!$F$7+C1124*'Portfolio 2 &amp; 3'!$F$8+D1124*'Portfolio 2 &amp; 3'!$F$9+E1124*'Portfolio 2 &amp; 3'!$F$10+F1124*'Portfolio 2 &amp; 3'!$F$11+G1124*'Portfolio 2 &amp; 3'!$F$12+H1124*'Portfolio 2 &amp; 3'!$F$13+I1124*'Portfolio 2 &amp; 3'!$F$14+J1124*'Portfolio 2 &amp; 3'!$F$15+K1124*'Portfolio 2 &amp; 3'!$F$16</f>
        <v>2.3560642833145439E-3</v>
      </c>
      <c r="R1124" s="93">
        <f>B1124*'Portfolio 2 &amp; 3'!$B$23+C1124*'Portfolio 2 &amp; 3'!$B$24+D1124*'Portfolio 2 &amp; 3'!$B$25+E1124*'Portfolio 2 &amp; 3'!$B$26+F1124*'Portfolio 2 &amp; 3'!$B$27+G1124*'Portfolio 2 &amp; 3'!$B$28+H1124*'Portfolio 2 &amp; 3'!$B$29+I1124*'Portfolio 2 &amp; 3'!$B$30+J1124*'Portfolio 2 &amp; 3'!$B$31+K1124*'Portfolio 2 &amp; 3'!$B$32</f>
        <v>4.0727765055449004E-3</v>
      </c>
      <c r="S1124" s="93">
        <f t="shared" si="53"/>
        <v>-1.1980334750488264E-2</v>
      </c>
    </row>
    <row r="1125" spans="1:19" ht="12.75" customHeight="1">
      <c r="A1125" s="82">
        <v>44431</v>
      </c>
      <c r="B1125" s="53">
        <v>-6.7999999999999996E-3</v>
      </c>
      <c r="C1125" s="53">
        <v>6.4331572952263097E-3</v>
      </c>
      <c r="D1125" s="53">
        <v>1.47954743255003E-2</v>
      </c>
      <c r="E1125" s="53">
        <v>4.0499999999999998E-3</v>
      </c>
      <c r="F1125" s="53">
        <v>2.2903617836776798E-2</v>
      </c>
      <c r="G1125" s="53">
        <v>-7.6874506708760598E-3</v>
      </c>
      <c r="H1125" s="87">
        <v>2.0205943171441001E-2</v>
      </c>
      <c r="I1125" s="53">
        <v>-1.47919480352443E-3</v>
      </c>
      <c r="J1125" s="53">
        <v>9.6695356497715802E-3</v>
      </c>
      <c r="K1125" s="53">
        <v>8.2759822284170798E-3</v>
      </c>
      <c r="L1125" s="95">
        <f>IFERROR(B1125*'Stock Statistics'!$C$41+C1125*'Stock Statistics'!$C$42+D1125*'Stock Statistics'!$C$43+E1125*'Stock Statistics'!$C$44+F1125*'Stock Statistics'!$C$45+G1125*'Stock Statistics'!$C$46+H1125*'Stock Statistics'!$C$47+I1125*'Stock Statistics'!$C$48+J1125*'Stock Statistics'!$C$49+K1125*'Stock Statistics'!$C$50,"")</f>
        <v>7.0367065032732575E-3</v>
      </c>
      <c r="M1125" s="97">
        <v>253.20410000000001</v>
      </c>
      <c r="N1125" s="96">
        <v>336.07299999999998</v>
      </c>
      <c r="O1125" s="93">
        <f t="shared" si="51"/>
        <v>-4.8396004053252728E-4</v>
      </c>
      <c r="P1125" s="93">
        <f t="shared" si="52"/>
        <v>-1.8980606874539063E-3</v>
      </c>
      <c r="Q1125" s="93">
        <f>B1125*'Portfolio 2 &amp; 3'!$F$7+C1125*'Portfolio 2 &amp; 3'!$F$8+D1125*'Portfolio 2 &amp; 3'!$F$9+E1125*'Portfolio 2 &amp; 3'!$F$10+F1125*'Portfolio 2 &amp; 3'!$F$11+G1125*'Portfolio 2 &amp; 3'!$F$12+H1125*'Portfolio 2 &amp; 3'!$F$13+I1125*'Portfolio 2 &amp; 3'!$F$14+J1125*'Portfolio 2 &amp; 3'!$F$15+K1125*'Portfolio 2 &amp; 3'!$F$16</f>
        <v>9.6176591637300198E-3</v>
      </c>
      <c r="R1125" s="93">
        <f>B1125*'Portfolio 2 &amp; 3'!$B$23+C1125*'Portfolio 2 &amp; 3'!$B$24+D1125*'Portfolio 2 &amp; 3'!$B$25+E1125*'Portfolio 2 &amp; 3'!$B$26+F1125*'Portfolio 2 &amp; 3'!$B$27+G1125*'Portfolio 2 &amp; 3'!$B$28+H1125*'Portfolio 2 &amp; 3'!$B$29+I1125*'Portfolio 2 &amp; 3'!$B$30+J1125*'Portfolio 2 &amp; 3'!$B$31+K1125*'Portfolio 2 &amp; 3'!$B$32</f>
        <v>4.5645510186567723E-3</v>
      </c>
      <c r="S1125" s="93">
        <f t="shared" si="53"/>
        <v>-1.1910103639932168E-3</v>
      </c>
    </row>
    <row r="1126" spans="1:19" ht="12.75" customHeight="1">
      <c r="A1126" s="81">
        <v>44428</v>
      </c>
      <c r="B1126" s="53">
        <v>9.9000000000000008E-3</v>
      </c>
      <c r="C1126" s="53">
        <v>1.1985695759814599E-2</v>
      </c>
      <c r="D1126" s="53">
        <v>2.32223592272915E-2</v>
      </c>
      <c r="E1126" s="53">
        <v>1.2999999999999999E-3</v>
      </c>
      <c r="F1126" s="53">
        <v>-1.46462785556373E-2</v>
      </c>
      <c r="G1126" s="53">
        <v>1.9833220644579701E-2</v>
      </c>
      <c r="H1126" s="87">
        <v>1.26274168004166E-2</v>
      </c>
      <c r="I1126" s="53">
        <v>9.8064683725160896E-3</v>
      </c>
      <c r="J1126" s="53">
        <v>-1.48128762104161E-2</v>
      </c>
      <c r="K1126" s="53">
        <v>-7.1309813268237701E-3</v>
      </c>
      <c r="L1126" s="95">
        <f>IFERROR(B1126*'Stock Statistics'!$C$41+C1126*'Stock Statistics'!$C$42+D1126*'Stock Statistics'!$C$43+E1126*'Stock Statistics'!$C$44+F1126*'Stock Statistics'!$C$45+G1126*'Stock Statistics'!$C$46+H1126*'Stock Statistics'!$C$47+I1126*'Stock Statistics'!$C$48+J1126*'Stock Statistics'!$C$49+K1126*'Stock Statistics'!$C$50,"")</f>
        <v>5.208502471174133E-3</v>
      </c>
      <c r="M1126" s="96">
        <v>253.32669999999999</v>
      </c>
      <c r="N1126" s="97">
        <v>336.71210000000002</v>
      </c>
      <c r="O1126" s="93">
        <f t="shared" si="51"/>
        <v>1.0876652527324282E-2</v>
      </c>
      <c r="P1126" s="93">
        <f t="shared" si="52"/>
        <v>-1.3942017105291749E-3</v>
      </c>
      <c r="Q1126" s="93">
        <f>B1126*'Portfolio 2 &amp; 3'!$F$7+C1126*'Portfolio 2 &amp; 3'!$F$8+D1126*'Portfolio 2 &amp; 3'!$F$9+E1126*'Portfolio 2 &amp; 3'!$F$10+F1126*'Portfolio 2 &amp; 3'!$F$11+G1126*'Portfolio 2 &amp; 3'!$F$12+H1126*'Portfolio 2 &amp; 3'!$F$13+I1126*'Portfolio 2 &amp; 3'!$F$14+J1126*'Portfolio 2 &amp; 3'!$F$15+K1126*'Portfolio 2 &amp; 3'!$F$16</f>
        <v>4.767844303276412E-3</v>
      </c>
      <c r="R1126" s="93">
        <f>B1126*'Portfolio 2 &amp; 3'!$B$23+C1126*'Portfolio 2 &amp; 3'!$B$24+D1126*'Portfolio 2 &amp; 3'!$B$25+E1126*'Portfolio 2 &amp; 3'!$B$26+F1126*'Portfolio 2 &amp; 3'!$B$27+G1126*'Portfolio 2 &amp; 3'!$B$28+H1126*'Portfolio 2 &amp; 3'!$B$29+I1126*'Portfolio 2 &amp; 3'!$B$30+J1126*'Portfolio 2 &amp; 3'!$B$31+K1126*'Portfolio 2 &amp; 3'!$B$32</f>
        <v>5.4313568617699974E-3</v>
      </c>
      <c r="S1126" s="93">
        <f t="shared" si="53"/>
        <v>4.7412254083975536E-3</v>
      </c>
    </row>
    <row r="1127" spans="1:19" ht="12.75" customHeight="1">
      <c r="A1127" s="82">
        <v>44426</v>
      </c>
      <c r="B1127" s="53">
        <v>-8.3000000000000001E-3</v>
      </c>
      <c r="C1127" s="53">
        <v>-5.3160301762889004E-3</v>
      </c>
      <c r="D1127" s="53">
        <v>3.5748659425272099E-3</v>
      </c>
      <c r="E1127" s="53">
        <v>3.6099999999999999E-3</v>
      </c>
      <c r="F1127" s="53">
        <v>2.3861171366594401E-2</v>
      </c>
      <c r="G1127" s="53">
        <v>4.36554132712463E-3</v>
      </c>
      <c r="H1127" s="87">
        <v>5.6008636446229802E-3</v>
      </c>
      <c r="I1127" s="53">
        <v>-1.8297736691106199E-2</v>
      </c>
      <c r="J1127" s="53">
        <v>3.5108630871755898E-2</v>
      </c>
      <c r="K1127" s="53">
        <v>5.6150456162051797E-3</v>
      </c>
      <c r="L1127" s="95">
        <f>IFERROR(B1127*'Stock Statistics'!$C$41+C1127*'Stock Statistics'!$C$42+D1127*'Stock Statistics'!$C$43+E1127*'Stock Statistics'!$C$44+F1127*'Stock Statistics'!$C$45+G1127*'Stock Statistics'!$C$46+H1127*'Stock Statistics'!$C$47+I1127*'Stock Statistics'!$C$48+J1127*'Stock Statistics'!$C$49+K1127*'Stock Statistics'!$C$50,"")</f>
        <v>4.9822351901435205E-3</v>
      </c>
      <c r="M1127" s="97">
        <v>250.601</v>
      </c>
      <c r="N1127" s="96">
        <v>337.18220000000002</v>
      </c>
      <c r="O1127" s="93">
        <f t="shared" si="51"/>
        <v>-2.9699917444971913E-3</v>
      </c>
      <c r="P1127" s="93">
        <f t="shared" si="52"/>
        <v>6.5794061915269708E-4</v>
      </c>
      <c r="Q1127" s="93">
        <f>B1127*'Portfolio 2 &amp; 3'!$F$7+C1127*'Portfolio 2 &amp; 3'!$F$8+D1127*'Portfolio 2 &amp; 3'!$F$9+E1127*'Portfolio 2 &amp; 3'!$F$10+F1127*'Portfolio 2 &amp; 3'!$F$11+G1127*'Portfolio 2 &amp; 3'!$F$12+H1127*'Portfolio 2 &amp; 3'!$F$13+I1127*'Portfolio 2 &amp; 3'!$F$14+J1127*'Portfolio 2 &amp; 3'!$F$15+K1127*'Portfolio 2 &amp; 3'!$F$16</f>
        <v>7.2799884348687576E-3</v>
      </c>
      <c r="R1127" s="93">
        <f>B1127*'Portfolio 2 &amp; 3'!$B$23+C1127*'Portfolio 2 &amp; 3'!$B$24+D1127*'Portfolio 2 &amp; 3'!$B$25+E1127*'Portfolio 2 &amp; 3'!$B$26+F1127*'Portfolio 2 &amp; 3'!$B$27+G1127*'Portfolio 2 &amp; 3'!$B$28+H1127*'Portfolio 2 &amp; 3'!$B$29+I1127*'Portfolio 2 &amp; 3'!$B$30+J1127*'Portfolio 2 &amp; 3'!$B$31+K1127*'Portfolio 2 &amp; 3'!$B$32</f>
        <v>-6.2511130789159332E-4</v>
      </c>
      <c r="S1127" s="93">
        <f t="shared" si="53"/>
        <v>-1.1560255626722471E-3</v>
      </c>
    </row>
    <row r="1128" spans="1:19" ht="12.75" customHeight="1">
      <c r="A1128" s="81">
        <v>44425</v>
      </c>
      <c r="B1128" s="53">
        <v>4.7000000000000002E-3</v>
      </c>
      <c r="C1128" s="53">
        <v>1.07729385889821E-2</v>
      </c>
      <c r="D1128" s="53">
        <v>1.5711193352419401E-2</v>
      </c>
      <c r="E1128" s="53">
        <v>1.115E-2</v>
      </c>
      <c r="F1128" s="53">
        <v>-3.47744360902258E-3</v>
      </c>
      <c r="G1128" s="53">
        <v>1.49332108044242E-2</v>
      </c>
      <c r="H1128" s="87">
        <v>1.6802338850789598E-2</v>
      </c>
      <c r="I1128" s="53">
        <v>-6.5239422346084998E-3</v>
      </c>
      <c r="J1128" s="53">
        <v>-2.6324119012449802E-2</v>
      </c>
      <c r="K1128" s="53">
        <v>1.358671695156E-2</v>
      </c>
      <c r="L1128" s="95">
        <f>IFERROR(B1128*'Stock Statistics'!$C$41+C1128*'Stock Statistics'!$C$42+D1128*'Stock Statistics'!$C$43+E1128*'Stock Statistics'!$C$44+F1128*'Stock Statistics'!$C$45+G1128*'Stock Statistics'!$C$46+H1128*'Stock Statistics'!$C$47+I1128*'Stock Statistics'!$C$48+J1128*'Stock Statistics'!$C$49+K1128*'Stock Statistics'!$C$50,"")</f>
        <v>5.1330893692094412E-3</v>
      </c>
      <c r="M1128" s="96">
        <v>251.3475</v>
      </c>
      <c r="N1128" s="97">
        <v>336.96050000000002</v>
      </c>
      <c r="O1128" s="93">
        <f t="shared" si="51"/>
        <v>-1.1564437516172532E-2</v>
      </c>
      <c r="P1128" s="93">
        <f t="shared" si="52"/>
        <v>-6.7244091749332213E-3</v>
      </c>
      <c r="Q1128" s="93">
        <f>B1128*'Portfolio 2 &amp; 3'!$F$7+C1128*'Portfolio 2 &amp; 3'!$F$8+D1128*'Portfolio 2 &amp; 3'!$F$9+E1128*'Portfolio 2 &amp; 3'!$F$10+F1128*'Portfolio 2 &amp; 3'!$F$11+G1128*'Portfolio 2 &amp; 3'!$F$12+H1128*'Portfolio 2 &amp; 3'!$F$13+I1128*'Portfolio 2 &amp; 3'!$F$14+J1128*'Portfolio 2 &amp; 3'!$F$15+K1128*'Portfolio 2 &amp; 3'!$F$16</f>
        <v>4.1574063564949054E-3</v>
      </c>
      <c r="R1128" s="93">
        <f>B1128*'Portfolio 2 &amp; 3'!$B$23+C1128*'Portfolio 2 &amp; 3'!$B$24+D1128*'Portfolio 2 &amp; 3'!$B$25+E1128*'Portfolio 2 &amp; 3'!$B$26+F1128*'Portfolio 2 &amp; 3'!$B$27+G1128*'Portfolio 2 &amp; 3'!$B$28+H1128*'Portfolio 2 &amp; 3'!$B$29+I1128*'Portfolio 2 &amp; 3'!$B$30+J1128*'Portfolio 2 &amp; 3'!$B$31+K1128*'Portfolio 2 &amp; 3'!$B$32</f>
        <v>3.095098863571337E-3</v>
      </c>
      <c r="S1128" s="93">
        <f t="shared" si="53"/>
        <v>-9.1444233455528767E-3</v>
      </c>
    </row>
    <row r="1129" spans="1:19" ht="12.75" customHeight="1">
      <c r="A1129" s="82">
        <v>44424</v>
      </c>
      <c r="B1129" s="53">
        <v>-2.8999999999999998E-3</v>
      </c>
      <c r="C1129" s="53">
        <v>-2.0765156592936801E-3</v>
      </c>
      <c r="D1129" s="53">
        <v>8.52112676056338E-3</v>
      </c>
      <c r="E1129" s="53">
        <v>2.8300000000000001E-3</v>
      </c>
      <c r="F1129" s="53">
        <v>-4.7363237532455998E-2</v>
      </c>
      <c r="G1129" s="53">
        <v>-1.91630497092787E-3</v>
      </c>
      <c r="H1129" s="87">
        <v>2.1549905628955202E-2</v>
      </c>
      <c r="I1129" s="53">
        <v>-6.9624659788603005E-4</v>
      </c>
      <c r="J1129" s="53">
        <v>1.40151920402267E-2</v>
      </c>
      <c r="K1129" s="53">
        <v>3.94139328405319E-2</v>
      </c>
      <c r="L1129" s="95">
        <f>IFERROR(B1129*'Stock Statistics'!$C$41+C1129*'Stock Statistics'!$C$42+D1129*'Stock Statistics'!$C$43+E1129*'Stock Statistics'!$C$44+F1129*'Stock Statistics'!$C$45+G1129*'Stock Statistics'!$C$46+H1129*'Stock Statistics'!$C$47+I1129*'Stock Statistics'!$C$48+J1129*'Stock Statistics'!$C$49+K1129*'Stock Statistics'!$C$50,"")</f>
        <v>3.1377852509713606E-3</v>
      </c>
      <c r="M1129" s="97">
        <v>254.28819999999999</v>
      </c>
      <c r="N1129" s="96">
        <v>339.24169999999998</v>
      </c>
      <c r="O1129" s="93">
        <f t="shared" si="51"/>
        <v>1.4039208180782747E-3</v>
      </c>
      <c r="P1129" s="93">
        <f t="shared" si="52"/>
        <v>7.009910347951509E-3</v>
      </c>
      <c r="Q1129" s="93">
        <f>B1129*'Portfolio 2 &amp; 3'!$F$7+C1129*'Portfolio 2 &amp; 3'!$F$8+D1129*'Portfolio 2 &amp; 3'!$F$9+E1129*'Portfolio 2 &amp; 3'!$F$10+F1129*'Portfolio 2 &amp; 3'!$F$11+G1129*'Portfolio 2 &amp; 3'!$F$12+H1129*'Portfolio 2 &amp; 3'!$F$13+I1129*'Portfolio 2 &amp; 3'!$F$14+J1129*'Portfolio 2 &amp; 3'!$F$15+K1129*'Portfolio 2 &amp; 3'!$F$16</f>
        <v>4.5740878236202077E-3</v>
      </c>
      <c r="R1129" s="93">
        <f>B1129*'Portfolio 2 &amp; 3'!$B$23+C1129*'Portfolio 2 &amp; 3'!$B$24+D1129*'Portfolio 2 &amp; 3'!$B$25+E1129*'Portfolio 2 &amp; 3'!$B$26+F1129*'Portfolio 2 &amp; 3'!$B$27+G1129*'Portfolio 2 &amp; 3'!$B$28+H1129*'Portfolio 2 &amp; 3'!$B$29+I1129*'Portfolio 2 &amp; 3'!$B$30+J1129*'Portfolio 2 &amp; 3'!$B$31+K1129*'Portfolio 2 &amp; 3'!$B$32</f>
        <v>-4.0328898004845185E-3</v>
      </c>
      <c r="S1129" s="93">
        <f t="shared" si="53"/>
        <v>4.2069155830148919E-3</v>
      </c>
    </row>
    <row r="1130" spans="1:19" ht="12.75" customHeight="1">
      <c r="A1130" s="81">
        <v>44421</v>
      </c>
      <c r="B1130" s="53">
        <v>2.2200000000000001E-2</v>
      </c>
      <c r="C1130" s="53">
        <v>5.91762663721074E-4</v>
      </c>
      <c r="D1130" s="53">
        <v>1.55914747532542E-2</v>
      </c>
      <c r="E1130" s="53">
        <v>-7.7299999999999999E-3</v>
      </c>
      <c r="F1130" s="53">
        <v>2.6562499999999999E-2</v>
      </c>
      <c r="G1130" s="53">
        <v>-4.9111893263487105E-4</v>
      </c>
      <c r="H1130" s="87">
        <v>-9.9913166774749894E-3</v>
      </c>
      <c r="I1130" s="53">
        <v>1.83893468611296E-3</v>
      </c>
      <c r="J1130" s="53">
        <v>1.16895767940255E-2</v>
      </c>
      <c r="K1130" s="53">
        <v>1.32048610394702E-2</v>
      </c>
      <c r="L1130" s="95">
        <f>IFERROR(B1130*'Stock Statistics'!$C$41+C1130*'Stock Statistics'!$C$42+D1130*'Stock Statistics'!$C$43+E1130*'Stock Statistics'!$C$44+F1130*'Stock Statistics'!$C$45+G1130*'Stock Statistics'!$C$46+H1130*'Stock Statistics'!$C$47+I1130*'Stock Statistics'!$C$48+J1130*'Stock Statistics'!$C$49+K1130*'Stock Statistics'!$C$50,"")</f>
        <v>7.3466674326474069E-3</v>
      </c>
      <c r="M1130" s="96">
        <v>253.93170000000001</v>
      </c>
      <c r="N1130" s="97">
        <v>336.8802</v>
      </c>
      <c r="O1130" s="93">
        <f t="shared" si="51"/>
        <v>-1.3662123372007673E-2</v>
      </c>
      <c r="P1130" s="93">
        <f t="shared" si="52"/>
        <v>8.7858463429140166E-3</v>
      </c>
      <c r="Q1130" s="93">
        <f>B1130*'Portfolio 2 &amp; 3'!$F$7+C1130*'Portfolio 2 &amp; 3'!$F$8+D1130*'Portfolio 2 &amp; 3'!$F$9+E1130*'Portfolio 2 &amp; 3'!$F$10+F1130*'Portfolio 2 &amp; 3'!$F$11+G1130*'Portfolio 2 &amp; 3'!$F$12+H1130*'Portfolio 2 &amp; 3'!$F$13+I1130*'Portfolio 2 &amp; 3'!$F$14+J1130*'Portfolio 2 &amp; 3'!$F$15+K1130*'Portfolio 2 &amp; 3'!$F$16</f>
        <v>7.0257918101872541E-3</v>
      </c>
      <c r="R1130" s="93">
        <f>B1130*'Portfolio 2 &amp; 3'!$B$23+C1130*'Portfolio 2 &amp; 3'!$B$24+D1130*'Portfolio 2 &amp; 3'!$B$25+E1130*'Portfolio 2 &amp; 3'!$B$26+F1130*'Portfolio 2 &amp; 3'!$B$27+G1130*'Portfolio 2 &amp; 3'!$B$28+H1130*'Portfolio 2 &amp; 3'!$B$29+I1130*'Portfolio 2 &amp; 3'!$B$30+J1130*'Portfolio 2 &amp; 3'!$B$31+K1130*'Portfolio 2 &amp; 3'!$B$32</f>
        <v>9.0924675386159174E-3</v>
      </c>
      <c r="S1130" s="93">
        <f t="shared" si="53"/>
        <v>-2.4381385145468282E-3</v>
      </c>
    </row>
    <row r="1131" spans="1:19" ht="12.75" customHeight="1">
      <c r="A1131" s="82">
        <v>44420</v>
      </c>
      <c r="B1131" s="53">
        <v>1.67E-2</v>
      </c>
      <c r="C1131" s="53">
        <v>2.6719773172213499E-2</v>
      </c>
      <c r="D1131" s="53">
        <v>3.4448112530500699E-3</v>
      </c>
      <c r="E1131" s="53">
        <v>-3.1800000000000001E-3</v>
      </c>
      <c r="F1131" s="53">
        <v>-3.5033259423503299E-2</v>
      </c>
      <c r="G1131" s="53">
        <v>-7.5248237391834004E-4</v>
      </c>
      <c r="H1131" s="87">
        <v>-8.3816540960020003E-3</v>
      </c>
      <c r="I1131" s="53">
        <v>-6.9894842894023803E-3</v>
      </c>
      <c r="J1131" s="53">
        <v>1.38264018435204E-2</v>
      </c>
      <c r="K1131" s="53">
        <v>-2.0179141356945198E-3</v>
      </c>
      <c r="L1131" s="95">
        <f>IFERROR(B1131*'Stock Statistics'!$C$41+C1131*'Stock Statistics'!$C$42+D1131*'Stock Statistics'!$C$43+E1131*'Stock Statistics'!$C$44+F1131*'Stock Statistics'!$C$45+G1131*'Stock Statistics'!$C$46+H1131*'Stock Statistics'!$C$47+I1131*'Stock Statistics'!$C$48+J1131*'Stock Statistics'!$C$49+K1131*'Stock Statistics'!$C$50,"")</f>
        <v>4.3361919502634294E-4</v>
      </c>
      <c r="M1131" s="97">
        <v>257.44900000000001</v>
      </c>
      <c r="N1131" s="96">
        <v>333.94619999999998</v>
      </c>
      <c r="O1131" s="93">
        <f t="shared" si="51"/>
        <v>1.7521102050110926E-4</v>
      </c>
      <c r="P1131" s="93">
        <f t="shared" si="52"/>
        <v>1.7942449551911155E-2</v>
      </c>
      <c r="Q1131" s="93">
        <f>B1131*'Portfolio 2 &amp; 3'!$F$7+C1131*'Portfolio 2 &amp; 3'!$F$8+D1131*'Portfolio 2 &amp; 3'!$F$9+E1131*'Portfolio 2 &amp; 3'!$F$10+F1131*'Portfolio 2 &amp; 3'!$F$11+G1131*'Portfolio 2 &amp; 3'!$F$12+H1131*'Portfolio 2 &amp; 3'!$F$13+I1131*'Portfolio 2 &amp; 3'!$F$14+J1131*'Portfolio 2 &amp; 3'!$F$15+K1131*'Portfolio 2 &amp; 3'!$F$16</f>
        <v>1.6938052481496924E-4</v>
      </c>
      <c r="R1131" s="93">
        <f>B1131*'Portfolio 2 &amp; 3'!$B$23+C1131*'Portfolio 2 &amp; 3'!$B$24+D1131*'Portfolio 2 &amp; 3'!$B$25+E1131*'Portfolio 2 &amp; 3'!$B$26+F1131*'Portfolio 2 &amp; 3'!$B$27+G1131*'Portfolio 2 &amp; 3'!$B$28+H1131*'Portfolio 2 &amp; 3'!$B$29+I1131*'Portfolio 2 &amp; 3'!$B$30+J1131*'Portfolio 2 &amp; 3'!$B$31+K1131*'Portfolio 2 &amp; 3'!$B$32</f>
        <v>6.4066752033450615E-5</v>
      </c>
      <c r="S1131" s="93">
        <f t="shared" si="53"/>
        <v>9.0588302862061321E-3</v>
      </c>
    </row>
    <row r="1132" spans="1:19" ht="12.75" customHeight="1">
      <c r="A1132" s="81">
        <v>44419</v>
      </c>
      <c r="B1132" s="53">
        <v>-2.0999999999999999E-3</v>
      </c>
      <c r="C1132" s="53">
        <v>-2.7601992729231499E-3</v>
      </c>
      <c r="D1132" s="53">
        <v>1.23510607381576E-2</v>
      </c>
      <c r="E1132" s="53">
        <v>8.3700000000000007E-3</v>
      </c>
      <c r="F1132" s="53">
        <v>-2.2031399080579502E-2</v>
      </c>
      <c r="G1132" s="53">
        <v>-1.76358203105853E-3</v>
      </c>
      <c r="H1132" s="87">
        <v>1.6069193882410002E-2</v>
      </c>
      <c r="I1132" s="53">
        <v>8.7017276422762802E-3</v>
      </c>
      <c r="J1132" s="53">
        <v>-1.4245014245014599E-3</v>
      </c>
      <c r="K1132" s="53">
        <v>-1.3776936996215999E-3</v>
      </c>
      <c r="L1132" s="95">
        <f>IFERROR(B1132*'Stock Statistics'!$C$41+C1132*'Stock Statistics'!$C$42+D1132*'Stock Statistics'!$C$43+E1132*'Stock Statistics'!$C$44+F1132*'Stock Statistics'!$C$45+G1132*'Stock Statistics'!$C$46+H1132*'Stock Statistics'!$C$47+I1132*'Stock Statistics'!$C$48+J1132*'Stock Statistics'!$C$49+K1132*'Stock Statistics'!$C$50,"")</f>
        <v>1.4034606754159641E-3</v>
      </c>
      <c r="M1132" s="96">
        <v>257.40390000000002</v>
      </c>
      <c r="N1132" s="97">
        <v>328.06</v>
      </c>
      <c r="O1132" s="93">
        <f t="shared" si="51"/>
        <v>-2.768109518732409E-3</v>
      </c>
      <c r="P1132" s="93">
        <f t="shared" si="52"/>
        <v>-9.3249548826890294E-4</v>
      </c>
      <c r="Q1132" s="93">
        <f>B1132*'Portfolio 2 &amp; 3'!$F$7+C1132*'Portfolio 2 &amp; 3'!$F$8+D1132*'Portfolio 2 &amp; 3'!$F$9+E1132*'Portfolio 2 &amp; 3'!$F$10+F1132*'Portfolio 2 &amp; 3'!$F$11+G1132*'Portfolio 2 &amp; 3'!$F$12+H1132*'Portfolio 2 &amp; 3'!$F$13+I1132*'Portfolio 2 &amp; 3'!$F$14+J1132*'Portfolio 2 &amp; 3'!$F$15+K1132*'Portfolio 2 &amp; 3'!$F$16</f>
        <v>2.5338696651947923E-3</v>
      </c>
      <c r="R1132" s="93">
        <f>B1132*'Portfolio 2 &amp; 3'!$B$23+C1132*'Portfolio 2 &amp; 3'!$B$24+D1132*'Portfolio 2 &amp; 3'!$B$25+E1132*'Portfolio 2 &amp; 3'!$B$26+F1132*'Portfolio 2 &amp; 3'!$B$27+G1132*'Portfolio 2 &amp; 3'!$B$28+H1132*'Portfolio 2 &amp; 3'!$B$29+I1132*'Portfolio 2 &amp; 3'!$B$30+J1132*'Portfolio 2 &amp; 3'!$B$31+K1132*'Portfolio 2 &amp; 3'!$B$32</f>
        <v>-1.8249232531577788E-3</v>
      </c>
      <c r="S1132" s="93">
        <f t="shared" si="53"/>
        <v>-1.8503025035006559E-3</v>
      </c>
    </row>
    <row r="1133" spans="1:19" ht="12.75" customHeight="1">
      <c r="A1133" s="82">
        <v>44418</v>
      </c>
      <c r="B1133" s="53">
        <v>4.6899999999999997E-2</v>
      </c>
      <c r="C1133" s="53">
        <v>1.5366527219533599E-2</v>
      </c>
      <c r="D1133" s="53">
        <v>7.68723918295633E-3</v>
      </c>
      <c r="E1133" s="53">
        <v>-1.111E-2</v>
      </c>
      <c r="F1133" s="53">
        <v>-1.6129032258064401E-2</v>
      </c>
      <c r="G1133" s="53">
        <v>8.5142123118473502E-3</v>
      </c>
      <c r="H1133" s="87">
        <v>-9.03204565408244E-3</v>
      </c>
      <c r="I1133" s="53">
        <v>1.9953355791656E-2</v>
      </c>
      <c r="J1133" s="53">
        <v>-5.5031874897836196E-3</v>
      </c>
      <c r="K1133" s="53">
        <v>-2.3488865867292699E-3</v>
      </c>
      <c r="L1133" s="95">
        <f>IFERROR(B1133*'Stock Statistics'!$C$41+C1133*'Stock Statistics'!$C$42+D1133*'Stock Statistics'!$C$43+E1133*'Stock Statistics'!$C$44+F1133*'Stock Statistics'!$C$45+G1133*'Stock Statistics'!$C$46+H1133*'Stock Statistics'!$C$47+I1133*'Stock Statistics'!$C$48+J1133*'Stock Statistics'!$C$49+K1133*'Stock Statistics'!$C$50,"")</f>
        <v>5.429818251733355E-3</v>
      </c>
      <c r="M1133" s="97">
        <v>258.11840000000001</v>
      </c>
      <c r="N1133" s="96">
        <v>328.36619999999999</v>
      </c>
      <c r="O1133" s="93">
        <f t="shared" si="51"/>
        <v>-1.6743292336957039E-3</v>
      </c>
      <c r="P1133" s="93">
        <f t="shared" si="52"/>
        <v>-1.8090273840721816E-3</v>
      </c>
      <c r="Q1133" s="93">
        <f>B1133*'Portfolio 2 &amp; 3'!$F$7+C1133*'Portfolio 2 &amp; 3'!$F$8+D1133*'Portfolio 2 &amp; 3'!$F$9+E1133*'Portfolio 2 &amp; 3'!$F$10+F1133*'Portfolio 2 &amp; 3'!$F$11+G1133*'Portfolio 2 &amp; 3'!$F$12+H1133*'Portfolio 2 &amp; 3'!$F$13+I1133*'Portfolio 2 &amp; 3'!$F$14+J1133*'Portfolio 2 &amp; 3'!$F$15+K1133*'Portfolio 2 &amp; 3'!$F$16</f>
        <v>2.865865351501691E-3</v>
      </c>
      <c r="R1133" s="93">
        <f>B1133*'Portfolio 2 &amp; 3'!$B$23+C1133*'Portfolio 2 &amp; 3'!$B$24+D1133*'Portfolio 2 &amp; 3'!$B$25+E1133*'Portfolio 2 &amp; 3'!$B$26+F1133*'Portfolio 2 &amp; 3'!$B$27+G1133*'Portfolio 2 &amp; 3'!$B$28+H1133*'Portfolio 2 &amp; 3'!$B$29+I1133*'Portfolio 2 &amp; 3'!$B$30+J1133*'Portfolio 2 &amp; 3'!$B$31+K1133*'Portfolio 2 &amp; 3'!$B$32</f>
        <v>1.2003836082742516E-2</v>
      </c>
      <c r="S1133" s="93">
        <f t="shared" si="53"/>
        <v>-1.7416783088839427E-3</v>
      </c>
    </row>
    <row r="1134" spans="1:19" ht="12.75" customHeight="1">
      <c r="A1134" s="81">
        <v>44417</v>
      </c>
      <c r="B1134" s="53">
        <v>1E-4</v>
      </c>
      <c r="C1134" s="53">
        <v>3.20934825543118E-3</v>
      </c>
      <c r="D1134" s="53">
        <v>2.7161943914255598E-3</v>
      </c>
      <c r="E1134" s="53">
        <v>-3.875E-2</v>
      </c>
      <c r="F1134" s="53">
        <v>1.7070672584496E-4</v>
      </c>
      <c r="G1134" s="53">
        <v>-5.2911786387091998E-3</v>
      </c>
      <c r="H1134" s="87">
        <v>-2.7960017495012899E-2</v>
      </c>
      <c r="I1134" s="53">
        <v>1.4791926895010301E-2</v>
      </c>
      <c r="J1134" s="53">
        <v>2.1483831468804001E-2</v>
      </c>
      <c r="K1134" s="53">
        <v>1.1611015419096499E-2</v>
      </c>
      <c r="L1134" s="95">
        <f>IFERROR(B1134*'Stock Statistics'!$C$41+C1134*'Stock Statistics'!$C$42+D1134*'Stock Statistics'!$C$43+E1134*'Stock Statistics'!$C$44+F1134*'Stock Statistics'!$C$45+G1134*'Stock Statistics'!$C$46+H1134*'Stock Statistics'!$C$47+I1134*'Stock Statistics'!$C$48+J1134*'Stock Statistics'!$C$49+K1134*'Stock Statistics'!$C$50,"")</f>
        <v>-1.7918172978109599E-3</v>
      </c>
      <c r="M1134" s="96">
        <v>258.55130000000003</v>
      </c>
      <c r="N1134" s="97">
        <v>328.96129999999999</v>
      </c>
      <c r="O1134" s="93">
        <f t="shared" si="51"/>
        <v>-1.3657524442370894E-3</v>
      </c>
      <c r="P1134" s="93">
        <f t="shared" si="52"/>
        <v>-2.6566613165918684E-2</v>
      </c>
      <c r="Q1134" s="93">
        <f>B1134*'Portfolio 2 &amp; 3'!$F$7+C1134*'Portfolio 2 &amp; 3'!$F$8+D1134*'Portfolio 2 &amp; 3'!$F$9+E1134*'Portfolio 2 &amp; 3'!$F$10+F1134*'Portfolio 2 &amp; 3'!$F$11+G1134*'Portfolio 2 &amp; 3'!$F$12+H1134*'Portfolio 2 &amp; 3'!$F$13+I1134*'Portfolio 2 &amp; 3'!$F$14+J1134*'Portfolio 2 &amp; 3'!$F$15+K1134*'Portfolio 2 &amp; 3'!$F$16</f>
        <v>-1.6896429384630964E-3</v>
      </c>
      <c r="R1134" s="93">
        <f>B1134*'Portfolio 2 &amp; 3'!$B$23+C1134*'Portfolio 2 &amp; 3'!$B$24+D1134*'Portfolio 2 &amp; 3'!$B$25+E1134*'Portfolio 2 &amp; 3'!$B$26+F1134*'Portfolio 2 &amp; 3'!$B$27+G1134*'Portfolio 2 &amp; 3'!$B$28+H1134*'Portfolio 2 &amp; 3'!$B$29+I1134*'Portfolio 2 &amp; 3'!$B$30+J1134*'Portfolio 2 &amp; 3'!$B$31+K1134*'Portfolio 2 &amp; 3'!$B$32</f>
        <v>4.6890709548531809E-3</v>
      </c>
      <c r="S1134" s="93">
        <f t="shared" si="53"/>
        <v>-1.3966182805077887E-2</v>
      </c>
    </row>
    <row r="1135" spans="1:19" ht="12.75" customHeight="1">
      <c r="A1135" s="82">
        <v>44414</v>
      </c>
      <c r="B1135" s="53">
        <v>-2.3400000000000001E-2</v>
      </c>
      <c r="C1135" s="53">
        <v>-1.04906018864084E-2</v>
      </c>
      <c r="D1135" s="53">
        <v>-5.6190674149518401E-2</v>
      </c>
      <c r="E1135" s="53">
        <v>-6.8900000000000003E-3</v>
      </c>
      <c r="F1135" s="53">
        <v>2.0526855969893502E-3</v>
      </c>
      <c r="G1135" s="53">
        <v>1.46939046890842E-2</v>
      </c>
      <c r="H1135" s="87">
        <v>-2.8613977236463502E-3</v>
      </c>
      <c r="I1135" s="53">
        <v>-1.1052597360379701E-2</v>
      </c>
      <c r="J1135" s="53">
        <v>8.4189257450748602E-3</v>
      </c>
      <c r="K1135" s="53">
        <v>-1.8684641937093301E-2</v>
      </c>
      <c r="L1135" s="95">
        <f>IFERROR(B1135*'Stock Statistics'!$C$41+C1135*'Stock Statistics'!$C$42+D1135*'Stock Statistics'!$C$43+E1135*'Stock Statistics'!$C$44+F1135*'Stock Statistics'!$C$45+G1135*'Stock Statistics'!$C$46+H1135*'Stock Statistics'!$C$47+I1135*'Stock Statistics'!$C$48+J1135*'Stock Statistics'!$C$49+K1135*'Stock Statistics'!$C$50,"")</f>
        <v>-1.0440439702589776E-2</v>
      </c>
      <c r="M1135" s="97">
        <v>258.9049</v>
      </c>
      <c r="N1135" s="96">
        <v>337.93920000000003</v>
      </c>
      <c r="O1135" s="93">
        <f t="shared" si="51"/>
        <v>-5.850358159725122E-3</v>
      </c>
      <c r="P1135" s="93">
        <f t="shared" si="52"/>
        <v>3.2927579809525209E-3</v>
      </c>
      <c r="Q1135" s="93">
        <f>B1135*'Portfolio 2 &amp; 3'!$F$7+C1135*'Portfolio 2 &amp; 3'!$F$8+D1135*'Portfolio 2 &amp; 3'!$F$9+E1135*'Portfolio 2 &amp; 3'!$F$10+F1135*'Portfolio 2 &amp; 3'!$F$11+G1135*'Portfolio 2 &amp; 3'!$F$12+H1135*'Portfolio 2 &amp; 3'!$F$13+I1135*'Portfolio 2 &amp; 3'!$F$14+J1135*'Portfolio 2 &amp; 3'!$F$15+K1135*'Portfolio 2 &amp; 3'!$F$16</f>
        <v>-1.1211053897003307E-2</v>
      </c>
      <c r="R1135" s="93">
        <f>B1135*'Portfolio 2 &amp; 3'!$B$23+C1135*'Portfolio 2 &amp; 3'!$B$24+D1135*'Portfolio 2 &amp; 3'!$B$25+E1135*'Portfolio 2 &amp; 3'!$B$26+F1135*'Portfolio 2 &amp; 3'!$B$27+G1135*'Portfolio 2 &amp; 3'!$B$28+H1135*'Portfolio 2 &amp; 3'!$B$29+I1135*'Portfolio 2 &amp; 3'!$B$30+J1135*'Portfolio 2 &amp; 3'!$B$31+K1135*'Portfolio 2 &amp; 3'!$B$32</f>
        <v>-8.1263056006970202E-3</v>
      </c>
      <c r="S1135" s="93">
        <f t="shared" si="53"/>
        <v>-1.2788000893863005E-3</v>
      </c>
    </row>
    <row r="1136" spans="1:19" ht="12.75" customHeight="1">
      <c r="A1136" s="81">
        <v>44413</v>
      </c>
      <c r="B1136" s="53">
        <v>-5.7999999999999996E-3</v>
      </c>
      <c r="C1136" s="53">
        <v>3.5730851946080402E-2</v>
      </c>
      <c r="D1136" s="53">
        <v>-1.33980449791511E-2</v>
      </c>
      <c r="E1136" s="53">
        <v>-6.7000000000000002E-4</v>
      </c>
      <c r="F1136" s="53">
        <v>-5.3594215227562598E-3</v>
      </c>
      <c r="G1136" s="53">
        <v>1.8004298018511999E-2</v>
      </c>
      <c r="H1136" s="87">
        <v>8.4421226521351807E-3</v>
      </c>
      <c r="I1136" s="53">
        <v>-2.9817851818241298E-3</v>
      </c>
      <c r="J1136" s="53">
        <v>-1.98052483908235E-2</v>
      </c>
      <c r="K1136" s="53">
        <v>4.2784235028059397E-4</v>
      </c>
      <c r="L1136" s="95">
        <f>IFERROR(B1136*'Stock Statistics'!$C$41+C1136*'Stock Statistics'!$C$42+D1136*'Stock Statistics'!$C$43+E1136*'Stock Statistics'!$C$44+F1136*'Stock Statistics'!$C$45+G1136*'Stock Statistics'!$C$46+H1136*'Stock Statistics'!$C$47+I1136*'Stock Statistics'!$C$48+J1136*'Stock Statistics'!$C$49+K1136*'Stock Statistics'!$C$50,"")</f>
        <v>1.4590614892453187E-3</v>
      </c>
      <c r="M1136" s="96">
        <v>260.42849999999999</v>
      </c>
      <c r="N1136" s="97">
        <v>336.83010000000002</v>
      </c>
      <c r="O1136" s="93">
        <f t="shared" si="51"/>
        <v>7.6002818186355903E-3</v>
      </c>
      <c r="P1136" s="93">
        <f t="shared" si="52"/>
        <v>-3.039451602305121E-3</v>
      </c>
      <c r="Q1136" s="93">
        <f>B1136*'Portfolio 2 &amp; 3'!$F$7+C1136*'Portfolio 2 &amp; 3'!$F$8+D1136*'Portfolio 2 &amp; 3'!$F$9+E1136*'Portfolio 2 &amp; 3'!$F$10+F1136*'Portfolio 2 &amp; 3'!$F$11+G1136*'Portfolio 2 &amp; 3'!$F$12+H1136*'Portfolio 2 &amp; 3'!$F$13+I1136*'Portfolio 2 &amp; 3'!$F$14+J1136*'Portfolio 2 &amp; 3'!$F$15+K1136*'Portfolio 2 &amp; 3'!$F$16</f>
        <v>-4.5736569019941236E-5</v>
      </c>
      <c r="R1136" s="93">
        <f>B1136*'Portfolio 2 &amp; 3'!$B$23+C1136*'Portfolio 2 &amp; 3'!$B$24+D1136*'Portfolio 2 &amp; 3'!$B$25+E1136*'Portfolio 2 &amp; 3'!$B$26+F1136*'Portfolio 2 &amp; 3'!$B$27+G1136*'Portfolio 2 &amp; 3'!$B$28+H1136*'Portfolio 2 &amp; 3'!$B$29+I1136*'Portfolio 2 &amp; 3'!$B$30+J1136*'Portfolio 2 &amp; 3'!$B$31+K1136*'Portfolio 2 &amp; 3'!$B$32</f>
        <v>5.849415179715445E-3</v>
      </c>
      <c r="S1136" s="93">
        <f t="shared" si="53"/>
        <v>2.2804151081652346E-3</v>
      </c>
    </row>
    <row r="1137" spans="1:19" ht="12.75" customHeight="1">
      <c r="A1137" s="82">
        <v>44412</v>
      </c>
      <c r="B1137" s="53">
        <v>-6.4199999999999993E-2</v>
      </c>
      <c r="C1137" s="53">
        <v>1.2092242470800801E-2</v>
      </c>
      <c r="D1137" s="53">
        <v>-8.9424835715735708E-3</v>
      </c>
      <c r="E1137" s="53">
        <v>-9.4699999999999993E-3</v>
      </c>
      <c r="F1137" s="53">
        <v>-7.0951938508321301E-3</v>
      </c>
      <c r="G1137" s="53">
        <v>-3.0029523407845201E-3</v>
      </c>
      <c r="H1137" s="87">
        <v>1.9238209879195399E-3</v>
      </c>
      <c r="I1137" s="53">
        <v>1.5802989398827901E-2</v>
      </c>
      <c r="J1137" s="53">
        <v>4.6426794893052997E-3</v>
      </c>
      <c r="K1137" s="53">
        <v>1.91877851376332E-3</v>
      </c>
      <c r="L1137" s="95">
        <f>IFERROR(B1137*'Stock Statistics'!$C$41+C1137*'Stock Statistics'!$C$42+D1137*'Stock Statistics'!$C$43+E1137*'Stock Statistics'!$C$44+F1137*'Stock Statistics'!$C$45+G1137*'Stock Statistics'!$C$46+H1137*'Stock Statistics'!$C$47+I1137*'Stock Statistics'!$C$48+J1137*'Stock Statistics'!$C$49+K1137*'Stock Statistics'!$C$50,"")</f>
        <v>-5.633011890257336E-3</v>
      </c>
      <c r="M1137" s="97">
        <v>258.46409999999997</v>
      </c>
      <c r="N1137" s="96">
        <v>337.85700000000003</v>
      </c>
      <c r="O1137" s="93">
        <f t="shared" si="51"/>
        <v>4.450118335606712E-3</v>
      </c>
      <c r="P1137" s="93">
        <f t="shared" si="52"/>
        <v>1.3206954741161514E-2</v>
      </c>
      <c r="Q1137" s="93">
        <f>B1137*'Portfolio 2 &amp; 3'!$F$7+C1137*'Portfolio 2 &amp; 3'!$F$8+D1137*'Portfolio 2 &amp; 3'!$F$9+E1137*'Portfolio 2 &amp; 3'!$F$10+F1137*'Portfolio 2 &amp; 3'!$F$11+G1137*'Portfolio 2 &amp; 3'!$F$12+H1137*'Portfolio 2 &amp; 3'!$F$13+I1137*'Portfolio 2 &amp; 3'!$F$14+J1137*'Portfolio 2 &amp; 3'!$F$15+K1137*'Portfolio 2 &amp; 3'!$F$16</f>
        <v>-3.4011525993535999E-3</v>
      </c>
      <c r="R1137" s="93">
        <f>B1137*'Portfolio 2 &amp; 3'!$B$23+C1137*'Portfolio 2 &amp; 3'!$B$24+D1137*'Portfolio 2 &amp; 3'!$B$25+E1137*'Portfolio 2 &amp; 3'!$B$26+F1137*'Portfolio 2 &amp; 3'!$B$27+G1137*'Portfolio 2 &amp; 3'!$B$28+H1137*'Portfolio 2 &amp; 3'!$B$29+I1137*'Portfolio 2 &amp; 3'!$B$30+J1137*'Portfolio 2 &amp; 3'!$B$31+K1137*'Portfolio 2 &amp; 3'!$B$32</f>
        <v>-3.5006064358629667E-3</v>
      </c>
      <c r="S1137" s="93">
        <f t="shared" si="53"/>
        <v>8.828536538384113E-3</v>
      </c>
    </row>
    <row r="1138" spans="1:19" ht="12.75" customHeight="1">
      <c r="A1138" s="81">
        <v>44411</v>
      </c>
      <c r="B1138" s="53">
        <v>-2.4500000000000001E-2</v>
      </c>
      <c r="C1138" s="53">
        <v>1.22694085626647E-2</v>
      </c>
      <c r="D1138" s="53">
        <v>-3.0539866018652301E-2</v>
      </c>
      <c r="E1138" s="53">
        <v>-1.129E-2</v>
      </c>
      <c r="F1138" s="53">
        <v>1.6896173016811599E-4</v>
      </c>
      <c r="G1138" s="53">
        <v>1.7823720315263601E-2</v>
      </c>
      <c r="H1138" s="87">
        <v>-1.3612077007887399E-2</v>
      </c>
      <c r="I1138" s="53">
        <v>-2.3648426722721102E-3</v>
      </c>
      <c r="J1138" s="53">
        <v>1.8463270475654402E-2</v>
      </c>
      <c r="K1138" s="53">
        <v>-1.00531452704751E-2</v>
      </c>
      <c r="L1138" s="95">
        <f>IFERROR(B1138*'Stock Statistics'!$C$41+C1138*'Stock Statistics'!$C$42+D1138*'Stock Statistics'!$C$43+E1138*'Stock Statistics'!$C$44+F1138*'Stock Statistics'!$C$45+G1138*'Stock Statistics'!$C$46+H1138*'Stock Statistics'!$C$47+I1138*'Stock Statistics'!$C$48+J1138*'Stock Statistics'!$C$49+K1138*'Stock Statistics'!$C$50,"")</f>
        <v>-4.3634569885536087E-3</v>
      </c>
      <c r="M1138" s="96">
        <v>257.31900000000002</v>
      </c>
      <c r="N1138" s="97">
        <v>333.45310000000001</v>
      </c>
      <c r="O1138" s="93">
        <f t="shared" si="51"/>
        <v>2.0666069305764312E-2</v>
      </c>
      <c r="P1138" s="93">
        <f t="shared" si="52"/>
        <v>-7.9786395347106742E-3</v>
      </c>
      <c r="Q1138" s="93">
        <f>B1138*'Portfolio 2 &amp; 3'!$F$7+C1138*'Portfolio 2 &amp; 3'!$F$8+D1138*'Portfolio 2 &amp; 3'!$F$9+E1138*'Portfolio 2 &amp; 3'!$F$10+F1138*'Portfolio 2 &amp; 3'!$F$11+G1138*'Portfolio 2 &amp; 3'!$F$12+H1138*'Portfolio 2 &amp; 3'!$F$13+I1138*'Portfolio 2 &amp; 3'!$F$14+J1138*'Portfolio 2 &amp; 3'!$F$15+K1138*'Portfolio 2 &amp; 3'!$F$16</f>
        <v>-4.8816179205013639E-3</v>
      </c>
      <c r="R1138" s="93">
        <f>B1138*'Portfolio 2 &amp; 3'!$B$23+C1138*'Portfolio 2 &amp; 3'!$B$24+D1138*'Portfolio 2 &amp; 3'!$B$25+E1138*'Portfolio 2 &amp; 3'!$B$26+F1138*'Portfolio 2 &amp; 3'!$B$27+G1138*'Portfolio 2 &amp; 3'!$B$28+H1138*'Portfolio 2 &amp; 3'!$B$29+I1138*'Portfolio 2 &amp; 3'!$B$30+J1138*'Portfolio 2 &amp; 3'!$B$31+K1138*'Portfolio 2 &amp; 3'!$B$32</f>
        <v>-6.4705561751072246E-4</v>
      </c>
      <c r="S1138" s="93">
        <f t="shared" si="53"/>
        <v>6.3437148855268188E-3</v>
      </c>
    </row>
    <row r="1139" spans="1:19" ht="12.75" customHeight="1">
      <c r="A1139" s="82">
        <v>44410</v>
      </c>
      <c r="B1139" s="53">
        <v>3.8800000000000001E-2</v>
      </c>
      <c r="C1139" s="53">
        <v>2.1281289525546501E-2</v>
      </c>
      <c r="D1139" s="53">
        <v>-7.8552408617768202E-2</v>
      </c>
      <c r="E1139" s="53">
        <v>-5.2479999999999999E-2</v>
      </c>
      <c r="F1139" s="53">
        <v>9.8106125234600494E-3</v>
      </c>
      <c r="G1139" s="53">
        <v>3.3769232094553701E-3</v>
      </c>
      <c r="H1139" s="87">
        <v>-5.9959745829690804E-3</v>
      </c>
      <c r="I1139" s="53">
        <v>-2.7781325839826301E-2</v>
      </c>
      <c r="J1139" s="53">
        <v>-6.8761180679785001E-3</v>
      </c>
      <c r="K1139" s="53">
        <v>8.1179909754829395E-3</v>
      </c>
      <c r="L1139" s="95">
        <f>IFERROR(B1139*'Stock Statistics'!$C$41+C1139*'Stock Statistics'!$C$42+D1139*'Stock Statistics'!$C$43+E1139*'Stock Statistics'!$C$44+F1139*'Stock Statistics'!$C$45+G1139*'Stock Statistics'!$C$46+H1139*'Stock Statistics'!$C$47+I1139*'Stock Statistics'!$C$48+J1139*'Stock Statistics'!$C$49+K1139*'Stock Statistics'!$C$50,"")</f>
        <v>-9.0299010874597234E-3</v>
      </c>
      <c r="M1139" s="97">
        <v>252.10890000000001</v>
      </c>
      <c r="N1139" s="96">
        <v>336.13499999999999</v>
      </c>
      <c r="O1139" s="93">
        <f t="shared" si="51"/>
        <v>-6.1641674370216393E-4</v>
      </c>
      <c r="P1139" s="93">
        <f t="shared" si="52"/>
        <v>-1.3253863630489082E-3</v>
      </c>
      <c r="Q1139" s="93">
        <f>B1139*'Portfolio 2 &amp; 3'!$F$7+C1139*'Portfolio 2 &amp; 3'!$F$8+D1139*'Portfolio 2 &amp; 3'!$F$9+E1139*'Portfolio 2 &amp; 3'!$F$10+F1139*'Portfolio 2 &amp; 3'!$F$11+G1139*'Portfolio 2 &amp; 3'!$F$12+H1139*'Portfolio 2 &amp; 3'!$F$13+I1139*'Portfolio 2 &amp; 3'!$F$14+J1139*'Portfolio 2 &amp; 3'!$F$15+K1139*'Portfolio 2 &amp; 3'!$F$16</f>
        <v>-1.2144014920279856E-2</v>
      </c>
      <c r="R1139" s="93">
        <f>B1139*'Portfolio 2 &amp; 3'!$B$23+C1139*'Portfolio 2 &amp; 3'!$B$24+D1139*'Portfolio 2 &amp; 3'!$B$25+E1139*'Portfolio 2 &amp; 3'!$B$26+F1139*'Portfolio 2 &amp; 3'!$B$27+G1139*'Portfolio 2 &amp; 3'!$B$28+H1139*'Portfolio 2 &amp; 3'!$B$29+I1139*'Portfolio 2 &amp; 3'!$B$30+J1139*'Portfolio 2 &amp; 3'!$B$31+K1139*'Portfolio 2 &amp; 3'!$B$32</f>
        <v>3.5380359731298173E-3</v>
      </c>
      <c r="S1139" s="93">
        <f t="shared" si="53"/>
        <v>-9.7090155337553607E-4</v>
      </c>
    </row>
    <row r="1140" spans="1:19" ht="12.75" customHeight="1">
      <c r="A1140" s="81">
        <v>44407</v>
      </c>
      <c r="B1140" s="53">
        <v>4.4999999999999998E-2</v>
      </c>
      <c r="C1140" s="53">
        <v>3.38379603065819E-4</v>
      </c>
      <c r="D1140" s="53">
        <v>-3.5376532399299401E-2</v>
      </c>
      <c r="E1140" s="53">
        <v>-2.7040000000000002E-2</v>
      </c>
      <c r="F1140" s="53">
        <v>2.4650349650349599E-2</v>
      </c>
      <c r="G1140" s="53">
        <v>-4.11676275750417E-2</v>
      </c>
      <c r="H1140" s="87">
        <v>-5.2203993920015897E-3</v>
      </c>
      <c r="I1140" s="53">
        <v>-1.59408276477713E-3</v>
      </c>
      <c r="J1140" s="53">
        <v>-1.2040207665966999E-2</v>
      </c>
      <c r="K1140" s="53">
        <v>-2.0837145006200601E-3</v>
      </c>
      <c r="L1140" s="95">
        <f>IFERROR(B1140*'Stock Statistics'!$C$41+C1140*'Stock Statistics'!$C$42+D1140*'Stock Statistics'!$C$43+E1140*'Stock Statistics'!$C$44+F1140*'Stock Statistics'!$C$45+G1140*'Stock Statistics'!$C$46+H1140*'Stock Statistics'!$C$47+I1140*'Stock Statistics'!$C$48+J1140*'Stock Statistics'!$C$49+K1140*'Stock Statistics'!$C$50,"")</f>
        <v>-5.4533835044291469E-3</v>
      </c>
      <c r="M1140" s="96">
        <v>252.26439999999999</v>
      </c>
      <c r="N1140" s="97">
        <v>336.58109999999999</v>
      </c>
      <c r="O1140" s="93">
        <f t="shared" si="51"/>
        <v>-3.2447519732454744E-3</v>
      </c>
      <c r="P1140" s="93">
        <f t="shared" si="52"/>
        <v>8.9089323129771802E-3</v>
      </c>
      <c r="Q1140" s="93">
        <f>B1140*'Portfolio 2 &amp; 3'!$F$7+C1140*'Portfolio 2 &amp; 3'!$F$8+D1140*'Portfolio 2 &amp; 3'!$F$9+E1140*'Portfolio 2 &amp; 3'!$F$10+F1140*'Portfolio 2 &amp; 3'!$F$11+G1140*'Portfolio 2 &amp; 3'!$F$12+H1140*'Portfolio 2 &amp; 3'!$F$13+I1140*'Portfolio 2 &amp; 3'!$F$14+J1140*'Portfolio 2 &amp; 3'!$F$15+K1140*'Portfolio 2 &amp; 3'!$F$16</f>
        <v>-6.2613548971948924E-3</v>
      </c>
      <c r="R1140" s="93">
        <f>B1140*'Portfolio 2 &amp; 3'!$B$23+C1140*'Portfolio 2 &amp; 3'!$B$24+D1140*'Portfolio 2 &amp; 3'!$B$25+E1140*'Portfolio 2 &amp; 3'!$B$26+F1140*'Portfolio 2 &amp; 3'!$B$27+G1140*'Portfolio 2 &amp; 3'!$B$28+H1140*'Portfolio 2 &amp; 3'!$B$29+I1140*'Portfolio 2 &amp; 3'!$B$30+J1140*'Portfolio 2 &amp; 3'!$B$31+K1140*'Portfolio 2 &amp; 3'!$B$32</f>
        <v>4.0321406889776675E-3</v>
      </c>
      <c r="S1140" s="93">
        <f t="shared" si="53"/>
        <v>2.8320901698658529E-3</v>
      </c>
    </row>
    <row r="1141" spans="1:19" ht="12.75" customHeight="1">
      <c r="A1141" s="82">
        <v>44406</v>
      </c>
      <c r="B1141" s="53">
        <v>1.44E-2</v>
      </c>
      <c r="C1141" s="53">
        <v>-3.0937682667769199E-2</v>
      </c>
      <c r="D1141" s="53">
        <v>-2.6151222285389499E-2</v>
      </c>
      <c r="E1141" s="53">
        <v>-1.6729999999999998E-2</v>
      </c>
      <c r="F1141" s="53">
        <v>-9.2664761409890807E-3</v>
      </c>
      <c r="G1141" s="53">
        <v>-1.52432080689767E-2</v>
      </c>
      <c r="H1141" s="87">
        <v>-1.0117256407595801E-2</v>
      </c>
      <c r="I1141" s="53">
        <v>4.29047131147553E-3</v>
      </c>
      <c r="J1141" s="53">
        <v>-5.0008243116997902E-3</v>
      </c>
      <c r="K1141" s="53">
        <v>-7.2552244679669996E-3</v>
      </c>
      <c r="L1141" s="95">
        <f>IFERROR(B1141*'Stock Statistics'!$C$41+C1141*'Stock Statistics'!$C$42+D1141*'Stock Statistics'!$C$43+E1141*'Stock Statistics'!$C$44+F1141*'Stock Statistics'!$C$45+G1141*'Stock Statistics'!$C$46+H1141*'Stock Statistics'!$C$47+I1141*'Stock Statistics'!$C$48+J1141*'Stock Statistics'!$C$49+K1141*'Stock Statistics'!$C$50,"")</f>
        <v>-1.0201142303891155E-2</v>
      </c>
      <c r="M1141" s="97">
        <v>253.0856</v>
      </c>
      <c r="N1141" s="96">
        <v>333.60899999999998</v>
      </c>
      <c r="O1141" s="93">
        <f t="shared" si="51"/>
        <v>-2.8412583060862584E-2</v>
      </c>
      <c r="P1141" s="93">
        <f t="shared" si="52"/>
        <v>-6.0792582738838918E-3</v>
      </c>
      <c r="Q1141" s="93">
        <f>B1141*'Portfolio 2 &amp; 3'!$F$7+C1141*'Portfolio 2 &amp; 3'!$F$8+D1141*'Portfolio 2 &amp; 3'!$F$9+E1141*'Portfolio 2 &amp; 3'!$F$10+F1141*'Portfolio 2 &amp; 3'!$F$11+G1141*'Portfolio 2 &amp; 3'!$F$12+H1141*'Portfolio 2 &amp; 3'!$F$13+I1141*'Portfolio 2 &amp; 3'!$F$14+J1141*'Portfolio 2 &amp; 3'!$F$15+K1141*'Portfolio 2 &amp; 3'!$F$16</f>
        <v>-1.1120277613268335E-2</v>
      </c>
      <c r="R1141" s="93">
        <f>B1141*'Portfolio 2 &amp; 3'!$B$23+C1141*'Portfolio 2 &amp; 3'!$B$24+D1141*'Portfolio 2 &amp; 3'!$B$25+E1141*'Portfolio 2 &amp; 3'!$B$26+F1141*'Portfolio 2 &amp; 3'!$B$27+G1141*'Portfolio 2 &amp; 3'!$B$28+H1141*'Portfolio 2 &amp; 3'!$B$29+I1141*'Portfolio 2 &amp; 3'!$B$30+J1141*'Portfolio 2 &amp; 3'!$B$31+K1141*'Portfolio 2 &amp; 3'!$B$32</f>
        <v>-7.4116428327878851E-3</v>
      </c>
      <c r="S1141" s="93">
        <f t="shared" si="53"/>
        <v>-1.7245920667373238E-2</v>
      </c>
    </row>
    <row r="1142" spans="1:19" ht="12.75" customHeight="1">
      <c r="A1142" s="81">
        <v>44405</v>
      </c>
      <c r="B1142" s="53">
        <v>-3.2000000000000002E-3</v>
      </c>
      <c r="C1142" s="53">
        <v>7.0784516425454998E-3</v>
      </c>
      <c r="D1142" s="53">
        <v>-9.2373549622620805E-3</v>
      </c>
      <c r="E1142" s="53">
        <v>-1.797E-2</v>
      </c>
      <c r="F1142" s="53">
        <v>-3.5741127348643001E-2</v>
      </c>
      <c r="G1142" s="53">
        <v>3.11689159418394E-3</v>
      </c>
      <c r="H1142" s="87">
        <v>6.72753483901967E-3</v>
      </c>
      <c r="I1142" s="53">
        <v>3.2121289991005101E-3</v>
      </c>
      <c r="J1142" s="53">
        <v>-3.0133683979838301E-3</v>
      </c>
      <c r="K1142" s="53">
        <v>1.0059726440671201E-2</v>
      </c>
      <c r="L1142" s="95">
        <f>IFERROR(B1142*'Stock Statistics'!$C$41+C1142*'Stock Statistics'!$C$42+D1142*'Stock Statistics'!$C$43+E1142*'Stock Statistics'!$C$44+F1142*'Stock Statistics'!$C$45+G1142*'Stock Statistics'!$C$46+H1142*'Stock Statistics'!$C$47+I1142*'Stock Statistics'!$C$48+J1142*'Stock Statistics'!$C$49+K1142*'Stock Statistics'!$C$50,"")</f>
        <v>-3.8967117193368095E-3</v>
      </c>
      <c r="M1142" s="96">
        <v>260.48669999999998</v>
      </c>
      <c r="N1142" s="97">
        <v>335.64949999999999</v>
      </c>
      <c r="O1142" s="93">
        <f t="shared" si="51"/>
        <v>3.1524858078446627E-3</v>
      </c>
      <c r="P1142" s="93">
        <f t="shared" si="52"/>
        <v>5.2510331054980153E-3</v>
      </c>
      <c r="Q1142" s="93">
        <f>B1142*'Portfolio 2 &amp; 3'!$F$7+C1142*'Portfolio 2 &amp; 3'!$F$8+D1142*'Portfolio 2 &amp; 3'!$F$9+E1142*'Portfolio 2 &amp; 3'!$F$10+F1142*'Portfolio 2 &amp; 3'!$F$11+G1142*'Portfolio 2 &amp; 3'!$F$12+H1142*'Portfolio 2 &amp; 3'!$F$13+I1142*'Portfolio 2 &amp; 3'!$F$14+J1142*'Portfolio 2 &amp; 3'!$F$15+K1142*'Portfolio 2 &amp; 3'!$F$16</f>
        <v>-3.8502113615167355E-3</v>
      </c>
      <c r="R1142" s="93">
        <f>B1142*'Portfolio 2 &amp; 3'!$B$23+C1142*'Portfolio 2 &amp; 3'!$B$24+D1142*'Portfolio 2 &amp; 3'!$B$25+E1142*'Portfolio 2 &amp; 3'!$B$26+F1142*'Portfolio 2 &amp; 3'!$B$27+G1142*'Portfolio 2 &amp; 3'!$B$28+H1142*'Portfolio 2 &amp; 3'!$B$29+I1142*'Portfolio 2 &amp; 3'!$B$30+J1142*'Portfolio 2 &amp; 3'!$B$31+K1142*'Portfolio 2 &amp; 3'!$B$32</f>
        <v>-2.7248161671503111E-3</v>
      </c>
      <c r="S1142" s="93">
        <f t="shared" si="53"/>
        <v>4.201759456671339E-3</v>
      </c>
    </row>
    <row r="1143" spans="1:19" ht="12.75" customHeight="1">
      <c r="A1143" s="82">
        <v>44404</v>
      </c>
      <c r="B1143" s="53">
        <v>7.4000000000000003E-3</v>
      </c>
      <c r="C1143" s="53">
        <v>8.3391243919388493E-3</v>
      </c>
      <c r="D1143" s="53">
        <v>-1.5089315433263001E-2</v>
      </c>
      <c r="E1143" s="53">
        <v>3.31E-3</v>
      </c>
      <c r="F1143" s="53">
        <v>-1.12294608207414E-2</v>
      </c>
      <c r="G1143" s="53">
        <v>2.3718389112441498E-3</v>
      </c>
      <c r="H1143" s="87">
        <v>8.3641762331931901E-4</v>
      </c>
      <c r="I1143" s="53">
        <v>-4.4949592242982101E-4</v>
      </c>
      <c r="J1143" s="53">
        <v>-6.5857508300222198E-3</v>
      </c>
      <c r="K1143" s="53">
        <v>-2.0951993490643298E-3</v>
      </c>
      <c r="L1143" s="95">
        <f>IFERROR(B1143*'Stock Statistics'!$C$41+C1143*'Stock Statistics'!$C$42+D1143*'Stock Statistics'!$C$43+E1143*'Stock Statistics'!$C$44+F1143*'Stock Statistics'!$C$45+G1143*'Stock Statistics'!$C$46+H1143*'Stock Statistics'!$C$47+I1143*'Stock Statistics'!$C$48+J1143*'Stock Statistics'!$C$49+K1143*'Stock Statistics'!$C$50,"")</f>
        <v>-1.3191841429018455E-3</v>
      </c>
      <c r="M1143" s="97">
        <v>259.66809999999998</v>
      </c>
      <c r="N1143" s="96">
        <v>333.89620000000002</v>
      </c>
      <c r="O1143" s="93">
        <f t="shared" si="51"/>
        <v>-7.2193913776008589E-4</v>
      </c>
      <c r="P1143" s="93">
        <f t="shared" si="52"/>
        <v>6.5855379837371775E-3</v>
      </c>
      <c r="Q1143" s="93">
        <f>B1143*'Portfolio 2 &amp; 3'!$F$7+C1143*'Portfolio 2 &amp; 3'!$F$8+D1143*'Portfolio 2 &amp; 3'!$F$9+E1143*'Portfolio 2 &amp; 3'!$F$10+F1143*'Portfolio 2 &amp; 3'!$F$11+G1143*'Portfolio 2 &amp; 3'!$F$12+H1143*'Portfolio 2 &amp; 3'!$F$13+I1143*'Portfolio 2 &amp; 3'!$F$14+J1143*'Portfolio 2 &amp; 3'!$F$15+K1143*'Portfolio 2 &amp; 3'!$F$16</f>
        <v>-2.5210818882117347E-3</v>
      </c>
      <c r="R1143" s="93">
        <f>B1143*'Portfolio 2 &amp; 3'!$B$23+C1143*'Portfolio 2 &amp; 3'!$B$24+D1143*'Portfolio 2 &amp; 3'!$B$25+E1143*'Portfolio 2 &amp; 3'!$B$26+F1143*'Portfolio 2 &amp; 3'!$B$27+G1143*'Portfolio 2 &amp; 3'!$B$28+H1143*'Portfolio 2 &amp; 3'!$B$29+I1143*'Portfolio 2 &amp; 3'!$B$30+J1143*'Portfolio 2 &amp; 3'!$B$31+K1143*'Portfolio 2 &amp; 3'!$B$32</f>
        <v>3.9452611500922428E-4</v>
      </c>
      <c r="S1143" s="93">
        <f t="shared" si="53"/>
        <v>2.9317994229885458E-3</v>
      </c>
    </row>
    <row r="1144" spans="1:19" ht="12.75" customHeight="1">
      <c r="A1144" s="81">
        <v>44403</v>
      </c>
      <c r="B1144" s="53">
        <v>2.5000000000000001E-3</v>
      </c>
      <c r="C1144" s="53">
        <v>3.6603484759803601E-2</v>
      </c>
      <c r="D1144" s="53">
        <v>-7.4881620966854596E-3</v>
      </c>
      <c r="E1144" s="53">
        <v>-5.9899999999999997E-3</v>
      </c>
      <c r="F1144" s="53">
        <v>-1.5765948801300299E-2</v>
      </c>
      <c r="G1144" s="53">
        <v>-5.5631465937928696E-3</v>
      </c>
      <c r="H1144" s="87">
        <v>2.83090085556115E-3</v>
      </c>
      <c r="I1144" s="53">
        <v>-1.1545122185876401E-3</v>
      </c>
      <c r="J1144" s="53">
        <v>8.0654010753868893E-3</v>
      </c>
      <c r="K1144" s="53">
        <v>-1.53344639538544E-3</v>
      </c>
      <c r="L1144" s="95">
        <f>IFERROR(B1144*'Stock Statistics'!$C$41+C1144*'Stock Statistics'!$C$42+D1144*'Stock Statistics'!$C$43+E1144*'Stock Statistics'!$C$44+F1144*'Stock Statistics'!$C$45+G1144*'Stock Statistics'!$C$46+H1144*'Stock Statistics'!$C$47+I1144*'Stock Statistics'!$C$48+J1144*'Stock Statistics'!$C$49+K1144*'Stock Statistics'!$C$50,"")</f>
        <v>1.2504570584999932E-3</v>
      </c>
      <c r="M1144" s="96">
        <v>259.85570000000001</v>
      </c>
      <c r="N1144" s="97">
        <v>331.71170000000001</v>
      </c>
      <c r="O1144" s="93">
        <f t="shared" si="51"/>
        <v>1.1495017956221654E-2</v>
      </c>
      <c r="P1144" s="93">
        <f t="shared" si="52"/>
        <v>2.553292577770705E-3</v>
      </c>
      <c r="Q1144" s="93">
        <f>B1144*'Portfolio 2 &amp; 3'!$F$7+C1144*'Portfolio 2 &amp; 3'!$F$8+D1144*'Portfolio 2 &amp; 3'!$F$9+E1144*'Portfolio 2 &amp; 3'!$F$10+F1144*'Portfolio 2 &amp; 3'!$F$11+G1144*'Portfolio 2 &amp; 3'!$F$12+H1144*'Portfolio 2 &amp; 3'!$F$13+I1144*'Portfolio 2 &amp; 3'!$F$14+J1144*'Portfolio 2 &amp; 3'!$F$15+K1144*'Portfolio 2 &amp; 3'!$F$16</f>
        <v>1.7718346410468804E-3</v>
      </c>
      <c r="R1144" s="93">
        <f>B1144*'Portfolio 2 &amp; 3'!$B$23+C1144*'Portfolio 2 &amp; 3'!$B$24+D1144*'Portfolio 2 &amp; 3'!$B$25+E1144*'Portfolio 2 &amp; 3'!$B$26+F1144*'Portfolio 2 &amp; 3'!$B$27+G1144*'Portfolio 2 &amp; 3'!$B$28+H1144*'Portfolio 2 &amp; 3'!$B$29+I1144*'Portfolio 2 &amp; 3'!$B$30+J1144*'Portfolio 2 &amp; 3'!$B$31+K1144*'Portfolio 2 &amp; 3'!$B$32</f>
        <v>4.0930644028862326E-3</v>
      </c>
      <c r="S1144" s="93">
        <f t="shared" si="53"/>
        <v>7.0241552669961793E-3</v>
      </c>
    </row>
    <row r="1145" spans="1:19" ht="12.75" customHeight="1">
      <c r="A1145" s="82">
        <v>44400</v>
      </c>
      <c r="B1145" s="53">
        <v>1.6299999999999999E-2</v>
      </c>
      <c r="C1145" s="53">
        <v>-1.15851306850209E-2</v>
      </c>
      <c r="D1145" s="53">
        <v>1.7097788318349899E-3</v>
      </c>
      <c r="E1145" s="53">
        <v>-2.3800000000000002E-3</v>
      </c>
      <c r="F1145" s="53">
        <v>-7.9812963560143002E-3</v>
      </c>
      <c r="G1145" s="53">
        <v>-8.9311623408028194E-3</v>
      </c>
      <c r="H1145" s="87">
        <v>9.9752207891226092E-3</v>
      </c>
      <c r="I1145" s="53">
        <v>-1.7394592550576699E-2</v>
      </c>
      <c r="J1145" s="53">
        <v>-3.60693886185742E-2</v>
      </c>
      <c r="K1145" s="53">
        <v>-8.1986201339577808E-3</v>
      </c>
      <c r="L1145" s="95">
        <f>IFERROR(B1145*'Stock Statistics'!$C$41+C1145*'Stock Statistics'!$C$42+D1145*'Stock Statistics'!$C$43+E1145*'Stock Statistics'!$C$44+F1145*'Stock Statistics'!$C$45+G1145*'Stock Statistics'!$C$46+H1145*'Stock Statistics'!$C$47+I1145*'Stock Statistics'!$C$48+J1145*'Stock Statistics'!$C$49+K1145*'Stock Statistics'!$C$50,"")</f>
        <v>-6.4555191063989104E-3</v>
      </c>
      <c r="M1145" s="97">
        <v>256.90260000000001</v>
      </c>
      <c r="N1145" s="96">
        <v>330.86689999999999</v>
      </c>
      <c r="O1145" s="93">
        <f t="shared" si="51"/>
        <v>-1.1158134190911051E-2</v>
      </c>
      <c r="P1145" s="93">
        <f t="shared" si="52"/>
        <v>7.005306709292336E-3</v>
      </c>
      <c r="Q1145" s="93">
        <f>B1145*'Portfolio 2 &amp; 3'!$F$7+C1145*'Portfolio 2 &amp; 3'!$F$8+D1145*'Portfolio 2 &amp; 3'!$F$9+E1145*'Portfolio 2 &amp; 3'!$F$10+F1145*'Portfolio 2 &amp; 3'!$F$11+G1145*'Portfolio 2 &amp; 3'!$F$12+H1145*'Portfolio 2 &amp; 3'!$F$13+I1145*'Portfolio 2 &amp; 3'!$F$14+J1145*'Portfolio 2 &amp; 3'!$F$15+K1145*'Portfolio 2 &amp; 3'!$F$16</f>
        <v>-7.0273344167783537E-3</v>
      </c>
      <c r="R1145" s="93">
        <f>B1145*'Portfolio 2 &amp; 3'!$B$23+C1145*'Portfolio 2 &amp; 3'!$B$24+D1145*'Portfolio 2 &amp; 3'!$B$25+E1145*'Portfolio 2 &amp; 3'!$B$26+F1145*'Portfolio 2 &amp; 3'!$B$27+G1145*'Portfolio 2 &amp; 3'!$B$28+H1145*'Portfolio 2 &amp; 3'!$B$29+I1145*'Portfolio 2 &amp; 3'!$B$30+J1145*'Portfolio 2 &amp; 3'!$B$31+K1145*'Portfolio 2 &amp; 3'!$B$32</f>
        <v>-8.1604114744265183E-3</v>
      </c>
      <c r="S1145" s="93">
        <f t="shared" si="53"/>
        <v>-2.0764137408093575E-3</v>
      </c>
    </row>
    <row r="1146" spans="1:19" ht="12.75" customHeight="1">
      <c r="A1146" s="81">
        <v>44399</v>
      </c>
      <c r="B1146" s="53">
        <v>3.3999999999999998E-3</v>
      </c>
      <c r="C1146" s="53">
        <v>-3.94497717232323E-3</v>
      </c>
      <c r="D1146" s="53">
        <v>-1.1288035772712399E-2</v>
      </c>
      <c r="E1146" s="53">
        <v>1.078E-2</v>
      </c>
      <c r="F1146" s="53">
        <v>-3.6947791164657598E-3</v>
      </c>
      <c r="G1146" s="53">
        <v>8.1752726445301106E-3</v>
      </c>
      <c r="H1146" s="87">
        <v>4.2858206336207098E-3</v>
      </c>
      <c r="I1146" s="53">
        <v>5.76825557809335E-3</v>
      </c>
      <c r="J1146" s="53">
        <v>6.1192997392647301E-3</v>
      </c>
      <c r="K1146" s="53">
        <v>-8.5083435693100694E-3</v>
      </c>
      <c r="L1146" s="95">
        <f>IFERROR(B1146*'Stock Statistics'!$C$41+C1146*'Stock Statistics'!$C$42+D1146*'Stock Statistics'!$C$43+E1146*'Stock Statistics'!$C$44+F1146*'Stock Statistics'!$C$45+G1146*'Stock Statistics'!$C$46+H1146*'Stock Statistics'!$C$47+I1146*'Stock Statistics'!$C$48+J1146*'Stock Statistics'!$C$49+K1146*'Stock Statistics'!$C$50,"")</f>
        <v>1.1092512964697445E-3</v>
      </c>
      <c r="M1146" s="96">
        <v>259.80149999999998</v>
      </c>
      <c r="N1146" s="97">
        <v>328.5652</v>
      </c>
      <c r="O1146" s="93">
        <f t="shared" si="51"/>
        <v>-3.5322187990238785E-4</v>
      </c>
      <c r="P1146" s="93">
        <f t="shared" si="52"/>
        <v>-7.330999538659011E-3</v>
      </c>
      <c r="Q1146" s="93">
        <f>B1146*'Portfolio 2 &amp; 3'!$F$7+C1146*'Portfolio 2 &amp; 3'!$F$8+D1146*'Portfolio 2 &amp; 3'!$F$9+E1146*'Portfolio 2 &amp; 3'!$F$10+F1146*'Portfolio 2 &amp; 3'!$F$11+G1146*'Portfolio 2 &amp; 3'!$F$12+H1146*'Portfolio 2 &amp; 3'!$F$13+I1146*'Portfolio 2 &amp; 3'!$F$14+J1146*'Portfolio 2 &amp; 3'!$F$15+K1146*'Portfolio 2 &amp; 3'!$F$16</f>
        <v>5.9877120973574147E-4</v>
      </c>
      <c r="R1146" s="93">
        <f>B1146*'Portfolio 2 &amp; 3'!$B$23+C1146*'Portfolio 2 &amp; 3'!$B$24+D1146*'Portfolio 2 &amp; 3'!$B$25+E1146*'Portfolio 2 &amp; 3'!$B$26+F1146*'Portfolio 2 &amp; 3'!$B$27+G1146*'Portfolio 2 &amp; 3'!$B$28+H1146*'Portfolio 2 &amp; 3'!$B$29+I1146*'Portfolio 2 &amp; 3'!$B$30+J1146*'Portfolio 2 &amp; 3'!$B$31+K1146*'Portfolio 2 &amp; 3'!$B$32</f>
        <v>8.8731277160264551E-4</v>
      </c>
      <c r="S1146" s="93">
        <f t="shared" si="53"/>
        <v>-3.8421107092806994E-3</v>
      </c>
    </row>
    <row r="1147" spans="1:19" ht="12.75" customHeight="1">
      <c r="A1147" s="82">
        <v>44397</v>
      </c>
      <c r="B1147" s="53">
        <v>7.1999999999999998E-3</v>
      </c>
      <c r="C1147" s="53">
        <v>-1.2648071424403299E-2</v>
      </c>
      <c r="D1147" s="53">
        <v>-1.52455624523573E-3</v>
      </c>
      <c r="E1147" s="53">
        <v>8.4799999999999997E-3</v>
      </c>
      <c r="F1147" s="53">
        <v>-2.6583268178264299E-2</v>
      </c>
      <c r="G1147" s="53">
        <v>1.70948520074243E-3</v>
      </c>
      <c r="H1147" s="87">
        <v>-2.0483104092374801E-3</v>
      </c>
      <c r="I1147" s="53">
        <v>4.5848191543553796E-3</v>
      </c>
      <c r="J1147" s="53">
        <v>1.23902386467705E-2</v>
      </c>
      <c r="K1147" s="53">
        <v>1.5804583126223699E-2</v>
      </c>
      <c r="L1147" s="95">
        <f>IFERROR(B1147*'Stock Statistics'!$C$41+C1147*'Stock Statistics'!$C$42+D1147*'Stock Statistics'!$C$43+E1147*'Stock Statistics'!$C$44+F1147*'Stock Statistics'!$C$45+G1147*'Stock Statistics'!$C$46+H1147*'Stock Statistics'!$C$47+I1147*'Stock Statistics'!$C$48+J1147*'Stock Statistics'!$C$49+K1147*'Stock Statistics'!$C$50,"")</f>
        <v>7.3649198709511954E-4</v>
      </c>
      <c r="M1147" s="97">
        <v>259.89330000000001</v>
      </c>
      <c r="N1147" s="96">
        <v>330.99169999999998</v>
      </c>
      <c r="O1147" s="93">
        <f t="shared" si="51"/>
        <v>1.2027038445947325E-2</v>
      </c>
      <c r="P1147" s="93">
        <f t="shared" si="52"/>
        <v>2.1266205111698522E-3</v>
      </c>
      <c r="Q1147" s="93">
        <f>B1147*'Portfolio 2 &amp; 3'!$F$7+C1147*'Portfolio 2 &amp; 3'!$F$8+D1147*'Portfolio 2 &amp; 3'!$F$9+E1147*'Portfolio 2 &amp; 3'!$F$10+F1147*'Portfolio 2 &amp; 3'!$F$11+G1147*'Portfolio 2 &amp; 3'!$F$12+H1147*'Portfolio 2 &amp; 3'!$F$13+I1147*'Portfolio 2 &amp; 3'!$F$14+J1147*'Portfolio 2 &amp; 3'!$F$15+K1147*'Portfolio 2 &amp; 3'!$F$16</f>
        <v>1.2259892645765671E-4</v>
      </c>
      <c r="R1147" s="93">
        <f>B1147*'Portfolio 2 &amp; 3'!$B$23+C1147*'Portfolio 2 &amp; 3'!$B$24+D1147*'Portfolio 2 &amp; 3'!$B$25+E1147*'Portfolio 2 &amp; 3'!$B$26+F1147*'Portfolio 2 &amp; 3'!$B$27+G1147*'Portfolio 2 &amp; 3'!$B$28+H1147*'Portfolio 2 &amp; 3'!$B$29+I1147*'Portfolio 2 &amp; 3'!$B$30+J1147*'Portfolio 2 &amp; 3'!$B$31+K1147*'Portfolio 2 &amp; 3'!$B$32</f>
        <v>-2.6344817988471821E-3</v>
      </c>
      <c r="S1147" s="93">
        <f t="shared" si="53"/>
        <v>7.0768294785585883E-3</v>
      </c>
    </row>
    <row r="1148" spans="1:19" ht="12.75" customHeight="1">
      <c r="A1148" s="81">
        <v>44396</v>
      </c>
      <c r="B1148" s="53">
        <v>-8.0000000000000002E-3</v>
      </c>
      <c r="C1148" s="53">
        <v>9.6326626800602392E-3</v>
      </c>
      <c r="D1148" s="53">
        <v>1.8546803403882699E-3</v>
      </c>
      <c r="E1148" s="53">
        <v>1.5959999999999998E-2</v>
      </c>
      <c r="F1148" s="53">
        <v>-6.7562320416246803E-3</v>
      </c>
      <c r="G1148" s="53">
        <v>1.10950154737604E-2</v>
      </c>
      <c r="H1148" s="87">
        <v>8.2501364322173903E-3</v>
      </c>
      <c r="I1148" s="53">
        <v>-1.2084207848374101E-3</v>
      </c>
      <c r="J1148" s="53">
        <v>7.7085934531242496E-3</v>
      </c>
      <c r="K1148" s="53">
        <v>4.6574672346668703E-3</v>
      </c>
      <c r="L1148" s="95">
        <f>IFERROR(B1148*'Stock Statistics'!$C$41+C1148*'Stock Statistics'!$C$42+D1148*'Stock Statistics'!$C$43+E1148*'Stock Statistics'!$C$44+F1148*'Stock Statistics'!$C$45+G1148*'Stock Statistics'!$C$46+H1148*'Stock Statistics'!$C$47+I1148*'Stock Statistics'!$C$48+J1148*'Stock Statistics'!$C$49+K1148*'Stock Statistics'!$C$50,"")</f>
        <v>4.3193902787755332E-3</v>
      </c>
      <c r="M1148" s="96">
        <v>256.80470000000003</v>
      </c>
      <c r="N1148" s="97">
        <v>330.28930000000003</v>
      </c>
      <c r="O1148" s="93">
        <f t="shared" si="51"/>
        <v>-3.0916017051167977E-3</v>
      </c>
      <c r="P1148" s="93">
        <f t="shared" si="52"/>
        <v>-8.3052248965187481E-3</v>
      </c>
      <c r="Q1148" s="93">
        <f>B1148*'Portfolio 2 &amp; 3'!$F$7+C1148*'Portfolio 2 &amp; 3'!$F$8+D1148*'Portfolio 2 &amp; 3'!$F$9+E1148*'Portfolio 2 &amp; 3'!$F$10+F1148*'Portfolio 2 &amp; 3'!$F$11+G1148*'Portfolio 2 &amp; 3'!$F$12+H1148*'Portfolio 2 &amp; 3'!$F$13+I1148*'Portfolio 2 &amp; 3'!$F$14+J1148*'Portfolio 2 &amp; 3'!$F$15+K1148*'Portfolio 2 &amp; 3'!$F$16</f>
        <v>4.4535386335365261E-3</v>
      </c>
      <c r="R1148" s="93">
        <f>B1148*'Portfolio 2 &amp; 3'!$B$23+C1148*'Portfolio 2 &amp; 3'!$B$24+D1148*'Portfolio 2 &amp; 3'!$B$25+E1148*'Portfolio 2 &amp; 3'!$B$26+F1148*'Portfolio 2 &amp; 3'!$B$27+G1148*'Portfolio 2 &amp; 3'!$B$28+H1148*'Portfolio 2 &amp; 3'!$B$29+I1148*'Portfolio 2 &amp; 3'!$B$30+J1148*'Portfolio 2 &amp; 3'!$B$31+K1148*'Portfolio 2 &amp; 3'!$B$32</f>
        <v>1.5062840478203159E-3</v>
      </c>
      <c r="S1148" s="93">
        <f t="shared" si="53"/>
        <v>-5.6984133008177729E-3</v>
      </c>
    </row>
    <row r="1149" spans="1:19" ht="12.75" customHeight="1">
      <c r="A1149" s="82">
        <v>44393</v>
      </c>
      <c r="B1149" s="53">
        <v>8.5000000000000006E-3</v>
      </c>
      <c r="C1149" s="53">
        <v>7.8826655582440192E-3</v>
      </c>
      <c r="D1149" s="53">
        <v>9.1935039911918998E-3</v>
      </c>
      <c r="E1149" s="53">
        <v>-1.5949999999999999E-2</v>
      </c>
      <c r="F1149" s="53">
        <v>5.7013433302093297E-3</v>
      </c>
      <c r="G1149" s="53">
        <v>-1.5333743962135601E-2</v>
      </c>
      <c r="H1149" s="87">
        <v>-1.2490093517197799E-2</v>
      </c>
      <c r="I1149" s="53">
        <v>5.0906776964687605E-4</v>
      </c>
      <c r="J1149" s="53">
        <v>1.08689745122548E-3</v>
      </c>
      <c r="K1149" s="53">
        <v>1.28618027168752E-2</v>
      </c>
      <c r="L1149" s="95">
        <f>IFERROR(B1149*'Stock Statistics'!$C$41+C1149*'Stock Statistics'!$C$42+D1149*'Stock Statistics'!$C$43+E1149*'Stock Statistics'!$C$44+F1149*'Stock Statistics'!$C$45+G1149*'Stock Statistics'!$C$46+H1149*'Stock Statistics'!$C$47+I1149*'Stock Statistics'!$C$48+J1149*'Stock Statistics'!$C$49+K1149*'Stock Statistics'!$C$50,"")</f>
        <v>1.9614433380594066E-4</v>
      </c>
      <c r="M1149" s="97">
        <v>257.60109999999997</v>
      </c>
      <c r="N1149" s="96">
        <v>333.05540000000002</v>
      </c>
      <c r="O1149" s="93">
        <f t="shared" si="51"/>
        <v>2.433693146861593E-3</v>
      </c>
      <c r="P1149" s="93">
        <f t="shared" si="52"/>
        <v>6.4294886393345685E-4</v>
      </c>
      <c r="Q1149" s="93">
        <f>B1149*'Portfolio 2 &amp; 3'!$F$7+C1149*'Portfolio 2 &amp; 3'!$F$8+D1149*'Portfolio 2 &amp; 3'!$F$9+E1149*'Portfolio 2 &amp; 3'!$F$10+F1149*'Portfolio 2 &amp; 3'!$F$11+G1149*'Portfolio 2 &amp; 3'!$F$12+H1149*'Portfolio 2 &amp; 3'!$F$13+I1149*'Portfolio 2 &amp; 3'!$F$14+J1149*'Portfolio 2 &amp; 3'!$F$15+K1149*'Portfolio 2 &amp; 3'!$F$16</f>
        <v>3.1868045849678232E-4</v>
      </c>
      <c r="R1149" s="93">
        <f>B1149*'Portfolio 2 &amp; 3'!$B$23+C1149*'Portfolio 2 &amp; 3'!$B$24+D1149*'Portfolio 2 &amp; 3'!$B$25+E1149*'Portfolio 2 &amp; 3'!$B$26+F1149*'Portfolio 2 &amp; 3'!$B$27+G1149*'Portfolio 2 &amp; 3'!$B$28+H1149*'Portfolio 2 &amp; 3'!$B$29+I1149*'Portfolio 2 &amp; 3'!$B$30+J1149*'Portfolio 2 &amp; 3'!$B$31+K1149*'Portfolio 2 &amp; 3'!$B$32</f>
        <v>2.9222752550429301E-3</v>
      </c>
      <c r="S1149" s="93">
        <f t="shared" si="53"/>
        <v>1.5383210053975249E-3</v>
      </c>
    </row>
    <row r="1150" spans="1:19" ht="12.75" customHeight="1">
      <c r="A1150" s="81">
        <v>44392</v>
      </c>
      <c r="B1150" s="53">
        <v>-3.0000000000000001E-3</v>
      </c>
      <c r="C1150" s="53">
        <v>-8.1132019907529402E-3</v>
      </c>
      <c r="D1150" s="53">
        <v>-7.4855207081193599E-3</v>
      </c>
      <c r="E1150" s="53">
        <v>-7.7799999999999996E-3</v>
      </c>
      <c r="F1150" s="53">
        <v>-4.9735778675783502E-3</v>
      </c>
      <c r="G1150" s="53">
        <v>2.7257438766505201E-2</v>
      </c>
      <c r="H1150" s="87">
        <v>-2.3041902815200199E-2</v>
      </c>
      <c r="I1150" s="53">
        <v>-1.13865123301459E-2</v>
      </c>
      <c r="J1150" s="53">
        <v>4.1841241082549899E-2</v>
      </c>
      <c r="K1150" s="53">
        <v>-9.5693779904306702E-3</v>
      </c>
      <c r="L1150" s="95">
        <f>IFERROR(B1150*'Stock Statistics'!$C$41+C1150*'Stock Statistics'!$C$42+D1150*'Stock Statistics'!$C$43+E1150*'Stock Statistics'!$C$44+F1150*'Stock Statistics'!$C$45+G1150*'Stock Statistics'!$C$46+H1150*'Stock Statistics'!$C$47+I1150*'Stock Statistics'!$C$48+J1150*'Stock Statistics'!$C$49+K1150*'Stock Statistics'!$C$50,"")</f>
        <v>-6.2514138531723175E-4</v>
      </c>
      <c r="M1150" s="96">
        <v>256.97570000000002</v>
      </c>
      <c r="N1150" s="97">
        <v>332.84140000000002</v>
      </c>
      <c r="O1150" s="93">
        <f t="shared" si="51"/>
        <v>6.3602499455652772E-3</v>
      </c>
      <c r="P1150" s="93">
        <f t="shared" si="52"/>
        <v>1.0732535071366511E-2</v>
      </c>
      <c r="Q1150" s="93">
        <f>B1150*'Portfolio 2 &amp; 3'!$F$7+C1150*'Portfolio 2 &amp; 3'!$F$8+D1150*'Portfolio 2 &amp; 3'!$F$9+E1150*'Portfolio 2 &amp; 3'!$F$10+F1150*'Portfolio 2 &amp; 3'!$F$11+G1150*'Portfolio 2 &amp; 3'!$F$12+H1150*'Portfolio 2 &amp; 3'!$F$13+I1150*'Portfolio 2 &amp; 3'!$F$14+J1150*'Portfolio 2 &amp; 3'!$F$15+K1150*'Portfolio 2 &amp; 3'!$F$16</f>
        <v>-9.8085599277458919E-4</v>
      </c>
      <c r="R1150" s="93">
        <f>B1150*'Portfolio 2 &amp; 3'!$B$23+C1150*'Portfolio 2 &amp; 3'!$B$24+D1150*'Portfolio 2 &amp; 3'!$B$25+E1150*'Portfolio 2 &amp; 3'!$B$26+F1150*'Portfolio 2 &amp; 3'!$B$27+G1150*'Portfolio 2 &amp; 3'!$B$28+H1150*'Portfolio 2 &amp; 3'!$B$29+I1150*'Portfolio 2 &amp; 3'!$B$30+J1150*'Portfolio 2 &amp; 3'!$B$31+K1150*'Portfolio 2 &amp; 3'!$B$32</f>
        <v>-2.9183758148814795E-3</v>
      </c>
      <c r="S1150" s="93">
        <f t="shared" si="53"/>
        <v>8.5463925084658943E-3</v>
      </c>
    </row>
    <row r="1151" spans="1:19" ht="12.75" customHeight="1">
      <c r="A1151" s="82">
        <v>44391</v>
      </c>
      <c r="B1151" s="53">
        <v>-6.9999999999999999E-4</v>
      </c>
      <c r="C1151" s="53">
        <v>-1.53681097225041E-2</v>
      </c>
      <c r="D1151" s="53">
        <v>1.0713496796996E-2</v>
      </c>
      <c r="E1151" s="53">
        <v>-4.9509999999999998E-2</v>
      </c>
      <c r="F1151" s="53">
        <v>-3.4076827757125701E-3</v>
      </c>
      <c r="G1151" s="53">
        <v>-2.4795401402961801E-2</v>
      </c>
      <c r="H1151" s="87">
        <v>-0.10494802494802501</v>
      </c>
      <c r="I1151" s="53">
        <v>2.5548387096774101E-2</v>
      </c>
      <c r="J1151" s="53">
        <v>-7.6413080121361396E-3</v>
      </c>
      <c r="K1151" s="53">
        <v>2.0703760904955001E-2</v>
      </c>
      <c r="L1151" s="95">
        <f>IFERROR(B1151*'Stock Statistics'!$C$41+C1151*'Stock Statistics'!$C$42+D1151*'Stock Statistics'!$C$43+E1151*'Stock Statistics'!$C$44+F1151*'Stock Statistics'!$C$45+G1151*'Stock Statistics'!$C$46+H1151*'Stock Statistics'!$C$47+I1151*'Stock Statistics'!$C$48+J1151*'Stock Statistics'!$C$49+K1151*'Stock Statistics'!$C$50,"")</f>
        <v>-1.4940488206261452E-2</v>
      </c>
      <c r="M1151" s="97">
        <v>255.35159999999999</v>
      </c>
      <c r="N1151" s="96">
        <v>329.30709999999999</v>
      </c>
      <c r="O1151" s="93">
        <f t="shared" si="51"/>
        <v>5.0544113256423273E-4</v>
      </c>
      <c r="P1151" s="93">
        <f t="shared" si="52"/>
        <v>4.1773241949982776E-3</v>
      </c>
      <c r="Q1151" s="93">
        <f>B1151*'Portfolio 2 &amp; 3'!$F$7+C1151*'Portfolio 2 &amp; 3'!$F$8+D1151*'Portfolio 2 &amp; 3'!$F$9+E1151*'Portfolio 2 &amp; 3'!$F$10+F1151*'Portfolio 2 &amp; 3'!$F$11+G1151*'Portfolio 2 &amp; 3'!$F$12+H1151*'Portfolio 2 &amp; 3'!$F$13+I1151*'Portfolio 2 &amp; 3'!$F$14+J1151*'Portfolio 2 &amp; 3'!$F$15+K1151*'Portfolio 2 &amp; 3'!$F$16</f>
        <v>-1.989856848853705E-2</v>
      </c>
      <c r="R1151" s="93">
        <f>B1151*'Portfolio 2 &amp; 3'!$B$23+C1151*'Portfolio 2 &amp; 3'!$B$24+D1151*'Portfolio 2 &amp; 3'!$B$25+E1151*'Portfolio 2 &amp; 3'!$B$26+F1151*'Portfolio 2 &amp; 3'!$B$27+G1151*'Portfolio 2 &amp; 3'!$B$28+H1151*'Portfolio 2 &amp; 3'!$B$29+I1151*'Portfolio 2 &amp; 3'!$B$30+J1151*'Portfolio 2 &amp; 3'!$B$31+K1151*'Portfolio 2 &amp; 3'!$B$32</f>
        <v>-1.3041483674953189E-3</v>
      </c>
      <c r="S1151" s="93">
        <f t="shared" si="53"/>
        <v>2.3413826637812551E-3</v>
      </c>
    </row>
    <row r="1152" spans="1:19" ht="12.75" customHeight="1">
      <c r="A1152" s="81">
        <v>44390</v>
      </c>
      <c r="B1152" s="53">
        <v>4.7000000000000002E-3</v>
      </c>
      <c r="C1152" s="53">
        <v>2.9109410202467802E-2</v>
      </c>
      <c r="D1152" s="53">
        <v>-4.9748110831234198E-2</v>
      </c>
      <c r="E1152" s="53">
        <v>-5.3099999999999996E-3</v>
      </c>
      <c r="F1152" s="53">
        <v>7.7507363199513801E-4</v>
      </c>
      <c r="G1152" s="53">
        <v>1.1829652996845399E-2</v>
      </c>
      <c r="H1152" s="87">
        <v>-2.0102726778122898E-3</v>
      </c>
      <c r="I1152" s="53">
        <v>1.35667678790608E-3</v>
      </c>
      <c r="J1152" s="53">
        <v>-2.5407950936370601E-2</v>
      </c>
      <c r="K1152" s="53">
        <v>-2.6365788484399001E-2</v>
      </c>
      <c r="L1152" s="95">
        <f>IFERROR(B1152*'Stock Statistics'!$C$41+C1152*'Stock Statistics'!$C$42+D1152*'Stock Statistics'!$C$43+E1152*'Stock Statistics'!$C$44+F1152*'Stock Statistics'!$C$45+G1152*'Stock Statistics'!$C$46+H1152*'Stock Statistics'!$C$47+I1152*'Stock Statistics'!$C$48+J1152*'Stock Statistics'!$C$49+K1152*'Stock Statistics'!$C$50,"")</f>
        <v>-6.1071309310601679E-3</v>
      </c>
      <c r="M1152" s="96">
        <v>255.2226</v>
      </c>
      <c r="N1152" s="97">
        <v>327.93720000000002</v>
      </c>
      <c r="O1152" s="93">
        <f t="shared" si="51"/>
        <v>5.2031988783052263E-3</v>
      </c>
      <c r="P1152" s="93">
        <f t="shared" si="52"/>
        <v>1.3422999130376922E-3</v>
      </c>
      <c r="Q1152" s="93">
        <f>B1152*'Portfolio 2 &amp; 3'!$F$7+C1152*'Portfolio 2 &amp; 3'!$F$8+D1152*'Portfolio 2 &amp; 3'!$F$9+E1152*'Portfolio 2 &amp; 3'!$F$10+F1152*'Portfolio 2 &amp; 3'!$F$11+G1152*'Portfolio 2 &amp; 3'!$F$12+H1152*'Portfolio 2 &amp; 3'!$F$13+I1152*'Portfolio 2 &amp; 3'!$F$14+J1152*'Portfolio 2 &amp; 3'!$F$15+K1152*'Portfolio 2 &amp; 3'!$F$16</f>
        <v>-9.1449376143786024E-3</v>
      </c>
      <c r="R1152" s="93">
        <f>B1152*'Portfolio 2 &amp; 3'!$B$23+C1152*'Portfolio 2 &amp; 3'!$B$24+D1152*'Portfolio 2 &amp; 3'!$B$25+E1152*'Portfolio 2 &amp; 3'!$B$26+F1152*'Portfolio 2 &amp; 3'!$B$27+G1152*'Portfolio 2 &amp; 3'!$B$28+H1152*'Portfolio 2 &amp; 3'!$B$29+I1152*'Portfolio 2 &amp; 3'!$B$30+J1152*'Portfolio 2 &amp; 3'!$B$31+K1152*'Portfolio 2 &amp; 3'!$B$32</f>
        <v>4.1343591164608399E-3</v>
      </c>
      <c r="S1152" s="93">
        <f t="shared" si="53"/>
        <v>3.2727493956714593E-3</v>
      </c>
    </row>
    <row r="1153" spans="1:19" ht="12.75" customHeight="1">
      <c r="A1153" s="82">
        <v>44389</v>
      </c>
      <c r="B1153" s="53">
        <v>4.0000000000000001E-3</v>
      </c>
      <c r="C1153" s="53">
        <v>5.8529557426501002E-3</v>
      </c>
      <c r="D1153" s="53">
        <v>-1.13105738300302E-2</v>
      </c>
      <c r="E1153" s="53">
        <v>1.48E-3</v>
      </c>
      <c r="F1153" s="53">
        <v>7.18188914910223E-3</v>
      </c>
      <c r="G1153" s="53">
        <v>9.8388943272882407E-3</v>
      </c>
      <c r="H1153" s="87">
        <v>6.9922926919860897E-3</v>
      </c>
      <c r="I1153" s="53">
        <v>0.10092460881934601</v>
      </c>
      <c r="J1153" s="53">
        <v>-3.9398243122402699E-2</v>
      </c>
      <c r="K1153" s="53">
        <v>1.9980309860614401E-2</v>
      </c>
      <c r="L1153" s="95">
        <f>IFERROR(B1153*'Stock Statistics'!$C$41+C1153*'Stock Statistics'!$C$42+D1153*'Stock Statistics'!$C$43+E1153*'Stock Statistics'!$C$44+F1153*'Stock Statistics'!$C$45+G1153*'Stock Statistics'!$C$46+H1153*'Stock Statistics'!$C$47+I1153*'Stock Statistics'!$C$48+J1153*'Stock Statistics'!$C$49+K1153*'Stock Statistics'!$C$50,"")</f>
        <v>1.0554213363855418E-2</v>
      </c>
      <c r="M1153" s="97">
        <v>253.9015</v>
      </c>
      <c r="N1153" s="96">
        <v>327.49759999999998</v>
      </c>
      <c r="O1153" s="93">
        <f t="shared" si="51"/>
        <v>-9.4945955551186678E-3</v>
      </c>
      <c r="P1153" s="93">
        <f t="shared" si="52"/>
        <v>6.0665489483378021E-3</v>
      </c>
      <c r="Q1153" s="93">
        <f>B1153*'Portfolio 2 &amp; 3'!$F$7+C1153*'Portfolio 2 &amp; 3'!$F$8+D1153*'Portfolio 2 &amp; 3'!$F$9+E1153*'Portfolio 2 &amp; 3'!$F$10+F1153*'Portfolio 2 &amp; 3'!$F$11+G1153*'Portfolio 2 &amp; 3'!$F$12+H1153*'Portfolio 2 &amp; 3'!$F$13+I1153*'Portfolio 2 &amp; 3'!$F$14+J1153*'Portfolio 2 &amp; 3'!$F$15+K1153*'Portfolio 2 &amp; 3'!$F$16</f>
        <v>6.2614512212537006E-3</v>
      </c>
      <c r="R1153" s="93">
        <f>B1153*'Portfolio 2 &amp; 3'!$B$23+C1153*'Portfolio 2 &amp; 3'!$B$24+D1153*'Portfolio 2 &amp; 3'!$B$25+E1153*'Portfolio 2 &amp; 3'!$B$26+F1153*'Portfolio 2 &amp; 3'!$B$27+G1153*'Portfolio 2 &amp; 3'!$B$28+H1153*'Portfolio 2 &amp; 3'!$B$29+I1153*'Portfolio 2 &amp; 3'!$B$30+J1153*'Portfolio 2 &amp; 3'!$B$31+K1153*'Portfolio 2 &amp; 3'!$B$32</f>
        <v>2.955253592276957E-2</v>
      </c>
      <c r="S1153" s="93">
        <f t="shared" si="53"/>
        <v>-1.7140233033904329E-3</v>
      </c>
    </row>
    <row r="1154" spans="1:19" ht="12.75" customHeight="1">
      <c r="A1154" s="81">
        <v>44386</v>
      </c>
      <c r="B1154" s="53">
        <v>-4.0000000000000002E-4</v>
      </c>
      <c r="C1154" s="53">
        <v>4.0836623368796197E-3</v>
      </c>
      <c r="D1154" s="53">
        <v>-8.6410863079929793E-3</v>
      </c>
      <c r="E1154" s="53">
        <v>2.0799999999999998E-3</v>
      </c>
      <c r="F1154" s="53">
        <v>1.24081245554415E-2</v>
      </c>
      <c r="G1154" s="53">
        <v>1.75755529292589E-2</v>
      </c>
      <c r="H1154" s="87">
        <v>7.5691657076562002E-3</v>
      </c>
      <c r="I1154" s="53">
        <v>2.2099447513812299E-2</v>
      </c>
      <c r="J1154" s="53">
        <v>2.6898734177214201E-3</v>
      </c>
      <c r="K1154" s="53">
        <v>-3.8197491353946199E-3</v>
      </c>
      <c r="L1154" s="95">
        <f>IFERROR(B1154*'Stock Statistics'!$C$41+C1154*'Stock Statistics'!$C$42+D1154*'Stock Statistics'!$C$43+E1154*'Stock Statistics'!$C$44+F1154*'Stock Statistics'!$C$45+G1154*'Stock Statistics'!$C$46+H1154*'Stock Statistics'!$C$47+I1154*'Stock Statistics'!$C$48+J1154*'Stock Statistics'!$C$49+K1154*'Stock Statistics'!$C$50,"")</f>
        <v>5.5644991017382338E-3</v>
      </c>
      <c r="M1154" s="96">
        <v>256.33530000000002</v>
      </c>
      <c r="N1154" s="97">
        <v>325.52280000000002</v>
      </c>
      <c r="O1154" s="93">
        <f t="shared" ref="O1154:O1210" si="54">M1154/M1155-1</f>
        <v>1.8235915530113722E-3</v>
      </c>
      <c r="P1154" s="93">
        <f t="shared" ref="P1154:P1210" si="55">N1154/N1155-1</f>
        <v>7.1173925808956096E-3</v>
      </c>
      <c r="Q1154" s="93">
        <f>B1154*'Portfolio 2 &amp; 3'!$F$7+C1154*'Portfolio 2 &amp; 3'!$F$8+D1154*'Portfolio 2 &amp; 3'!$F$9+E1154*'Portfolio 2 &amp; 3'!$F$10+F1154*'Portfolio 2 &amp; 3'!$F$11+G1154*'Portfolio 2 &amp; 3'!$F$12+H1154*'Portfolio 2 &amp; 3'!$F$13+I1154*'Portfolio 2 &amp; 3'!$F$14+J1154*'Portfolio 2 &amp; 3'!$F$15+K1154*'Portfolio 2 &amp; 3'!$F$16</f>
        <v>4.8095318483959851E-3</v>
      </c>
      <c r="R1154" s="93">
        <f>B1154*'Portfolio 2 &amp; 3'!$B$23+C1154*'Portfolio 2 &amp; 3'!$B$24+D1154*'Portfolio 2 &amp; 3'!$B$25+E1154*'Portfolio 2 &amp; 3'!$B$26+F1154*'Portfolio 2 &amp; 3'!$B$27+G1154*'Portfolio 2 &amp; 3'!$B$28+H1154*'Portfolio 2 &amp; 3'!$B$29+I1154*'Portfolio 2 &amp; 3'!$B$30+J1154*'Portfolio 2 &amp; 3'!$B$31+K1154*'Portfolio 2 &amp; 3'!$B$32</f>
        <v>9.9557289664680883E-3</v>
      </c>
      <c r="S1154" s="93">
        <f t="shared" ref="S1154:S1211" si="56">IFERROR(AVERAGE(O1154,P1154),"")</f>
        <v>4.4704920669534909E-3</v>
      </c>
    </row>
    <row r="1155" spans="1:19" ht="12.75" customHeight="1">
      <c r="A1155" s="82">
        <v>44385</v>
      </c>
      <c r="B1155" s="53">
        <v>-2.0000000000000001E-4</v>
      </c>
      <c r="C1155" s="53">
        <v>-1.0334799791216201E-2</v>
      </c>
      <c r="D1155" s="53">
        <v>6.8358363542206898E-3</v>
      </c>
      <c r="E1155" s="53">
        <v>-1.427E-2</v>
      </c>
      <c r="F1155" s="53">
        <v>-8.5409810374550404E-3</v>
      </c>
      <c r="G1155" s="53">
        <v>-2.5932911221877601E-3</v>
      </c>
      <c r="H1155" s="87">
        <v>-1.3894655263085099E-2</v>
      </c>
      <c r="I1155" s="53">
        <v>-2.2177992607335901E-2</v>
      </c>
      <c r="J1155" s="53">
        <v>-2.0002105484787699E-3</v>
      </c>
      <c r="K1155" s="53">
        <v>1.15709556481509E-2</v>
      </c>
      <c r="L1155" s="95">
        <f>IFERROR(B1155*'Stock Statistics'!$C$41+C1155*'Stock Statistics'!$C$42+D1155*'Stock Statistics'!$C$43+E1155*'Stock Statistics'!$C$44+F1155*'Stock Statistics'!$C$45+G1155*'Stock Statistics'!$C$46+H1155*'Stock Statistics'!$C$47+I1155*'Stock Statistics'!$C$48+J1155*'Stock Statistics'!$C$49+K1155*'Stock Statistics'!$C$50,"")</f>
        <v>-5.5605138367387178E-3</v>
      </c>
      <c r="M1155" s="97">
        <v>255.86869999999999</v>
      </c>
      <c r="N1155" s="96">
        <v>323.22230000000002</v>
      </c>
      <c r="O1155" s="93">
        <f t="shared" si="54"/>
        <v>-8.2766126584810085E-3</v>
      </c>
      <c r="P1155" s="93">
        <f t="shared" si="55"/>
        <v>1.077817983042495E-2</v>
      </c>
      <c r="Q1155" s="93">
        <f>B1155*'Portfolio 2 &amp; 3'!$F$7+C1155*'Portfolio 2 &amp; 3'!$F$8+D1155*'Portfolio 2 &amp; 3'!$F$9+E1155*'Portfolio 2 &amp; 3'!$F$10+F1155*'Portfolio 2 &amp; 3'!$F$11+G1155*'Portfolio 2 &amp; 3'!$F$12+H1155*'Portfolio 2 &amp; 3'!$F$13+I1155*'Portfolio 2 &amp; 3'!$F$14+J1155*'Portfolio 2 &amp; 3'!$F$15+K1155*'Portfolio 2 &amp; 3'!$F$16</f>
        <v>-5.698029775433688E-3</v>
      </c>
      <c r="R1155" s="93">
        <f>B1155*'Portfolio 2 &amp; 3'!$B$23+C1155*'Portfolio 2 &amp; 3'!$B$24+D1155*'Portfolio 2 &amp; 3'!$B$25+E1155*'Portfolio 2 &amp; 3'!$B$26+F1155*'Portfolio 2 &amp; 3'!$B$27+G1155*'Portfolio 2 &amp; 3'!$B$28+H1155*'Portfolio 2 &amp; 3'!$B$29+I1155*'Portfolio 2 &amp; 3'!$B$30+J1155*'Portfolio 2 &amp; 3'!$B$31+K1155*'Portfolio 2 &amp; 3'!$B$32</f>
        <v>-8.573529222666517E-3</v>
      </c>
      <c r="S1155" s="93">
        <f t="shared" si="56"/>
        <v>1.2507835859719707E-3</v>
      </c>
    </row>
    <row r="1156" spans="1:19" ht="12.75" customHeight="1">
      <c r="A1156" s="81">
        <v>44384</v>
      </c>
      <c r="B1156" s="53">
        <v>1.9E-3</v>
      </c>
      <c r="C1156" s="53">
        <v>-2.6836431947285799E-4</v>
      </c>
      <c r="D1156" s="53">
        <v>4.1446482229812198E-4</v>
      </c>
      <c r="E1156" s="53">
        <v>8.2799999999999992E-3</v>
      </c>
      <c r="F1156" s="53">
        <v>1.0196878186523599E-3</v>
      </c>
      <c r="G1156" s="53">
        <v>-7.2055504472122696E-3</v>
      </c>
      <c r="H1156" s="87">
        <v>2.3674986821540199E-3</v>
      </c>
      <c r="I1156" s="53">
        <v>2.1938108382972599E-2</v>
      </c>
      <c r="J1156" s="53">
        <v>-5.4965188713814702E-3</v>
      </c>
      <c r="K1156" s="53">
        <v>-4.0770054810761501E-3</v>
      </c>
      <c r="L1156" s="95">
        <f>IFERROR(B1156*'Stock Statistics'!$C$41+C1156*'Stock Statistics'!$C$42+D1156*'Stock Statistics'!$C$43+E1156*'Stock Statistics'!$C$44+F1156*'Stock Statistics'!$C$45+G1156*'Stock Statistics'!$C$46+H1156*'Stock Statistics'!$C$47+I1156*'Stock Statistics'!$C$48+J1156*'Stock Statistics'!$C$49+K1156*'Stock Statistics'!$C$50,"")</f>
        <v>1.8872320586934353E-3</v>
      </c>
      <c r="M1156" s="96">
        <v>258.00409999999999</v>
      </c>
      <c r="N1156" s="97">
        <v>319.77569999999997</v>
      </c>
      <c r="O1156" s="93">
        <f t="shared" si="54"/>
        <v>2.9949419535619803E-3</v>
      </c>
      <c r="P1156" s="93">
        <f t="shared" si="55"/>
        <v>8.6610127309758589E-3</v>
      </c>
      <c r="Q1156" s="93">
        <f>B1156*'Portfolio 2 &amp; 3'!$F$7+C1156*'Portfolio 2 &amp; 3'!$F$8+D1156*'Portfolio 2 &amp; 3'!$F$9+E1156*'Portfolio 2 &amp; 3'!$F$10+F1156*'Portfolio 2 &amp; 3'!$F$11+G1156*'Portfolio 2 &amp; 3'!$F$12+H1156*'Portfolio 2 &amp; 3'!$F$13+I1156*'Portfolio 2 &amp; 3'!$F$14+J1156*'Portfolio 2 &amp; 3'!$F$15+K1156*'Portfolio 2 &amp; 3'!$F$16</f>
        <v>1.5982278392957718E-3</v>
      </c>
      <c r="R1156" s="93">
        <f>B1156*'Portfolio 2 &amp; 3'!$B$23+C1156*'Portfolio 2 &amp; 3'!$B$24+D1156*'Portfolio 2 &amp; 3'!$B$25+E1156*'Portfolio 2 &amp; 3'!$B$26+F1156*'Portfolio 2 &amp; 3'!$B$27+G1156*'Portfolio 2 &amp; 3'!$B$28+H1156*'Portfolio 2 &amp; 3'!$B$29+I1156*'Portfolio 2 &amp; 3'!$B$30+J1156*'Portfolio 2 &amp; 3'!$B$31+K1156*'Portfolio 2 &amp; 3'!$B$32</f>
        <v>4.6281252319356992E-3</v>
      </c>
      <c r="S1156" s="93">
        <f t="shared" si="56"/>
        <v>5.8279773422689196E-3</v>
      </c>
    </row>
    <row r="1157" spans="1:19" ht="12.75" customHeight="1">
      <c r="A1157" s="82">
        <v>44383</v>
      </c>
      <c r="B1157" s="53">
        <v>2.4799999999999999E-2</v>
      </c>
      <c r="C1157" s="53">
        <v>8.8041304802000098E-4</v>
      </c>
      <c r="D1157" s="53">
        <v>-1.0711906104248801E-2</v>
      </c>
      <c r="E1157" s="53">
        <v>1.545E-2</v>
      </c>
      <c r="F1157" s="53">
        <v>-1.0093951393741699E-2</v>
      </c>
      <c r="G1157" s="53">
        <v>-3.5151434378436499E-3</v>
      </c>
      <c r="H1157" s="87">
        <v>2.3917013525165398E-3</v>
      </c>
      <c r="I1157" s="53">
        <v>-2.1467159510946899E-2</v>
      </c>
      <c r="J1157" s="53">
        <v>-1.9353182751540101E-2</v>
      </c>
      <c r="K1157" s="53">
        <v>1.0477972086766299E-2</v>
      </c>
      <c r="L1157" s="95">
        <f>IFERROR(B1157*'Stock Statistics'!$C$41+C1157*'Stock Statistics'!$C$42+D1157*'Stock Statistics'!$C$43+E1157*'Stock Statistics'!$C$44+F1157*'Stock Statistics'!$C$45+G1157*'Stock Statistics'!$C$46+H1157*'Stock Statistics'!$C$47+I1157*'Stock Statistics'!$C$48+J1157*'Stock Statistics'!$C$49+K1157*'Stock Statistics'!$C$50,"")</f>
        <v>-1.1141256711018311E-3</v>
      </c>
      <c r="M1157" s="97">
        <v>257.2337</v>
      </c>
      <c r="N1157" s="96">
        <v>317.0299</v>
      </c>
      <c r="O1157" s="93">
        <f t="shared" si="54"/>
        <v>1.358706466681503E-2</v>
      </c>
      <c r="P1157" s="93">
        <f t="shared" si="55"/>
        <v>-3.2963571245328005E-3</v>
      </c>
      <c r="Q1157" s="93">
        <f>B1157*'Portfolio 2 &amp; 3'!$F$7+C1157*'Portfolio 2 &amp; 3'!$F$8+D1157*'Portfolio 2 &amp; 3'!$F$9+E1157*'Portfolio 2 &amp; 3'!$F$10+F1157*'Portfolio 2 &amp; 3'!$F$11+G1157*'Portfolio 2 &amp; 3'!$F$12+H1157*'Portfolio 2 &amp; 3'!$F$13+I1157*'Portfolio 2 &amp; 3'!$F$14+J1157*'Portfolio 2 &amp; 3'!$F$15+K1157*'Portfolio 2 &amp; 3'!$F$16</f>
        <v>-3.2171868830525203E-3</v>
      </c>
      <c r="R1157" s="93">
        <f>B1157*'Portfolio 2 &amp; 3'!$B$23+C1157*'Portfolio 2 &amp; 3'!$B$24+D1157*'Portfolio 2 &amp; 3'!$B$25+E1157*'Portfolio 2 &amp; 3'!$B$26+F1157*'Portfolio 2 &amp; 3'!$B$27+G1157*'Portfolio 2 &amp; 3'!$B$28+H1157*'Portfolio 2 &amp; 3'!$B$29+I1157*'Portfolio 2 &amp; 3'!$B$30+J1157*'Portfolio 2 &amp; 3'!$B$31+K1157*'Portfolio 2 &amp; 3'!$B$32</f>
        <v>-3.6430777762369955E-3</v>
      </c>
      <c r="S1157" s="93">
        <f t="shared" si="56"/>
        <v>5.1453537711411146E-3</v>
      </c>
    </row>
    <row r="1158" spans="1:19" ht="12.75" customHeight="1">
      <c r="A1158" s="81">
        <v>44382</v>
      </c>
      <c r="B1158" s="53">
        <v>2.7000000000000001E-3</v>
      </c>
      <c r="C1158" s="53">
        <v>7.7747868324886697E-3</v>
      </c>
      <c r="D1158" s="53">
        <v>2.05565435715034E-2</v>
      </c>
      <c r="E1158" s="53">
        <v>-1.2070000000000001E-2</v>
      </c>
      <c r="F1158" s="53">
        <v>7.1948072260890096E-3</v>
      </c>
      <c r="G1158" s="53">
        <v>-3.43665432570184E-3</v>
      </c>
      <c r="H1158" s="87">
        <v>5.1939861060867898E-4</v>
      </c>
      <c r="I1158" s="53">
        <v>2.3424996362578301E-2</v>
      </c>
      <c r="J1158" s="53">
        <v>-3.22366064575552E-3</v>
      </c>
      <c r="K1158" s="53">
        <v>3.2622143120699901E-2</v>
      </c>
      <c r="L1158" s="95">
        <f>IFERROR(B1158*'Stock Statistics'!$C$41+C1158*'Stock Statistics'!$C$42+D1158*'Stock Statistics'!$C$43+E1158*'Stock Statistics'!$C$44+F1158*'Stock Statistics'!$C$45+G1158*'Stock Statistics'!$C$46+H1158*'Stock Statistics'!$C$47+I1158*'Stock Statistics'!$C$48+J1158*'Stock Statistics'!$C$49+K1158*'Stock Statistics'!$C$50,"")</f>
        <v>7.6062360752510612E-3</v>
      </c>
      <c r="M1158" s="96">
        <v>253.78550000000001</v>
      </c>
      <c r="N1158" s="97">
        <v>318.07839999999999</v>
      </c>
      <c r="O1158" s="93">
        <f t="shared" si="54"/>
        <v>2.6339410585070056E-3</v>
      </c>
      <c r="P1158" s="93">
        <f t="shared" si="55"/>
        <v>5.4880425412597855E-3</v>
      </c>
      <c r="Q1158" s="93">
        <f>B1158*'Portfolio 2 &amp; 3'!$F$7+C1158*'Portfolio 2 &amp; 3'!$F$8+D1158*'Portfolio 2 &amp; 3'!$F$9+E1158*'Portfolio 2 &amp; 3'!$F$10+F1158*'Portfolio 2 &amp; 3'!$F$11+G1158*'Portfolio 2 &amp; 3'!$F$12+H1158*'Portfolio 2 &amp; 3'!$F$13+I1158*'Portfolio 2 &amp; 3'!$F$14+J1158*'Portfolio 2 &amp; 3'!$F$15+K1158*'Portfolio 2 &amp; 3'!$F$16</f>
        <v>7.5247036269005261E-3</v>
      </c>
      <c r="R1158" s="93">
        <f>B1158*'Portfolio 2 &amp; 3'!$B$23+C1158*'Portfolio 2 &amp; 3'!$B$24+D1158*'Portfolio 2 &amp; 3'!$B$25+E1158*'Portfolio 2 &amp; 3'!$B$26+F1158*'Portfolio 2 &amp; 3'!$B$27+G1158*'Portfolio 2 &amp; 3'!$B$28+H1158*'Portfolio 2 &amp; 3'!$B$29+I1158*'Portfolio 2 &amp; 3'!$B$30+J1158*'Portfolio 2 &amp; 3'!$B$31+K1158*'Portfolio 2 &amp; 3'!$B$32</f>
        <v>1.1440363500608779E-2</v>
      </c>
      <c r="S1158" s="93">
        <f t="shared" si="56"/>
        <v>4.0609917998833955E-3</v>
      </c>
    </row>
    <row r="1159" spans="1:19" ht="12.75" customHeight="1">
      <c r="A1159" s="82">
        <v>44379</v>
      </c>
      <c r="B1159" s="53">
        <v>1.6999999999999999E-3</v>
      </c>
      <c r="C1159" s="53">
        <v>3.5768185934197398E-3</v>
      </c>
      <c r="D1159" s="53">
        <v>-7.3212524014747401E-3</v>
      </c>
      <c r="E1159" s="53">
        <v>3.6800000000000001E-3</v>
      </c>
      <c r="F1159" s="53">
        <v>2.3466833541929699E-4</v>
      </c>
      <c r="G1159" s="53">
        <v>-1.2601767563712499E-3</v>
      </c>
      <c r="H1159" s="87">
        <v>-8.5063728826028102E-3</v>
      </c>
      <c r="I1159" s="53">
        <v>-9.6541786743517006E-3</v>
      </c>
      <c r="J1159" s="53">
        <v>3.64626129827439E-3</v>
      </c>
      <c r="K1159" s="53">
        <v>-3.4391763280843301E-3</v>
      </c>
      <c r="L1159" s="95">
        <f>IFERROR(B1159*'Stock Statistics'!$C$41+C1159*'Stock Statistics'!$C$42+D1159*'Stock Statistics'!$C$43+E1159*'Stock Statistics'!$C$44+F1159*'Stock Statistics'!$C$45+G1159*'Stock Statistics'!$C$46+H1159*'Stock Statistics'!$C$47+I1159*'Stock Statistics'!$C$48+J1159*'Stock Statistics'!$C$49+K1159*'Stock Statistics'!$C$50,"")</f>
        <v>-1.7343408815771405E-3</v>
      </c>
      <c r="M1159" s="97">
        <v>253.11879999999999</v>
      </c>
      <c r="N1159" s="96">
        <v>316.34230000000002</v>
      </c>
      <c r="O1159" s="93">
        <f t="shared" si="54"/>
        <v>2.1879412209551141E-3</v>
      </c>
      <c r="P1159" s="93">
        <f t="shared" si="55"/>
        <v>5.1413269141680207E-3</v>
      </c>
      <c r="Q1159" s="93">
        <f>B1159*'Portfolio 2 &amp; 3'!$F$7+C1159*'Portfolio 2 &amp; 3'!$F$8+D1159*'Portfolio 2 &amp; 3'!$F$9+E1159*'Portfolio 2 &amp; 3'!$F$10+F1159*'Portfolio 2 &amp; 3'!$F$11+G1159*'Portfolio 2 &amp; 3'!$F$12+H1159*'Portfolio 2 &amp; 3'!$F$13+I1159*'Portfolio 2 &amp; 3'!$F$14+J1159*'Portfolio 2 &amp; 3'!$F$15+K1159*'Portfolio 2 &amp; 3'!$F$16</f>
        <v>-2.2446077261857713E-3</v>
      </c>
      <c r="R1159" s="93">
        <f>B1159*'Portfolio 2 &amp; 3'!$B$23+C1159*'Portfolio 2 &amp; 3'!$B$24+D1159*'Portfolio 2 &amp; 3'!$B$25+E1159*'Portfolio 2 &amp; 3'!$B$26+F1159*'Portfolio 2 &amp; 3'!$B$27+G1159*'Portfolio 2 &amp; 3'!$B$28+H1159*'Portfolio 2 &amp; 3'!$B$29+I1159*'Portfolio 2 &amp; 3'!$B$30+J1159*'Portfolio 2 &amp; 3'!$B$31+K1159*'Portfolio 2 &amp; 3'!$B$32</f>
        <v>-2.1204584946826624E-3</v>
      </c>
      <c r="S1159" s="93">
        <f t="shared" si="56"/>
        <v>3.6646340675615674E-3</v>
      </c>
    </row>
    <row r="1160" spans="1:19" ht="12.75" customHeight="1">
      <c r="A1160" s="81">
        <v>44378</v>
      </c>
      <c r="B1160" s="53">
        <v>-4.3E-3</v>
      </c>
      <c r="C1160" s="53">
        <v>-6.6361003860992995E-4</v>
      </c>
      <c r="D1160" s="53">
        <v>6.2699200585192303E-3</v>
      </c>
      <c r="E1160" s="53">
        <v>7.8700000000000003E-3</v>
      </c>
      <c r="F1160" s="53">
        <v>-9.2994420334779893E-3</v>
      </c>
      <c r="G1160" s="53">
        <v>9.1280246954550403E-4</v>
      </c>
      <c r="H1160" s="87">
        <v>-1.04107893635221E-2</v>
      </c>
      <c r="I1160" s="53">
        <v>9.7482904117562903E-3</v>
      </c>
      <c r="J1160" s="53">
        <v>-3.63301437854979E-3</v>
      </c>
      <c r="K1160" s="53">
        <v>3.7233638366929202E-3</v>
      </c>
      <c r="L1160" s="95">
        <f>IFERROR(B1160*'Stock Statistics'!$C$41+C1160*'Stock Statistics'!$C$42+D1160*'Stock Statistics'!$C$43+E1160*'Stock Statistics'!$C$44+F1160*'Stock Statistics'!$C$45+G1160*'Stock Statistics'!$C$46+H1160*'Stock Statistics'!$C$47+I1160*'Stock Statistics'!$C$48+J1160*'Stock Statistics'!$C$49+K1160*'Stock Statistics'!$C$50,"")</f>
        <v>2.1752096235413726E-5</v>
      </c>
      <c r="M1160" s="96">
        <v>252.56620000000001</v>
      </c>
      <c r="N1160" s="97">
        <v>314.7242</v>
      </c>
      <c r="O1160" s="93">
        <f t="shared" si="54"/>
        <v>7.6606019403453463E-3</v>
      </c>
      <c r="P1160" s="93">
        <f t="shared" si="55"/>
        <v>-6.5461271851463554E-3</v>
      </c>
      <c r="Q1160" s="93">
        <f>B1160*'Portfolio 2 &amp; 3'!$F$7+C1160*'Portfolio 2 &amp; 3'!$F$8+D1160*'Portfolio 2 &amp; 3'!$F$9+E1160*'Portfolio 2 &amp; 3'!$F$10+F1160*'Portfolio 2 &amp; 3'!$F$11+G1160*'Portfolio 2 &amp; 3'!$F$12+H1160*'Portfolio 2 &amp; 3'!$F$13+I1160*'Portfolio 2 &amp; 3'!$F$14+J1160*'Portfolio 2 &amp; 3'!$F$15+K1160*'Portfolio 2 &amp; 3'!$F$16</f>
        <v>-9.6253741777119802E-4</v>
      </c>
      <c r="R1160" s="93">
        <f>B1160*'Portfolio 2 &amp; 3'!$B$23+C1160*'Portfolio 2 &amp; 3'!$B$24+D1160*'Portfolio 2 &amp; 3'!$B$25+E1160*'Portfolio 2 &amp; 3'!$B$26+F1160*'Portfolio 2 &amp; 3'!$B$27+G1160*'Portfolio 2 &amp; 3'!$B$28+H1160*'Portfolio 2 &amp; 3'!$B$29+I1160*'Portfolio 2 &amp; 3'!$B$30+J1160*'Portfolio 2 &amp; 3'!$B$31+K1160*'Portfolio 2 &amp; 3'!$B$32</f>
        <v>3.3100208548071642E-4</v>
      </c>
      <c r="S1160" s="93">
        <f t="shared" si="56"/>
        <v>5.5723737759949543E-4</v>
      </c>
    </row>
    <row r="1161" spans="1:19" ht="12.75" customHeight="1">
      <c r="A1161" s="82">
        <v>44377</v>
      </c>
      <c r="B1161" s="53">
        <v>1.6400000000000001E-2</v>
      </c>
      <c r="C1161" s="53">
        <v>2.0752509390972201E-2</v>
      </c>
      <c r="D1161" s="53">
        <v>1.72743701498883E-2</v>
      </c>
      <c r="E1161" s="53">
        <v>2.3999999999999998E-3</v>
      </c>
      <c r="F1161" s="53">
        <v>7.1021618668540799E-3</v>
      </c>
      <c r="G1161" s="53">
        <v>2.5457147135654599E-3</v>
      </c>
      <c r="H1161" s="87">
        <v>6.2267640972106797E-3</v>
      </c>
      <c r="I1161" s="53">
        <v>-2.8291621327530799E-3</v>
      </c>
      <c r="J1161" s="53">
        <v>1.1909076787656001E-2</v>
      </c>
      <c r="K1161" s="53">
        <v>3.77008989376204E-3</v>
      </c>
      <c r="L1161" s="95">
        <f>IFERROR(B1161*'Stock Statistics'!$C$41+C1161*'Stock Statistics'!$C$42+D1161*'Stock Statistics'!$C$43+E1161*'Stock Statistics'!$C$44+F1161*'Stock Statistics'!$C$45+G1161*'Stock Statistics'!$C$46+H1161*'Stock Statistics'!$C$47+I1161*'Stock Statistics'!$C$48+J1161*'Stock Statistics'!$C$49+K1161*'Stock Statistics'!$C$50,"")</f>
        <v>8.5551524767155697E-3</v>
      </c>
      <c r="M1161" s="97">
        <v>250.64609999999999</v>
      </c>
      <c r="N1161" s="96">
        <v>316.798</v>
      </c>
      <c r="O1161" s="93">
        <f t="shared" si="54"/>
        <v>1.4480194763800247E-2</v>
      </c>
      <c r="P1161" s="93">
        <f t="shared" si="55"/>
        <v>-8.4395845435788486E-3</v>
      </c>
      <c r="Q1161" s="93">
        <f>B1161*'Portfolio 2 &amp; 3'!$F$7+C1161*'Portfolio 2 &amp; 3'!$F$8+D1161*'Portfolio 2 &amp; 3'!$F$9+E1161*'Portfolio 2 &amp; 3'!$F$10+F1161*'Portfolio 2 &amp; 3'!$F$11+G1161*'Portfolio 2 &amp; 3'!$F$12+H1161*'Portfolio 2 &amp; 3'!$F$13+I1161*'Portfolio 2 &amp; 3'!$F$14+J1161*'Portfolio 2 &amp; 3'!$F$15+K1161*'Portfolio 2 &amp; 3'!$F$16</f>
        <v>9.2622293939424345E-3</v>
      </c>
      <c r="R1161" s="93">
        <f>B1161*'Portfolio 2 &amp; 3'!$B$23+C1161*'Portfolio 2 &amp; 3'!$B$24+D1161*'Portfolio 2 &amp; 3'!$B$25+E1161*'Portfolio 2 &amp; 3'!$B$26+F1161*'Portfolio 2 &amp; 3'!$B$27+G1161*'Portfolio 2 &amp; 3'!$B$28+H1161*'Portfolio 2 &amp; 3'!$B$29+I1161*'Portfolio 2 &amp; 3'!$B$30+J1161*'Portfolio 2 &amp; 3'!$B$31+K1161*'Portfolio 2 &amp; 3'!$B$32</f>
        <v>7.961939552312133E-3</v>
      </c>
      <c r="S1161" s="93">
        <f t="shared" si="56"/>
        <v>3.0203051101106992E-3</v>
      </c>
    </row>
    <row r="1162" spans="1:19" ht="12.75" customHeight="1">
      <c r="A1162" s="81">
        <v>44376</v>
      </c>
      <c r="B1162" s="53">
        <v>-1.7299999999999999E-2</v>
      </c>
      <c r="C1162" s="53">
        <v>1.6684927218657102E-2</v>
      </c>
      <c r="D1162" s="53">
        <v>-8.4325919679561993E-3</v>
      </c>
      <c r="E1162" s="53">
        <v>6.7999999999999996E-3</v>
      </c>
      <c r="F1162" s="53">
        <v>-2.8793774319066899E-3</v>
      </c>
      <c r="G1162" s="53">
        <v>2.02172805975218E-2</v>
      </c>
      <c r="H1162" s="87">
        <v>-1.17986006310877E-3</v>
      </c>
      <c r="I1162" s="53">
        <v>1.8922315026979102E-2</v>
      </c>
      <c r="J1162" s="53">
        <v>6.0426108246078901E-3</v>
      </c>
      <c r="K1162" s="53">
        <v>-2.3805900384806802E-3</v>
      </c>
      <c r="L1162" s="95">
        <f>IFERROR(B1162*'Stock Statistics'!$C$41+C1162*'Stock Statistics'!$C$42+D1162*'Stock Statistics'!$C$43+E1162*'Stock Statistics'!$C$44+F1162*'Stock Statistics'!$C$45+G1162*'Stock Statistics'!$C$46+H1162*'Stock Statistics'!$C$47+I1162*'Stock Statistics'!$C$48+J1162*'Stock Statistics'!$C$49+K1162*'Stock Statistics'!$C$50,"")</f>
        <v>3.6494714166313558E-3</v>
      </c>
      <c r="M1162" s="96">
        <v>247.0685</v>
      </c>
      <c r="N1162" s="97">
        <v>319.49439999999998</v>
      </c>
      <c r="O1162" s="93">
        <f t="shared" si="54"/>
        <v>9.1381327216466524E-3</v>
      </c>
      <c r="P1162" s="93">
        <f t="shared" si="55"/>
        <v>-3.216593755128283E-3</v>
      </c>
      <c r="Q1162" s="93">
        <f>B1162*'Portfolio 2 &amp; 3'!$F$7+C1162*'Portfolio 2 &amp; 3'!$F$8+D1162*'Portfolio 2 &amp; 3'!$F$9+E1162*'Portfolio 2 &amp; 3'!$F$10+F1162*'Portfolio 2 &amp; 3'!$F$11+G1162*'Portfolio 2 &amp; 3'!$F$12+H1162*'Portfolio 2 &amp; 3'!$F$13+I1162*'Portfolio 2 &amp; 3'!$F$14+J1162*'Portfolio 2 &amp; 3'!$F$15+K1162*'Portfolio 2 &amp; 3'!$F$16</f>
        <v>2.7447218133507326E-3</v>
      </c>
      <c r="R1162" s="93">
        <f>B1162*'Portfolio 2 &amp; 3'!$B$23+C1162*'Portfolio 2 &amp; 3'!$B$24+D1162*'Portfolio 2 &amp; 3'!$B$25+E1162*'Portfolio 2 &amp; 3'!$B$26+F1162*'Portfolio 2 &amp; 3'!$B$27+G1162*'Portfolio 2 &amp; 3'!$B$28+H1162*'Portfolio 2 &amp; 3'!$B$29+I1162*'Portfolio 2 &amp; 3'!$B$30+J1162*'Portfolio 2 &amp; 3'!$B$31+K1162*'Portfolio 2 &amp; 3'!$B$32</f>
        <v>7.1533434889253329E-3</v>
      </c>
      <c r="S1162" s="93">
        <f t="shared" si="56"/>
        <v>2.9607694832591847E-3</v>
      </c>
    </row>
    <row r="1163" spans="1:19" ht="12.75" customHeight="1">
      <c r="A1163" s="82">
        <v>44375</v>
      </c>
      <c r="B1163" s="53">
        <v>2.1700000000000001E-2</v>
      </c>
      <c r="C1163" s="53">
        <v>-7.7651809287155897E-3</v>
      </c>
      <c r="D1163" s="53">
        <v>-3.20462306277902E-3</v>
      </c>
      <c r="E1163" s="53">
        <v>-8.6099999999999996E-3</v>
      </c>
      <c r="F1163" s="53">
        <v>2.96474358974359E-2</v>
      </c>
      <c r="G1163" s="53">
        <v>-1.3730908104626601E-3</v>
      </c>
      <c r="H1163" s="87">
        <v>-1.71428057747973E-2</v>
      </c>
      <c r="I1163" s="53">
        <v>-1.85709104098657E-2</v>
      </c>
      <c r="J1163" s="53">
        <v>5.2094186288931302E-5</v>
      </c>
      <c r="K1163" s="53">
        <v>1.9776078040128601E-2</v>
      </c>
      <c r="L1163" s="95">
        <f>IFERROR(B1163*'Stock Statistics'!$C$41+C1163*'Stock Statistics'!$C$42+D1163*'Stock Statistics'!$C$43+E1163*'Stock Statistics'!$C$44+F1163*'Stock Statistics'!$C$45+G1163*'Stock Statistics'!$C$46+H1163*'Stock Statistics'!$C$47+I1163*'Stock Statistics'!$C$48+J1163*'Stock Statistics'!$C$49+K1163*'Stock Statistics'!$C$50,"")</f>
        <v>1.4508997137233164E-3</v>
      </c>
      <c r="M1163" s="97">
        <v>244.8312</v>
      </c>
      <c r="N1163" s="96">
        <v>320.52539999999999</v>
      </c>
      <c r="O1163" s="93">
        <f t="shared" si="54"/>
        <v>-3.772811020905098E-3</v>
      </c>
      <c r="P1163" s="93">
        <f t="shared" si="55"/>
        <v>-5.9924138887054168E-3</v>
      </c>
      <c r="Q1163" s="93">
        <f>B1163*'Portfolio 2 &amp; 3'!$F$7+C1163*'Portfolio 2 &amp; 3'!$F$8+D1163*'Portfolio 2 &amp; 3'!$F$9+E1163*'Portfolio 2 &amp; 3'!$F$10+F1163*'Portfolio 2 &amp; 3'!$F$11+G1163*'Portfolio 2 &amp; 3'!$F$12+H1163*'Portfolio 2 &amp; 3'!$F$13+I1163*'Portfolio 2 &amp; 3'!$F$14+J1163*'Portfolio 2 &amp; 3'!$F$15+K1163*'Portfolio 2 &amp; 3'!$F$16</f>
        <v>-1.9530446026292314E-4</v>
      </c>
      <c r="R1163" s="93">
        <f>B1163*'Portfolio 2 &amp; 3'!$B$23+C1163*'Portfolio 2 &amp; 3'!$B$24+D1163*'Portfolio 2 &amp; 3'!$B$25+E1163*'Portfolio 2 &amp; 3'!$B$26+F1163*'Portfolio 2 &amp; 3'!$B$27+G1163*'Portfolio 2 &amp; 3'!$B$28+H1163*'Portfolio 2 &amp; 3'!$B$29+I1163*'Portfolio 2 &amp; 3'!$B$30+J1163*'Portfolio 2 &amp; 3'!$B$31+K1163*'Portfolio 2 &amp; 3'!$B$32</f>
        <v>2.4520657040712364E-3</v>
      </c>
      <c r="S1163" s="93">
        <f t="shared" si="56"/>
        <v>-4.8826124548052574E-3</v>
      </c>
    </row>
    <row r="1164" spans="1:19" ht="12.75" customHeight="1">
      <c r="A1164" s="81">
        <v>44372</v>
      </c>
      <c r="B1164" s="53">
        <v>4.4999999999999997E-3</v>
      </c>
      <c r="C1164" s="53">
        <v>6.29815431259484E-3</v>
      </c>
      <c r="D1164" s="53">
        <v>-1.3934935764608501E-2</v>
      </c>
      <c r="E1164" s="53">
        <v>7.28E-3</v>
      </c>
      <c r="F1164" s="53">
        <v>9.7087378640776708E-3</v>
      </c>
      <c r="G1164" s="53">
        <v>6.01998703912132E-3</v>
      </c>
      <c r="H1164" s="87">
        <v>4.0888535865475396E-3</v>
      </c>
      <c r="I1164" s="53">
        <v>9.43944234679028E-4</v>
      </c>
      <c r="J1164" s="53">
        <v>9.6249934255510095E-3</v>
      </c>
      <c r="K1164" s="53">
        <v>-9.2365816959726291E-3</v>
      </c>
      <c r="L1164" s="95">
        <f>IFERROR(B1164*'Stock Statistics'!$C$41+C1164*'Stock Statistics'!$C$42+D1164*'Stock Statistics'!$C$43+E1164*'Stock Statistics'!$C$44+F1164*'Stock Statistics'!$C$45+G1164*'Stock Statistics'!$C$46+H1164*'Stock Statistics'!$C$47+I1164*'Stock Statistics'!$C$48+J1164*'Stock Statistics'!$C$49+K1164*'Stock Statistics'!$C$50,"")</f>
        <v>2.5293153001990278E-3</v>
      </c>
      <c r="M1164" s="96">
        <v>245.75839999999999</v>
      </c>
      <c r="N1164" s="97">
        <v>322.45769999999999</v>
      </c>
      <c r="O1164" s="93">
        <f t="shared" si="54"/>
        <v>-3.9681848117939511E-3</v>
      </c>
      <c r="P1164" s="93">
        <f t="shared" si="55"/>
        <v>-2.1580968395671363E-3</v>
      </c>
      <c r="Q1164" s="93">
        <f>B1164*'Portfolio 2 &amp; 3'!$F$7+C1164*'Portfolio 2 &amp; 3'!$F$8+D1164*'Portfolio 2 &amp; 3'!$F$9+E1164*'Portfolio 2 &amp; 3'!$F$10+F1164*'Portfolio 2 &amp; 3'!$F$11+G1164*'Portfolio 2 &amp; 3'!$F$12+H1164*'Portfolio 2 &amp; 3'!$F$13+I1164*'Portfolio 2 &amp; 3'!$F$14+J1164*'Portfolio 2 &amp; 3'!$F$15+K1164*'Portfolio 2 &amp; 3'!$F$16</f>
        <v>2.3322960939964402E-3</v>
      </c>
      <c r="R1164" s="93">
        <f>B1164*'Portfolio 2 &amp; 3'!$B$23+C1164*'Portfolio 2 &amp; 3'!$B$24+D1164*'Portfolio 2 &amp; 3'!$B$25+E1164*'Portfolio 2 &amp; 3'!$B$26+F1164*'Portfolio 2 &amp; 3'!$B$27+G1164*'Portfolio 2 &amp; 3'!$B$28+H1164*'Portfolio 2 &amp; 3'!$B$29+I1164*'Portfolio 2 &amp; 3'!$B$30+J1164*'Portfolio 2 &amp; 3'!$B$31+K1164*'Portfolio 2 &amp; 3'!$B$32</f>
        <v>3.6857960680894831E-3</v>
      </c>
      <c r="S1164" s="93">
        <f t="shared" si="56"/>
        <v>-3.0631408256805437E-3</v>
      </c>
    </row>
    <row r="1165" spans="1:19" ht="12.75" customHeight="1">
      <c r="A1165" s="82">
        <v>44371</v>
      </c>
      <c r="B1165" s="53">
        <v>-1.8E-3</v>
      </c>
      <c r="C1165" s="53">
        <v>1.1264961276695701E-3</v>
      </c>
      <c r="D1165" s="53">
        <v>-1.5503875968992199E-2</v>
      </c>
      <c r="E1165" s="53">
        <v>-1.251E-2</v>
      </c>
      <c r="F1165" s="53">
        <v>-8.9006495068558698E-3</v>
      </c>
      <c r="G1165" s="53">
        <v>-2.3648706126545601E-3</v>
      </c>
      <c r="H1165" s="87">
        <v>2.7988948879542603E-4</v>
      </c>
      <c r="I1165" s="53">
        <v>8.1991215226939803E-3</v>
      </c>
      <c r="J1165" s="53">
        <v>-1.50745959386657E-2</v>
      </c>
      <c r="K1165" s="53">
        <v>6.2663012245258703E-3</v>
      </c>
      <c r="L1165" s="95">
        <f>IFERROR(B1165*'Stock Statistics'!$C$41+C1165*'Stock Statistics'!$C$42+D1165*'Stock Statistics'!$C$43+E1165*'Stock Statistics'!$C$44+F1165*'Stock Statistics'!$C$45+G1165*'Stock Statistics'!$C$46+H1165*'Stock Statistics'!$C$47+I1165*'Stock Statistics'!$C$48+J1165*'Stock Statistics'!$C$49+K1165*'Stock Statistics'!$C$50,"")</f>
        <v>-4.0282183663483493E-3</v>
      </c>
      <c r="M1165" s="97">
        <v>246.73750000000001</v>
      </c>
      <c r="N1165" s="96">
        <v>323.1551</v>
      </c>
      <c r="O1165" s="93">
        <f t="shared" si="54"/>
        <v>3.301404977765765E-3</v>
      </c>
      <c r="P1165" s="93">
        <f t="shared" si="55"/>
        <v>1.2844730830143591E-2</v>
      </c>
      <c r="Q1165" s="93">
        <f>B1165*'Portfolio 2 &amp; 3'!$F$7+C1165*'Portfolio 2 &amp; 3'!$F$8+D1165*'Portfolio 2 &amp; 3'!$F$9+E1165*'Portfolio 2 &amp; 3'!$F$10+F1165*'Portfolio 2 &amp; 3'!$F$11+G1165*'Portfolio 2 &amp; 3'!$F$12+H1165*'Portfolio 2 &amp; 3'!$F$13+I1165*'Portfolio 2 &amp; 3'!$F$14+J1165*'Portfolio 2 &amp; 3'!$F$15+K1165*'Portfolio 2 &amp; 3'!$F$16</f>
        <v>-4.9912719969666935E-3</v>
      </c>
      <c r="R1165" s="93">
        <f>B1165*'Portfolio 2 &amp; 3'!$B$23+C1165*'Portfolio 2 &amp; 3'!$B$24+D1165*'Portfolio 2 &amp; 3'!$B$25+E1165*'Portfolio 2 &amp; 3'!$B$26+F1165*'Portfolio 2 &amp; 3'!$B$27+G1165*'Portfolio 2 &amp; 3'!$B$28+H1165*'Portfolio 2 &amp; 3'!$B$29+I1165*'Portfolio 2 &amp; 3'!$B$30+J1165*'Portfolio 2 &amp; 3'!$B$31+K1165*'Portfolio 2 &amp; 3'!$B$32</f>
        <v>2.2801444544186201E-4</v>
      </c>
      <c r="S1165" s="93">
        <f t="shared" si="56"/>
        <v>8.0730679039546782E-3</v>
      </c>
    </row>
    <row r="1166" spans="1:19" ht="12.75" customHeight="1">
      <c r="A1166" s="81">
        <v>44370</v>
      </c>
      <c r="B1166" s="53">
        <v>-1.46E-2</v>
      </c>
      <c r="C1166" s="53">
        <v>2.0973770806044501E-2</v>
      </c>
      <c r="D1166" s="53">
        <v>-2.2142429682824701E-2</v>
      </c>
      <c r="E1166" s="53">
        <v>-5.1999999999999998E-3</v>
      </c>
      <c r="F1166" s="53">
        <v>-1.0316641536386E-2</v>
      </c>
      <c r="G1166" s="53">
        <v>-3.8978426288406301E-3</v>
      </c>
      <c r="H1166" s="87">
        <v>-6.77941783094505E-3</v>
      </c>
      <c r="I1166" s="53">
        <v>-4.3006050003645598E-3</v>
      </c>
      <c r="J1166" s="53">
        <v>-4.0243524920028396E-3</v>
      </c>
      <c r="K1166" s="53">
        <v>-7.8399982455947797E-3</v>
      </c>
      <c r="L1166" s="95">
        <f>IFERROR(B1166*'Stock Statistics'!$C$41+C1166*'Stock Statistics'!$C$42+D1166*'Stock Statistics'!$C$43+E1166*'Stock Statistics'!$C$44+F1166*'Stock Statistics'!$C$45+G1166*'Stock Statistics'!$C$46+H1166*'Stock Statistics'!$C$47+I1166*'Stock Statistics'!$C$48+J1166*'Stock Statistics'!$C$49+K1166*'Stock Statistics'!$C$50,"")</f>
        <v>-5.8127516610914053E-3</v>
      </c>
      <c r="M1166" s="96">
        <v>245.9256</v>
      </c>
      <c r="N1166" s="97">
        <v>319.05689999999998</v>
      </c>
      <c r="O1166" s="93">
        <f t="shared" si="54"/>
        <v>2.1299666792853333E-3</v>
      </c>
      <c r="P1166" s="93">
        <f t="shared" si="55"/>
        <v>1.3484242495280574E-2</v>
      </c>
      <c r="Q1166" s="93">
        <f>B1166*'Portfolio 2 &amp; 3'!$F$7+C1166*'Portfolio 2 &amp; 3'!$F$8+D1166*'Portfolio 2 &amp; 3'!$F$9+E1166*'Portfolio 2 &amp; 3'!$F$10+F1166*'Portfolio 2 &amp; 3'!$F$11+G1166*'Portfolio 2 &amp; 3'!$F$12+H1166*'Portfolio 2 &amp; 3'!$F$13+I1166*'Portfolio 2 &amp; 3'!$F$14+J1166*'Portfolio 2 &amp; 3'!$F$15+K1166*'Portfolio 2 &amp; 3'!$F$16</f>
        <v>-6.2228715051210878E-3</v>
      </c>
      <c r="R1166" s="93">
        <f>B1166*'Portfolio 2 &amp; 3'!$B$23+C1166*'Portfolio 2 &amp; 3'!$B$24+D1166*'Portfolio 2 &amp; 3'!$B$25+E1166*'Portfolio 2 &amp; 3'!$B$26+F1166*'Portfolio 2 &amp; 3'!$B$27+G1166*'Portfolio 2 &amp; 3'!$B$28+H1166*'Portfolio 2 &amp; 3'!$B$29+I1166*'Portfolio 2 &amp; 3'!$B$30+J1166*'Portfolio 2 &amp; 3'!$B$31+K1166*'Portfolio 2 &amp; 3'!$B$32</f>
        <v>-2.3431372387252409E-3</v>
      </c>
      <c r="S1166" s="93">
        <f t="shared" si="56"/>
        <v>7.8071045872829536E-3</v>
      </c>
    </row>
    <row r="1167" spans="1:19" ht="12.75" customHeight="1">
      <c r="A1167" s="82">
        <v>44369</v>
      </c>
      <c r="B1167" s="53">
        <v>5.8999999999999999E-3</v>
      </c>
      <c r="C1167" s="53">
        <v>-3.80324947088695E-3</v>
      </c>
      <c r="D1167" s="53">
        <v>8.4490042245020103E-3</v>
      </c>
      <c r="E1167" s="53">
        <v>7.4200000000000004E-3</v>
      </c>
      <c r="F1167" s="53">
        <v>7.9421809228818997E-4</v>
      </c>
      <c r="G1167" s="53">
        <v>8.9426167840778205E-3</v>
      </c>
      <c r="H1167" s="87">
        <v>3.0943599892057101E-3</v>
      </c>
      <c r="I1167" s="53">
        <v>4.3191800878477097E-3</v>
      </c>
      <c r="J1167" s="53">
        <v>-5.7453575459115499E-3</v>
      </c>
      <c r="K1167" s="53">
        <v>8.9166196497516594E-3</v>
      </c>
      <c r="L1167" s="95">
        <f>IFERROR(B1167*'Stock Statistics'!$C$41+C1167*'Stock Statistics'!$C$42+D1167*'Stock Statistics'!$C$43+E1167*'Stock Statistics'!$C$44+F1167*'Stock Statistics'!$C$45+G1167*'Stock Statistics'!$C$46+H1167*'Stock Statistics'!$C$47+I1167*'Stock Statistics'!$C$48+J1167*'Stock Statistics'!$C$49+K1167*'Stock Statistics'!$C$50,"")</f>
        <v>3.8287391810874604E-3</v>
      </c>
      <c r="M1167" s="97">
        <v>245.40289999999999</v>
      </c>
      <c r="N1167" s="96">
        <v>314.81189999999998</v>
      </c>
      <c r="O1167" s="93">
        <f t="shared" si="54"/>
        <v>-3.821480748692041E-3</v>
      </c>
      <c r="P1167" s="93">
        <f t="shared" si="55"/>
        <v>-8.3537057284309713E-3</v>
      </c>
      <c r="Q1167" s="93">
        <f>B1167*'Portfolio 2 &amp; 3'!$F$7+C1167*'Portfolio 2 &amp; 3'!$F$8+D1167*'Portfolio 2 &amp; 3'!$F$9+E1167*'Portfolio 2 &amp; 3'!$F$10+F1167*'Portfolio 2 &amp; 3'!$F$11+G1167*'Portfolio 2 &amp; 3'!$F$12+H1167*'Portfolio 2 &amp; 3'!$F$13+I1167*'Portfolio 2 &amp; 3'!$F$14+J1167*'Portfolio 2 &amp; 3'!$F$15+K1167*'Portfolio 2 &amp; 3'!$F$16</f>
        <v>2.9999701534167821E-3</v>
      </c>
      <c r="R1167" s="93">
        <f>B1167*'Portfolio 2 &amp; 3'!$B$23+C1167*'Portfolio 2 &amp; 3'!$B$24+D1167*'Portfolio 2 &amp; 3'!$B$25+E1167*'Portfolio 2 &amp; 3'!$B$26+F1167*'Portfolio 2 &amp; 3'!$B$27+G1167*'Portfolio 2 &amp; 3'!$B$28+H1167*'Portfolio 2 &amp; 3'!$B$29+I1167*'Portfolio 2 &amp; 3'!$B$30+J1167*'Portfolio 2 &amp; 3'!$B$31+K1167*'Portfolio 2 &amp; 3'!$B$32</f>
        <v>2.9915016354644286E-3</v>
      </c>
      <c r="S1167" s="93">
        <f t="shared" si="56"/>
        <v>-6.0875932385615061E-3</v>
      </c>
    </row>
    <row r="1168" spans="1:19" ht="12.75" customHeight="1">
      <c r="A1168" s="81">
        <v>44368</v>
      </c>
      <c r="B1168" s="53">
        <v>2.2000000000000001E-3</v>
      </c>
      <c r="C1168" s="53">
        <v>1.55136471614874E-2</v>
      </c>
      <c r="D1168" s="53">
        <v>2.7013067506843898E-2</v>
      </c>
      <c r="E1168" s="53">
        <v>-1.57E-3</v>
      </c>
      <c r="F1168" s="53">
        <v>1.47485493230173E-2</v>
      </c>
      <c r="G1168" s="53">
        <v>7.7888061759028302E-3</v>
      </c>
      <c r="H1168" s="87">
        <v>2.4976719742580301E-2</v>
      </c>
      <c r="I1168" s="53">
        <v>2.1613940617754901E-2</v>
      </c>
      <c r="J1168" s="53">
        <v>-4.5955882352941603E-3</v>
      </c>
      <c r="K1168" s="53">
        <v>1.89259868791847E-2</v>
      </c>
      <c r="L1168" s="95">
        <f>IFERROR(B1168*'Stock Statistics'!$C$41+C1168*'Stock Statistics'!$C$42+D1168*'Stock Statistics'!$C$43+E1168*'Stock Statistics'!$C$44+F1168*'Stock Statistics'!$C$45+G1168*'Stock Statistics'!$C$46+H1168*'Stock Statistics'!$C$47+I1168*'Stock Statistics'!$C$48+J1168*'Stock Statistics'!$C$49+K1168*'Stock Statistics'!$C$50,"")</f>
        <v>1.2661512917147719E-2</v>
      </c>
      <c r="M1168" s="96">
        <v>246.3443</v>
      </c>
      <c r="N1168" s="97">
        <v>317.46390000000002</v>
      </c>
      <c r="O1168" s="93">
        <f t="shared" si="54"/>
        <v>-1.076438540884872E-2</v>
      </c>
      <c r="P1168" s="93">
        <f t="shared" si="55"/>
        <v>4.725436654273274E-3</v>
      </c>
      <c r="Q1168" s="93">
        <f>B1168*'Portfolio 2 &amp; 3'!$F$7+C1168*'Portfolio 2 &amp; 3'!$F$8+D1168*'Portfolio 2 &amp; 3'!$F$9+E1168*'Portfolio 2 &amp; 3'!$F$10+F1168*'Portfolio 2 &amp; 3'!$F$11+G1168*'Portfolio 2 &amp; 3'!$F$12+H1168*'Portfolio 2 &amp; 3'!$F$13+I1168*'Portfolio 2 &amp; 3'!$F$14+J1168*'Portfolio 2 &amp; 3'!$F$15+K1168*'Portfolio 2 &amp; 3'!$F$16</f>
        <v>1.3826671195693103E-2</v>
      </c>
      <c r="R1168" s="93">
        <f>B1168*'Portfolio 2 &amp; 3'!$B$23+C1168*'Portfolio 2 &amp; 3'!$B$24+D1168*'Portfolio 2 &amp; 3'!$B$25+E1168*'Portfolio 2 &amp; 3'!$B$26+F1168*'Portfolio 2 &amp; 3'!$B$27+G1168*'Portfolio 2 &amp; 3'!$B$28+H1168*'Portfolio 2 &amp; 3'!$B$29+I1168*'Portfolio 2 &amp; 3'!$B$30+J1168*'Portfolio 2 &amp; 3'!$B$31+K1168*'Portfolio 2 &amp; 3'!$B$32</f>
        <v>1.4375882985178888E-2</v>
      </c>
      <c r="S1168" s="93">
        <f t="shared" si="56"/>
        <v>-3.0194743772877231E-3</v>
      </c>
    </row>
    <row r="1169" spans="1:19" ht="12.75" customHeight="1">
      <c r="A1169" s="82">
        <v>44365</v>
      </c>
      <c r="B1169" s="53">
        <v>5.9999999999999995E-4</v>
      </c>
      <c r="C1169" s="53">
        <v>-5.11262238942734E-3</v>
      </c>
      <c r="D1169" s="53">
        <v>2.9527559055118101E-3</v>
      </c>
      <c r="E1169" s="53">
        <v>-9.3100000000000006E-3</v>
      </c>
      <c r="F1169" s="53">
        <v>2.4183796856092101E-4</v>
      </c>
      <c r="G1169" s="53">
        <v>-7.0664727521602098E-3</v>
      </c>
      <c r="H1169" s="87">
        <v>-1.8497726896247199E-3</v>
      </c>
      <c r="I1169" s="53">
        <v>9.7319958077557401E-4</v>
      </c>
      <c r="J1169" s="53">
        <v>1.12462938349855E-3</v>
      </c>
      <c r="K1169" s="53">
        <v>6.2269608121137097E-3</v>
      </c>
      <c r="L1169" s="95">
        <f>IFERROR(B1169*'Stock Statistics'!$C$41+C1169*'Stock Statistics'!$C$42+D1169*'Stock Statistics'!$C$43+E1169*'Stock Statistics'!$C$44+F1169*'Stock Statistics'!$C$45+G1169*'Stock Statistics'!$C$46+H1169*'Stock Statistics'!$C$47+I1169*'Stock Statistics'!$C$48+J1169*'Stock Statistics'!$C$49+K1169*'Stock Statistics'!$C$50,"")</f>
        <v>-1.1219484180751702E-3</v>
      </c>
      <c r="M1169" s="97">
        <v>249.0249</v>
      </c>
      <c r="N1169" s="96">
        <v>315.9708</v>
      </c>
      <c r="O1169" s="93">
        <f t="shared" si="54"/>
        <v>-5.2651761782833706E-3</v>
      </c>
      <c r="P1169" s="93">
        <f t="shared" si="55"/>
        <v>5.1423584679821666E-4</v>
      </c>
      <c r="Q1169" s="93">
        <f>B1169*'Portfolio 2 &amp; 3'!$F$7+C1169*'Portfolio 2 &amp; 3'!$F$8+D1169*'Portfolio 2 &amp; 3'!$F$9+E1169*'Portfolio 2 &amp; 3'!$F$10+F1169*'Portfolio 2 &amp; 3'!$F$11+G1169*'Portfolio 2 &amp; 3'!$F$12+H1169*'Portfolio 2 &amp; 3'!$F$13+I1169*'Portfolio 2 &amp; 3'!$F$14+J1169*'Portfolio 2 &amp; 3'!$F$15+K1169*'Portfolio 2 &amp; 3'!$F$16</f>
        <v>-6.6561097176393816E-4</v>
      </c>
      <c r="R1169" s="93">
        <f>B1169*'Portfolio 2 &amp; 3'!$B$23+C1169*'Portfolio 2 &amp; 3'!$B$24+D1169*'Portfolio 2 &amp; 3'!$B$25+E1169*'Portfolio 2 &amp; 3'!$B$26+F1169*'Portfolio 2 &amp; 3'!$B$27+G1169*'Portfolio 2 &amp; 3'!$B$28+H1169*'Portfolio 2 &amp; 3'!$B$29+I1169*'Portfolio 2 &amp; 3'!$B$30+J1169*'Portfolio 2 &amp; 3'!$B$31+K1169*'Portfolio 2 &amp; 3'!$B$32</f>
        <v>-8.1325783128469598E-4</v>
      </c>
      <c r="S1169" s="93">
        <f t="shared" si="56"/>
        <v>-2.375470165742577E-3</v>
      </c>
    </row>
    <row r="1170" spans="1:19" ht="12.75" customHeight="1">
      <c r="A1170" s="81">
        <v>44364</v>
      </c>
      <c r="B1170" s="53">
        <v>4.8999999999999998E-3</v>
      </c>
      <c r="C1170" s="53">
        <v>-1.26672698699939E-2</v>
      </c>
      <c r="D1170" s="53">
        <v>-2.0678246484697699E-3</v>
      </c>
      <c r="E1170" s="53">
        <v>4.45E-3</v>
      </c>
      <c r="F1170" s="53">
        <v>-1.5710545108307501E-2</v>
      </c>
      <c r="G1170" s="53">
        <v>-4.7001924354149703E-3</v>
      </c>
      <c r="H1170" s="87">
        <v>5.3383910810935698E-3</v>
      </c>
      <c r="I1170" s="53">
        <v>1.4994751836856499E-3</v>
      </c>
      <c r="J1170" s="53">
        <v>6.37925712521859E-3</v>
      </c>
      <c r="K1170" s="53">
        <v>1.1960102383985901E-2</v>
      </c>
      <c r="L1170" s="95">
        <f>IFERROR(B1170*'Stock Statistics'!$C$41+C1170*'Stock Statistics'!$C$42+D1170*'Stock Statistics'!$C$43+E1170*'Stock Statistics'!$C$44+F1170*'Stock Statistics'!$C$45+G1170*'Stock Statistics'!$C$46+H1170*'Stock Statistics'!$C$47+I1170*'Stock Statistics'!$C$48+J1170*'Stock Statistics'!$C$49+K1170*'Stock Statistics'!$C$50,"")</f>
        <v>-6.1860628820243442E-5</v>
      </c>
      <c r="M1170" s="96">
        <v>250.34299999999999</v>
      </c>
      <c r="N1170" s="97">
        <v>315.80840000000001</v>
      </c>
      <c r="O1170" s="93">
        <f t="shared" si="54"/>
        <v>-5.4012177074125312E-3</v>
      </c>
      <c r="P1170" s="93">
        <f t="shared" si="55"/>
        <v>-8.4916071030838314E-4</v>
      </c>
      <c r="Q1170" s="93">
        <f>B1170*'Portfolio 2 &amp; 3'!$F$7+C1170*'Portfolio 2 &amp; 3'!$F$8+D1170*'Portfolio 2 &amp; 3'!$F$9+E1170*'Portfolio 2 &amp; 3'!$F$10+F1170*'Portfolio 2 &amp; 3'!$F$11+G1170*'Portfolio 2 &amp; 3'!$F$12+H1170*'Portfolio 2 &amp; 3'!$F$13+I1170*'Portfolio 2 &amp; 3'!$F$14+J1170*'Portfolio 2 &amp; 3'!$F$15+K1170*'Portfolio 2 &amp; 3'!$F$16</f>
        <v>1.4220154431508313E-4</v>
      </c>
      <c r="R1170" s="93">
        <f>B1170*'Portfolio 2 &amp; 3'!$B$23+C1170*'Portfolio 2 &amp; 3'!$B$24+D1170*'Portfolio 2 &amp; 3'!$B$25+E1170*'Portfolio 2 &amp; 3'!$B$26+F1170*'Portfolio 2 &amp; 3'!$B$27+G1170*'Portfolio 2 &amp; 3'!$B$28+H1170*'Portfolio 2 &amp; 3'!$B$29+I1170*'Portfolio 2 &amp; 3'!$B$30+J1170*'Portfolio 2 &amp; 3'!$B$31+K1170*'Portfolio 2 &amp; 3'!$B$32</f>
        <v>-2.9964455424467216E-3</v>
      </c>
      <c r="S1170" s="93">
        <f t="shared" si="56"/>
        <v>-3.1251892088604571E-3</v>
      </c>
    </row>
    <row r="1171" spans="1:19" ht="12.75" customHeight="1">
      <c r="A1171" s="82">
        <v>44363</v>
      </c>
      <c r="B1171" s="53">
        <v>-8.9999999999999998E-4</v>
      </c>
      <c r="C1171" s="53">
        <v>7.3878627968337902E-3</v>
      </c>
      <c r="D1171" s="53">
        <v>-6.1996280223175504E-4</v>
      </c>
      <c r="E1171" s="53">
        <v>5.3099999999999996E-3</v>
      </c>
      <c r="F1171" s="53">
        <v>-2.4535603715170301E-2</v>
      </c>
      <c r="G1171" s="53">
        <v>1.7254222607189201E-2</v>
      </c>
      <c r="H1171" s="87">
        <v>1.7883713483886701E-2</v>
      </c>
      <c r="I1171" s="53">
        <v>-1.9408910454345001E-2</v>
      </c>
      <c r="J1171" s="53">
        <v>-7.8603511637403995E-3</v>
      </c>
      <c r="K1171" s="53">
        <v>9.6768959762654205E-3</v>
      </c>
      <c r="L1171" s="95">
        <f>IFERROR(B1171*'Stock Statistics'!$C$41+C1171*'Stock Statistics'!$C$42+D1171*'Stock Statistics'!$C$43+E1171*'Stock Statistics'!$C$44+F1171*'Stock Statistics'!$C$45+G1171*'Stock Statistics'!$C$46+H1171*'Stock Statistics'!$C$47+I1171*'Stock Statistics'!$C$48+J1171*'Stock Statistics'!$C$49+K1171*'Stock Statistics'!$C$50,"")</f>
        <v>4.187866728687659E-4</v>
      </c>
      <c r="M1171" s="97">
        <v>251.70249999999999</v>
      </c>
      <c r="N1171" s="96">
        <v>316.07679999999999</v>
      </c>
      <c r="O1171" s="93">
        <f t="shared" si="54"/>
        <v>-5.2593868079814365E-3</v>
      </c>
      <c r="P1171" s="93">
        <f t="shared" si="55"/>
        <v>-1.3005215988959318E-3</v>
      </c>
      <c r="Q1171" s="93">
        <f>B1171*'Portfolio 2 &amp; 3'!$F$7+C1171*'Portfolio 2 &amp; 3'!$F$8+D1171*'Portfolio 2 &amp; 3'!$F$9+E1171*'Portfolio 2 &amp; 3'!$F$10+F1171*'Portfolio 2 &amp; 3'!$F$11+G1171*'Portfolio 2 &amp; 3'!$F$12+H1171*'Portfolio 2 &amp; 3'!$F$13+I1171*'Portfolio 2 &amp; 3'!$F$14+J1171*'Portfolio 2 &amp; 3'!$F$15+K1171*'Portfolio 2 &amp; 3'!$F$16</f>
        <v>2.718551568050996E-4</v>
      </c>
      <c r="R1171" s="93">
        <f>B1171*'Portfolio 2 &amp; 3'!$B$23+C1171*'Portfolio 2 &amp; 3'!$B$24+D1171*'Portfolio 2 &amp; 3'!$B$25+E1171*'Portfolio 2 &amp; 3'!$B$26+F1171*'Portfolio 2 &amp; 3'!$B$27+G1171*'Portfolio 2 &amp; 3'!$B$28+H1171*'Portfolio 2 &amp; 3'!$B$29+I1171*'Portfolio 2 &amp; 3'!$B$30+J1171*'Portfolio 2 &amp; 3'!$B$31+K1171*'Portfolio 2 &amp; 3'!$B$32</f>
        <v>-4.4954908349874251E-3</v>
      </c>
      <c r="S1171" s="93">
        <f t="shared" si="56"/>
        <v>-3.2799542034386842E-3</v>
      </c>
    </row>
    <row r="1172" spans="1:19" ht="12.75" customHeight="1">
      <c r="A1172" s="81">
        <v>44362</v>
      </c>
      <c r="B1172" s="53">
        <v>1.0500000000000001E-2</v>
      </c>
      <c r="C1172" s="53">
        <v>-4.91693717777353E-3</v>
      </c>
      <c r="D1172" s="53">
        <v>1.8361656231914401E-2</v>
      </c>
      <c r="E1172" s="53">
        <v>3.4399999999999999E-3</v>
      </c>
      <c r="F1172" s="53">
        <v>-1.4342386328959299E-2</v>
      </c>
      <c r="G1172" s="53">
        <v>3.29255190101518E-4</v>
      </c>
      <c r="H1172" s="87">
        <v>5.9969872954819302E-3</v>
      </c>
      <c r="I1172" s="53">
        <v>1.0174526550315701E-2</v>
      </c>
      <c r="J1172" s="53">
        <v>1.7184985203260599E-2</v>
      </c>
      <c r="K1172" s="53">
        <v>1.54516034127683E-2</v>
      </c>
      <c r="L1172" s="95">
        <f>IFERROR(B1172*'Stock Statistics'!$C$41+C1172*'Stock Statistics'!$C$42+D1172*'Stock Statistics'!$C$43+E1172*'Stock Statistics'!$C$44+F1172*'Stock Statistics'!$C$45+G1172*'Stock Statistics'!$C$46+H1172*'Stock Statistics'!$C$47+I1172*'Stock Statistics'!$C$48+J1172*'Stock Statistics'!$C$49+K1172*'Stock Statistics'!$C$50,"")</f>
        <v>6.2179690377109622E-3</v>
      </c>
      <c r="M1172" s="96">
        <v>253.0333</v>
      </c>
      <c r="N1172" s="97">
        <v>316.48840000000001</v>
      </c>
      <c r="O1172" s="93">
        <f t="shared" si="54"/>
        <v>1.0921711421032931E-2</v>
      </c>
      <c r="P1172" s="93">
        <f t="shared" si="55"/>
        <v>9.590987419365371E-3</v>
      </c>
      <c r="Q1172" s="93">
        <f>B1172*'Portfolio 2 &amp; 3'!$F$7+C1172*'Portfolio 2 &amp; 3'!$F$8+D1172*'Portfolio 2 &amp; 3'!$F$9+E1172*'Portfolio 2 &amp; 3'!$F$10+F1172*'Portfolio 2 &amp; 3'!$F$11+G1172*'Portfolio 2 &amp; 3'!$F$12+H1172*'Portfolio 2 &amp; 3'!$F$13+I1172*'Portfolio 2 &amp; 3'!$F$14+J1172*'Portfolio 2 &amp; 3'!$F$15+K1172*'Portfolio 2 &amp; 3'!$F$16</f>
        <v>7.0235193291092127E-3</v>
      </c>
      <c r="R1172" s="93">
        <f>B1172*'Portfolio 2 &amp; 3'!$B$23+C1172*'Portfolio 2 &amp; 3'!$B$24+D1172*'Portfolio 2 &amp; 3'!$B$25+E1172*'Portfolio 2 &amp; 3'!$B$26+F1172*'Portfolio 2 &amp; 3'!$B$27+G1172*'Portfolio 2 &amp; 3'!$B$28+H1172*'Portfolio 2 &amp; 3'!$B$29+I1172*'Portfolio 2 &amp; 3'!$B$30+J1172*'Portfolio 2 &amp; 3'!$B$31+K1172*'Portfolio 2 &amp; 3'!$B$32</f>
        <v>3.0818587287847928E-3</v>
      </c>
      <c r="S1172" s="93">
        <f t="shared" si="56"/>
        <v>1.0256349420199151E-2</v>
      </c>
    </row>
    <row r="1173" spans="1:19" ht="12.75" customHeight="1">
      <c r="A1173" s="82">
        <v>44361</v>
      </c>
      <c r="B1173" s="53">
        <v>-2.2000000000000001E-3</v>
      </c>
      <c r="C1173" s="53">
        <v>-7.9247308433051406E-3</v>
      </c>
      <c r="D1173" s="53">
        <v>1.2950330419953001E-2</v>
      </c>
      <c r="E1173" s="53">
        <v>-1.278E-2</v>
      </c>
      <c r="F1173" s="53">
        <v>-1.43619821039177E-2</v>
      </c>
      <c r="G1173" s="53">
        <v>-6.3367427764574602E-3</v>
      </c>
      <c r="H1173" s="87">
        <v>-4.0948418202233503E-3</v>
      </c>
      <c r="I1173" s="53">
        <v>-1.0217583063804801E-2</v>
      </c>
      <c r="J1173" s="53">
        <v>6.2166962699821103E-3</v>
      </c>
      <c r="K1173" s="53">
        <v>-3.7643958732813698E-4</v>
      </c>
      <c r="L1173" s="95">
        <f>IFERROR(B1173*'Stock Statistics'!$C$41+C1173*'Stock Statistics'!$C$42+D1173*'Stock Statistics'!$C$43+E1173*'Stock Statistics'!$C$44+F1173*'Stock Statistics'!$C$45+G1173*'Stock Statistics'!$C$46+H1173*'Stock Statistics'!$C$47+I1173*'Stock Statistics'!$C$48+J1173*'Stock Statistics'!$C$49+K1173*'Stock Statistics'!$C$50,"")</f>
        <v>-3.9125293505101483E-3</v>
      </c>
      <c r="M1173" s="97">
        <v>250.2996</v>
      </c>
      <c r="N1173" s="96">
        <v>313.48180000000002</v>
      </c>
      <c r="O1173" s="93">
        <f t="shared" si="54"/>
        <v>1.128577333183034E-2</v>
      </c>
      <c r="P1173" s="93">
        <f t="shared" si="55"/>
        <v>-7.7870473639252147E-4</v>
      </c>
      <c r="Q1173" s="93">
        <f>B1173*'Portfolio 2 &amp; 3'!$F$7+C1173*'Portfolio 2 &amp; 3'!$F$8+D1173*'Portfolio 2 &amp; 3'!$F$9+E1173*'Portfolio 2 &amp; 3'!$F$10+F1173*'Portfolio 2 &amp; 3'!$F$11+G1173*'Portfolio 2 &amp; 3'!$F$12+H1173*'Portfolio 2 &amp; 3'!$F$13+I1173*'Portfolio 2 &amp; 3'!$F$14+J1173*'Portfolio 2 &amp; 3'!$F$15+K1173*'Portfolio 2 &amp; 3'!$F$16</f>
        <v>-2.6056527345674377E-3</v>
      </c>
      <c r="R1173" s="93">
        <f>B1173*'Portfolio 2 &amp; 3'!$B$23+C1173*'Portfolio 2 &amp; 3'!$B$24+D1173*'Portfolio 2 &amp; 3'!$B$25+E1173*'Portfolio 2 &amp; 3'!$B$26+F1173*'Portfolio 2 &amp; 3'!$B$27+G1173*'Portfolio 2 &amp; 3'!$B$28+H1173*'Portfolio 2 &amp; 3'!$B$29+I1173*'Portfolio 2 &amp; 3'!$B$30+J1173*'Portfolio 2 &amp; 3'!$B$31+K1173*'Portfolio 2 &amp; 3'!$B$32</f>
        <v>-7.0918789745071055E-3</v>
      </c>
      <c r="S1173" s="93">
        <f t="shared" si="56"/>
        <v>5.2535342977189092E-3</v>
      </c>
    </row>
    <row r="1174" spans="1:19" ht="12.75" customHeight="1">
      <c r="A1174" s="81">
        <v>44358</v>
      </c>
      <c r="B1174" s="53">
        <v>1.37E-2</v>
      </c>
      <c r="C1174" s="53">
        <v>-5.1824863370815199E-3</v>
      </c>
      <c r="D1174" s="53">
        <v>-6.5650148242270001E-3</v>
      </c>
      <c r="E1174" s="53">
        <v>-5.64E-3</v>
      </c>
      <c r="F1174" s="53">
        <v>2.1978021978022101E-2</v>
      </c>
      <c r="G1174" s="53">
        <v>-7.2650814543838704E-3</v>
      </c>
      <c r="H1174" s="87">
        <v>-1.69544208652406E-3</v>
      </c>
      <c r="I1174" s="53">
        <v>-1.54128440366963E-3</v>
      </c>
      <c r="J1174" s="53">
        <v>6.5201388158586697E-3</v>
      </c>
      <c r="K1174" s="53">
        <v>6.0952516214551897E-3</v>
      </c>
      <c r="L1174" s="95">
        <f>IFERROR(B1174*'Stock Statistics'!$C$41+C1174*'Stock Statistics'!$C$42+D1174*'Stock Statistics'!$C$43+E1174*'Stock Statistics'!$C$44+F1174*'Stock Statistics'!$C$45+G1174*'Stock Statistics'!$C$46+H1174*'Stock Statistics'!$C$47+I1174*'Stock Statistics'!$C$48+J1174*'Stock Statistics'!$C$49+K1174*'Stock Statistics'!$C$50,"")</f>
        <v>2.0404103309449883E-3</v>
      </c>
      <c r="M1174" s="96">
        <v>247.50630000000001</v>
      </c>
      <c r="N1174" s="97">
        <v>313.72609999999997</v>
      </c>
      <c r="O1174" s="93">
        <f t="shared" si="54"/>
        <v>-7.0320401542008915E-3</v>
      </c>
      <c r="P1174" s="93">
        <f t="shared" si="55"/>
        <v>2.0038409613325481E-3</v>
      </c>
      <c r="Q1174" s="93">
        <f>B1174*'Portfolio 2 &amp; 3'!$F$7+C1174*'Portfolio 2 &amp; 3'!$F$8+D1174*'Portfolio 2 &amp; 3'!$F$9+E1174*'Portfolio 2 &amp; 3'!$F$10+F1174*'Portfolio 2 &amp; 3'!$F$11+G1174*'Portfolio 2 &amp; 3'!$F$12+H1174*'Portfolio 2 &amp; 3'!$F$13+I1174*'Portfolio 2 &amp; 3'!$F$14+J1174*'Portfolio 2 &amp; 3'!$F$15+K1174*'Portfolio 2 &amp; 3'!$F$16</f>
        <v>2.0138013192886285E-3</v>
      </c>
      <c r="R1174" s="93">
        <f>B1174*'Portfolio 2 &amp; 3'!$B$23+C1174*'Portfolio 2 &amp; 3'!$B$24+D1174*'Portfolio 2 &amp; 3'!$B$25+E1174*'Portfolio 2 &amp; 3'!$B$26+F1174*'Portfolio 2 &amp; 3'!$B$27+G1174*'Portfolio 2 &amp; 3'!$B$28+H1174*'Portfolio 2 &amp; 3'!$B$29+I1174*'Portfolio 2 &amp; 3'!$B$30+J1174*'Portfolio 2 &amp; 3'!$B$31+K1174*'Portfolio 2 &amp; 3'!$B$32</f>
        <v>3.7570551618197391E-3</v>
      </c>
      <c r="S1174" s="93">
        <f t="shared" si="56"/>
        <v>-2.5140995964341717E-3</v>
      </c>
    </row>
    <row r="1175" spans="1:19" ht="12.75" customHeight="1">
      <c r="A1175" s="82">
        <v>44357</v>
      </c>
      <c r="B1175" s="53">
        <v>1.8E-3</v>
      </c>
      <c r="C1175" s="53">
        <v>-6.5915439907082696E-4</v>
      </c>
      <c r="D1175" s="53">
        <v>-8.60802015536433E-3</v>
      </c>
      <c r="E1175" s="53">
        <v>-2.7100000000000002E-3</v>
      </c>
      <c r="F1175" s="53">
        <v>2.2632612966601202E-2</v>
      </c>
      <c r="G1175" s="53">
        <v>1.55800575263654E-3</v>
      </c>
      <c r="H1175" s="87">
        <v>4.9886406664143602E-3</v>
      </c>
      <c r="I1175" s="53">
        <v>-4.2388365124607103E-3</v>
      </c>
      <c r="J1175" s="53">
        <v>-7.1521795875750804E-3</v>
      </c>
      <c r="K1175" s="53">
        <v>-1.49577382687263E-2</v>
      </c>
      <c r="L1175" s="95">
        <f>IFERROR(B1175*'Stock Statistics'!$C$41+C1175*'Stock Statistics'!$C$42+D1175*'Stock Statistics'!$C$43+E1175*'Stock Statistics'!$C$44+F1175*'Stock Statistics'!$C$45+G1175*'Stock Statistics'!$C$46+H1175*'Stock Statistics'!$C$47+I1175*'Stock Statistics'!$C$48+J1175*'Stock Statistics'!$C$49+K1175*'Stock Statistics'!$C$50,"")</f>
        <v>-7.3466695375451452E-4</v>
      </c>
      <c r="M1175" s="97">
        <v>249.25909999999999</v>
      </c>
      <c r="N1175" s="96">
        <v>313.09870000000001</v>
      </c>
      <c r="O1175" s="93">
        <f t="shared" si="54"/>
        <v>8.1755297935832694E-3</v>
      </c>
      <c r="P1175" s="93">
        <f t="shared" si="55"/>
        <v>-5.7950544846259167E-3</v>
      </c>
      <c r="Q1175" s="93">
        <f>B1175*'Portfolio 2 &amp; 3'!$F$7+C1175*'Portfolio 2 &amp; 3'!$F$8+D1175*'Portfolio 2 &amp; 3'!$F$9+E1175*'Portfolio 2 &amp; 3'!$F$10+F1175*'Portfolio 2 &amp; 3'!$F$11+G1175*'Portfolio 2 &amp; 3'!$F$12+H1175*'Portfolio 2 &amp; 3'!$F$13+I1175*'Portfolio 2 &amp; 3'!$F$14+J1175*'Portfolio 2 &amp; 3'!$F$15+K1175*'Portfolio 2 &amp; 3'!$F$16</f>
        <v>-6.340591659012441E-4</v>
      </c>
      <c r="R1175" s="93">
        <f>B1175*'Portfolio 2 &amp; 3'!$B$23+C1175*'Portfolio 2 &amp; 3'!$B$24+D1175*'Portfolio 2 &amp; 3'!$B$25+E1175*'Portfolio 2 &amp; 3'!$B$26+F1175*'Portfolio 2 &amp; 3'!$B$27+G1175*'Portfolio 2 &amp; 3'!$B$28+H1175*'Portfolio 2 &amp; 3'!$B$29+I1175*'Portfolio 2 &amp; 3'!$B$30+J1175*'Portfolio 2 &amp; 3'!$B$31+K1175*'Portfolio 2 &amp; 3'!$B$32</f>
        <v>1.3124671708965943E-3</v>
      </c>
      <c r="S1175" s="93">
        <f t="shared" si="56"/>
        <v>1.1902376544786764E-3</v>
      </c>
    </row>
    <row r="1176" spans="1:19" ht="12.75" customHeight="1">
      <c r="A1176" s="81">
        <v>44356</v>
      </c>
      <c r="B1176" s="53">
        <v>7.7000000000000002E-3</v>
      </c>
      <c r="C1176" s="53">
        <v>-1.16643400031022E-2</v>
      </c>
      <c r="D1176" s="53">
        <v>-2.2518984027232198E-3</v>
      </c>
      <c r="E1176" s="53">
        <v>5.7000000000000002E-3</v>
      </c>
      <c r="F1176" s="53">
        <v>3.5488958990537202E-3</v>
      </c>
      <c r="G1176" s="53">
        <v>7.8337992200712102E-3</v>
      </c>
      <c r="H1176" s="87">
        <v>-3.5958288385462599E-4</v>
      </c>
      <c r="I1176" s="53">
        <v>1.2880302020874999E-2</v>
      </c>
      <c r="J1176" s="53">
        <v>1.98775958570896E-3</v>
      </c>
      <c r="K1176" s="53">
        <v>1.41046558369393E-2</v>
      </c>
      <c r="L1176" s="95">
        <f>IFERROR(B1176*'Stock Statistics'!$C$41+C1176*'Stock Statistics'!$C$42+D1176*'Stock Statistics'!$C$43+E1176*'Stock Statistics'!$C$44+F1176*'Stock Statistics'!$C$45+G1176*'Stock Statistics'!$C$46+H1176*'Stock Statistics'!$C$47+I1176*'Stock Statistics'!$C$48+J1176*'Stock Statistics'!$C$49+K1176*'Stock Statistics'!$C$50,"")</f>
        <v>3.9479591272968146E-3</v>
      </c>
      <c r="M1176" s="96">
        <v>247.23779999999999</v>
      </c>
      <c r="N1176" s="97">
        <v>314.9237</v>
      </c>
      <c r="O1176" s="93">
        <f t="shared" si="54"/>
        <v>-2.9869524978980433E-3</v>
      </c>
      <c r="P1176" s="93">
        <f t="shared" si="55"/>
        <v>-1.3416974581634822E-3</v>
      </c>
      <c r="Q1176" s="93">
        <f>B1176*'Portfolio 2 &amp; 3'!$F$7+C1176*'Portfolio 2 &amp; 3'!$F$8+D1176*'Portfolio 2 &amp; 3'!$F$9+E1176*'Portfolio 2 &amp; 3'!$F$10+F1176*'Portfolio 2 &amp; 3'!$F$11+G1176*'Portfolio 2 &amp; 3'!$F$12+H1176*'Portfolio 2 &amp; 3'!$F$13+I1176*'Portfolio 2 &amp; 3'!$F$14+J1176*'Portfolio 2 &amp; 3'!$F$15+K1176*'Portfolio 2 &amp; 3'!$F$16</f>
        <v>2.7239179680024796E-3</v>
      </c>
      <c r="R1176" s="93">
        <f>B1176*'Portfolio 2 &amp; 3'!$B$23+C1176*'Portfolio 2 &amp; 3'!$B$24+D1176*'Portfolio 2 &amp; 3'!$B$25+E1176*'Portfolio 2 &amp; 3'!$B$26+F1176*'Portfolio 2 &amp; 3'!$B$27+G1176*'Portfolio 2 &amp; 3'!$B$28+H1176*'Portfolio 2 &amp; 3'!$B$29+I1176*'Portfolio 2 &amp; 3'!$B$30+J1176*'Portfolio 2 &amp; 3'!$B$31+K1176*'Portfolio 2 &amp; 3'!$B$32</f>
        <v>4.6500002571314477E-3</v>
      </c>
      <c r="S1176" s="93">
        <f t="shared" si="56"/>
        <v>-2.1643249780307627E-3</v>
      </c>
    </row>
    <row r="1177" spans="1:19" ht="12.75" customHeight="1">
      <c r="A1177" s="82">
        <v>44355</v>
      </c>
      <c r="B1177" s="53">
        <v>3.5000000000000001E-3</v>
      </c>
      <c r="C1177" s="53">
        <v>8.2101806239738302E-3</v>
      </c>
      <c r="D1177" s="53">
        <v>2.4148249251929599E-3</v>
      </c>
      <c r="E1177" s="53">
        <v>-8.0700000000000008E-3</v>
      </c>
      <c r="F1177" s="53">
        <v>-3.3797060441719301E-3</v>
      </c>
      <c r="G1177" s="53">
        <v>-1.9025694844104601E-2</v>
      </c>
      <c r="H1177" s="87">
        <v>-4.9181878369442E-4</v>
      </c>
      <c r="I1177" s="53">
        <v>-3.1729634002360999E-3</v>
      </c>
      <c r="J1177" s="53">
        <v>-4.4784669062125602E-3</v>
      </c>
      <c r="K1177" s="53">
        <v>7.5762990493888401E-3</v>
      </c>
      <c r="L1177" s="95">
        <f>IFERROR(B1177*'Stock Statistics'!$C$41+C1177*'Stock Statistics'!$C$42+D1177*'Stock Statistics'!$C$43+E1177*'Stock Statistics'!$C$44+F1177*'Stock Statistics'!$C$45+G1177*'Stock Statistics'!$C$46+H1177*'Stock Statistics'!$C$47+I1177*'Stock Statistics'!$C$48+J1177*'Stock Statistics'!$C$49+K1177*'Stock Statistics'!$C$50,"")</f>
        <v>-1.6917345379863983E-3</v>
      </c>
      <c r="M1177" s="97">
        <v>247.9785</v>
      </c>
      <c r="N1177" s="96">
        <v>315.34679999999997</v>
      </c>
      <c r="O1177" s="93">
        <f t="shared" si="54"/>
        <v>-1.3953488372092648E-3</v>
      </c>
      <c r="P1177" s="93">
        <f t="shared" si="55"/>
        <v>6.2693433990006486E-3</v>
      </c>
      <c r="Q1177" s="93">
        <f>B1177*'Portfolio 2 &amp; 3'!$F$7+C1177*'Portfolio 2 &amp; 3'!$F$8+D1177*'Portfolio 2 &amp; 3'!$F$9+E1177*'Portfolio 2 &amp; 3'!$F$10+F1177*'Portfolio 2 &amp; 3'!$F$11+G1177*'Portfolio 2 &amp; 3'!$F$12+H1177*'Portfolio 2 &amp; 3'!$F$13+I1177*'Portfolio 2 &amp; 3'!$F$14+J1177*'Portfolio 2 &amp; 3'!$F$15+K1177*'Portfolio 2 &amp; 3'!$F$16</f>
        <v>-1.0256310962432672E-3</v>
      </c>
      <c r="R1177" s="93">
        <f>B1177*'Portfolio 2 &amp; 3'!$B$23+C1177*'Portfolio 2 &amp; 3'!$B$24+D1177*'Portfolio 2 &amp; 3'!$B$25+E1177*'Portfolio 2 &amp; 3'!$B$26+F1177*'Portfolio 2 &amp; 3'!$B$27+G1177*'Portfolio 2 &amp; 3'!$B$28+H1177*'Portfolio 2 &amp; 3'!$B$29+I1177*'Portfolio 2 &amp; 3'!$B$30+J1177*'Portfolio 2 &amp; 3'!$B$31+K1177*'Portfolio 2 &amp; 3'!$B$32</f>
        <v>-7.9001095767538274E-4</v>
      </c>
      <c r="S1177" s="93">
        <f t="shared" si="56"/>
        <v>2.4369972808956919E-3</v>
      </c>
    </row>
    <row r="1178" spans="1:19" ht="12.75" customHeight="1">
      <c r="A1178" s="81">
        <v>44354</v>
      </c>
      <c r="B1178" s="53">
        <v>-2.7000000000000001E-3</v>
      </c>
      <c r="C1178" s="53">
        <v>2.1077844311377301E-2</v>
      </c>
      <c r="D1178" s="53">
        <v>-9.6183841114693101E-3</v>
      </c>
      <c r="E1178" s="53">
        <v>-7.0499999999999998E-3</v>
      </c>
      <c r="F1178" s="53">
        <v>-5.4988216810691903E-4</v>
      </c>
      <c r="G1178" s="53">
        <v>2.2039997232025502E-2</v>
      </c>
      <c r="H1178" s="87">
        <v>-2.2123157174303101E-2</v>
      </c>
      <c r="I1178" s="53">
        <v>1.9222238651486201E-3</v>
      </c>
      <c r="J1178" s="53">
        <v>-7.8051826412739401E-4</v>
      </c>
      <c r="K1178" s="53">
        <v>-2.4416888444687299E-2</v>
      </c>
      <c r="L1178" s="95">
        <f>IFERROR(B1178*'Stock Statistics'!$C$41+C1178*'Stock Statistics'!$C$42+D1178*'Stock Statistics'!$C$43+E1178*'Stock Statistics'!$C$44+F1178*'Stock Statistics'!$C$45+G1178*'Stock Statistics'!$C$46+H1178*'Stock Statistics'!$C$47+I1178*'Stock Statistics'!$C$48+J1178*'Stock Statistics'!$C$49+K1178*'Stock Statistics'!$C$50,"")</f>
        <v>-2.2198764754142604E-3</v>
      </c>
      <c r="M1178" s="96">
        <v>248.32499999999999</v>
      </c>
      <c r="N1178" s="97">
        <v>313.38209999999998</v>
      </c>
      <c r="O1178" s="93">
        <f t="shared" si="54"/>
        <v>7.362710831646524E-4</v>
      </c>
      <c r="P1178" s="93">
        <f t="shared" si="55"/>
        <v>3.5539495498000395E-3</v>
      </c>
      <c r="Q1178" s="93">
        <f>B1178*'Portfolio 2 &amp; 3'!$F$7+C1178*'Portfolio 2 &amp; 3'!$F$8+D1178*'Portfolio 2 &amp; 3'!$F$9+E1178*'Portfolio 2 &amp; 3'!$F$10+F1178*'Portfolio 2 &amp; 3'!$F$11+G1178*'Portfolio 2 &amp; 3'!$F$12+H1178*'Portfolio 2 &amp; 3'!$F$13+I1178*'Portfolio 2 &amp; 3'!$F$14+J1178*'Portfolio 2 &amp; 3'!$F$15+K1178*'Portfolio 2 &amp; 3'!$F$16</f>
        <v>-4.2800791572967962E-3</v>
      </c>
      <c r="R1178" s="93">
        <f>B1178*'Portfolio 2 &amp; 3'!$B$23+C1178*'Portfolio 2 &amp; 3'!$B$24+D1178*'Portfolio 2 &amp; 3'!$B$25+E1178*'Portfolio 2 &amp; 3'!$B$26+F1178*'Portfolio 2 &amp; 3'!$B$27+G1178*'Portfolio 2 &amp; 3'!$B$28+H1178*'Portfolio 2 &amp; 3'!$B$29+I1178*'Portfolio 2 &amp; 3'!$B$30+J1178*'Portfolio 2 &amp; 3'!$B$31+K1178*'Portfolio 2 &amp; 3'!$B$32</f>
        <v>3.497258640253399E-3</v>
      </c>
      <c r="S1178" s="93">
        <f t="shared" si="56"/>
        <v>2.145110316482346E-3</v>
      </c>
    </row>
    <row r="1179" spans="1:19" ht="12.75" customHeight="1">
      <c r="A1179" s="82">
        <v>44351</v>
      </c>
      <c r="B1179" s="53">
        <v>-1.5E-3</v>
      </c>
      <c r="C1179" s="53">
        <v>9.7386369133034608E-3</v>
      </c>
      <c r="D1179" s="53">
        <v>-2.62251923855812E-2</v>
      </c>
      <c r="E1179" s="53">
        <v>-1.1050000000000001E-2</v>
      </c>
      <c r="F1179" s="53">
        <v>3.3102143757881598E-3</v>
      </c>
      <c r="G1179" s="53">
        <v>-1.27918296244429E-2</v>
      </c>
      <c r="H1179" s="87">
        <v>-8.7786576970350105E-4</v>
      </c>
      <c r="I1179" s="53">
        <v>6.0245444403124199E-3</v>
      </c>
      <c r="J1179" s="53">
        <v>1.04632209895368E-2</v>
      </c>
      <c r="K1179" s="53">
        <v>3.8365847420207501E-4</v>
      </c>
      <c r="L1179" s="95">
        <f>IFERROR(B1179*'Stock Statistics'!$C$41+C1179*'Stock Statistics'!$C$42+D1179*'Stock Statistics'!$C$43+E1179*'Stock Statistics'!$C$44+F1179*'Stock Statistics'!$C$45+G1179*'Stock Statistics'!$C$46+H1179*'Stock Statistics'!$C$47+I1179*'Stock Statistics'!$C$48+J1179*'Stock Statistics'!$C$49+K1179*'Stock Statistics'!$C$50,"")</f>
        <v>-2.2524612586584691E-3</v>
      </c>
      <c r="M1179" s="97">
        <v>248.14230000000001</v>
      </c>
      <c r="N1179" s="96">
        <v>312.27229999999997</v>
      </c>
      <c r="O1179" s="93">
        <f t="shared" si="54"/>
        <v>9.2028818994669415E-3</v>
      </c>
      <c r="P1179" s="93">
        <f t="shared" si="55"/>
        <v>1.4778159240436128E-3</v>
      </c>
      <c r="Q1179" s="93">
        <f>B1179*'Portfolio 2 &amp; 3'!$F$7+C1179*'Portfolio 2 &amp; 3'!$F$8+D1179*'Portfolio 2 &amp; 3'!$F$9+E1179*'Portfolio 2 &amp; 3'!$F$10+F1179*'Portfolio 2 &amp; 3'!$F$11+G1179*'Portfolio 2 &amp; 3'!$F$12+H1179*'Portfolio 2 &amp; 3'!$F$13+I1179*'Portfolio 2 &amp; 3'!$F$14+J1179*'Portfolio 2 &amp; 3'!$F$15+K1179*'Portfolio 2 &amp; 3'!$F$16</f>
        <v>-1.8929863867007811E-3</v>
      </c>
      <c r="R1179" s="93">
        <f>B1179*'Portfolio 2 &amp; 3'!$B$23+C1179*'Portfolio 2 &amp; 3'!$B$24+D1179*'Portfolio 2 &amp; 3'!$B$25+E1179*'Portfolio 2 &amp; 3'!$B$26+F1179*'Portfolio 2 &amp; 3'!$B$27+G1179*'Portfolio 2 &amp; 3'!$B$28+H1179*'Portfolio 2 &amp; 3'!$B$29+I1179*'Portfolio 2 &amp; 3'!$B$30+J1179*'Portfolio 2 &amp; 3'!$B$31+K1179*'Portfolio 2 &amp; 3'!$B$32</f>
        <v>2.3566598636650909E-3</v>
      </c>
      <c r="S1179" s="93">
        <f t="shared" si="56"/>
        <v>5.3403489117552772E-3</v>
      </c>
    </row>
    <row r="1180" spans="1:19" ht="12.75" customHeight="1">
      <c r="A1180" s="81">
        <v>44350</v>
      </c>
      <c r="B1180" s="53">
        <v>-1.5E-3</v>
      </c>
      <c r="C1180" s="53">
        <v>-2.3552749657571901E-2</v>
      </c>
      <c r="D1180" s="53">
        <v>-6.18867924528299E-3</v>
      </c>
      <c r="E1180" s="53">
        <v>-5.1999999999999998E-3</v>
      </c>
      <c r="F1180" s="53">
        <v>1.11571565189672E-2</v>
      </c>
      <c r="G1180" s="53">
        <v>-1.7484688312777899E-2</v>
      </c>
      <c r="H1180" s="87">
        <v>-9.2467979528870793E-3</v>
      </c>
      <c r="I1180" s="53">
        <v>1.1206377858002501E-2</v>
      </c>
      <c r="J1180" s="53">
        <v>-6.06218970472949E-3</v>
      </c>
      <c r="K1180" s="53">
        <v>-2.8634029283223202E-3</v>
      </c>
      <c r="L1180" s="95">
        <f>IFERROR(B1180*'Stock Statistics'!$C$41+C1180*'Stock Statistics'!$C$42+D1180*'Stock Statistics'!$C$43+E1180*'Stock Statistics'!$C$44+F1180*'Stock Statistics'!$C$45+G1180*'Stock Statistics'!$C$46+H1180*'Stock Statistics'!$C$47+I1180*'Stock Statistics'!$C$48+J1180*'Stock Statistics'!$C$49+K1180*'Stock Statistics'!$C$50,"")</f>
        <v>-4.9734973424601977E-3</v>
      </c>
      <c r="M1180" s="96">
        <v>245.87950000000001</v>
      </c>
      <c r="N1180" s="97">
        <v>311.81150000000002</v>
      </c>
      <c r="O1180" s="93">
        <f t="shared" si="54"/>
        <v>3.7987499438658645E-3</v>
      </c>
      <c r="P1180" s="93">
        <f t="shared" si="55"/>
        <v>3.5334790623906542E-3</v>
      </c>
      <c r="Q1180" s="93">
        <f>B1180*'Portfolio 2 &amp; 3'!$F$7+C1180*'Portfolio 2 &amp; 3'!$F$8+D1180*'Portfolio 2 &amp; 3'!$F$9+E1180*'Portfolio 2 &amp; 3'!$F$10+F1180*'Portfolio 2 &amp; 3'!$F$11+G1180*'Portfolio 2 &amp; 3'!$F$12+H1180*'Portfolio 2 &amp; 3'!$F$13+I1180*'Portfolio 2 &amp; 3'!$F$14+J1180*'Portfolio 2 &amp; 3'!$F$15+K1180*'Portfolio 2 &amp; 3'!$F$16</f>
        <v>-5.0610698036821144E-3</v>
      </c>
      <c r="R1180" s="93">
        <f>B1180*'Portfolio 2 &amp; 3'!$B$23+C1180*'Portfolio 2 &amp; 3'!$B$24+D1180*'Portfolio 2 &amp; 3'!$B$25+E1180*'Portfolio 2 &amp; 3'!$B$26+F1180*'Portfolio 2 &amp; 3'!$B$27+G1180*'Portfolio 2 &amp; 3'!$B$28+H1180*'Portfolio 2 &amp; 3'!$B$29+I1180*'Portfolio 2 &amp; 3'!$B$30+J1180*'Portfolio 2 &amp; 3'!$B$31+K1180*'Portfolio 2 &amp; 3'!$B$32</f>
        <v>-2.7993374998596171E-3</v>
      </c>
      <c r="S1180" s="93">
        <f t="shared" si="56"/>
        <v>3.6661145031282594E-3</v>
      </c>
    </row>
    <row r="1181" spans="1:19" ht="12.75" customHeight="1">
      <c r="A1181" s="82">
        <v>44349</v>
      </c>
      <c r="B1181" s="53">
        <v>1.9E-3</v>
      </c>
      <c r="C1181" s="53">
        <v>1.12722698976262E-2</v>
      </c>
      <c r="D1181" s="53">
        <v>-5.5315297194002998E-4</v>
      </c>
      <c r="E1181" s="53">
        <v>2.2300000000000002E-3</v>
      </c>
      <c r="F1181" s="53">
        <v>1.28339656146581E-2</v>
      </c>
      <c r="G1181" s="53">
        <v>3.4707271338287202E-2</v>
      </c>
      <c r="H1181" s="87">
        <v>1.5312671923712899E-3</v>
      </c>
      <c r="I1181" s="53">
        <v>-6.7643742953782404E-4</v>
      </c>
      <c r="J1181" s="53">
        <v>-1.33546457667321E-2</v>
      </c>
      <c r="K1181" s="53">
        <v>-1.7091874522851901E-2</v>
      </c>
      <c r="L1181" s="95">
        <f>IFERROR(B1181*'Stock Statistics'!$C$41+C1181*'Stock Statistics'!$C$42+D1181*'Stock Statistics'!$C$43+E1181*'Stock Statistics'!$C$44+F1181*'Stock Statistics'!$C$45+G1181*'Stock Statistics'!$C$46+H1181*'Stock Statistics'!$C$47+I1181*'Stock Statistics'!$C$48+J1181*'Stock Statistics'!$C$49+K1181*'Stock Statistics'!$C$50,"")</f>
        <v>3.2798663351880945E-3</v>
      </c>
      <c r="M1181" s="97">
        <v>244.94900000000001</v>
      </c>
      <c r="N1181" s="96">
        <v>310.71359999999999</v>
      </c>
      <c r="O1181" s="93">
        <f t="shared" si="54"/>
        <v>1.2647175682105605E-3</v>
      </c>
      <c r="P1181" s="93">
        <f t="shared" si="55"/>
        <v>-4.3818738142105129E-3</v>
      </c>
      <c r="Q1181" s="93">
        <f>B1181*'Portfolio 2 &amp; 3'!$F$7+C1181*'Portfolio 2 &amp; 3'!$F$8+D1181*'Portfolio 2 &amp; 3'!$F$9+E1181*'Portfolio 2 &amp; 3'!$F$10+F1181*'Portfolio 2 &amp; 3'!$F$11+G1181*'Portfolio 2 &amp; 3'!$F$12+H1181*'Portfolio 2 &amp; 3'!$F$13+I1181*'Portfolio 2 &amp; 3'!$F$14+J1181*'Portfolio 2 &amp; 3'!$F$15+K1181*'Portfolio 2 &amp; 3'!$F$16</f>
        <v>1.4276244451815834E-3</v>
      </c>
      <c r="R1181" s="93">
        <f>B1181*'Portfolio 2 &amp; 3'!$B$23+C1181*'Portfolio 2 &amp; 3'!$B$24+D1181*'Portfolio 2 &amp; 3'!$B$25+E1181*'Portfolio 2 &amp; 3'!$B$26+F1181*'Portfolio 2 &amp; 3'!$B$27+G1181*'Portfolio 2 &amp; 3'!$B$28+H1181*'Portfolio 2 &amp; 3'!$B$29+I1181*'Portfolio 2 &amp; 3'!$B$30+J1181*'Portfolio 2 &amp; 3'!$B$31+K1181*'Portfolio 2 &amp; 3'!$B$32</f>
        <v>6.0817162922799746E-3</v>
      </c>
      <c r="S1181" s="93">
        <f t="shared" si="56"/>
        <v>-1.5585781229999762E-3</v>
      </c>
    </row>
    <row r="1182" spans="1:19" ht="12.75" customHeight="1">
      <c r="A1182" s="81">
        <v>44348</v>
      </c>
      <c r="B1182" s="53">
        <v>-4.4000000000000003E-3</v>
      </c>
      <c r="C1182" s="53">
        <v>-7.7410385630104503E-3</v>
      </c>
      <c r="D1182" s="53">
        <v>-1.53495741731036E-2</v>
      </c>
      <c r="E1182" s="53">
        <v>2.7999999999999998E-4</v>
      </c>
      <c r="F1182" s="53">
        <v>1.85993854116129E-3</v>
      </c>
      <c r="G1182" s="53">
        <v>6.9934960486748299E-3</v>
      </c>
      <c r="H1182" s="87">
        <v>3.0413544845570201E-2</v>
      </c>
      <c r="I1182" s="53">
        <v>-2.32453509298136E-3</v>
      </c>
      <c r="J1182" s="53">
        <v>-6.6075910464579203E-3</v>
      </c>
      <c r="K1182" s="53">
        <v>1.23543661321952E-2</v>
      </c>
      <c r="L1182" s="95">
        <f>IFERROR(B1182*'Stock Statistics'!$C$41+C1182*'Stock Statistics'!$C$42+D1182*'Stock Statistics'!$C$43+E1182*'Stock Statistics'!$C$44+F1182*'Stock Statistics'!$C$45+G1182*'Stock Statistics'!$C$46+H1182*'Stock Statistics'!$C$47+I1182*'Stock Statistics'!$C$48+J1182*'Stock Statistics'!$C$49+K1182*'Stock Statistics'!$C$50,"")</f>
        <v>1.5478606692048195E-3</v>
      </c>
      <c r="M1182" s="96">
        <v>244.6396</v>
      </c>
      <c r="N1182" s="97">
        <v>312.08109999999999</v>
      </c>
      <c r="O1182" s="93">
        <f t="shared" si="54"/>
        <v>-1.026631906179043E-2</v>
      </c>
      <c r="P1182" s="93">
        <f t="shared" si="55"/>
        <v>1.487808367966803E-2</v>
      </c>
      <c r="Q1182" s="93">
        <f>B1182*'Portfolio 2 &amp; 3'!$F$7+C1182*'Portfolio 2 &amp; 3'!$F$8+D1182*'Portfolio 2 &amp; 3'!$F$9+E1182*'Portfolio 2 &amp; 3'!$F$10+F1182*'Portfolio 2 &amp; 3'!$F$11+G1182*'Portfolio 2 &amp; 3'!$F$12+H1182*'Portfolio 2 &amp; 3'!$F$13+I1182*'Portfolio 2 &amp; 3'!$F$14+J1182*'Portfolio 2 &amp; 3'!$F$15+K1182*'Portfolio 2 &amp; 3'!$F$16</f>
        <v>2.2946664542640781E-3</v>
      </c>
      <c r="R1182" s="93">
        <f>B1182*'Portfolio 2 &amp; 3'!$B$23+C1182*'Portfolio 2 &amp; 3'!$B$24+D1182*'Portfolio 2 &amp; 3'!$B$25+E1182*'Portfolio 2 &amp; 3'!$B$26+F1182*'Portfolio 2 &amp; 3'!$B$27+G1182*'Portfolio 2 &amp; 3'!$B$28+H1182*'Portfolio 2 &amp; 3'!$B$29+I1182*'Portfolio 2 &amp; 3'!$B$30+J1182*'Portfolio 2 &amp; 3'!$B$31+K1182*'Portfolio 2 &amp; 3'!$B$32</f>
        <v>-4.7996827234812354E-5</v>
      </c>
      <c r="S1182" s="93">
        <f t="shared" si="56"/>
        <v>2.3058823089388003E-3</v>
      </c>
    </row>
    <row r="1183" spans="1:19" ht="12.75" customHeight="1">
      <c r="A1183" s="82">
        <v>44347</v>
      </c>
      <c r="B1183" s="53">
        <v>-4.4999999999999997E-3</v>
      </c>
      <c r="C1183" s="53">
        <v>-4.2473532696755099E-3</v>
      </c>
      <c r="D1183" s="53">
        <v>4.7510373443983497E-2</v>
      </c>
      <c r="E1183" s="53">
        <v>6.3899999999999998E-3</v>
      </c>
      <c r="F1183" s="53">
        <v>-4.8285852245292301E-3</v>
      </c>
      <c r="G1183" s="53">
        <v>2.1849820449145099E-2</v>
      </c>
      <c r="H1183" s="87">
        <v>1.32591713257257E-2</v>
      </c>
      <c r="I1183" s="53">
        <v>-6.7773888433754204E-3</v>
      </c>
      <c r="J1183" s="53">
        <v>8.5757090458231707E-3</v>
      </c>
      <c r="K1183" s="53">
        <v>-8.7020159860951001E-3</v>
      </c>
      <c r="L1183" s="95">
        <f>IFERROR(B1183*'Stock Statistics'!$C$41+C1183*'Stock Statistics'!$C$42+D1183*'Stock Statistics'!$C$43+E1183*'Stock Statistics'!$C$44+F1183*'Stock Statistics'!$C$45+G1183*'Stock Statistics'!$C$46+H1183*'Stock Statistics'!$C$47+I1183*'Stock Statistics'!$C$48+J1183*'Stock Statistics'!$C$49+K1183*'Stock Statistics'!$C$50,"")</f>
        <v>6.8529730941002207E-3</v>
      </c>
      <c r="M1183" s="97">
        <v>247.1772</v>
      </c>
      <c r="N1183" s="96">
        <v>307.50599999999997</v>
      </c>
      <c r="O1183" s="93">
        <f t="shared" si="54"/>
        <v>-4.1248920248848631E-4</v>
      </c>
      <c r="P1183" s="93">
        <f t="shared" si="55"/>
        <v>2.7169021836954688E-3</v>
      </c>
      <c r="Q1183" s="93">
        <f>B1183*'Portfolio 2 &amp; 3'!$F$7+C1183*'Portfolio 2 &amp; 3'!$F$8+D1183*'Portfolio 2 &amp; 3'!$F$9+E1183*'Portfolio 2 &amp; 3'!$F$10+F1183*'Portfolio 2 &amp; 3'!$F$11+G1183*'Portfolio 2 &amp; 3'!$F$12+H1183*'Portfolio 2 &amp; 3'!$F$13+I1183*'Portfolio 2 &amp; 3'!$F$14+J1183*'Portfolio 2 &amp; 3'!$F$15+K1183*'Portfolio 2 &amp; 3'!$F$16</f>
        <v>8.9382908481575492E-3</v>
      </c>
      <c r="R1183" s="93">
        <f>B1183*'Portfolio 2 &amp; 3'!$B$23+C1183*'Portfolio 2 &amp; 3'!$B$24+D1183*'Portfolio 2 &amp; 3'!$B$25+E1183*'Portfolio 2 &amp; 3'!$B$26+F1183*'Portfolio 2 &amp; 3'!$B$27+G1183*'Portfolio 2 &amp; 3'!$B$28+H1183*'Portfolio 2 &amp; 3'!$B$29+I1183*'Portfolio 2 &amp; 3'!$B$30+J1183*'Portfolio 2 &amp; 3'!$B$31+K1183*'Portfolio 2 &amp; 3'!$B$32</f>
        <v>-1.0280166893356835E-3</v>
      </c>
      <c r="S1183" s="93">
        <f t="shared" si="56"/>
        <v>1.1522064906034912E-3</v>
      </c>
    </row>
    <row r="1184" spans="1:19" ht="12.75" customHeight="1">
      <c r="A1184" s="81">
        <v>44344</v>
      </c>
      <c r="B1184" s="53">
        <v>6.7999999999999996E-3</v>
      </c>
      <c r="C1184" s="53">
        <v>7.1772609164077999E-3</v>
      </c>
      <c r="D1184" s="53">
        <v>5.2661765472652401E-3</v>
      </c>
      <c r="E1184" s="53">
        <v>-1.3860000000000001E-2</v>
      </c>
      <c r="F1184" s="53">
        <v>-8.8537927733908194E-3</v>
      </c>
      <c r="G1184" s="53">
        <v>-1.25954804452519E-2</v>
      </c>
      <c r="H1184" s="87">
        <v>-9.8488080003791296E-3</v>
      </c>
      <c r="I1184" s="53">
        <v>4.26327599102461E-3</v>
      </c>
      <c r="J1184" s="53">
        <v>-6.5181687538493601E-3</v>
      </c>
      <c r="K1184" s="53">
        <v>2.46282908997177E-2</v>
      </c>
      <c r="L1184" s="95">
        <f>IFERROR(B1184*'Stock Statistics'!$C$41+C1184*'Stock Statistics'!$C$42+D1184*'Stock Statistics'!$C$43+E1184*'Stock Statistics'!$C$44+F1184*'Stock Statistics'!$C$45+G1184*'Stock Statistics'!$C$46+H1184*'Stock Statistics'!$C$47+I1184*'Stock Statistics'!$C$48+J1184*'Stock Statistics'!$C$49+K1184*'Stock Statistics'!$C$50,"")</f>
        <v>-3.5412456184558561E-4</v>
      </c>
      <c r="M1184" s="96">
        <v>247.2792</v>
      </c>
      <c r="N1184" s="97">
        <v>306.6728</v>
      </c>
      <c r="O1184" s="93">
        <f t="shared" si="54"/>
        <v>2.1329029972900759E-3</v>
      </c>
      <c r="P1184" s="93">
        <f t="shared" si="55"/>
        <v>-1.0804401889874526E-3</v>
      </c>
      <c r="Q1184" s="93">
        <f>B1184*'Portfolio 2 &amp; 3'!$F$7+C1184*'Portfolio 2 &amp; 3'!$F$8+D1184*'Portfolio 2 &amp; 3'!$F$9+E1184*'Portfolio 2 &amp; 3'!$F$10+F1184*'Portfolio 2 &amp; 3'!$F$11+G1184*'Portfolio 2 &amp; 3'!$F$12+H1184*'Portfolio 2 &amp; 3'!$F$13+I1184*'Portfolio 2 &amp; 3'!$F$14+J1184*'Portfolio 2 &amp; 3'!$F$15+K1184*'Portfolio 2 &amp; 3'!$F$16</f>
        <v>-1.0133452302090755E-3</v>
      </c>
      <c r="R1184" s="93">
        <f>B1184*'Portfolio 2 &amp; 3'!$B$23+C1184*'Portfolio 2 &amp; 3'!$B$24+D1184*'Portfolio 2 &amp; 3'!$B$25+E1184*'Portfolio 2 &amp; 3'!$B$26+F1184*'Portfolio 2 &amp; 3'!$B$27+G1184*'Portfolio 2 &amp; 3'!$B$28+H1184*'Portfolio 2 &amp; 3'!$B$29+I1184*'Portfolio 2 &amp; 3'!$B$30+J1184*'Portfolio 2 &amp; 3'!$B$31+K1184*'Portfolio 2 &amp; 3'!$B$32</f>
        <v>2.2850269267826618E-3</v>
      </c>
      <c r="S1184" s="93">
        <f t="shared" si="56"/>
        <v>5.2623140415131164E-4</v>
      </c>
    </row>
    <row r="1185" spans="1:19" ht="12.75" customHeight="1">
      <c r="A1185" s="82">
        <v>44343</v>
      </c>
      <c r="B1185" s="53">
        <v>-3.5000000000000001E-3</v>
      </c>
      <c r="C1185" s="53">
        <v>1.74256468122835E-2</v>
      </c>
      <c r="D1185" s="53">
        <v>-1.35274148750129E-2</v>
      </c>
      <c r="E1185" s="53">
        <v>1.2099999999999999E-3</v>
      </c>
      <c r="F1185" s="53">
        <v>-1.9901289603566599E-3</v>
      </c>
      <c r="G1185" s="53">
        <v>3.3807703200226E-3</v>
      </c>
      <c r="H1185" s="87">
        <v>1.06433936235439E-2</v>
      </c>
      <c r="I1185" s="53">
        <v>5.18757988121199E-3</v>
      </c>
      <c r="J1185" s="53">
        <v>1.6220727064100601E-2</v>
      </c>
      <c r="K1185" s="53">
        <v>6.18928605111768E-3</v>
      </c>
      <c r="L1185" s="95">
        <f>IFERROR(B1185*'Stock Statistics'!$C$41+C1185*'Stock Statistics'!$C$42+D1185*'Stock Statistics'!$C$43+E1185*'Stock Statistics'!$C$44+F1185*'Stock Statistics'!$C$45+G1185*'Stock Statistics'!$C$46+H1185*'Stock Statistics'!$C$47+I1185*'Stock Statistics'!$C$48+J1185*'Stock Statistics'!$C$49+K1185*'Stock Statistics'!$C$50,"")</f>
        <v>4.1239859916910714E-3</v>
      </c>
      <c r="M1185" s="97">
        <v>246.75290000000001</v>
      </c>
      <c r="N1185" s="96">
        <v>307.00450000000001</v>
      </c>
      <c r="O1185" s="93">
        <f t="shared" si="54"/>
        <v>5.8878940114204248E-4</v>
      </c>
      <c r="P1185" s="93">
        <f t="shared" si="55"/>
        <v>-1.2000955159017335E-2</v>
      </c>
      <c r="Q1185" s="93">
        <f>B1185*'Portfolio 2 &amp; 3'!$F$7+C1185*'Portfolio 2 &amp; 3'!$F$8+D1185*'Portfolio 2 &amp; 3'!$F$9+E1185*'Portfolio 2 &amp; 3'!$F$10+F1185*'Portfolio 2 &amp; 3'!$F$11+G1185*'Portfolio 2 &amp; 3'!$F$12+H1185*'Portfolio 2 &amp; 3'!$F$13+I1185*'Portfolio 2 &amp; 3'!$F$14+J1185*'Portfolio 2 &amp; 3'!$F$15+K1185*'Portfolio 2 &amp; 3'!$F$16</f>
        <v>4.7489568283393315E-3</v>
      </c>
      <c r="R1185" s="93">
        <f>B1185*'Portfolio 2 &amp; 3'!$B$23+C1185*'Portfolio 2 &amp; 3'!$B$24+D1185*'Portfolio 2 &amp; 3'!$B$25+E1185*'Portfolio 2 &amp; 3'!$B$26+F1185*'Portfolio 2 &amp; 3'!$B$27+G1185*'Portfolio 2 &amp; 3'!$B$28+H1185*'Portfolio 2 &amp; 3'!$B$29+I1185*'Portfolio 2 &amp; 3'!$B$30+J1185*'Portfolio 2 &amp; 3'!$B$31+K1185*'Portfolio 2 &amp; 3'!$B$32</f>
        <v>5.4224565682058331E-3</v>
      </c>
      <c r="S1185" s="93">
        <f t="shared" si="56"/>
        <v>-5.7060828789376461E-3</v>
      </c>
    </row>
    <row r="1186" spans="1:19" ht="12.75" customHeight="1">
      <c r="A1186" s="81">
        <v>44342</v>
      </c>
      <c r="B1186" s="53">
        <v>-5.1000000000000004E-3</v>
      </c>
      <c r="C1186" s="53">
        <v>3.7652214639368499E-2</v>
      </c>
      <c r="D1186" s="53">
        <v>1.3131839499739501E-2</v>
      </c>
      <c r="E1186" s="53">
        <v>1.2999999999999999E-3</v>
      </c>
      <c r="F1186" s="53">
        <v>8.9149465906352993E-3</v>
      </c>
      <c r="G1186" s="53">
        <v>4.7127029574434197E-3</v>
      </c>
      <c r="H1186" s="87">
        <v>-6.8125594671741797E-3</v>
      </c>
      <c r="I1186" s="53">
        <v>-5.235210530252E-3</v>
      </c>
      <c r="J1186" s="53">
        <v>5.1376146788990598E-3</v>
      </c>
      <c r="K1186" s="53">
        <v>2.6596059055070701E-3</v>
      </c>
      <c r="L1186" s="95">
        <f>IFERROR(B1186*'Stock Statistics'!$C$41+C1186*'Stock Statistics'!$C$42+D1186*'Stock Statistics'!$C$43+E1186*'Stock Statistics'!$C$44+F1186*'Stock Statistics'!$C$45+G1186*'Stock Statistics'!$C$46+H1186*'Stock Statistics'!$C$47+I1186*'Stock Statistics'!$C$48+J1186*'Stock Statistics'!$C$49+K1186*'Stock Statistics'!$C$50,"")</f>
        <v>5.6361154274166669E-3</v>
      </c>
      <c r="M1186" s="96">
        <v>246.60769999999999</v>
      </c>
      <c r="N1186" s="97">
        <v>310.73360000000002</v>
      </c>
      <c r="O1186" s="93">
        <f t="shared" si="54"/>
        <v>5.155233756509725E-3</v>
      </c>
      <c r="P1186" s="93">
        <f t="shared" si="55"/>
        <v>-2.2255638325164862E-3</v>
      </c>
      <c r="Q1186" s="93">
        <f>B1186*'Portfolio 2 &amp; 3'!$F$7+C1186*'Portfolio 2 &amp; 3'!$F$8+D1186*'Portfolio 2 &amp; 3'!$F$9+E1186*'Portfolio 2 &amp; 3'!$F$10+F1186*'Portfolio 2 &amp; 3'!$F$11+G1186*'Portfolio 2 &amp; 3'!$F$12+H1186*'Portfolio 2 &amp; 3'!$F$13+I1186*'Portfolio 2 &amp; 3'!$F$14+J1186*'Portfolio 2 &amp; 3'!$F$15+K1186*'Portfolio 2 &amp; 3'!$F$16</f>
        <v>5.7299993812720872E-3</v>
      </c>
      <c r="R1186" s="93">
        <f>B1186*'Portfolio 2 &amp; 3'!$B$23+C1186*'Portfolio 2 &amp; 3'!$B$24+D1186*'Portfolio 2 &amp; 3'!$B$25+E1186*'Portfolio 2 &amp; 3'!$B$26+F1186*'Portfolio 2 &amp; 3'!$B$27+G1186*'Portfolio 2 &amp; 3'!$B$28+H1186*'Portfolio 2 &amp; 3'!$B$29+I1186*'Portfolio 2 &amp; 3'!$B$30+J1186*'Portfolio 2 &amp; 3'!$B$31+K1186*'Portfolio 2 &amp; 3'!$B$32</f>
        <v>7.4702426339083175E-3</v>
      </c>
      <c r="S1186" s="93">
        <f t="shared" si="56"/>
        <v>1.4648349619966194E-3</v>
      </c>
    </row>
    <row r="1187" spans="1:19" ht="12.75" customHeight="1">
      <c r="A1187" s="82">
        <v>44341</v>
      </c>
      <c r="B1187" s="53">
        <v>-2.0999999999999999E-3</v>
      </c>
      <c r="C1187" s="53">
        <v>1.0786866398403899E-2</v>
      </c>
      <c r="D1187" s="53">
        <v>4.6921432667757E-4</v>
      </c>
      <c r="E1187" s="53">
        <v>-9.6500000000000006E-3</v>
      </c>
      <c r="F1187" s="53">
        <v>2.0925553319919299E-3</v>
      </c>
      <c r="G1187" s="53">
        <v>1.30981550879217E-2</v>
      </c>
      <c r="H1187" s="87">
        <v>-5.2152842850517996E-3</v>
      </c>
      <c r="I1187" s="53">
        <v>-6.9073083778967703E-3</v>
      </c>
      <c r="J1187" s="53">
        <v>1.48435837412215E-2</v>
      </c>
      <c r="K1187" s="53">
        <v>-7.42678806082231E-3</v>
      </c>
      <c r="L1187" s="95">
        <f>IFERROR(B1187*'Stock Statistics'!$C$41+C1187*'Stock Statistics'!$C$42+D1187*'Stock Statistics'!$C$43+E1187*'Stock Statistics'!$C$44+F1187*'Stock Statistics'!$C$45+G1187*'Stock Statistics'!$C$46+H1187*'Stock Statistics'!$C$47+I1187*'Stock Statistics'!$C$48+J1187*'Stock Statistics'!$C$49+K1187*'Stock Statistics'!$C$50,"")</f>
        <v>9.9909941624457183E-4</v>
      </c>
      <c r="M1187" s="97">
        <v>245.34289999999999</v>
      </c>
      <c r="N1187" s="96">
        <v>311.42669999999998</v>
      </c>
      <c r="O1187" s="93">
        <f t="shared" si="54"/>
        <v>5.4365220684027271E-3</v>
      </c>
      <c r="P1187" s="93">
        <f t="shared" si="55"/>
        <v>-2.5248626747593761E-3</v>
      </c>
      <c r="Q1187" s="93">
        <f>B1187*'Portfolio 2 &amp; 3'!$F$7+C1187*'Portfolio 2 &amp; 3'!$F$8+D1187*'Portfolio 2 &amp; 3'!$F$9+E1187*'Portfolio 2 &amp; 3'!$F$10+F1187*'Portfolio 2 &amp; 3'!$F$11+G1187*'Portfolio 2 &amp; 3'!$F$12+H1187*'Portfolio 2 &amp; 3'!$F$13+I1187*'Portfolio 2 &amp; 3'!$F$14+J1187*'Portfolio 2 &amp; 3'!$F$15+K1187*'Portfolio 2 &amp; 3'!$F$16</f>
        <v>1.3312253697466642E-3</v>
      </c>
      <c r="R1187" s="93">
        <f>B1187*'Portfolio 2 &amp; 3'!$B$23+C1187*'Portfolio 2 &amp; 3'!$B$24+D1187*'Portfolio 2 &amp; 3'!$B$25+E1187*'Portfolio 2 &amp; 3'!$B$26+F1187*'Portfolio 2 &amp; 3'!$B$27+G1187*'Portfolio 2 &amp; 3'!$B$28+H1187*'Portfolio 2 &amp; 3'!$B$29+I1187*'Portfolio 2 &amp; 3'!$B$30+J1187*'Portfolio 2 &amp; 3'!$B$31+K1187*'Portfolio 2 &amp; 3'!$B$32</f>
        <v>1.4754143468538438E-3</v>
      </c>
      <c r="S1187" s="93">
        <f t="shared" si="56"/>
        <v>1.4558296968216755E-3</v>
      </c>
    </row>
    <row r="1188" spans="1:19" ht="12.75" customHeight="1">
      <c r="A1188" s="81">
        <v>44340</v>
      </c>
      <c r="B1188" s="53">
        <v>8.0000000000000002E-3</v>
      </c>
      <c r="C1188" s="53">
        <v>7.8039803707743403E-3</v>
      </c>
      <c r="D1188" s="53">
        <v>-9.0923180244872892E-3</v>
      </c>
      <c r="E1188" s="53">
        <v>-1.789E-2</v>
      </c>
      <c r="F1188" s="53">
        <v>1.32104705210796E-2</v>
      </c>
      <c r="G1188" s="53">
        <v>-7.0840787119857999E-3</v>
      </c>
      <c r="H1188" s="87">
        <v>-5.6095701525690203E-3</v>
      </c>
      <c r="I1188" s="53">
        <v>-5.75985821887459E-3</v>
      </c>
      <c r="J1188" s="53">
        <v>-6.9737954353339404E-3</v>
      </c>
      <c r="K1188" s="53">
        <v>6.9467416473702999E-3</v>
      </c>
      <c r="L1188" s="95">
        <f>IFERROR(B1188*'Stock Statistics'!$C$41+C1188*'Stock Statistics'!$C$42+D1188*'Stock Statistics'!$C$43+E1188*'Stock Statistics'!$C$44+F1188*'Stock Statistics'!$C$45+G1188*'Stock Statistics'!$C$46+H1188*'Stock Statistics'!$C$47+I1188*'Stock Statistics'!$C$48+J1188*'Stock Statistics'!$C$49+K1188*'Stock Statistics'!$C$50,"")</f>
        <v>-1.6448428004026397E-3</v>
      </c>
      <c r="M1188" s="96">
        <v>244.0163</v>
      </c>
      <c r="N1188" s="97">
        <v>312.21499999999997</v>
      </c>
      <c r="O1188" s="93">
        <f t="shared" si="54"/>
        <v>-3.2795630408072318E-3</v>
      </c>
      <c r="P1188" s="93">
        <f t="shared" si="55"/>
        <v>2.321223391041638E-2</v>
      </c>
      <c r="Q1188" s="93">
        <f>B1188*'Portfolio 2 &amp; 3'!$F$7+C1188*'Portfolio 2 &amp; 3'!$F$8+D1188*'Portfolio 2 &amp; 3'!$F$9+E1188*'Portfolio 2 &amp; 3'!$F$10+F1188*'Portfolio 2 &amp; 3'!$F$11+G1188*'Portfolio 2 &amp; 3'!$F$12+H1188*'Portfolio 2 &amp; 3'!$F$13+I1188*'Portfolio 2 &amp; 3'!$F$14+J1188*'Portfolio 2 &amp; 3'!$F$15+K1188*'Portfolio 2 &amp; 3'!$F$16</f>
        <v>-2.1223386567979295E-3</v>
      </c>
      <c r="R1188" s="93">
        <f>B1188*'Portfolio 2 &amp; 3'!$B$23+C1188*'Portfolio 2 &amp; 3'!$B$24+D1188*'Portfolio 2 &amp; 3'!$B$25+E1188*'Portfolio 2 &amp; 3'!$B$26+F1188*'Portfolio 2 &amp; 3'!$B$27+G1188*'Portfolio 2 &amp; 3'!$B$28+H1188*'Portfolio 2 &amp; 3'!$B$29+I1188*'Portfolio 2 &amp; 3'!$B$30+J1188*'Portfolio 2 &amp; 3'!$B$31+K1188*'Portfolio 2 &amp; 3'!$B$32</f>
        <v>2.5397739237406763E-3</v>
      </c>
      <c r="S1188" s="93">
        <f t="shared" si="56"/>
        <v>9.9663354348045741E-3</v>
      </c>
    </row>
    <row r="1189" spans="1:19" ht="12.75" customHeight="1">
      <c r="A1189" s="82">
        <v>44337</v>
      </c>
      <c r="B1189" s="53">
        <v>1E-3</v>
      </c>
      <c r="C1189" s="53">
        <v>-4.0877503747094302E-4</v>
      </c>
      <c r="D1189" s="53">
        <v>1.44860054839868E-3</v>
      </c>
      <c r="E1189" s="53">
        <v>2.9250000000000002E-2</v>
      </c>
      <c r="F1189" s="53">
        <v>-4.2224928948437802E-3</v>
      </c>
      <c r="G1189" s="53">
        <v>3.35648771381902E-3</v>
      </c>
      <c r="H1189" s="87">
        <v>-7.8058873318909204E-4</v>
      </c>
      <c r="I1189" s="53">
        <v>-6.16468516072199E-3</v>
      </c>
      <c r="J1189" s="53">
        <v>-1.95096229897185E-3</v>
      </c>
      <c r="K1189" s="53">
        <v>4.2593581301535498E-3</v>
      </c>
      <c r="L1189" s="95">
        <f>IFERROR(B1189*'Stock Statistics'!$C$41+C1189*'Stock Statistics'!$C$42+D1189*'Stock Statistics'!$C$43+E1189*'Stock Statistics'!$C$44+F1189*'Stock Statistics'!$C$45+G1189*'Stock Statistics'!$C$46+H1189*'Stock Statistics'!$C$47+I1189*'Stock Statistics'!$C$48+J1189*'Stock Statistics'!$C$49+K1189*'Stock Statistics'!$C$50,"")</f>
        <v>2.5786942267173596E-3</v>
      </c>
      <c r="M1189" s="97">
        <v>244.8192</v>
      </c>
      <c r="N1189" s="96">
        <v>305.13220000000001</v>
      </c>
      <c r="O1189" s="93">
        <f t="shared" si="54"/>
        <v>1.4552380447196755E-2</v>
      </c>
      <c r="P1189" s="93">
        <f t="shared" si="55"/>
        <v>3.8491628235353126E-3</v>
      </c>
      <c r="Q1189" s="93">
        <f>B1189*'Portfolio 2 &amp; 3'!$F$7+C1189*'Portfolio 2 &amp; 3'!$F$8+D1189*'Portfolio 2 &amp; 3'!$F$9+E1189*'Portfolio 2 &amp; 3'!$F$10+F1189*'Portfolio 2 &amp; 3'!$F$11+G1189*'Portfolio 2 &amp; 3'!$F$12+H1189*'Portfolio 2 &amp; 3'!$F$13+I1189*'Portfolio 2 &amp; 3'!$F$14+J1189*'Portfolio 2 &amp; 3'!$F$15+K1189*'Portfolio 2 &amp; 3'!$F$16</f>
        <v>1.4964963281680072E-3</v>
      </c>
      <c r="R1189" s="93">
        <f>B1189*'Portfolio 2 &amp; 3'!$B$23+C1189*'Portfolio 2 &amp; 3'!$B$24+D1189*'Portfolio 2 &amp; 3'!$B$25+E1189*'Portfolio 2 &amp; 3'!$B$26+F1189*'Portfolio 2 &amp; 3'!$B$27+G1189*'Portfolio 2 &amp; 3'!$B$28+H1189*'Portfolio 2 &amp; 3'!$B$29+I1189*'Portfolio 2 &amp; 3'!$B$30+J1189*'Portfolio 2 &amp; 3'!$B$31+K1189*'Portfolio 2 &amp; 3'!$B$32</f>
        <v>-1.4987200231057389E-3</v>
      </c>
      <c r="S1189" s="93">
        <f t="shared" si="56"/>
        <v>9.200771635366034E-3</v>
      </c>
    </row>
    <row r="1190" spans="1:19" ht="12.75" customHeight="1">
      <c r="A1190" s="81">
        <v>44336</v>
      </c>
      <c r="B1190" s="53">
        <v>-2.9999999999999997E-4</v>
      </c>
      <c r="C1190" s="53">
        <v>1.0533562822719399E-2</v>
      </c>
      <c r="D1190" s="53">
        <v>-3.9678449963927998E-3</v>
      </c>
      <c r="E1190" s="53">
        <v>-9.6600000000000002E-3</v>
      </c>
      <c r="F1190" s="53">
        <v>1.3009187738839401E-3</v>
      </c>
      <c r="G1190" s="53">
        <v>1.6159921206704699E-2</v>
      </c>
      <c r="H1190" s="87">
        <v>1.384402399631E-3</v>
      </c>
      <c r="I1190" s="53">
        <v>7.7656978034168498E-3</v>
      </c>
      <c r="J1190" s="53">
        <v>-6.7560490206347596E-3</v>
      </c>
      <c r="K1190" s="53">
        <v>-1.38622307528269E-3</v>
      </c>
      <c r="L1190" s="95">
        <f>IFERROR(B1190*'Stock Statistics'!$C$41+C1190*'Stock Statistics'!$C$42+D1190*'Stock Statistics'!$C$43+E1190*'Stock Statistics'!$C$44+F1190*'Stock Statistics'!$C$45+G1190*'Stock Statistics'!$C$46+H1190*'Stock Statistics'!$C$47+I1190*'Stock Statistics'!$C$48+J1190*'Stock Statistics'!$C$49+K1190*'Stock Statistics'!$C$50,"")</f>
        <v>1.5074385914045638E-3</v>
      </c>
      <c r="M1190" s="96">
        <v>241.30760000000001</v>
      </c>
      <c r="N1190" s="97">
        <v>303.9622</v>
      </c>
      <c r="O1190" s="93">
        <f t="shared" si="54"/>
        <v>-1.4419347781402525E-4</v>
      </c>
      <c r="P1190" s="93">
        <f t="shared" si="55"/>
        <v>4.7758997107139045E-4</v>
      </c>
      <c r="Q1190" s="93">
        <f>B1190*'Portfolio 2 &amp; 3'!$F$7+C1190*'Portfolio 2 &amp; 3'!$F$8+D1190*'Portfolio 2 &amp; 3'!$F$9+E1190*'Portfolio 2 &amp; 3'!$F$10+F1190*'Portfolio 2 &amp; 3'!$F$11+G1190*'Portfolio 2 &amp; 3'!$F$12+H1190*'Portfolio 2 &amp; 3'!$F$13+I1190*'Portfolio 2 &amp; 3'!$F$14+J1190*'Portfolio 2 &amp; 3'!$F$15+K1190*'Portfolio 2 &amp; 3'!$F$16</f>
        <v>5.7885989589819258E-4</v>
      </c>
      <c r="R1190" s="93">
        <f>B1190*'Portfolio 2 &amp; 3'!$B$23+C1190*'Portfolio 2 &amp; 3'!$B$24+D1190*'Portfolio 2 &amp; 3'!$B$25+E1190*'Portfolio 2 &amp; 3'!$B$26+F1190*'Portfolio 2 &amp; 3'!$B$27+G1190*'Portfolio 2 &amp; 3'!$B$28+H1190*'Portfolio 2 &amp; 3'!$B$29+I1190*'Portfolio 2 &amp; 3'!$B$30+J1190*'Portfolio 2 &amp; 3'!$B$31+K1190*'Portfolio 2 &amp; 3'!$B$32</f>
        <v>5.4876204044396913E-3</v>
      </c>
      <c r="S1190" s="93">
        <f t="shared" si="56"/>
        <v>1.666982466286826E-4</v>
      </c>
    </row>
    <row r="1191" spans="1:19" ht="12.75" customHeight="1">
      <c r="A1191" s="82">
        <v>44335</v>
      </c>
      <c r="B1191" s="53">
        <v>-1.9E-3</v>
      </c>
      <c r="C1191" s="53">
        <v>-3.0422375381739999E-2</v>
      </c>
      <c r="D1191" s="53">
        <v>-2.7706798937822599E-2</v>
      </c>
      <c r="E1191" s="53">
        <v>9.5200000000000007E-3</v>
      </c>
      <c r="F1191" s="53">
        <v>1.74553275976175E-2</v>
      </c>
      <c r="G1191" s="53">
        <v>1.0058768261454101E-2</v>
      </c>
      <c r="H1191" s="87">
        <v>2.2061583775302901E-2</v>
      </c>
      <c r="I1191" s="53">
        <v>4.7558891283345801E-3</v>
      </c>
      <c r="J1191" s="53">
        <v>8.7167837709334305E-3</v>
      </c>
      <c r="K1191" s="53">
        <v>6.2231759656652397E-3</v>
      </c>
      <c r="L1191" s="95">
        <f>IFERROR(B1191*'Stock Statistics'!$C$41+C1191*'Stock Statistics'!$C$42+D1191*'Stock Statistics'!$C$43+E1191*'Stock Statistics'!$C$44+F1191*'Stock Statistics'!$C$45+G1191*'Stock Statistics'!$C$46+H1191*'Stock Statistics'!$C$47+I1191*'Stock Statistics'!$C$48+J1191*'Stock Statistics'!$C$49+K1191*'Stock Statistics'!$C$50,"")</f>
        <v>1.8762354179745161E-3</v>
      </c>
      <c r="M1191" s="97">
        <v>241.3424</v>
      </c>
      <c r="N1191" s="96">
        <v>303.81709999999998</v>
      </c>
      <c r="O1191" s="93">
        <f t="shared" si="54"/>
        <v>-2.4150717044313375E-4</v>
      </c>
      <c r="P1191" s="93">
        <f t="shared" si="55"/>
        <v>3.8689164633906481E-2</v>
      </c>
      <c r="Q1191" s="93">
        <f>B1191*'Portfolio 2 &amp; 3'!$F$7+C1191*'Portfolio 2 &amp; 3'!$F$8+D1191*'Portfolio 2 &amp; 3'!$F$9+E1191*'Portfolio 2 &amp; 3'!$F$10+F1191*'Portfolio 2 &amp; 3'!$F$11+G1191*'Portfolio 2 &amp; 3'!$F$12+H1191*'Portfolio 2 &amp; 3'!$F$13+I1191*'Portfolio 2 &amp; 3'!$F$14+J1191*'Portfolio 2 &amp; 3'!$F$15+K1191*'Portfolio 2 &amp; 3'!$F$16</f>
        <v>2.0403103549003648E-3</v>
      </c>
      <c r="R1191" s="93">
        <f>B1191*'Portfolio 2 &amp; 3'!$B$23+C1191*'Portfolio 2 &amp; 3'!$B$24+D1191*'Portfolio 2 &amp; 3'!$B$25+E1191*'Portfolio 2 &amp; 3'!$B$26+F1191*'Portfolio 2 &amp; 3'!$B$27+G1191*'Portfolio 2 &amp; 3'!$B$28+H1191*'Portfolio 2 &amp; 3'!$B$29+I1191*'Portfolio 2 &amp; 3'!$B$30+J1191*'Portfolio 2 &amp; 3'!$B$31+K1191*'Portfolio 2 &amp; 3'!$B$32</f>
        <v>7.8576668550103747E-5</v>
      </c>
      <c r="S1191" s="93">
        <f t="shared" si="56"/>
        <v>1.9223828731731674E-2</v>
      </c>
    </row>
    <row r="1192" spans="1:19" ht="12.75" customHeight="1">
      <c r="A1192" s="81">
        <v>44334</v>
      </c>
      <c r="B1192" s="53">
        <v>-1.01E-2</v>
      </c>
      <c r="C1192" s="53">
        <v>-2.4471449975028699E-3</v>
      </c>
      <c r="D1192" s="53">
        <v>-2.3723341811778501E-2</v>
      </c>
      <c r="E1192" s="53">
        <v>4.6100000000000004E-3</v>
      </c>
      <c r="F1192" s="53">
        <v>-1.14491331370625E-2</v>
      </c>
      <c r="G1192" s="53">
        <v>-1.9122919922772701E-3</v>
      </c>
      <c r="H1192" s="87">
        <v>-1.4101748958501401E-2</v>
      </c>
      <c r="I1192" s="53">
        <v>-8.6924493554327905E-3</v>
      </c>
      <c r="J1192" s="53">
        <v>-3.0547216516563199E-3</v>
      </c>
      <c r="K1192" s="53">
        <v>1.78993993082943E-2</v>
      </c>
      <c r="L1192" s="95">
        <f>IFERROR(B1192*'Stock Statistics'!$C$41+C1192*'Stock Statistics'!$C$42+D1192*'Stock Statistics'!$C$43+E1192*'Stock Statistics'!$C$44+F1192*'Stock Statistics'!$C$45+G1192*'Stock Statistics'!$C$46+H1192*'Stock Statistics'!$C$47+I1192*'Stock Statistics'!$C$48+J1192*'Stock Statistics'!$C$49+K1192*'Stock Statistics'!$C$50,"")</f>
        <v>-5.2971432595917359E-3</v>
      </c>
      <c r="M1192" s="96">
        <v>241.4007</v>
      </c>
      <c r="N1192" s="97">
        <v>292.50049999999999</v>
      </c>
      <c r="O1192" s="93">
        <f t="shared" si="54"/>
        <v>-1.110516665328487E-2</v>
      </c>
      <c r="P1192" s="93">
        <f t="shared" si="55"/>
        <v>-2.0806405555516605E-2</v>
      </c>
      <c r="Q1192" s="93">
        <f>B1192*'Portfolio 2 &amp; 3'!$F$7+C1192*'Portfolio 2 &amp; 3'!$F$8+D1192*'Portfolio 2 &amp; 3'!$F$9+E1192*'Portfolio 2 &amp; 3'!$F$10+F1192*'Portfolio 2 &amp; 3'!$F$11+G1192*'Portfolio 2 &amp; 3'!$F$12+H1192*'Portfolio 2 &amp; 3'!$F$13+I1192*'Portfolio 2 &amp; 3'!$F$14+J1192*'Portfolio 2 &amp; 3'!$F$15+K1192*'Portfolio 2 &amp; 3'!$F$16</f>
        <v>-7.1015537731348704E-3</v>
      </c>
      <c r="R1192" s="93">
        <f>B1192*'Portfolio 2 &amp; 3'!$B$23+C1192*'Portfolio 2 &amp; 3'!$B$24+D1192*'Portfolio 2 &amp; 3'!$B$25+E1192*'Portfolio 2 &amp; 3'!$B$26+F1192*'Portfolio 2 &amp; 3'!$B$27+G1192*'Portfolio 2 &amp; 3'!$B$28+H1192*'Portfolio 2 &amp; 3'!$B$29+I1192*'Portfolio 2 &amp; 3'!$B$30+J1192*'Portfolio 2 &amp; 3'!$B$31+K1192*'Portfolio 2 &amp; 3'!$B$32</f>
        <v>-5.281164016653456E-3</v>
      </c>
      <c r="S1192" s="93">
        <f t="shared" si="56"/>
        <v>-1.5955786104400738E-2</v>
      </c>
    </row>
    <row r="1193" spans="1:19" ht="12.75" customHeight="1">
      <c r="A1193" s="82">
        <v>44333</v>
      </c>
      <c r="B1193" s="53">
        <v>6.6E-3</v>
      </c>
      <c r="C1193" s="53">
        <v>4.3974785560219097E-3</v>
      </c>
      <c r="D1193" s="53">
        <v>-9.1120589375726108E-3</v>
      </c>
      <c r="E1193" s="53">
        <v>-4.6000000000000001E-4</v>
      </c>
      <c r="F1193" s="53">
        <v>-9.3170217937292906E-3</v>
      </c>
      <c r="G1193" s="53">
        <v>3.3392369566822601E-3</v>
      </c>
      <c r="H1193" s="87">
        <v>-3.09354423673647E-3</v>
      </c>
      <c r="I1193" s="53">
        <v>5.03442659361819E-3</v>
      </c>
      <c r="J1193" s="53">
        <v>1.6053941242575101E-2</v>
      </c>
      <c r="K1193" s="53">
        <v>1.0063247695626601E-2</v>
      </c>
      <c r="L1193" s="95">
        <f>IFERROR(B1193*'Stock Statistics'!$C$41+C1193*'Stock Statistics'!$C$42+D1193*'Stock Statistics'!$C$43+E1193*'Stock Statistics'!$C$44+F1193*'Stock Statistics'!$C$45+G1193*'Stock Statistics'!$C$46+H1193*'Stock Statistics'!$C$47+I1193*'Stock Statistics'!$C$48+J1193*'Stock Statistics'!$C$49+K1193*'Stock Statistics'!$C$50,"")</f>
        <v>2.3505706076485692E-3</v>
      </c>
      <c r="M1193" s="97">
        <v>244.11160000000001</v>
      </c>
      <c r="N1193" s="96">
        <v>298.71570000000003</v>
      </c>
      <c r="O1193" s="93">
        <f t="shared" si="54"/>
        <v>-1.3630889264160118E-3</v>
      </c>
      <c r="P1193" s="93">
        <f t="shared" si="55"/>
        <v>7.5625620628616552E-3</v>
      </c>
      <c r="Q1193" s="93">
        <f>B1193*'Portfolio 2 &amp; 3'!$F$7+C1193*'Portfolio 2 &amp; 3'!$F$8+D1193*'Portfolio 2 &amp; 3'!$F$9+E1193*'Portfolio 2 &amp; 3'!$F$10+F1193*'Portfolio 2 &amp; 3'!$F$11+G1193*'Portfolio 2 &amp; 3'!$F$12+H1193*'Portfolio 2 &amp; 3'!$F$13+I1193*'Portfolio 2 &amp; 3'!$F$14+J1193*'Portfolio 2 &amp; 3'!$F$15+K1193*'Portfolio 2 &amp; 3'!$F$16</f>
        <v>1.8891588495164469E-3</v>
      </c>
      <c r="R1193" s="93">
        <f>B1193*'Portfolio 2 &amp; 3'!$B$23+C1193*'Portfolio 2 &amp; 3'!$B$24+D1193*'Portfolio 2 &amp; 3'!$B$25+E1193*'Portfolio 2 &amp; 3'!$B$26+F1193*'Portfolio 2 &amp; 3'!$B$27+G1193*'Portfolio 2 &amp; 3'!$B$28+H1193*'Portfolio 2 &amp; 3'!$B$29+I1193*'Portfolio 2 &amp; 3'!$B$30+J1193*'Portfolio 2 &amp; 3'!$B$31+K1193*'Portfolio 2 &amp; 3'!$B$32</f>
        <v>3.0546289622515352E-3</v>
      </c>
      <c r="S1193" s="93">
        <f t="shared" si="56"/>
        <v>3.0997365682228217E-3</v>
      </c>
    </row>
    <row r="1194" spans="1:19" ht="12.75" customHeight="1">
      <c r="A1194" s="81">
        <v>44330</v>
      </c>
      <c r="B1194" s="53">
        <v>-3.0000000000000001E-3</v>
      </c>
      <c r="C1194" s="53">
        <v>5.6836334897174597E-3</v>
      </c>
      <c r="D1194" s="53">
        <v>8.0617579518247294E-3</v>
      </c>
      <c r="E1194" s="53">
        <v>-1.8589999999999999E-2</v>
      </c>
      <c r="F1194" s="53">
        <v>-4.6136012364760497E-2</v>
      </c>
      <c r="G1194" s="53">
        <v>-4.9564930058376699E-3</v>
      </c>
      <c r="H1194" s="87">
        <v>-4.8953155595722296E-3</v>
      </c>
      <c r="I1194" s="53">
        <v>2.0773054380889299E-3</v>
      </c>
      <c r="J1194" s="53">
        <v>-8.4894147609698694E-3</v>
      </c>
      <c r="K1194" s="53">
        <v>-4.7333235739034397E-3</v>
      </c>
      <c r="L1194" s="95">
        <f>IFERROR(B1194*'Stock Statistics'!$C$41+C1194*'Stock Statistics'!$C$42+D1194*'Stock Statistics'!$C$43+E1194*'Stock Statistics'!$C$44+F1194*'Stock Statistics'!$C$45+G1194*'Stock Statistics'!$C$46+H1194*'Stock Statistics'!$C$47+I1194*'Stock Statistics'!$C$48+J1194*'Stock Statistics'!$C$49+K1194*'Stock Statistics'!$C$50,"")</f>
        <v>-7.497786238541259E-3</v>
      </c>
      <c r="M1194" s="96">
        <v>244.44479999999999</v>
      </c>
      <c r="N1194" s="97">
        <v>296.47359999999998</v>
      </c>
      <c r="O1194" s="93">
        <f t="shared" si="54"/>
        <v>-3.102702385263667E-3</v>
      </c>
      <c r="P1194" s="93">
        <f t="shared" si="55"/>
        <v>1.282421374441145E-2</v>
      </c>
      <c r="Q1194" s="93">
        <f>B1194*'Portfolio 2 &amp; 3'!$F$7+C1194*'Portfolio 2 &amp; 3'!$F$8+D1194*'Portfolio 2 &amp; 3'!$F$9+E1194*'Portfolio 2 &amp; 3'!$F$10+F1194*'Portfolio 2 &amp; 3'!$F$11+G1194*'Portfolio 2 &amp; 3'!$F$12+H1194*'Portfolio 2 &amp; 3'!$F$13+I1194*'Portfolio 2 &amp; 3'!$F$14+J1194*'Portfolio 2 &amp; 3'!$F$15+K1194*'Portfolio 2 &amp; 3'!$F$16</f>
        <v>-7.1822681283458829E-3</v>
      </c>
      <c r="R1194" s="93">
        <f>B1194*'Portfolio 2 &amp; 3'!$B$23+C1194*'Portfolio 2 &amp; 3'!$B$24+D1194*'Portfolio 2 &amp; 3'!$B$25+E1194*'Portfolio 2 &amp; 3'!$B$26+F1194*'Portfolio 2 &amp; 3'!$B$27+G1194*'Portfolio 2 &amp; 3'!$B$28+H1194*'Portfolio 2 &amp; 3'!$B$29+I1194*'Portfolio 2 &amp; 3'!$B$30+J1194*'Portfolio 2 &amp; 3'!$B$31+K1194*'Portfolio 2 &amp; 3'!$B$32</f>
        <v>-7.3301795332052352E-3</v>
      </c>
      <c r="S1194" s="93">
        <f t="shared" si="56"/>
        <v>4.8607556795738915E-3</v>
      </c>
    </row>
    <row r="1195" spans="1:19" ht="12.75" customHeight="1">
      <c r="A1195" s="82">
        <v>44328</v>
      </c>
      <c r="B1195" s="53">
        <v>-2.8999999999999998E-3</v>
      </c>
      <c r="C1195" s="53">
        <v>8.1371103087015707E-3</v>
      </c>
      <c r="D1195" s="53">
        <v>6.8449616193233499E-4</v>
      </c>
      <c r="E1195" s="53">
        <v>1.1199999999999999E-3</v>
      </c>
      <c r="F1195" s="53">
        <v>2.7228705247281101E-2</v>
      </c>
      <c r="G1195" s="53">
        <v>2.0786961240593098E-3</v>
      </c>
      <c r="H1195" s="87">
        <v>7.4068454046263303E-3</v>
      </c>
      <c r="I1195" s="53">
        <v>-2.2945965951146601E-3</v>
      </c>
      <c r="J1195" s="53">
        <v>-2.9624927260222299E-3</v>
      </c>
      <c r="K1195" s="53">
        <v>1.8302280464155301E-4</v>
      </c>
      <c r="L1195" s="95">
        <f>IFERROR(B1195*'Stock Statistics'!$C$41+C1195*'Stock Statistics'!$C$42+D1195*'Stock Statistics'!$C$43+E1195*'Stock Statistics'!$C$44+F1195*'Stock Statistics'!$C$45+G1195*'Stock Statistics'!$C$46+H1195*'Stock Statistics'!$C$47+I1195*'Stock Statistics'!$C$48+J1195*'Stock Statistics'!$C$49+K1195*'Stock Statistics'!$C$50,"")</f>
        <v>3.8681786730105313E-3</v>
      </c>
      <c r="M1195" s="97">
        <v>245.2056</v>
      </c>
      <c r="N1195" s="96">
        <v>292.71969999999999</v>
      </c>
      <c r="O1195" s="93">
        <f t="shared" si="54"/>
        <v>2.5130165982008013E-2</v>
      </c>
      <c r="P1195" s="93">
        <f t="shared" si="55"/>
        <v>3.0758465517177758E-3</v>
      </c>
      <c r="Q1195" s="93">
        <f>B1195*'Portfolio 2 &amp; 3'!$F$7+C1195*'Portfolio 2 &amp; 3'!$F$8+D1195*'Portfolio 2 &amp; 3'!$F$9+E1195*'Portfolio 2 &amp; 3'!$F$10+F1195*'Portfolio 2 &amp; 3'!$F$11+G1195*'Portfolio 2 &amp; 3'!$F$12+H1195*'Portfolio 2 &amp; 3'!$F$13+I1195*'Portfolio 2 &amp; 3'!$F$14+J1195*'Portfolio 2 &amp; 3'!$F$15+K1195*'Portfolio 2 &amp; 3'!$F$16</f>
        <v>4.2880538148555233E-3</v>
      </c>
      <c r="R1195" s="93">
        <f>B1195*'Portfolio 2 &amp; 3'!$B$23+C1195*'Portfolio 2 &amp; 3'!$B$24+D1195*'Portfolio 2 &amp; 3'!$B$25+E1195*'Portfolio 2 &amp; 3'!$B$26+F1195*'Portfolio 2 &amp; 3'!$B$27+G1195*'Portfolio 2 &amp; 3'!$B$28+H1195*'Portfolio 2 &amp; 3'!$B$29+I1195*'Portfolio 2 &amp; 3'!$B$30+J1195*'Portfolio 2 &amp; 3'!$B$31+K1195*'Portfolio 2 &amp; 3'!$B$32</f>
        <v>5.2578194508957326E-3</v>
      </c>
      <c r="S1195" s="93">
        <f t="shared" si="56"/>
        <v>1.4103006266862894E-2</v>
      </c>
    </row>
    <row r="1196" spans="1:19" ht="12.75" customHeight="1">
      <c r="A1196" s="81">
        <v>44327</v>
      </c>
      <c r="B1196" s="53">
        <v>6.0000000000000001E-3</v>
      </c>
      <c r="C1196" s="53">
        <v>-1.0168638308582899E-2</v>
      </c>
      <c r="D1196" s="53">
        <v>8.7792848335388508E-3</v>
      </c>
      <c r="E1196" s="53">
        <v>-1.3010000000000001E-2</v>
      </c>
      <c r="F1196" s="53">
        <v>9.3750000000001298E-3</v>
      </c>
      <c r="G1196" s="53">
        <v>3.6792435475385701E-5</v>
      </c>
      <c r="H1196" s="87">
        <v>1.0677759779160099E-2</v>
      </c>
      <c r="I1196" s="53">
        <v>-2.8784412133737699E-3</v>
      </c>
      <c r="J1196" s="53">
        <v>1.0207353569901699E-2</v>
      </c>
      <c r="K1196" s="53">
        <v>1.5864492824380099E-4</v>
      </c>
      <c r="L1196" s="95">
        <f>IFERROR(B1196*'Stock Statistics'!$C$41+C1196*'Stock Statistics'!$C$42+D1196*'Stock Statistics'!$C$43+E1196*'Stock Statistics'!$C$44+F1196*'Stock Statistics'!$C$45+G1196*'Stock Statistics'!$C$46+H1196*'Stock Statistics'!$C$47+I1196*'Stock Statistics'!$C$48+J1196*'Stock Statistics'!$C$49+K1196*'Stock Statistics'!$C$50,"")</f>
        <v>1.9177756024363298E-3</v>
      </c>
      <c r="M1196" s="96">
        <v>239.19460000000001</v>
      </c>
      <c r="N1196" s="97">
        <v>291.82209999999998</v>
      </c>
      <c r="O1196" s="93">
        <f t="shared" si="54"/>
        <v>6.2833515447335841E-4</v>
      </c>
      <c r="P1196" s="93">
        <f t="shared" si="55"/>
        <v>1.34715257034701E-3</v>
      </c>
      <c r="Q1196" s="93">
        <f>B1196*'Portfolio 2 &amp; 3'!$F$7+C1196*'Portfolio 2 &amp; 3'!$F$8+D1196*'Portfolio 2 &amp; 3'!$F$9+E1196*'Portfolio 2 &amp; 3'!$F$10+F1196*'Portfolio 2 &amp; 3'!$F$11+G1196*'Portfolio 2 &amp; 3'!$F$12+H1196*'Portfolio 2 &amp; 3'!$F$13+I1196*'Portfolio 2 &amp; 3'!$F$14+J1196*'Portfolio 2 &amp; 3'!$F$15+K1196*'Portfolio 2 &amp; 3'!$F$16</f>
        <v>3.6064993461497516E-3</v>
      </c>
      <c r="R1196" s="93">
        <f>B1196*'Portfolio 2 &amp; 3'!$B$23+C1196*'Portfolio 2 &amp; 3'!$B$24+D1196*'Portfolio 2 &amp; 3'!$B$25+E1196*'Portfolio 2 &amp; 3'!$B$26+F1196*'Portfolio 2 &amp; 3'!$B$27+G1196*'Portfolio 2 &amp; 3'!$B$28+H1196*'Portfolio 2 &amp; 3'!$B$29+I1196*'Portfolio 2 &amp; 3'!$B$30+J1196*'Portfolio 2 &amp; 3'!$B$31+K1196*'Portfolio 2 &amp; 3'!$B$32</f>
        <v>3.9993636579960663E-4</v>
      </c>
      <c r="S1196" s="93">
        <f t="shared" si="56"/>
        <v>9.8774386241018419E-4</v>
      </c>
    </row>
    <row r="1197" spans="1:19" ht="12.75" customHeight="1">
      <c r="A1197" s="82">
        <v>44326</v>
      </c>
      <c r="B1197" s="53">
        <v>1.6299999999999999E-2</v>
      </c>
      <c r="C1197" s="53">
        <v>-4.4602585947679501E-3</v>
      </c>
      <c r="D1197" s="53">
        <v>5.9221240685003505E-4</v>
      </c>
      <c r="E1197" s="53">
        <v>3.2599999999999999E-3</v>
      </c>
      <c r="F1197" s="53">
        <v>3.4482758620689502E-2</v>
      </c>
      <c r="G1197" s="53">
        <v>-1.96452832960026E-3</v>
      </c>
      <c r="H1197" s="87">
        <v>-3.79084468040414E-3</v>
      </c>
      <c r="I1197" s="53">
        <v>9.5372923031071793E-3</v>
      </c>
      <c r="J1197" s="53">
        <v>4.6711409395974197E-3</v>
      </c>
      <c r="K1197" s="53">
        <v>4.24030000735298E-3</v>
      </c>
      <c r="L1197" s="95">
        <f>IFERROR(B1197*'Stock Statistics'!$C$41+C1197*'Stock Statistics'!$C$42+D1197*'Stock Statistics'!$C$43+E1197*'Stock Statistics'!$C$44+F1197*'Stock Statistics'!$C$45+G1197*'Stock Statistics'!$C$46+H1197*'Stock Statistics'!$C$47+I1197*'Stock Statistics'!$C$48+J1197*'Stock Statistics'!$C$49+K1197*'Stock Statistics'!$C$50,"")</f>
        <v>6.2868072672824767E-3</v>
      </c>
      <c r="M1197" s="97">
        <v>239.0444</v>
      </c>
      <c r="N1197" s="96">
        <v>291.42950000000002</v>
      </c>
      <c r="O1197" s="93">
        <f t="shared" si="54"/>
        <v>1.0309960460337386E-3</v>
      </c>
      <c r="P1197" s="93">
        <f t="shared" si="55"/>
        <v>4.3575192192308876E-3</v>
      </c>
      <c r="Q1197" s="93">
        <f>B1197*'Portfolio 2 &amp; 3'!$F$7+C1197*'Portfolio 2 &amp; 3'!$F$8+D1197*'Portfolio 2 &amp; 3'!$F$9+E1197*'Portfolio 2 &amp; 3'!$F$10+F1197*'Portfolio 2 &amp; 3'!$F$11+G1197*'Portfolio 2 &amp; 3'!$F$12+H1197*'Portfolio 2 &amp; 3'!$F$13+I1197*'Portfolio 2 &amp; 3'!$F$14+J1197*'Portfolio 2 &amp; 3'!$F$15+K1197*'Portfolio 2 &amp; 3'!$F$16</f>
        <v>5.6182499729590801E-3</v>
      </c>
      <c r="R1197" s="93">
        <f>B1197*'Portfolio 2 &amp; 3'!$B$23+C1197*'Portfolio 2 &amp; 3'!$B$24+D1197*'Portfolio 2 &amp; 3'!$B$25+E1197*'Portfolio 2 &amp; 3'!$B$26+F1197*'Portfolio 2 &amp; 3'!$B$27+G1197*'Portfolio 2 &amp; 3'!$B$28+H1197*'Portfolio 2 &amp; 3'!$B$29+I1197*'Portfolio 2 &amp; 3'!$B$30+J1197*'Portfolio 2 &amp; 3'!$B$31+K1197*'Portfolio 2 &amp; 3'!$B$32</f>
        <v>9.3533001593135417E-3</v>
      </c>
      <c r="S1197" s="93">
        <f t="shared" si="56"/>
        <v>2.6942576326323131E-3</v>
      </c>
    </row>
    <row r="1198" spans="1:19" ht="12.75" customHeight="1">
      <c r="A1198" s="81">
        <v>44323</v>
      </c>
      <c r="B1198" s="53">
        <v>2.7699999999999999E-2</v>
      </c>
      <c r="C1198" s="53">
        <v>-3.4958050339593E-3</v>
      </c>
      <c r="D1198" s="53">
        <v>-1.20429058995613E-2</v>
      </c>
      <c r="E1198" s="53">
        <v>-1.0999999999999999E-2</v>
      </c>
      <c r="F1198" s="53">
        <v>2.4096385542169401E-3</v>
      </c>
      <c r="G1198" s="53">
        <v>-1.1291025268660999E-2</v>
      </c>
      <c r="H1198" s="87">
        <v>-2.8637977776924101E-4</v>
      </c>
      <c r="I1198" s="53">
        <v>4.1149184497979397E-3</v>
      </c>
      <c r="J1198" s="53">
        <v>4.6930628978314503E-3</v>
      </c>
      <c r="K1198" s="53">
        <v>9.6763017224312797E-3</v>
      </c>
      <c r="L1198" s="95">
        <f>IFERROR(B1198*'Stock Statistics'!$C$41+C1198*'Stock Statistics'!$C$42+D1198*'Stock Statistics'!$C$43+E1198*'Stock Statistics'!$C$44+F1198*'Stock Statistics'!$C$45+G1198*'Stock Statistics'!$C$46+H1198*'Stock Statistics'!$C$47+I1198*'Stock Statistics'!$C$48+J1198*'Stock Statistics'!$C$49+K1198*'Stock Statistics'!$C$50,"")</f>
        <v>1.0477805644326767E-3</v>
      </c>
      <c r="M1198" s="96">
        <v>238.79820000000001</v>
      </c>
      <c r="N1198" s="97">
        <v>290.1651</v>
      </c>
      <c r="O1198" s="93">
        <f t="shared" si="54"/>
        <v>3.7345140970098889E-2</v>
      </c>
      <c r="P1198" s="93">
        <f t="shared" si="55"/>
        <v>-9.0172517310131983E-3</v>
      </c>
      <c r="Q1198" s="93">
        <f>B1198*'Portfolio 2 &amp; 3'!$F$7+C1198*'Portfolio 2 &amp; 3'!$F$8+D1198*'Portfolio 2 &amp; 3'!$F$9+E1198*'Portfolio 2 &amp; 3'!$F$10+F1198*'Portfolio 2 &amp; 3'!$F$11+G1198*'Portfolio 2 &amp; 3'!$F$12+H1198*'Portfolio 2 &amp; 3'!$F$13+I1198*'Portfolio 2 &amp; 3'!$F$14+J1198*'Portfolio 2 &amp; 3'!$F$15+K1198*'Portfolio 2 &amp; 3'!$F$16</f>
        <v>4.8163547822427074E-4</v>
      </c>
      <c r="R1198" s="93">
        <f>B1198*'Portfolio 2 &amp; 3'!$B$23+C1198*'Portfolio 2 &amp; 3'!$B$24+D1198*'Portfolio 2 &amp; 3'!$B$25+E1198*'Portfolio 2 &amp; 3'!$B$26+F1198*'Portfolio 2 &amp; 3'!$B$27+G1198*'Portfolio 2 &amp; 3'!$B$28+H1198*'Portfolio 2 &amp; 3'!$B$29+I1198*'Portfolio 2 &amp; 3'!$B$30+J1198*'Portfolio 2 &amp; 3'!$B$31+K1198*'Portfolio 2 &amp; 3'!$B$32</f>
        <v>4.0751574672325437E-3</v>
      </c>
      <c r="S1198" s="93">
        <f t="shared" si="56"/>
        <v>1.4163944619542845E-2</v>
      </c>
    </row>
    <row r="1199" spans="1:19" ht="12.75" customHeight="1">
      <c r="A1199" s="82">
        <v>44322</v>
      </c>
      <c r="B1199" s="53">
        <v>1.2999999999999999E-3</v>
      </c>
      <c r="C1199" s="53">
        <v>-1.18274086624666E-2</v>
      </c>
      <c r="D1199" s="53">
        <v>8.2587749483826692E-3</v>
      </c>
      <c r="E1199" s="53">
        <v>1.4239999999999999E-2</v>
      </c>
      <c r="F1199" s="53">
        <v>8.3097889313599196E-5</v>
      </c>
      <c r="G1199" s="53">
        <v>1.12714322429051E-2</v>
      </c>
      <c r="H1199" s="87">
        <v>4.2853445052679602E-3</v>
      </c>
      <c r="I1199" s="53">
        <v>-2.1649869354237699E-3</v>
      </c>
      <c r="J1199" s="53">
        <v>2.9214455745509901E-3</v>
      </c>
      <c r="K1199" s="53">
        <v>2.8467812805566E-4</v>
      </c>
      <c r="L1199" s="95">
        <f>IFERROR(B1199*'Stock Statistics'!$C$41+C1199*'Stock Statistics'!$C$42+D1199*'Stock Statistics'!$C$43+E1199*'Stock Statistics'!$C$44+F1199*'Stock Statistics'!$C$45+G1199*'Stock Statistics'!$C$46+H1199*'Stock Statistics'!$C$47+I1199*'Stock Statistics'!$C$48+J1199*'Stock Statistics'!$C$49+K1199*'Stock Statistics'!$C$50,"")</f>
        <v>2.8652377690585604E-3</v>
      </c>
      <c r="M1199" s="97">
        <v>230.2013</v>
      </c>
      <c r="N1199" s="96">
        <v>292.80540000000002</v>
      </c>
      <c r="O1199" s="93">
        <f t="shared" si="54"/>
        <v>-1.6967254347824201E-2</v>
      </c>
      <c r="P1199" s="93">
        <f t="shared" si="55"/>
        <v>-2.4638144289856889E-3</v>
      </c>
      <c r="Q1199" s="93">
        <f>B1199*'Portfolio 2 &amp; 3'!$F$7+C1199*'Portfolio 2 &amp; 3'!$F$8+D1199*'Portfolio 2 &amp; 3'!$F$9+E1199*'Portfolio 2 &amp; 3'!$F$10+F1199*'Portfolio 2 &amp; 3'!$F$11+G1199*'Portfolio 2 &amp; 3'!$F$12+H1199*'Portfolio 2 &amp; 3'!$F$13+I1199*'Portfolio 2 &amp; 3'!$F$14+J1199*'Portfolio 2 &amp; 3'!$F$15+K1199*'Portfolio 2 &amp; 3'!$F$16</f>
        <v>2.6648488398162409E-3</v>
      </c>
      <c r="R1199" s="93">
        <f>B1199*'Portfolio 2 &amp; 3'!$B$23+C1199*'Portfolio 2 &amp; 3'!$B$24+D1199*'Portfolio 2 &amp; 3'!$B$25+E1199*'Portfolio 2 &amp; 3'!$B$26+F1199*'Portfolio 2 &amp; 3'!$B$27+G1199*'Portfolio 2 &amp; 3'!$B$28+H1199*'Portfolio 2 &amp; 3'!$B$29+I1199*'Portfolio 2 &amp; 3'!$B$30+J1199*'Portfolio 2 &amp; 3'!$B$31+K1199*'Portfolio 2 &amp; 3'!$B$32</f>
        <v>-1.0670380736575874E-3</v>
      </c>
      <c r="S1199" s="93">
        <f t="shared" si="56"/>
        <v>-9.715534388404945E-3</v>
      </c>
    </row>
    <row r="1200" spans="1:19" ht="12.75" customHeight="1">
      <c r="A1200" s="81">
        <v>44321</v>
      </c>
      <c r="B1200" s="53">
        <v>5.7999999999999996E-3</v>
      </c>
      <c r="C1200" s="53">
        <v>2.7381443298970499E-3</v>
      </c>
      <c r="D1200" s="53">
        <v>1.29469176376855E-2</v>
      </c>
      <c r="E1200" s="53">
        <v>-7.6099999999999996E-3</v>
      </c>
      <c r="F1200" s="53">
        <v>5.7190547307388401E-2</v>
      </c>
      <c r="G1200" s="53">
        <v>-1.51682244680275E-2</v>
      </c>
      <c r="H1200" s="87">
        <v>-6.6377159400415903E-3</v>
      </c>
      <c r="I1200" s="53">
        <v>-4.2530378842030002E-2</v>
      </c>
      <c r="J1200" s="53">
        <v>2.2401681508933E-2</v>
      </c>
      <c r="K1200" s="53">
        <v>3.9016389368655702E-3</v>
      </c>
      <c r="L1200" s="95">
        <f>IFERROR(B1200*'Stock Statistics'!$C$41+C1200*'Stock Statistics'!$C$42+D1200*'Stock Statistics'!$C$43+E1200*'Stock Statistics'!$C$44+F1200*'Stock Statistics'!$C$45+G1200*'Stock Statistics'!$C$46+H1200*'Stock Statistics'!$C$47+I1200*'Stock Statistics'!$C$48+J1200*'Stock Statistics'!$C$49+K1200*'Stock Statistics'!$C$50,"")</f>
        <v>3.3032610470670439E-3</v>
      </c>
      <c r="M1200" s="96">
        <v>234.1746</v>
      </c>
      <c r="N1200" s="97">
        <v>293.52859999999998</v>
      </c>
      <c r="O1200" s="93">
        <f t="shared" si="54"/>
        <v>4.0363035794217517E-3</v>
      </c>
      <c r="P1200" s="93">
        <f t="shared" si="55"/>
        <v>4.0898596700977841E-4</v>
      </c>
      <c r="Q1200" s="93">
        <f>B1200*'Portfolio 2 &amp; 3'!$F$7+C1200*'Portfolio 2 &amp; 3'!$F$8+D1200*'Portfolio 2 &amp; 3'!$F$9+E1200*'Portfolio 2 &amp; 3'!$F$10+F1200*'Portfolio 2 &amp; 3'!$F$11+G1200*'Portfolio 2 &amp; 3'!$F$12+H1200*'Portfolio 2 &amp; 3'!$F$13+I1200*'Portfolio 2 &amp; 3'!$F$14+J1200*'Portfolio 2 &amp; 3'!$F$15+K1200*'Portfolio 2 &amp; 3'!$F$16</f>
        <v>5.7610049063326696E-3</v>
      </c>
      <c r="R1200" s="93">
        <f>B1200*'Portfolio 2 &amp; 3'!$B$23+C1200*'Portfolio 2 &amp; 3'!$B$24+D1200*'Portfolio 2 &amp; 3'!$B$25+E1200*'Portfolio 2 &amp; 3'!$B$26+F1200*'Portfolio 2 &amp; 3'!$B$27+G1200*'Portfolio 2 &amp; 3'!$B$28+H1200*'Portfolio 2 &amp; 3'!$B$29+I1200*'Portfolio 2 &amp; 3'!$B$30+J1200*'Portfolio 2 &amp; 3'!$B$31+K1200*'Portfolio 2 &amp; 3'!$B$32</f>
        <v>-8.9136123593385223E-4</v>
      </c>
      <c r="S1200" s="93">
        <f t="shared" si="56"/>
        <v>2.222644773215765E-3</v>
      </c>
    </row>
    <row r="1201" spans="1:19" ht="12.75" customHeight="1">
      <c r="A1201" s="82">
        <v>44320</v>
      </c>
      <c r="B1201" s="53">
        <v>9.5999999999999992E-3</v>
      </c>
      <c r="C1201" s="53">
        <v>4.2580267932380601E-2</v>
      </c>
      <c r="D1201" s="53">
        <v>1.74589714171702E-3</v>
      </c>
      <c r="E1201" s="53">
        <v>-4.0600000000000002E-3</v>
      </c>
      <c r="F1201" s="53">
        <v>-2.00585399449036E-2</v>
      </c>
      <c r="G1201" s="53">
        <v>1.59240348234948E-2</v>
      </c>
      <c r="H1201" s="87">
        <v>1.02850765367482E-2</v>
      </c>
      <c r="I1201" s="53">
        <v>-6.1096902529127499E-3</v>
      </c>
      <c r="J1201" s="53">
        <v>2.2105382180009001E-2</v>
      </c>
      <c r="K1201" s="53">
        <v>-4.7733877450071302E-3</v>
      </c>
      <c r="L1201" s="95">
        <f>IFERROR(B1201*'Stock Statistics'!$C$41+C1201*'Stock Statistics'!$C$42+D1201*'Stock Statistics'!$C$43+E1201*'Stock Statistics'!$C$44+F1201*'Stock Statistics'!$C$45+G1201*'Stock Statistics'!$C$46+H1201*'Stock Statistics'!$C$47+I1201*'Stock Statistics'!$C$48+J1201*'Stock Statistics'!$C$49+K1201*'Stock Statistics'!$C$50,"")</f>
        <v>6.7239040671526144E-3</v>
      </c>
      <c r="M1201" s="97">
        <v>233.23320000000001</v>
      </c>
      <c r="N1201" s="96">
        <v>293.40859999999998</v>
      </c>
      <c r="O1201" s="93">
        <f t="shared" si="54"/>
        <v>9.778564396258238E-3</v>
      </c>
      <c r="P1201" s="93">
        <f t="shared" si="55"/>
        <v>1.1930008501480405E-2</v>
      </c>
      <c r="Q1201" s="93">
        <f>B1201*'Portfolio 2 &amp; 3'!$F$7+C1201*'Portfolio 2 &amp; 3'!$F$8+D1201*'Portfolio 2 &amp; 3'!$F$9+E1201*'Portfolio 2 &amp; 3'!$F$10+F1201*'Portfolio 2 &amp; 3'!$F$11+G1201*'Portfolio 2 &amp; 3'!$F$12+H1201*'Portfolio 2 &amp; 3'!$F$13+I1201*'Portfolio 2 &amp; 3'!$F$14+J1201*'Portfolio 2 &amp; 3'!$F$15+K1201*'Portfolio 2 &amp; 3'!$F$16</f>
        <v>7.5123132907303171E-3</v>
      </c>
      <c r="R1201" s="93">
        <f>B1201*'Portfolio 2 &amp; 3'!$B$23+C1201*'Portfolio 2 &amp; 3'!$B$24+D1201*'Portfolio 2 &amp; 3'!$B$25+E1201*'Portfolio 2 &amp; 3'!$B$26+F1201*'Portfolio 2 &amp; 3'!$B$27+G1201*'Portfolio 2 &amp; 3'!$B$28+H1201*'Portfolio 2 &amp; 3'!$B$29+I1201*'Portfolio 2 &amp; 3'!$B$30+J1201*'Portfolio 2 &amp; 3'!$B$31+K1201*'Portfolio 2 &amp; 3'!$B$32</f>
        <v>7.0737399014727531E-3</v>
      </c>
      <c r="S1201" s="93">
        <f t="shared" si="56"/>
        <v>1.0854286448869321E-2</v>
      </c>
    </row>
    <row r="1202" spans="1:19" ht="12.75" customHeight="1">
      <c r="A1202" s="81">
        <v>44319</v>
      </c>
      <c r="B1202" s="53">
        <v>1.1999999999999999E-3</v>
      </c>
      <c r="C1202" s="53">
        <v>1.5898251192368901E-2</v>
      </c>
      <c r="D1202" s="53">
        <v>-4.3210489718883398E-3</v>
      </c>
      <c r="E1202" s="53">
        <v>-2.6069999999999999E-2</v>
      </c>
      <c r="F1202" s="53">
        <v>1.6895736671627401E-2</v>
      </c>
      <c r="G1202" s="53">
        <v>-1.30234605719304E-3</v>
      </c>
      <c r="H1202" s="87">
        <v>-1.9730451103E-2</v>
      </c>
      <c r="I1202" s="53">
        <v>1.1061629076281901E-2</v>
      </c>
      <c r="J1202" s="53">
        <v>3.6314117113027699E-3</v>
      </c>
      <c r="K1202" s="53">
        <v>5.6459937073285501E-3</v>
      </c>
      <c r="L1202" s="95">
        <f>IFERROR(B1202*'Stock Statistics'!$C$41+C1202*'Stock Statistics'!$C$42+D1202*'Stock Statistics'!$C$43+E1202*'Stock Statistics'!$C$44+F1202*'Stock Statistics'!$C$45+G1202*'Stock Statistics'!$C$46+H1202*'Stock Statistics'!$C$47+I1202*'Stock Statistics'!$C$48+J1202*'Stock Statistics'!$C$49+K1202*'Stock Statistics'!$C$50,"")</f>
        <v>2.9091762268281451E-4</v>
      </c>
      <c r="M1202" s="96">
        <v>230.97460000000001</v>
      </c>
      <c r="N1202" s="97">
        <v>289.9495</v>
      </c>
      <c r="O1202" s="93">
        <f t="shared" si="54"/>
        <v>2.6901967355590362E-3</v>
      </c>
      <c r="P1202" s="93">
        <f t="shared" si="55"/>
        <v>7.9874320315631575E-3</v>
      </c>
      <c r="Q1202" s="93">
        <f>B1202*'Portfolio 2 &amp; 3'!$F$7+C1202*'Portfolio 2 &amp; 3'!$F$8+D1202*'Portfolio 2 &amp; 3'!$F$9+E1202*'Portfolio 2 &amp; 3'!$F$10+F1202*'Portfolio 2 &amp; 3'!$F$11+G1202*'Portfolio 2 &amp; 3'!$F$12+H1202*'Portfolio 2 &amp; 3'!$F$13+I1202*'Portfolio 2 &amp; 3'!$F$14+J1202*'Portfolio 2 &amp; 3'!$F$15+K1202*'Portfolio 2 &amp; 3'!$F$16</f>
        <v>-4.9777104755895931E-4</v>
      </c>
      <c r="R1202" s="93">
        <f>B1202*'Portfolio 2 &amp; 3'!$B$23+C1202*'Portfolio 2 &amp; 3'!$B$24+D1202*'Portfolio 2 &amp; 3'!$B$25+E1202*'Portfolio 2 &amp; 3'!$B$26+F1202*'Portfolio 2 &amp; 3'!$B$27+G1202*'Portfolio 2 &amp; 3'!$B$28+H1202*'Portfolio 2 &amp; 3'!$B$29+I1202*'Portfolio 2 &amp; 3'!$B$30+J1202*'Portfolio 2 &amp; 3'!$B$31+K1202*'Portfolio 2 &amp; 3'!$B$32</f>
        <v>8.4508311833131171E-3</v>
      </c>
      <c r="S1202" s="93">
        <f t="shared" si="56"/>
        <v>5.3388143835610968E-3</v>
      </c>
    </row>
    <row r="1203" spans="1:19" ht="12.75" customHeight="1">
      <c r="A1203" s="82">
        <v>44316</v>
      </c>
      <c r="B1203" s="53">
        <v>1.03E-2</v>
      </c>
      <c r="C1203" s="53">
        <v>-1.1228385358185501E-2</v>
      </c>
      <c r="D1203" s="53">
        <v>-1.0419738523542599E-2</v>
      </c>
      <c r="E1203" s="53">
        <v>2.5000000000000001E-4</v>
      </c>
      <c r="F1203" s="53">
        <v>1.7186108637577999E-2</v>
      </c>
      <c r="G1203" s="53">
        <v>4.1997458048592699E-3</v>
      </c>
      <c r="H1203" s="87">
        <v>1.0385294423096399E-3</v>
      </c>
      <c r="I1203" s="53">
        <v>7.4535060424052498E-3</v>
      </c>
      <c r="J1203" s="53">
        <v>-2.52751507106906E-2</v>
      </c>
      <c r="K1203" s="53">
        <v>-1.0070295091654399E-2</v>
      </c>
      <c r="L1203" s="95">
        <f>IFERROR(B1203*'Stock Statistics'!$C$41+C1203*'Stock Statistics'!$C$42+D1203*'Stock Statistics'!$C$43+E1203*'Stock Statistics'!$C$44+F1203*'Stock Statistics'!$C$45+G1203*'Stock Statistics'!$C$46+H1203*'Stock Statistics'!$C$47+I1203*'Stock Statistics'!$C$48+J1203*'Stock Statistics'!$C$49+K1203*'Stock Statistics'!$C$50,"")</f>
        <v>-1.656567975692094E-3</v>
      </c>
      <c r="M1203" s="97">
        <v>230.35489999999999</v>
      </c>
      <c r="N1203" s="96">
        <v>287.65190000000001</v>
      </c>
      <c r="O1203" s="93">
        <f t="shared" si="54"/>
        <v>-9.9832990076120787E-4</v>
      </c>
      <c r="P1203" s="93">
        <f t="shared" si="55"/>
        <v>1.4697405933427277E-2</v>
      </c>
      <c r="Q1203" s="93">
        <f>B1203*'Portfolio 2 &amp; 3'!$F$7+C1203*'Portfolio 2 &amp; 3'!$F$8+D1203*'Portfolio 2 &amp; 3'!$F$9+E1203*'Portfolio 2 &amp; 3'!$F$10+F1203*'Portfolio 2 &amp; 3'!$F$11+G1203*'Portfolio 2 &amp; 3'!$F$12+H1203*'Portfolio 2 &amp; 3'!$F$13+I1203*'Portfolio 2 &amp; 3'!$F$14+J1203*'Portfolio 2 &amp; 3'!$F$15+K1203*'Portfolio 2 &amp; 3'!$F$16</f>
        <v>-3.4409389568387494E-3</v>
      </c>
      <c r="R1203" s="93">
        <f>B1203*'Portfolio 2 &amp; 3'!$B$23+C1203*'Portfolio 2 &amp; 3'!$B$24+D1203*'Portfolio 2 &amp; 3'!$B$25+E1203*'Portfolio 2 &amp; 3'!$B$26+F1203*'Portfolio 2 &amp; 3'!$B$27+G1203*'Portfolio 2 &amp; 3'!$B$28+H1203*'Portfolio 2 &amp; 3'!$B$29+I1203*'Portfolio 2 &amp; 3'!$B$30+J1203*'Portfolio 2 &amp; 3'!$B$31+K1203*'Portfolio 2 &amp; 3'!$B$32</f>
        <v>2.4562718855608776E-3</v>
      </c>
      <c r="S1203" s="93">
        <f t="shared" si="56"/>
        <v>6.8495380163330344E-3</v>
      </c>
    </row>
    <row r="1204" spans="1:19" ht="12.75" customHeight="1">
      <c r="A1204" s="81">
        <v>44315</v>
      </c>
      <c r="B1204" s="53">
        <v>-1.1599999999999999E-2</v>
      </c>
      <c r="C1204" s="53">
        <v>3.4249267490888302E-2</v>
      </c>
      <c r="D1204" s="53">
        <v>-1.31923561936174E-2</v>
      </c>
      <c r="E1204" s="53">
        <v>-1.8489999999999999E-2</v>
      </c>
      <c r="F1204" s="53">
        <v>-3.2839265110500299E-3</v>
      </c>
      <c r="G1204" s="53">
        <v>-1.8920774902414499E-2</v>
      </c>
      <c r="H1204" s="87">
        <v>-5.9314318964628398E-3</v>
      </c>
      <c r="I1204" s="53">
        <v>7.9663962920051301E-4</v>
      </c>
      <c r="J1204" s="53">
        <v>6.0649899844200704E-3</v>
      </c>
      <c r="K1204" s="53">
        <v>-2.9826197957580898E-3</v>
      </c>
      <c r="L1204" s="95">
        <f>IFERROR(B1204*'Stock Statistics'!$C$41+C1204*'Stock Statistics'!$C$42+D1204*'Stock Statistics'!$C$43+E1204*'Stock Statistics'!$C$44+F1204*'Stock Statistics'!$C$45+G1204*'Stock Statistics'!$C$46+H1204*'Stock Statistics'!$C$47+I1204*'Stock Statistics'!$C$48+J1204*'Stock Statistics'!$C$49+K1204*'Stock Statistics'!$C$50,"")</f>
        <v>-3.3290212194793975E-3</v>
      </c>
      <c r="M1204" s="96">
        <v>230.58510000000001</v>
      </c>
      <c r="N1204" s="97">
        <v>283.48540000000003</v>
      </c>
      <c r="O1204" s="93">
        <f t="shared" si="54"/>
        <v>5.8272831486434473E-3</v>
      </c>
      <c r="P1204" s="93">
        <f t="shared" si="55"/>
        <v>1.2957591873910879E-2</v>
      </c>
      <c r="Q1204" s="93">
        <f>B1204*'Portfolio 2 &amp; 3'!$F$7+C1204*'Portfolio 2 &amp; 3'!$F$8+D1204*'Portfolio 2 &amp; 3'!$F$9+E1204*'Portfolio 2 &amp; 3'!$F$10+F1204*'Portfolio 2 &amp; 3'!$F$11+G1204*'Portfolio 2 &amp; 3'!$F$12+H1204*'Portfolio 2 &amp; 3'!$F$13+I1204*'Portfolio 2 &amp; 3'!$F$14+J1204*'Portfolio 2 &amp; 3'!$F$15+K1204*'Portfolio 2 &amp; 3'!$F$16</f>
        <v>-2.1821047595722057E-3</v>
      </c>
      <c r="R1204" s="93">
        <f>B1204*'Portfolio 2 &amp; 3'!$B$23+C1204*'Portfolio 2 &amp; 3'!$B$24+D1204*'Portfolio 2 &amp; 3'!$B$25+E1204*'Portfolio 2 &amp; 3'!$B$26+F1204*'Portfolio 2 &amp; 3'!$B$27+G1204*'Portfolio 2 &amp; 3'!$B$28+H1204*'Portfolio 2 &amp; 3'!$B$29+I1204*'Portfolio 2 &amp; 3'!$B$30+J1204*'Portfolio 2 &amp; 3'!$B$31+K1204*'Portfolio 2 &amp; 3'!$B$32</f>
        <v>2.2700813024660212E-3</v>
      </c>
      <c r="S1204" s="93">
        <f t="shared" si="56"/>
        <v>9.392437511277163E-3</v>
      </c>
    </row>
    <row r="1205" spans="1:19" ht="12.75" customHeight="1">
      <c r="A1205" s="82">
        <v>44314</v>
      </c>
      <c r="B1205" s="53">
        <v>-2E-3</v>
      </c>
      <c r="C1205" s="53">
        <v>1.32512671976828E-2</v>
      </c>
      <c r="D1205" s="53">
        <v>-1.62698602032539E-2</v>
      </c>
      <c r="E1205" s="53">
        <v>-5.2500000000000003E-3</v>
      </c>
      <c r="F1205" s="53">
        <v>9.7725657427161195E-4</v>
      </c>
      <c r="G1205" s="53">
        <v>5.7625045392863297E-2</v>
      </c>
      <c r="H1205" s="87">
        <v>2.9537944228651001E-2</v>
      </c>
      <c r="I1205" s="53">
        <v>5.16852296716897E-3</v>
      </c>
      <c r="J1205" s="53">
        <v>8.6429453361769291E-3</v>
      </c>
      <c r="K1205" s="53">
        <v>-1.5872248930978699E-2</v>
      </c>
      <c r="L1205" s="95">
        <f>IFERROR(B1205*'Stock Statistics'!$C$41+C1205*'Stock Statistics'!$C$42+D1205*'Stock Statistics'!$C$43+E1205*'Stock Statistics'!$C$44+F1205*'Stock Statistics'!$C$45+G1205*'Stock Statistics'!$C$46+H1205*'Stock Statistics'!$C$47+I1205*'Stock Statistics'!$C$48+J1205*'Stock Statistics'!$C$49+K1205*'Stock Statistics'!$C$50,"")</f>
        <v>7.5810872562582024E-3</v>
      </c>
      <c r="M1205" s="97">
        <v>229.2492</v>
      </c>
      <c r="N1205" s="96">
        <v>279.85910000000001</v>
      </c>
      <c r="O1205" s="93">
        <f t="shared" si="54"/>
        <v>-4.3712272920930495E-3</v>
      </c>
      <c r="P1205" s="93">
        <f t="shared" si="55"/>
        <v>-1.384309955755636E-2</v>
      </c>
      <c r="Q1205" s="93">
        <f>B1205*'Portfolio 2 &amp; 3'!$F$7+C1205*'Portfolio 2 &amp; 3'!$F$8+D1205*'Portfolio 2 &amp; 3'!$F$9+E1205*'Portfolio 2 &amp; 3'!$F$10+F1205*'Portfolio 2 &amp; 3'!$F$11+G1205*'Portfolio 2 &amp; 3'!$F$12+H1205*'Portfolio 2 &amp; 3'!$F$13+I1205*'Portfolio 2 &amp; 3'!$F$14+J1205*'Portfolio 2 &amp; 3'!$F$15+K1205*'Portfolio 2 &amp; 3'!$F$16</f>
        <v>7.1230144767829798E-3</v>
      </c>
      <c r="R1205" s="93">
        <f>B1205*'Portfolio 2 &amp; 3'!$B$23+C1205*'Portfolio 2 &amp; 3'!$B$24+D1205*'Portfolio 2 &amp; 3'!$B$25+E1205*'Portfolio 2 &amp; 3'!$B$26+F1205*'Portfolio 2 &amp; 3'!$B$27+G1205*'Portfolio 2 &amp; 3'!$B$28+H1205*'Portfolio 2 &amp; 3'!$B$29+I1205*'Portfolio 2 &amp; 3'!$B$30+J1205*'Portfolio 2 &amp; 3'!$B$31+K1205*'Portfolio 2 &amp; 3'!$B$32</f>
        <v>9.4373849912022419E-3</v>
      </c>
      <c r="S1205" s="93">
        <f t="shared" si="56"/>
        <v>-9.1071634248247046E-3</v>
      </c>
    </row>
    <row r="1206" spans="1:19" ht="12.75" customHeight="1">
      <c r="A1206" s="81">
        <v>44313</v>
      </c>
      <c r="B1206" s="53">
        <v>9.9000000000000008E-3</v>
      </c>
      <c r="C1206" s="53">
        <v>1.06920860441084E-3</v>
      </c>
      <c r="D1206" s="53">
        <v>3.4450421992991503E-2</v>
      </c>
      <c r="E1206" s="53">
        <v>1.3799999999999999E-3</v>
      </c>
      <c r="F1206" s="53">
        <v>-1.1851461680273999E-2</v>
      </c>
      <c r="G1206" s="53">
        <v>3.4521777487965801E-3</v>
      </c>
      <c r="H1206" s="87">
        <v>1.2092600296027499E-3</v>
      </c>
      <c r="I1206" s="53">
        <v>-2.3528575490474799E-2</v>
      </c>
      <c r="J1206" s="53">
        <v>-1.0386003887808999E-2</v>
      </c>
      <c r="K1206" s="53">
        <v>2.7351021319897799E-2</v>
      </c>
      <c r="L1206" s="95">
        <f>IFERROR(B1206*'Stock Statistics'!$C$41+C1206*'Stock Statistics'!$C$42+D1206*'Stock Statistics'!$C$43+E1206*'Stock Statistics'!$C$44+F1206*'Stock Statistics'!$C$45+G1206*'Stock Statistics'!$C$46+H1206*'Stock Statistics'!$C$47+I1206*'Stock Statistics'!$C$48+J1206*'Stock Statistics'!$C$49+K1206*'Stock Statistics'!$C$50,"")</f>
        <v>3.3046048637141675E-3</v>
      </c>
      <c r="M1206" s="96">
        <v>230.25569999999999</v>
      </c>
      <c r="N1206" s="97">
        <v>283.7876</v>
      </c>
      <c r="O1206" s="93">
        <f t="shared" si="54"/>
        <v>-2.819752384945029E-3</v>
      </c>
      <c r="P1206" s="93">
        <f t="shared" si="55"/>
        <v>-7.0958313346677349E-3</v>
      </c>
      <c r="Q1206" s="93">
        <f>B1206*'Portfolio 2 &amp; 3'!$F$7+C1206*'Portfolio 2 &amp; 3'!$F$8+D1206*'Portfolio 2 &amp; 3'!$F$9+E1206*'Portfolio 2 &amp; 3'!$F$10+F1206*'Portfolio 2 &amp; 3'!$F$11+G1206*'Portfolio 2 &amp; 3'!$F$12+H1206*'Portfolio 2 &amp; 3'!$F$13+I1206*'Portfolio 2 &amp; 3'!$F$14+J1206*'Portfolio 2 &amp; 3'!$F$15+K1206*'Portfolio 2 &amp; 3'!$F$16</f>
        <v>3.2704273968168504E-3</v>
      </c>
      <c r="R1206" s="93">
        <f>B1206*'Portfolio 2 &amp; 3'!$B$23+C1206*'Portfolio 2 &amp; 3'!$B$24+D1206*'Portfolio 2 &amp; 3'!$B$25+E1206*'Portfolio 2 &amp; 3'!$B$26+F1206*'Portfolio 2 &amp; 3'!$B$27+G1206*'Portfolio 2 &amp; 3'!$B$28+H1206*'Portfolio 2 &amp; 3'!$B$29+I1206*'Portfolio 2 &amp; 3'!$B$30+J1206*'Portfolio 2 &amp; 3'!$B$31+K1206*'Portfolio 2 &amp; 3'!$B$32</f>
        <v>-3.3842291804408783E-3</v>
      </c>
      <c r="S1206" s="93">
        <f t="shared" si="56"/>
        <v>-4.9577918598063819E-3</v>
      </c>
    </row>
    <row r="1207" spans="1:19" ht="12.75" customHeight="1">
      <c r="A1207" s="82">
        <v>44312</v>
      </c>
      <c r="B1207" s="53">
        <v>-1.6000000000000001E-3</v>
      </c>
      <c r="C1207" s="53">
        <v>-9.5955389796131797E-4</v>
      </c>
      <c r="D1207" s="53">
        <v>3.9641246717210298E-3</v>
      </c>
      <c r="E1207" s="53">
        <v>-9.5899999999999996E-3</v>
      </c>
      <c r="F1207" s="53">
        <v>-2.36468733578565E-3</v>
      </c>
      <c r="G1207" s="53">
        <v>-6.5731814198072298E-3</v>
      </c>
      <c r="H1207" s="87">
        <v>1.45322082174793E-3</v>
      </c>
      <c r="I1207" s="53">
        <v>1.82397220613781E-2</v>
      </c>
      <c r="J1207" s="53">
        <v>1.96511496205687E-2</v>
      </c>
      <c r="K1207" s="53">
        <v>-8.3557918312597897E-3</v>
      </c>
      <c r="L1207" s="95">
        <f>IFERROR(B1207*'Stock Statistics'!$C$41+C1207*'Stock Statistics'!$C$42+D1207*'Stock Statistics'!$C$43+E1207*'Stock Statistics'!$C$44+F1207*'Stock Statistics'!$C$45+G1207*'Stock Statistics'!$C$46+H1207*'Stock Statistics'!$C$47+I1207*'Stock Statistics'!$C$48+J1207*'Stock Statistics'!$C$49+K1207*'Stock Statistics'!$C$50,"")</f>
        <v>1.3865002690601771E-3</v>
      </c>
      <c r="M1207" s="97">
        <v>230.9068</v>
      </c>
      <c r="N1207" s="96">
        <v>285.81569999999999</v>
      </c>
      <c r="O1207" s="93">
        <f t="shared" si="54"/>
        <v>1.4047008689717089E-3</v>
      </c>
      <c r="P1207" s="93">
        <f t="shared" si="55"/>
        <v>2.6292912612260411E-2</v>
      </c>
      <c r="Q1207" s="93">
        <f>B1207*'Portfolio 2 &amp; 3'!$F$7+C1207*'Portfolio 2 &amp; 3'!$F$8+D1207*'Portfolio 2 &amp; 3'!$F$9+E1207*'Portfolio 2 &amp; 3'!$F$10+F1207*'Portfolio 2 &amp; 3'!$F$11+G1207*'Portfolio 2 &amp; 3'!$F$12+H1207*'Portfolio 2 &amp; 3'!$F$13+I1207*'Portfolio 2 &amp; 3'!$F$14+J1207*'Portfolio 2 &amp; 3'!$F$15+K1207*'Portfolio 2 &amp; 3'!$F$16</f>
        <v>3.0146359458037546E-3</v>
      </c>
      <c r="R1207" s="93">
        <f>B1207*'Portfolio 2 &amp; 3'!$B$23+C1207*'Portfolio 2 &amp; 3'!$B$24+D1207*'Portfolio 2 &amp; 3'!$B$25+E1207*'Portfolio 2 &amp; 3'!$B$26+F1207*'Portfolio 2 &amp; 3'!$B$27+G1207*'Portfolio 2 &amp; 3'!$B$28+H1207*'Portfolio 2 &amp; 3'!$B$29+I1207*'Portfolio 2 &amp; 3'!$B$30+J1207*'Portfolio 2 &amp; 3'!$B$31+K1207*'Portfolio 2 &amp; 3'!$B$32</f>
        <v>3.1129128252106696E-3</v>
      </c>
      <c r="S1207" s="93">
        <f t="shared" si="56"/>
        <v>1.384880674061606E-2</v>
      </c>
    </row>
    <row r="1208" spans="1:19" ht="12.75" customHeight="1">
      <c r="A1208" s="81">
        <v>44309</v>
      </c>
      <c r="B1208" s="53">
        <v>-2.0999999999999999E-3</v>
      </c>
      <c r="C1208" s="53">
        <v>-4.7031264077845901E-3</v>
      </c>
      <c r="D1208" s="53">
        <v>-8.8404302342713903E-3</v>
      </c>
      <c r="E1208" s="53">
        <v>0.11353000000000001</v>
      </c>
      <c r="F1208" s="53">
        <v>3.3209664283775399E-2</v>
      </c>
      <c r="G1208" s="53">
        <v>4.7123134626127397E-2</v>
      </c>
      <c r="H1208" s="87">
        <v>1.8491292120972801E-2</v>
      </c>
      <c r="I1208" s="53">
        <v>5.3117950956851397E-3</v>
      </c>
      <c r="J1208" s="53">
        <v>-1.58317313129031E-3</v>
      </c>
      <c r="K1208" s="53">
        <v>6.83938594208833E-3</v>
      </c>
      <c r="L1208" s="95">
        <f>IFERROR(B1208*'Stock Statistics'!$C$41+C1208*'Stock Statistics'!$C$42+D1208*'Stock Statistics'!$C$43+E1208*'Stock Statistics'!$C$44+F1208*'Stock Statistics'!$C$45+G1208*'Stock Statistics'!$C$46+H1208*'Stock Statistics'!$C$47+I1208*'Stock Statistics'!$C$48+J1208*'Stock Statistics'!$C$49+K1208*'Stock Statistics'!$C$50,"")</f>
        <v>2.0727854229530281E-2</v>
      </c>
      <c r="M1208" s="96">
        <v>230.5829</v>
      </c>
      <c r="N1208" s="97">
        <v>278.49329999999998</v>
      </c>
      <c r="O1208" s="93">
        <f t="shared" si="54"/>
        <v>1.329777299655599E-2</v>
      </c>
      <c r="P1208" s="93">
        <f t="shared" si="55"/>
        <v>3.4641062883220552E-3</v>
      </c>
      <c r="Q1208" s="93">
        <f>B1208*'Portfolio 2 &amp; 3'!$F$7+C1208*'Portfolio 2 &amp; 3'!$F$8+D1208*'Portfolio 2 &amp; 3'!$F$9+E1208*'Portfolio 2 &amp; 3'!$F$10+F1208*'Portfolio 2 &amp; 3'!$F$11+G1208*'Portfolio 2 &amp; 3'!$F$12+H1208*'Portfolio 2 &amp; 3'!$F$13+I1208*'Portfolio 2 &amp; 3'!$F$14+J1208*'Portfolio 2 &amp; 3'!$F$15+K1208*'Portfolio 2 &amp; 3'!$F$16</f>
        <v>1.6259023621108142E-2</v>
      </c>
      <c r="R1208" s="93">
        <f>B1208*'Portfolio 2 &amp; 3'!$B$23+C1208*'Portfolio 2 &amp; 3'!$B$24+D1208*'Portfolio 2 &amp; 3'!$B$25+E1208*'Portfolio 2 &amp; 3'!$B$26+F1208*'Portfolio 2 &amp; 3'!$B$27+G1208*'Portfolio 2 &amp; 3'!$B$28+H1208*'Portfolio 2 &amp; 3'!$B$29+I1208*'Portfolio 2 &amp; 3'!$B$30+J1208*'Portfolio 2 &amp; 3'!$B$31+K1208*'Portfolio 2 &amp; 3'!$B$32</f>
        <v>1.1369906244729137E-2</v>
      </c>
      <c r="S1208" s="93">
        <f t="shared" si="56"/>
        <v>8.3809396424390226E-3</v>
      </c>
    </row>
    <row r="1209" spans="1:19" ht="12.75" customHeight="1">
      <c r="A1209" s="82">
        <v>44308</v>
      </c>
      <c r="B1209" s="53">
        <v>1.8100000000000002E-2</v>
      </c>
      <c r="C1209" s="53">
        <v>1.8594742923165901E-3</v>
      </c>
      <c r="D1209" s="53">
        <v>6.4349189754312502E-2</v>
      </c>
      <c r="E1209" s="53">
        <v>-1.8460000000000001E-2</v>
      </c>
      <c r="F1209" s="53">
        <v>-6.6516853932585603E-3</v>
      </c>
      <c r="G1209" s="53">
        <v>-8.0544616176210192E-3</v>
      </c>
      <c r="H1209" s="87">
        <v>-2.28887667640452E-2</v>
      </c>
      <c r="I1209" s="53">
        <v>-6.2188155325765297E-3</v>
      </c>
      <c r="J1209" s="53">
        <v>-4.8950655488663201E-3</v>
      </c>
      <c r="K1209" s="53">
        <v>1.2571041439271201E-2</v>
      </c>
      <c r="L1209" s="95">
        <f>IFERROR(B1209*'Stock Statistics'!$C$41+C1209*'Stock Statistics'!$C$42+D1209*'Stock Statistics'!$C$43+E1209*'Stock Statistics'!$C$44+F1209*'Stock Statistics'!$C$45+G1209*'Stock Statistics'!$C$46+H1209*'Stock Statistics'!$C$47+I1209*'Stock Statistics'!$C$48+J1209*'Stock Statistics'!$C$49+K1209*'Stock Statistics'!$C$50,"")</f>
        <v>2.9710910629532654E-3</v>
      </c>
      <c r="M1209" s="97">
        <v>227.55690000000001</v>
      </c>
      <c r="N1209" s="96">
        <v>277.53190000000001</v>
      </c>
      <c r="O1209" s="93">
        <f t="shared" si="54"/>
        <v>5.3333404020416975E-3</v>
      </c>
      <c r="P1209" s="93">
        <f t="shared" si="55"/>
        <v>4.2844544865368039E-3</v>
      </c>
      <c r="Q1209" s="93">
        <f>B1209*'Portfolio 2 &amp; 3'!$F$7+C1209*'Portfolio 2 &amp; 3'!$F$8+D1209*'Portfolio 2 &amp; 3'!$F$9+E1209*'Portfolio 2 &amp; 3'!$F$10+F1209*'Portfolio 2 &amp; 3'!$F$11+G1209*'Portfolio 2 &amp; 3'!$F$12+H1209*'Portfolio 2 &amp; 3'!$F$13+I1209*'Portfolio 2 &amp; 3'!$F$14+J1209*'Portfolio 2 &amp; 3'!$F$15+K1209*'Portfolio 2 &amp; 3'!$F$16</f>
        <v>3.5050109241236242E-3</v>
      </c>
      <c r="R1209" s="93">
        <f>B1209*'Portfolio 2 &amp; 3'!$B$23+C1209*'Portfolio 2 &amp; 3'!$B$24+D1209*'Portfolio 2 &amp; 3'!$B$25+E1209*'Portfolio 2 &amp; 3'!$B$26+F1209*'Portfolio 2 &amp; 3'!$B$27+G1209*'Portfolio 2 &amp; 3'!$B$28+H1209*'Portfolio 2 &amp; 3'!$B$29+I1209*'Portfolio 2 &amp; 3'!$B$30+J1209*'Portfolio 2 &amp; 3'!$B$31+K1209*'Portfolio 2 &amp; 3'!$B$32</f>
        <v>3.4832474434638543E-4</v>
      </c>
      <c r="S1209" s="93">
        <f t="shared" si="56"/>
        <v>4.8088974442892507E-3</v>
      </c>
    </row>
    <row r="1210" spans="1:19" ht="12.75" customHeight="1">
      <c r="A1210" s="81">
        <v>44306</v>
      </c>
      <c r="B1210" s="53">
        <v>7.7999999999999996E-3</v>
      </c>
      <c r="C1210" s="53">
        <v>-1.0114728903820799E-2</v>
      </c>
      <c r="D1210" s="53">
        <v>-1.26451612903226E-2</v>
      </c>
      <c r="E1210" s="53">
        <v>4.5399999999999998E-3</v>
      </c>
      <c r="F1210" s="53">
        <v>5.5202504031110801E-2</v>
      </c>
      <c r="G1210" s="53">
        <v>6.89449038557344E-3</v>
      </c>
      <c r="H1210" s="87">
        <v>4.4256357614609297E-3</v>
      </c>
      <c r="I1210" s="53">
        <v>-1.62196770292381E-2</v>
      </c>
      <c r="J1210" s="53">
        <v>1.1611360919801901E-2</v>
      </c>
      <c r="K1210" s="53">
        <v>-2.1759941089838E-2</v>
      </c>
      <c r="L1210" s="95">
        <f>IFERROR(B1210*'Stock Statistics'!$C$41+C1210*'Stock Statistics'!$C$42+D1210*'Stock Statistics'!$C$43+E1210*'Stock Statistics'!$C$44+F1210*'Stock Statistics'!$C$45+G1210*'Stock Statistics'!$C$46+H1210*'Stock Statistics'!$C$47+I1210*'Stock Statistics'!$C$48+J1210*'Stock Statistics'!$C$49+K1210*'Stock Statistics'!$C$50,"")</f>
        <v>2.9734482784727562E-3</v>
      </c>
      <c r="M1210" s="96">
        <v>226.34970000000001</v>
      </c>
      <c r="N1210" s="97">
        <v>276.34789999999998</v>
      </c>
      <c r="O1210" s="93">
        <f t="shared" si="54"/>
        <v>1.79658734752417E-2</v>
      </c>
      <c r="P1210" s="93">
        <f t="shared" si="55"/>
        <v>1.1756379953195673E-2</v>
      </c>
      <c r="Q1210" s="93">
        <f>B1210*'Portfolio 2 &amp; 3'!$F$7+C1210*'Portfolio 2 &amp; 3'!$F$8+D1210*'Portfolio 2 &amp; 3'!$F$9+E1210*'Portfolio 2 &amp; 3'!$F$10+F1210*'Portfolio 2 &amp; 3'!$F$11+G1210*'Portfolio 2 &amp; 3'!$F$12+H1210*'Portfolio 2 &amp; 3'!$F$13+I1210*'Portfolio 2 &amp; 3'!$F$14+J1210*'Portfolio 2 &amp; 3'!$F$15+K1210*'Portfolio 2 &amp; 3'!$F$16</f>
        <v>3.5694174921713805E-3</v>
      </c>
      <c r="R1210" s="93">
        <f>B1210*'Portfolio 2 &amp; 3'!$B$23+C1210*'Portfolio 2 &amp; 3'!$B$24+D1210*'Portfolio 2 &amp; 3'!$B$25+E1210*'Portfolio 2 &amp; 3'!$B$26+F1210*'Portfolio 2 &amp; 3'!$B$27+G1210*'Portfolio 2 &amp; 3'!$B$28+H1210*'Portfolio 2 &amp; 3'!$B$29+I1210*'Portfolio 2 &amp; 3'!$B$30+J1210*'Portfolio 2 &amp; 3'!$B$31+K1210*'Portfolio 2 &amp; 3'!$B$32</f>
        <v>2.9812182484222362E-3</v>
      </c>
      <c r="S1210" s="93">
        <f t="shared" si="56"/>
        <v>1.4861126714218686E-2</v>
      </c>
    </row>
    <row r="1211" spans="1:19" ht="12.75" customHeight="1">
      <c r="A1211" s="82">
        <v>44305</v>
      </c>
      <c r="B1211" s="53">
        <v>-1.6E-2</v>
      </c>
      <c r="C1211" s="53">
        <v>7.0003059259660097E-3</v>
      </c>
      <c r="D1211" s="53">
        <v>-1.2336238976398E-2</v>
      </c>
      <c r="E1211" s="53">
        <v>2.3439999999999999E-2</v>
      </c>
      <c r="F1211" s="53">
        <v>9.4858660595553701E-5</v>
      </c>
      <c r="G1211" s="53">
        <v>3.5193665140276198E-3</v>
      </c>
      <c r="H1211" s="87">
        <v>1.1916194657311399E-2</v>
      </c>
      <c r="I1211" s="53">
        <v>-7.4142070329049599E-3</v>
      </c>
      <c r="J1211" s="53">
        <v>-3.4882443419028797E-2</v>
      </c>
      <c r="K1211" s="53">
        <v>2.8677981956257699E-3</v>
      </c>
      <c r="L1211" s="95">
        <f>IFERROR(B1211*'Stock Statistics'!$C$41+C1211*'Stock Statistics'!$C$42+D1211*'Stock Statistics'!$C$43+E1211*'Stock Statistics'!$C$44+F1211*'Stock Statistics'!$C$45+G1211*'Stock Statistics'!$C$46+H1211*'Stock Statistics'!$C$47+I1211*'Stock Statistics'!$C$48+J1211*'Stock Statistics'!$C$49+K1211*'Stock Statistics'!$C$50,"")</f>
        <v>-2.1794365474805404E-3</v>
      </c>
      <c r="M1211" s="97">
        <v>222.35489999999999</v>
      </c>
      <c r="N1211" s="96">
        <v>273.13679999999999</v>
      </c>
      <c r="O1211" s="93">
        <f>M1211/M1213-1</f>
        <v>8.1374645731480122E-3</v>
      </c>
      <c r="P1211" s="93">
        <f>N1211/N1213-1</f>
        <v>9.1200188570290663E-3</v>
      </c>
      <c r="Q1211" s="93">
        <f>B1211*'Portfolio 2 &amp; 3'!$F$7+C1211*'Portfolio 2 &amp; 3'!$F$8+D1211*'Portfolio 2 &amp; 3'!$F$9+E1211*'Portfolio 2 &amp; 3'!$F$10+F1211*'Portfolio 2 &amp; 3'!$F$11+G1211*'Portfolio 2 &amp; 3'!$F$12+H1211*'Portfolio 2 &amp; 3'!$F$13+I1211*'Portfolio 2 &amp; 3'!$F$14+J1211*'Portfolio 2 &amp; 3'!$F$15+K1211*'Portfolio 2 &amp; 3'!$F$16</f>
        <v>-3.6532386365802703E-3</v>
      </c>
      <c r="R1211" s="93">
        <f>B1211*'Portfolio 2 &amp; 3'!$B$23+C1211*'Portfolio 2 &amp; 3'!$B$24+D1211*'Portfolio 2 &amp; 3'!$B$25+E1211*'Portfolio 2 &amp; 3'!$B$26+F1211*'Portfolio 2 &amp; 3'!$B$27+G1211*'Portfolio 2 &amp; 3'!$B$28+H1211*'Portfolio 2 &amp; 3'!$B$29+I1211*'Portfolio 2 &amp; 3'!$B$30+J1211*'Portfolio 2 &amp; 3'!$B$31+K1211*'Portfolio 2 &amp; 3'!$B$32</f>
        <v>-2.963949377685674E-3</v>
      </c>
      <c r="S1211" s="93">
        <f t="shared" si="56"/>
        <v>8.6287417150885393E-3</v>
      </c>
    </row>
    <row r="1212" spans="1:19" ht="12.75" customHeight="1">
      <c r="A1212" s="82"/>
      <c r="B1212" s="53"/>
      <c r="C1212" s="53"/>
      <c r="D1212" s="53"/>
      <c r="E1212" s="53"/>
      <c r="F1212" s="53"/>
      <c r="G1212" s="53"/>
      <c r="H1212" s="87">
        <v>1.1468049043998899E-2</v>
      </c>
      <c r="I1212" s="53"/>
      <c r="J1212" s="53"/>
      <c r="K1212" s="53"/>
      <c r="L1212" s="95"/>
      <c r="M1212" s="97"/>
      <c r="N1212" s="96"/>
      <c r="O1212" s="93"/>
      <c r="P1212" s="93"/>
      <c r="Q1212" s="93">
        <f>B1212*'Portfolio 2 &amp; 3'!$F$7+C1212*'Portfolio 2 &amp; 3'!$F$8+D1212*'Portfolio 2 &amp; 3'!$F$9+E1212*'Portfolio 2 &amp; 3'!$F$10+F1212*'Portfolio 2 &amp; 3'!$F$11+G1212*'Portfolio 2 &amp; 3'!$F$12+H1212*'Portfolio 2 &amp; 3'!$F$13+I1212*'Portfolio 2 &amp; 3'!$F$14+J1212*'Portfolio 2 &amp; 3'!$F$15+K1212*'Portfolio 2 &amp; 3'!$F$16</f>
        <v>1.8765898435634562E-3</v>
      </c>
      <c r="R1212" s="93">
        <f>B1212*'Portfolio 2 &amp; 3'!$B$23+C1212*'Portfolio 2 &amp; 3'!$B$24+D1212*'Portfolio 2 &amp; 3'!$B$25+E1212*'Portfolio 2 &amp; 3'!$B$26+F1212*'Portfolio 2 &amp; 3'!$B$27+G1212*'Portfolio 2 &amp; 3'!$B$28+H1212*'Portfolio 2 &amp; 3'!$B$29+I1212*'Portfolio 2 &amp; 3'!$B$30+J1212*'Portfolio 2 &amp; 3'!$B$31+K1212*'Portfolio 2 &amp; 3'!$B$32</f>
        <v>3.4404147131996695E-4</v>
      </c>
      <c r="S1212" s="94"/>
    </row>
    <row r="1213" spans="1:19" ht="12.75" customHeight="1">
      <c r="A1213" s="81">
        <v>44302</v>
      </c>
      <c r="B1213" s="53">
        <v>3.0000000000000001E-3</v>
      </c>
      <c r="C1213" s="53">
        <v>-6.7563944447424102E-3</v>
      </c>
      <c r="D1213" s="53">
        <v>1.41129032258065E-2</v>
      </c>
      <c r="E1213" s="53">
        <v>-4.2500000000000003E-3</v>
      </c>
      <c r="F1213" s="53">
        <v>4.4382801664355001E-2</v>
      </c>
      <c r="G1213" s="53">
        <v>-7.3931982576047595E-4</v>
      </c>
      <c r="H1213" s="87">
        <v>-2.5310198230263899E-3</v>
      </c>
      <c r="I1213" s="53">
        <v>1.4179318246920499E-2</v>
      </c>
      <c r="J1213" s="53">
        <v>-1.6477179106932899E-4</v>
      </c>
      <c r="K1213" s="53">
        <v>3.87383816817315E-2</v>
      </c>
      <c r="L1213" s="95">
        <f>IFERROR(B1213*'Stock Statistics'!$C$41+C1213*'Stock Statistics'!$C$42+D1213*'Stock Statistics'!$C$43+E1213*'Stock Statistics'!$C$44+F1213*'Stock Statistics'!$C$45+G1213*'Stock Statistics'!$C$46+H1213*'Stock Statistics'!$C$47+I1213*'Stock Statistics'!$C$48+J1213*'Stock Statistics'!$C$49+K1213*'Stock Statistics'!$C$50,"")</f>
        <v>9.9971898934214896E-3</v>
      </c>
      <c r="M1213" s="96">
        <v>220.56010000000001</v>
      </c>
      <c r="N1213" s="97">
        <v>270.66829999999999</v>
      </c>
      <c r="O1213" s="93">
        <f t="shared" ref="O1213:O1219" si="57">M1213/M1214-1</f>
        <v>-7.2198883618009857E-3</v>
      </c>
      <c r="P1213" s="93"/>
      <c r="Q1213" s="93">
        <f>B1213*'Portfolio 2 &amp; 3'!$F$7+C1213*'Portfolio 2 &amp; 3'!$F$8+D1213*'Portfolio 2 &amp; 3'!$F$9+E1213*'Portfolio 2 &amp; 3'!$F$10+F1213*'Portfolio 2 &amp; 3'!$F$11+G1213*'Portfolio 2 &amp; 3'!$F$12+H1213*'Portfolio 2 &amp; 3'!$F$13+I1213*'Portfolio 2 &amp; 3'!$F$14+J1213*'Portfolio 2 &amp; 3'!$F$15+K1213*'Portfolio 2 &amp; 3'!$F$16</f>
        <v>9.4669858716731822E-3</v>
      </c>
      <c r="R1213" s="93">
        <f>B1213*'Portfolio 2 &amp; 3'!$B$23+C1213*'Portfolio 2 &amp; 3'!$B$24+D1213*'Portfolio 2 &amp; 3'!$B$25+E1213*'Portfolio 2 &amp; 3'!$B$26+F1213*'Portfolio 2 &amp; 3'!$B$27+G1213*'Portfolio 2 &amp; 3'!$B$28+H1213*'Portfolio 2 &amp; 3'!$B$29+I1213*'Portfolio 2 &amp; 3'!$B$30+J1213*'Portfolio 2 &amp; 3'!$B$31+K1213*'Portfolio 2 &amp; 3'!$B$32</f>
        <v>1.2996334400712161E-2</v>
      </c>
      <c r="S1213" s="93">
        <f t="shared" ref="S1213:S1219" si="58">IFERROR(AVERAGE(O1213,P1213),"")</f>
        <v>-7.2198883618009857E-3</v>
      </c>
    </row>
    <row r="1214" spans="1:19" ht="12.75" customHeight="1">
      <c r="A1214" s="82">
        <v>44301</v>
      </c>
      <c r="B1214" s="53">
        <v>-2.7000000000000001E-3</v>
      </c>
      <c r="C1214" s="53">
        <v>2.0688522795687E-2</v>
      </c>
      <c r="D1214" s="53">
        <v>4.36137071651088E-3</v>
      </c>
      <c r="E1214" s="53">
        <v>-1.4250000000000001E-2</v>
      </c>
      <c r="F1214" s="53">
        <v>3.0105112766608801E-2</v>
      </c>
      <c r="G1214" s="53">
        <v>-8.9115969581748892E-3</v>
      </c>
      <c r="H1214" s="87">
        <v>-1.8651193084255899E-3</v>
      </c>
      <c r="I1214" s="53">
        <v>2.75958495842226E-2</v>
      </c>
      <c r="J1214" s="53">
        <v>4.2471042471041703E-3</v>
      </c>
      <c r="K1214" s="53">
        <v>7.2760521300159198E-3</v>
      </c>
      <c r="L1214" s="95">
        <f>IFERROR(B1214*'Stock Statistics'!$C$41+C1214*'Stock Statistics'!$C$42+D1214*'Stock Statistics'!$C$43+E1214*'Stock Statistics'!$C$44+F1214*'Stock Statistics'!$C$45+G1214*'Stock Statistics'!$C$46+H1214*'Stock Statistics'!$C$47+I1214*'Stock Statistics'!$C$48+J1214*'Stock Statistics'!$C$49+K1214*'Stock Statistics'!$C$50,"")</f>
        <v>6.6547295973548894E-3</v>
      </c>
      <c r="M1214" s="97">
        <v>222.16409999999999</v>
      </c>
      <c r="N1214" s="96"/>
      <c r="O1214" s="93">
        <f t="shared" si="57"/>
        <v>-8.1029917983382882E-3</v>
      </c>
      <c r="P1214" s="93"/>
      <c r="Q1214" s="93">
        <f>B1214*'Portfolio 2 &amp; 3'!$F$7+C1214*'Portfolio 2 &amp; 3'!$F$8+D1214*'Portfolio 2 &amp; 3'!$F$9+E1214*'Portfolio 2 &amp; 3'!$F$10+F1214*'Portfolio 2 &amp; 3'!$F$11+G1214*'Portfolio 2 &amp; 3'!$F$12+H1214*'Portfolio 2 &amp; 3'!$F$13+I1214*'Portfolio 2 &amp; 3'!$F$14+J1214*'Portfolio 2 &amp; 3'!$F$15+K1214*'Portfolio 2 &amp; 3'!$F$16</f>
        <v>7.2142540446990273E-3</v>
      </c>
      <c r="R1214" s="93">
        <f>B1214*'Portfolio 2 &amp; 3'!$B$23+C1214*'Portfolio 2 &amp; 3'!$B$24+D1214*'Portfolio 2 &amp; 3'!$B$25+E1214*'Portfolio 2 &amp; 3'!$B$26+F1214*'Portfolio 2 &amp; 3'!$B$27+G1214*'Portfolio 2 &amp; 3'!$B$28+H1214*'Portfolio 2 &amp; 3'!$B$29+I1214*'Portfolio 2 &amp; 3'!$B$30+J1214*'Portfolio 2 &amp; 3'!$B$31+K1214*'Portfolio 2 &amp; 3'!$B$32</f>
        <v>1.5057382666257103E-2</v>
      </c>
      <c r="S1214" s="93">
        <f t="shared" si="58"/>
        <v>-8.1029917983382882E-3</v>
      </c>
    </row>
    <row r="1215" spans="1:19" ht="12.75" customHeight="1">
      <c r="A1215" s="81">
        <v>44299</v>
      </c>
      <c r="B1215" s="53">
        <v>-6.0000000000000001E-3</v>
      </c>
      <c r="C1215" s="53">
        <v>-3.0737332217816199E-3</v>
      </c>
      <c r="D1215" s="53">
        <v>-9.8704503392967897E-3</v>
      </c>
      <c r="E1215" s="53">
        <v>-1.3600000000000001E-3</v>
      </c>
      <c r="F1215" s="53">
        <v>-1.9511707024214599E-2</v>
      </c>
      <c r="G1215" s="53">
        <v>5.3156543032910602E-3</v>
      </c>
      <c r="H1215" s="87">
        <v>0</v>
      </c>
      <c r="I1215" s="53">
        <v>7.3594347954175605E-5</v>
      </c>
      <c r="J1215" s="53">
        <v>-4.06504065040658E-3</v>
      </c>
      <c r="K1215" s="53">
        <v>-6.7409406618145198E-3</v>
      </c>
      <c r="L1215" s="95">
        <f>IFERROR(B1215*'Stock Statistics'!$C$41+C1215*'Stock Statistics'!$C$42+D1215*'Stock Statistics'!$C$43+E1215*'Stock Statistics'!$C$44+F1215*'Stock Statistics'!$C$45+G1215*'Stock Statistics'!$C$46+H1215*'Stock Statistics'!$C$47+I1215*'Stock Statistics'!$C$48+J1215*'Stock Statistics'!$C$49+K1215*'Stock Statistics'!$C$50,"")</f>
        <v>-4.5232623246268871E-3</v>
      </c>
      <c r="M1215" s="96">
        <v>223.97900000000001</v>
      </c>
      <c r="N1215" s="96"/>
      <c r="O1215" s="93">
        <f t="shared" si="57"/>
        <v>2.1622104866570124E-2</v>
      </c>
      <c r="P1215" s="93"/>
      <c r="Q1215" s="93">
        <f>B1215*'Portfolio 2 &amp; 3'!$F$7+C1215*'Portfolio 2 &amp; 3'!$F$8+D1215*'Portfolio 2 &amp; 3'!$F$9+E1215*'Portfolio 2 &amp; 3'!$F$10+F1215*'Portfolio 2 &amp; 3'!$F$11+G1215*'Portfolio 2 &amp; 3'!$F$12+H1215*'Portfolio 2 &amp; 3'!$F$13+I1215*'Portfolio 2 &amp; 3'!$F$14+J1215*'Portfolio 2 &amp; 3'!$F$15+K1215*'Portfolio 2 &amp; 3'!$F$16</f>
        <v>-4.9495191093154667E-3</v>
      </c>
      <c r="R1215" s="93">
        <f>B1215*'Portfolio 2 &amp; 3'!$B$23+C1215*'Portfolio 2 &amp; 3'!$B$24+D1215*'Portfolio 2 &amp; 3'!$B$25+E1215*'Portfolio 2 &amp; 3'!$B$26+F1215*'Portfolio 2 &amp; 3'!$B$27+G1215*'Portfolio 2 &amp; 3'!$B$28+H1215*'Portfolio 2 &amp; 3'!$B$29+I1215*'Portfolio 2 &amp; 3'!$B$30+J1215*'Portfolio 2 &amp; 3'!$B$31+K1215*'Portfolio 2 &amp; 3'!$B$32</f>
        <v>-4.7197531401807578E-3</v>
      </c>
      <c r="S1215" s="93">
        <f t="shared" si="58"/>
        <v>2.1622104866570124E-2</v>
      </c>
    </row>
    <row r="1216" spans="1:19" ht="12.75" customHeight="1">
      <c r="A1216" s="82">
        <v>44298</v>
      </c>
      <c r="B1216" s="53">
        <v>-1.21E-2</v>
      </c>
      <c r="C1216" s="53">
        <v>-1.4941952128422101E-2</v>
      </c>
      <c r="D1216" s="53">
        <v>1.44151565074124E-3</v>
      </c>
      <c r="E1216" s="53">
        <v>-1.154E-2</v>
      </c>
      <c r="F1216" s="53">
        <v>-2.86713966371854E-2</v>
      </c>
      <c r="G1216" s="53">
        <v>-8.0965263927013104E-3</v>
      </c>
      <c r="H1216" s="87">
        <v>-2.5606507880035202E-2</v>
      </c>
      <c r="I1216" s="53">
        <v>-5.8530875036582096E-3</v>
      </c>
      <c r="J1216" s="53">
        <v>-2.4112231477421099E-3</v>
      </c>
      <c r="K1216" s="53">
        <v>3.2925072998004901E-2</v>
      </c>
      <c r="L1216" s="95">
        <f>IFERROR(B1216*'Stock Statistics'!$C$41+C1216*'Stock Statistics'!$C$42+D1216*'Stock Statistics'!$C$43+E1216*'Stock Statistics'!$C$44+F1216*'Stock Statistics'!$C$45+G1216*'Stock Statistics'!$C$46+H1216*'Stock Statistics'!$C$47+I1216*'Stock Statistics'!$C$48+J1216*'Stock Statistics'!$C$49+K1216*'Stock Statistics'!$C$50,"")</f>
        <v>-7.4854105040998205E-3</v>
      </c>
      <c r="M1216" s="97">
        <v>219.23859999999999</v>
      </c>
      <c r="N1216" s="96"/>
      <c r="O1216" s="93">
        <f t="shared" si="57"/>
        <v>3.1200141656604341E-3</v>
      </c>
      <c r="P1216" s="93"/>
      <c r="Q1216" s="93">
        <f>B1216*'Portfolio 2 &amp; 3'!$F$7+C1216*'Portfolio 2 &amp; 3'!$F$8+D1216*'Portfolio 2 &amp; 3'!$F$9+E1216*'Portfolio 2 &amp; 3'!$F$10+F1216*'Portfolio 2 &amp; 3'!$F$11+G1216*'Portfolio 2 &amp; 3'!$F$12+H1216*'Portfolio 2 &amp; 3'!$F$13+I1216*'Portfolio 2 &amp; 3'!$F$14+J1216*'Portfolio 2 &amp; 3'!$F$15+K1216*'Portfolio 2 &amp; 3'!$F$16</f>
        <v>-8.7417134211443745E-3</v>
      </c>
      <c r="R1216" s="93">
        <f>B1216*'Portfolio 2 &amp; 3'!$B$23+C1216*'Portfolio 2 &amp; 3'!$B$24+D1216*'Portfolio 2 &amp; 3'!$B$25+E1216*'Portfolio 2 &amp; 3'!$B$26+F1216*'Portfolio 2 &amp; 3'!$B$27+G1216*'Portfolio 2 &amp; 3'!$B$28+H1216*'Portfolio 2 &amp; 3'!$B$29+I1216*'Portfolio 2 &amp; 3'!$B$30+J1216*'Portfolio 2 &amp; 3'!$B$31+K1216*'Portfolio 2 &amp; 3'!$B$32</f>
        <v>-9.3218693888218341E-3</v>
      </c>
      <c r="S1216" s="93">
        <f t="shared" si="58"/>
        <v>3.1200141656604341E-3</v>
      </c>
    </row>
    <row r="1217" spans="1:19" ht="12.75" customHeight="1">
      <c r="A1217" s="81">
        <v>44295</v>
      </c>
      <c r="B1217" s="53">
        <v>1.8100000000000002E-2</v>
      </c>
      <c r="C1217" s="53">
        <v>1.46703266738171E-2</v>
      </c>
      <c r="D1217" s="53">
        <v>-2.2298283585845902E-2</v>
      </c>
      <c r="E1217" s="53">
        <v>2.8920000000000001E-2</v>
      </c>
      <c r="F1217" s="53">
        <v>9.2946675164648607E-2</v>
      </c>
      <c r="G1217" s="53">
        <v>-1.7367175068886499E-2</v>
      </c>
      <c r="H1217" s="87">
        <v>8.3579774082513901E-3</v>
      </c>
      <c r="I1217" s="53">
        <v>5.9288537549407203E-2</v>
      </c>
      <c r="J1217" s="53">
        <v>7.7313894411310501E-3</v>
      </c>
      <c r="K1217" s="53">
        <v>1.2170117071235199E-3</v>
      </c>
      <c r="L1217" s="95">
        <f>IFERROR(B1217*'Stock Statistics'!$C$41+C1217*'Stock Statistics'!$C$42+D1217*'Stock Statistics'!$C$43+E1217*'Stock Statistics'!$C$44+F1217*'Stock Statistics'!$C$45+G1217*'Stock Statistics'!$C$46+H1217*'Stock Statistics'!$C$47+I1217*'Stock Statistics'!$C$48+J1217*'Stock Statistics'!$C$49+K1217*'Stock Statistics'!$C$50,"")</f>
        <v>1.9156645928964652E-2</v>
      </c>
      <c r="M1217" s="96">
        <v>218.55670000000001</v>
      </c>
      <c r="N1217" s="96"/>
      <c r="O1217" s="93">
        <f t="shared" si="57"/>
        <v>7.4875859945311429E-3</v>
      </c>
      <c r="P1217" s="93"/>
      <c r="Q1217" s="93">
        <f>B1217*'Portfolio 2 &amp; 3'!$F$7+C1217*'Portfolio 2 &amp; 3'!$F$8+D1217*'Portfolio 2 &amp; 3'!$F$9+E1217*'Portfolio 2 &amp; 3'!$F$10+F1217*'Portfolio 2 &amp; 3'!$F$11+G1217*'Portfolio 2 &amp; 3'!$F$12+H1217*'Portfolio 2 &amp; 3'!$F$13+I1217*'Portfolio 2 &amp; 3'!$F$14+J1217*'Portfolio 2 &amp; 3'!$F$15+K1217*'Portfolio 2 &amp; 3'!$F$16</f>
        <v>1.8007098815550002E-2</v>
      </c>
      <c r="R1217" s="93">
        <f>B1217*'Portfolio 2 &amp; 3'!$B$23+C1217*'Portfolio 2 &amp; 3'!$B$24+D1217*'Portfolio 2 &amp; 3'!$B$25+E1217*'Portfolio 2 &amp; 3'!$B$26+F1217*'Portfolio 2 &amp; 3'!$B$27+G1217*'Portfolio 2 &amp; 3'!$B$28+H1217*'Portfolio 2 &amp; 3'!$B$29+I1217*'Portfolio 2 &amp; 3'!$B$30+J1217*'Portfolio 2 &amp; 3'!$B$31+K1217*'Portfolio 2 &amp; 3'!$B$32</f>
        <v>3.3195322152573141E-2</v>
      </c>
      <c r="S1217" s="93">
        <f t="shared" si="58"/>
        <v>7.4875859945311429E-3</v>
      </c>
    </row>
    <row r="1218" spans="1:19" ht="12.75" customHeight="1">
      <c r="A1218" s="82">
        <v>44294</v>
      </c>
      <c r="B1218" s="53">
        <v>-2.29E-2</v>
      </c>
      <c r="C1218" s="53">
        <v>-4.7242663759428099E-4</v>
      </c>
      <c r="D1218" s="53">
        <v>1.5102698348767901E-4</v>
      </c>
      <c r="E1218" s="53">
        <v>-3.5680000000000003E-2</v>
      </c>
      <c r="F1218" s="53">
        <v>1.9493177387914298E-2</v>
      </c>
      <c r="G1218" s="53">
        <v>-1.08067643050464E-2</v>
      </c>
      <c r="H1218" s="87">
        <v>3.7972263038183601E-2</v>
      </c>
      <c r="I1218" s="53">
        <v>-2.1313713592233101E-2</v>
      </c>
      <c r="J1218" s="53">
        <v>-3.2278751603249299E-2</v>
      </c>
      <c r="K1218" s="53">
        <v>6.5241994540976601E-3</v>
      </c>
      <c r="L1218" s="95">
        <f>IFERROR(B1218*'Stock Statistics'!$C$41+C1218*'Stock Statistics'!$C$42+D1218*'Stock Statistics'!$C$43+E1218*'Stock Statistics'!$C$44+F1218*'Stock Statistics'!$C$45+G1218*'Stock Statistics'!$C$46+H1218*'Stock Statistics'!$C$47+I1218*'Stock Statistics'!$C$48+J1218*'Stock Statistics'!$C$49+K1218*'Stock Statistics'!$C$50,"")</f>
        <v>-5.9310989274439854E-3</v>
      </c>
      <c r="M1218" s="97">
        <v>216.9324</v>
      </c>
      <c r="N1218" s="96"/>
      <c r="O1218" s="93">
        <f t="shared" si="57"/>
        <v>1.0954330702790394E-2</v>
      </c>
      <c r="P1218" s="93"/>
      <c r="Q1218" s="93">
        <f>B1218*'Portfolio 2 &amp; 3'!$F$7+C1218*'Portfolio 2 &amp; 3'!$F$8+D1218*'Portfolio 2 &amp; 3'!$F$9+E1218*'Portfolio 2 &amp; 3'!$F$10+F1218*'Portfolio 2 &amp; 3'!$F$11+G1218*'Portfolio 2 &amp; 3'!$F$12+H1218*'Portfolio 2 &amp; 3'!$F$13+I1218*'Portfolio 2 &amp; 3'!$F$14+J1218*'Portfolio 2 &amp; 3'!$F$15+K1218*'Portfolio 2 &amp; 3'!$F$16</f>
        <v>-2.5041783609131753E-3</v>
      </c>
      <c r="R1218" s="93">
        <f>B1218*'Portfolio 2 &amp; 3'!$B$23+C1218*'Portfolio 2 &amp; 3'!$B$24+D1218*'Portfolio 2 &amp; 3'!$B$25+E1218*'Portfolio 2 &amp; 3'!$B$26+F1218*'Portfolio 2 &amp; 3'!$B$27+G1218*'Portfolio 2 &amp; 3'!$B$28+H1218*'Portfolio 2 &amp; 3'!$B$29+I1218*'Portfolio 2 &amp; 3'!$B$30+J1218*'Portfolio 2 &amp; 3'!$B$31+K1218*'Portfolio 2 &amp; 3'!$B$32</f>
        <v>-5.916882235187302E-3</v>
      </c>
      <c r="S1218" s="93">
        <f t="shared" si="58"/>
        <v>1.0954330702790394E-2</v>
      </c>
    </row>
    <row r="1219" spans="1:19" ht="12.75" customHeight="1">
      <c r="A1219" s="81">
        <v>44293</v>
      </c>
      <c r="B1219" s="53">
        <v>6.4999999999999997E-3</v>
      </c>
      <c r="C1219" s="53">
        <v>2.2581996321320301E-3</v>
      </c>
      <c r="D1219" s="53">
        <v>5.9758938519194303E-3</v>
      </c>
      <c r="E1219" s="53">
        <v>1.2829999999999999E-2</v>
      </c>
      <c r="F1219" s="53">
        <v>1.13910186199342E-2</v>
      </c>
      <c r="G1219" s="53">
        <v>3.3317926199831799E-3</v>
      </c>
      <c r="H1219" s="87">
        <v>1.52965820262607E-2</v>
      </c>
      <c r="I1219" s="53">
        <v>7.2580029032012199E-3</v>
      </c>
      <c r="J1219" s="53">
        <v>-9.2656324455975304E-3</v>
      </c>
      <c r="K1219" s="53">
        <v>-6.4687673624890304E-3</v>
      </c>
      <c r="L1219" s="95">
        <f>IFERROR(B1219*'Stock Statistics'!$C$41+C1219*'Stock Statistics'!$C$42+D1219*'Stock Statistics'!$C$43+E1219*'Stock Statistics'!$C$44+F1219*'Stock Statistics'!$C$45+G1219*'Stock Statistics'!$C$46+H1219*'Stock Statistics'!$C$47+I1219*'Stock Statistics'!$C$48+J1219*'Stock Statistics'!$C$49+K1219*'Stock Statistics'!$C$50,"")</f>
        <v>4.9107089845344207E-3</v>
      </c>
      <c r="M1219" s="96">
        <v>214.58179999999999</v>
      </c>
      <c r="N1219" s="96"/>
      <c r="O1219" s="93">
        <f t="shared" si="57"/>
        <v>-3.6338410619396466E-3</v>
      </c>
      <c r="P1219" s="93"/>
      <c r="Q1219" s="93">
        <f>B1219*'Portfolio 2 &amp; 3'!$F$7+C1219*'Portfolio 2 &amp; 3'!$F$8+D1219*'Portfolio 2 &amp; 3'!$F$9+E1219*'Portfolio 2 &amp; 3'!$F$10+F1219*'Portfolio 2 &amp; 3'!$F$11+G1219*'Portfolio 2 &amp; 3'!$F$12+H1219*'Portfolio 2 &amp; 3'!$F$13+I1219*'Portfolio 2 &amp; 3'!$F$14+J1219*'Portfolio 2 &amp; 3'!$F$15+K1219*'Portfolio 2 &amp; 3'!$F$16</f>
        <v>4.9990600601347137E-3</v>
      </c>
      <c r="R1219" s="93">
        <f>B1219*'Portfolio 2 &amp; 3'!$B$23+C1219*'Portfolio 2 &amp; 3'!$B$24+D1219*'Portfolio 2 &amp; 3'!$B$25+E1219*'Portfolio 2 &amp; 3'!$B$26+F1219*'Portfolio 2 &amp; 3'!$B$27+G1219*'Portfolio 2 &amp; 3'!$B$28+H1219*'Portfolio 2 &amp; 3'!$B$29+I1219*'Portfolio 2 &amp; 3'!$B$30+J1219*'Portfolio 2 &amp; 3'!$B$31+K1219*'Portfolio 2 &amp; 3'!$B$32</f>
        <v>4.9386606287234423E-3</v>
      </c>
      <c r="S1219" s="93">
        <f t="shared" si="58"/>
        <v>-3.6338410619396466E-3</v>
      </c>
    </row>
    <row r="1220" spans="1:19" ht="12.75" customHeight="1">
      <c r="A1220" s="82">
        <v>44292</v>
      </c>
      <c r="B1220" s="53">
        <v>3.7000000000000002E-3</v>
      </c>
      <c r="C1220" s="53">
        <v>-3.0628817568760399E-2</v>
      </c>
      <c r="D1220" s="53">
        <v>2.2155502640024902E-2</v>
      </c>
      <c r="E1220" s="53">
        <v>1.8800000000000001E-2</v>
      </c>
      <c r="F1220" s="53">
        <v>3.7617911126264503E-2</v>
      </c>
      <c r="G1220" s="53">
        <v>-8.8948272571102195E-3</v>
      </c>
      <c r="H1220" s="53">
        <v>1.52965820262607E-2</v>
      </c>
      <c r="I1220" s="53">
        <v>1.54383242823895E-2</v>
      </c>
      <c r="J1220" s="53">
        <v>-5.2143684820393802E-3</v>
      </c>
      <c r="K1220" s="53">
        <v>-7.1970791416038401E-3</v>
      </c>
      <c r="L1220" s="95">
        <f>IFERROR(B1220*'Stock Statistics'!$C$41+C1220*'Stock Statistics'!$C$42+D1220*'Stock Statistics'!$C$43+E1220*'Stock Statistics'!$C$44+F1220*'Stock Statistics'!$C$45+G1220*'Stock Statistics'!$C$46+H1220*'Stock Statistics'!$C$47+I1220*'Stock Statistics'!$C$48+J1220*'Stock Statistics'!$C$49+K1220*'Stock Statistics'!$C$50,"")</f>
        <v>6.1073227625425761E-3</v>
      </c>
      <c r="M1220" s="97">
        <v>215.36439999999999</v>
      </c>
      <c r="N1220" s="96"/>
      <c r="O1220" s="93"/>
      <c r="P1220" s="93"/>
      <c r="Q1220" s="93">
        <f>B1220*'Portfolio 2 &amp; 3'!$F$7+C1220*'Portfolio 2 &amp; 3'!$F$8+D1220*'Portfolio 2 &amp; 3'!$F$9+E1220*'Portfolio 2 &amp; 3'!$F$10+F1220*'Portfolio 2 &amp; 3'!$F$11+G1220*'Portfolio 2 &amp; 3'!$F$12+H1220*'Portfolio 2 &amp; 3'!$F$13+I1220*'Portfolio 2 &amp; 3'!$F$14+J1220*'Portfolio 2 &amp; 3'!$F$15+K1220*'Portfolio 2 &amp; 3'!$F$16</f>
        <v>7.4760509276701999E-3</v>
      </c>
      <c r="R1220" s="93">
        <f>B1220*'Portfolio 2 &amp; 3'!$B$23+C1220*'Portfolio 2 &amp; 3'!$B$24+D1220*'Portfolio 2 &amp; 3'!$B$25+E1220*'Portfolio 2 &amp; 3'!$B$26+F1220*'Portfolio 2 &amp; 3'!$B$27+G1220*'Portfolio 2 &amp; 3'!$B$28+H1220*'Portfolio 2 &amp; 3'!$B$29+I1220*'Portfolio 2 &amp; 3'!$B$30+J1220*'Portfolio 2 &amp; 3'!$B$31+K1220*'Portfolio 2 &amp; 3'!$B$32</f>
        <v>3.4299689535584581E-3</v>
      </c>
      <c r="S1220" s="94"/>
    </row>
    <row r="1221" spans="1:19" ht="12.75" customHeight="1">
      <c r="A1221" s="81">
        <v>44291</v>
      </c>
      <c r="B1221" s="53">
        <v>1.2E-2</v>
      </c>
      <c r="C1221" s="53">
        <v>4.6500027711578101E-2</v>
      </c>
      <c r="D1221" s="53">
        <v>1.3536201469045E-2</v>
      </c>
      <c r="E1221" s="53">
        <v>1.7600000000000001E-3</v>
      </c>
      <c r="F1221" s="53">
        <v>-4.1874151199637897E-3</v>
      </c>
      <c r="G1221" s="53">
        <v>2.1247563352826401E-2</v>
      </c>
      <c r="H1221" s="53">
        <v>9.8440837469431202E-3</v>
      </c>
      <c r="I1221" s="53">
        <v>1.7096673919800901E-3</v>
      </c>
      <c r="J1221" s="53">
        <v>3.1702419951389299E-3</v>
      </c>
      <c r="K1221" s="53">
        <v>-3.8593874694192701E-3</v>
      </c>
      <c r="L1221" s="95">
        <f>IFERROR(B1221*'Stock Statistics'!$C$41+C1221*'Stock Statistics'!$C$42+D1221*'Stock Statistics'!$C$43+E1221*'Stock Statistics'!$C$44+F1221*'Stock Statistics'!$C$45+G1221*'Stock Statistics'!$C$46+H1221*'Stock Statistics'!$C$47+I1221*'Stock Statistics'!$C$48+J1221*'Stock Statistics'!$C$49+K1221*'Stock Statistics'!$C$50,"")</f>
        <v>1.0172098307812859E-2</v>
      </c>
      <c r="M1221" s="97">
        <v>215.36439999999999</v>
      </c>
      <c r="N1221" s="96"/>
      <c r="O1221" s="94"/>
      <c r="P1221" s="94"/>
      <c r="Q1221" s="93">
        <f>B1221*'Portfolio 2 &amp; 3'!$F$7+C1221*'Portfolio 2 &amp; 3'!$F$8+D1221*'Portfolio 2 &amp; 3'!$F$9+E1221*'Portfolio 2 &amp; 3'!$F$10+F1221*'Portfolio 2 &amp; 3'!$F$11+G1221*'Portfolio 2 &amp; 3'!$F$12+H1221*'Portfolio 2 &amp; 3'!$F$13+I1221*'Portfolio 2 &amp; 3'!$F$14+J1221*'Portfolio 2 &amp; 3'!$F$15+K1221*'Portfolio 2 &amp; 3'!$F$16</f>
        <v>9.882413722887045E-3</v>
      </c>
      <c r="R1221" s="93">
        <f>B1221*'Portfolio 2 &amp; 3'!$B$23+C1221*'Portfolio 2 &amp; 3'!$B$24+D1221*'Portfolio 2 &amp; 3'!$B$25+E1221*'Portfolio 2 &amp; 3'!$B$26+F1221*'Portfolio 2 &amp; 3'!$B$27+G1221*'Portfolio 2 &amp; 3'!$B$28+H1221*'Portfolio 2 &amp; 3'!$B$29+I1221*'Portfolio 2 &amp; 3'!$B$30+J1221*'Portfolio 2 &amp; 3'!$B$31+K1221*'Portfolio 2 &amp; 3'!$B$32</f>
        <v>1.2755908998742037E-2</v>
      </c>
      <c r="S1221" s="94"/>
    </row>
    <row r="1222" spans="1:19" ht="12.75" customHeight="1">
      <c r="A1222" s="82">
        <v>44287</v>
      </c>
      <c r="B1222" s="53" t="s">
        <v>19</v>
      </c>
      <c r="C1222" s="53">
        <v>-7.5539502392696399E-3</v>
      </c>
      <c r="D1222" s="53">
        <v>4.1245561322043302E-2</v>
      </c>
      <c r="E1222" s="53">
        <v>2.921E-2</v>
      </c>
      <c r="F1222" s="53" t="s">
        <v>19</v>
      </c>
      <c r="G1222" s="53">
        <v>-6.4286131728130702E-4</v>
      </c>
      <c r="H1222" s="53">
        <v>1.4286312352165501E-2</v>
      </c>
      <c r="I1222" s="53">
        <v>6.4919827923346496E-3</v>
      </c>
      <c r="J1222" s="53">
        <v>8.7948403603219701E-3</v>
      </c>
      <c r="K1222" s="53">
        <v>1.0162816514246401E-2</v>
      </c>
      <c r="L1222" s="95"/>
      <c r="M1222" s="97">
        <v>215.36439999999999</v>
      </c>
      <c r="N1222" s="96"/>
      <c r="O1222" s="94"/>
      <c r="P1222" s="94"/>
      <c r="Q1222" s="93"/>
      <c r="R1222" s="93"/>
      <c r="S1222" s="94"/>
    </row>
    <row r="1223" spans="1:19" ht="12.75" customHeight="1">
      <c r="E1223" s="2"/>
    </row>
    <row r="1224" spans="1:19" ht="12.75" customHeight="1">
      <c r="E1224" s="2"/>
    </row>
    <row r="1225" spans="1:19" ht="12.75" customHeight="1">
      <c r="E1225" s="2"/>
    </row>
    <row r="1226" spans="1:19" ht="12.75" customHeight="1">
      <c r="E1226" s="2"/>
    </row>
    <row r="1227" spans="1:19" ht="12.75" customHeight="1">
      <c r="E1227" s="2"/>
    </row>
    <row r="1228" spans="1:19" ht="12.75" customHeight="1">
      <c r="E1228" s="2"/>
    </row>
    <row r="1229" spans="1:19" ht="12.75" customHeight="1">
      <c r="E1229" s="2"/>
    </row>
    <row r="1230" spans="1:19" ht="12.75" customHeight="1">
      <c r="E1230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0"/>
  <sheetViews>
    <sheetView topLeftCell="A21" zoomScale="82" zoomScaleNormal="100" workbookViewId="0">
      <selection activeCell="O29" sqref="O29"/>
    </sheetView>
  </sheetViews>
  <sheetFormatPr defaultColWidth="8.6640625" defaultRowHeight="13.2"/>
  <cols>
    <col min="1" max="1" width="20.33203125" style="1" customWidth="1"/>
    <col min="2" max="2" width="17.88671875" customWidth="1"/>
    <col min="3" max="3" width="14.109375" customWidth="1"/>
    <col min="4" max="4" width="14.21875" customWidth="1"/>
    <col min="5" max="6" width="12.33203125" customWidth="1"/>
    <col min="7" max="7" width="14" customWidth="1"/>
    <col min="8" max="8" width="12.33203125" customWidth="1"/>
    <col min="9" max="9" width="12.6640625" customWidth="1"/>
    <col min="10" max="11" width="13.109375" customWidth="1"/>
    <col min="12" max="12" width="10.6640625" customWidth="1"/>
    <col min="14" max="14" width="23.44140625" bestFit="1" customWidth="1"/>
    <col min="15" max="15" width="21.109375" customWidth="1"/>
    <col min="16" max="16" width="14.33203125" customWidth="1"/>
    <col min="17" max="17" width="12.77734375" customWidth="1"/>
    <col min="18" max="18" width="16.109375" customWidth="1"/>
    <col min="19" max="19" width="14.109375" customWidth="1"/>
    <col min="20" max="20" width="12.109375" customWidth="1"/>
    <col min="21" max="21" width="15.21875" customWidth="1"/>
    <col min="22" max="23" width="12.109375" customWidth="1"/>
    <col min="24" max="25" width="10.5546875" customWidth="1"/>
    <col min="26" max="26" width="11.77734375" customWidth="1"/>
    <col min="27" max="27" width="11.6640625" customWidth="1"/>
  </cols>
  <sheetData>
    <row r="1" spans="1:27" s="1" customFormat="1" ht="17.25" customHeight="1">
      <c r="A1" s="98" t="s">
        <v>37</v>
      </c>
      <c r="B1" s="99" t="s">
        <v>1</v>
      </c>
      <c r="C1" s="99" t="s">
        <v>2</v>
      </c>
      <c r="D1" s="99" t="s">
        <v>3</v>
      </c>
      <c r="E1" s="100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101" t="s">
        <v>38</v>
      </c>
      <c r="N1" s="419" t="s">
        <v>39</v>
      </c>
      <c r="O1" s="420"/>
      <c r="P1" s="420"/>
      <c r="Q1" s="420"/>
      <c r="R1" s="420"/>
      <c r="S1" s="420"/>
      <c r="T1" s="420"/>
      <c r="U1" s="420"/>
      <c r="V1" s="420"/>
      <c r="W1" s="420"/>
      <c r="X1" s="150"/>
    </row>
    <row r="2" spans="1:27" ht="12.75" customHeight="1">
      <c r="A2" s="102" t="s">
        <v>40</v>
      </c>
      <c r="B2" s="133">
        <f>AVERAGE(Return!B2:B1222)</f>
        <v>5.7563576702215034E-4</v>
      </c>
      <c r="C2" s="133">
        <f>AVERAGE(Return!C2:C1222)</f>
        <v>7.0174899363948035E-4</v>
      </c>
      <c r="D2" s="133">
        <f>AVERAGE(Return!D2:D1222)</f>
        <v>4.1206038153438146E-4</v>
      </c>
      <c r="E2" s="133">
        <f>AVERAGE(Return!E2:E1222)</f>
        <v>-8.3860655737704923E-4</v>
      </c>
      <c r="F2" s="133">
        <f>AVERAGE(Return!F2:F1222)</f>
        <v>7.3313558305650216E-4</v>
      </c>
      <c r="G2" s="133">
        <f>AVERAGE(Return!G2:G1222)</f>
        <v>6.9980424384597265E-4</v>
      </c>
      <c r="H2" s="133">
        <f>AVERAGE(Return!H2:H1222)</f>
        <v>3.47039121092852E-4</v>
      </c>
      <c r="I2" s="133">
        <f>AVERAGE(Return!I2:I1222)</f>
        <v>9.0240985023405478E-4</v>
      </c>
      <c r="J2" s="133">
        <f>AVERAGE(Return!J2:J1222)</f>
        <v>4.0073334008303884E-4</v>
      </c>
      <c r="K2" s="133">
        <f>AVERAGE(Return!K2:K1222)</f>
        <v>5.7437656155335734E-4</v>
      </c>
      <c r="L2" s="134">
        <f>AVERAGE(Return!L2:L1222)</f>
        <v>4.4181681741245612E-4</v>
      </c>
      <c r="N2" s="148" t="s">
        <v>1</v>
      </c>
      <c r="O2" s="148" t="s">
        <v>2</v>
      </c>
      <c r="P2" s="148" t="s">
        <v>3</v>
      </c>
      <c r="Q2" s="149" t="s">
        <v>4</v>
      </c>
      <c r="R2" s="148" t="s">
        <v>5</v>
      </c>
      <c r="S2" s="148" t="s">
        <v>6</v>
      </c>
      <c r="T2" s="148" t="s">
        <v>7</v>
      </c>
      <c r="U2" s="148" t="s">
        <v>8</v>
      </c>
      <c r="V2" s="148" t="s">
        <v>9</v>
      </c>
      <c r="W2" s="148" t="s">
        <v>10</v>
      </c>
      <c r="X2" s="148" t="s">
        <v>38</v>
      </c>
    </row>
    <row r="3" spans="1:27" ht="12.75" customHeight="1">
      <c r="A3" s="103" t="s">
        <v>41</v>
      </c>
      <c r="B3" s="135">
        <f t="shared" ref="B3:L3" si="0">(1+B2)^250-1</f>
        <v>0.15473114048613668</v>
      </c>
      <c r="C3" s="135">
        <f t="shared" si="0"/>
        <v>0.191693876610602</v>
      </c>
      <c r="D3" s="135">
        <f t="shared" si="0"/>
        <v>0.10848462179552287</v>
      </c>
      <c r="E3" s="135">
        <f t="shared" si="0"/>
        <v>-0.1892046472792529</v>
      </c>
      <c r="F3" s="135">
        <f t="shared" si="0"/>
        <v>0.20107470393829718</v>
      </c>
      <c r="G3" s="135">
        <f t="shared" si="0"/>
        <v>0.19111503636704219</v>
      </c>
      <c r="H3" s="135">
        <f t="shared" si="0"/>
        <v>9.0618241229909913E-2</v>
      </c>
      <c r="I3" s="135">
        <f t="shared" si="0"/>
        <v>0.25294994978966923</v>
      </c>
      <c r="J3" s="135">
        <f t="shared" si="0"/>
        <v>0.10535137072509881</v>
      </c>
      <c r="K3" s="135">
        <f t="shared" si="0"/>
        <v>0.15436789559044306</v>
      </c>
      <c r="L3" s="136">
        <f t="shared" si="0"/>
        <v>0.11675796248391279</v>
      </c>
      <c r="N3" s="151">
        <f>SLOPE(Return!B2:B1211,Return!$O2:$O1211)</f>
        <v>4.5935988193213748E-2</v>
      </c>
      <c r="O3" s="151">
        <f>SLOPE(Return!C2:C1211,Return!$O2:$O1211)</f>
        <v>0.22438762277154886</v>
      </c>
      <c r="P3" s="151">
        <f>SLOPE(Return!D2:D1211,Return!$O2:$O1211)</f>
        <v>0.2777692019692834</v>
      </c>
      <c r="Q3" s="151">
        <f>SLOPE(Return!E2:E1211,Return!$O2:$O1211)</f>
        <v>0.25092372000055035</v>
      </c>
      <c r="R3" s="151">
        <f>SLOPE(Return!F2:F1211,Return!$O2:$O1211)</f>
        <v>0.11041862781739817</v>
      </c>
      <c r="S3" s="151">
        <f>SLOPE(Return!G2:G1211,Return!$O2:$O1211)</f>
        <v>0.10610690749327717</v>
      </c>
      <c r="T3" s="151">
        <f>SLOPE(Return!H2:H1211,Return!$O2:$O1211)</f>
        <v>0.21120449884275644</v>
      </c>
      <c r="U3" s="151">
        <f>SLOPE(Return!I2:I1211,Return!$O2:$O1211)</f>
        <v>0.18545172979058286</v>
      </c>
      <c r="V3" s="151">
        <f>SLOPE(Return!J2:J1211,Return!$O2:$O1211)</f>
        <v>0.21657144459471897</v>
      </c>
      <c r="W3" s="151">
        <f>SLOPE(Return!K2:K1211,Return!$O2:$O1211)</f>
        <v>0.3658068887238059</v>
      </c>
      <c r="X3" s="151">
        <f>SLOPE(Return!L2:L1211,Return!$O2:$O1211)</f>
        <v>0.19945766301971357</v>
      </c>
    </row>
    <row r="4" spans="1:27" ht="12.75" customHeight="1" thickBot="1">
      <c r="A4" s="103" t="s">
        <v>42</v>
      </c>
      <c r="B4" s="135">
        <f>_xlfn.STDEV.S(Return!B2:B1222)</f>
        <v>1.4732172337835706E-2</v>
      </c>
      <c r="C4" s="135">
        <f>_xlfn.STDEV.S(Return!C2:C1222)</f>
        <v>1.4563004944803573E-2</v>
      </c>
      <c r="D4" s="135">
        <f>_xlfn.STDEV.S(Return!D2:D1222)</f>
        <v>1.8773750896816616E-2</v>
      </c>
      <c r="E4" s="135">
        <f>_xlfn.STDEV.S(Return!E2:E1222)</f>
        <v>1.6286497057618983E-2</v>
      </c>
      <c r="F4" s="135">
        <f>_xlfn.STDEV.S(Return!F2:F1222)</f>
        <v>1.6137310832086318E-2</v>
      </c>
      <c r="G4" s="135">
        <f>_xlfn.STDEV.S(Return!G2:G1222)</f>
        <v>2.0651315925455504E-2</v>
      </c>
      <c r="H4" s="135">
        <f>_xlfn.STDEV.S(Return!H2:H1222)</f>
        <v>1.3477544583404286E-2</v>
      </c>
      <c r="I4" s="135">
        <f>_xlfn.STDEV.S(Return!I2:I1222)</f>
        <v>1.2903922436429318E-2</v>
      </c>
      <c r="J4" s="135">
        <f>_xlfn.STDEV.S(Return!J2:J1222)</f>
        <v>1.4421246213051107E-2</v>
      </c>
      <c r="K4" s="135">
        <f>_xlfn.STDEV.S(Return!K2:K1222)</f>
        <v>1.6861864385287299E-2</v>
      </c>
      <c r="L4" s="136">
        <f>_xlfn.STDEV.S(Return!L2:L1222)</f>
        <v>6.4362724101993136E-3</v>
      </c>
    </row>
    <row r="5" spans="1:27" ht="17.25" customHeight="1" thickBot="1">
      <c r="A5" s="104" t="s">
        <v>43</v>
      </c>
      <c r="B5" s="137">
        <f t="shared" ref="B5:L5" si="1">B4*SQRT(250)</f>
        <v>0.23293609734844209</v>
      </c>
      <c r="C5" s="137">
        <f t="shared" si="1"/>
        <v>0.23026132600936991</v>
      </c>
      <c r="D5" s="137">
        <f t="shared" si="1"/>
        <v>0.29683906529284632</v>
      </c>
      <c r="E5" s="137">
        <f t="shared" si="1"/>
        <v>0.25751212903853277</v>
      </c>
      <c r="F5" s="137">
        <f t="shared" si="1"/>
        <v>0.25515328769749884</v>
      </c>
      <c r="G5" s="137">
        <f t="shared" si="1"/>
        <v>0.3265259750207371</v>
      </c>
      <c r="H5" s="137">
        <f t="shared" si="1"/>
        <v>0.21309869075011359</v>
      </c>
      <c r="I5" s="137">
        <f t="shared" si="1"/>
        <v>0.20402892824632979</v>
      </c>
      <c r="J5" s="137">
        <f t="shared" si="1"/>
        <v>0.22801992365659676</v>
      </c>
      <c r="K5" s="137">
        <f t="shared" si="1"/>
        <v>0.26660948527191425</v>
      </c>
      <c r="L5" s="138">
        <f t="shared" si="1"/>
        <v>0.1017664022876569</v>
      </c>
      <c r="N5" s="416" t="s">
        <v>44</v>
      </c>
      <c r="O5" s="417"/>
      <c r="P5" s="417"/>
      <c r="Q5" s="417"/>
      <c r="R5" s="417"/>
      <c r="S5" s="417"/>
      <c r="T5" s="417"/>
      <c r="U5" s="417"/>
      <c r="V5" s="417"/>
      <c r="W5" s="418"/>
      <c r="X5" s="157"/>
    </row>
    <row r="6" spans="1:27" ht="12.7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N6" s="158" t="s">
        <v>1</v>
      </c>
      <c r="O6" s="99" t="s">
        <v>2</v>
      </c>
      <c r="P6" s="99" t="s">
        <v>3</v>
      </c>
      <c r="Q6" s="100" t="s">
        <v>4</v>
      </c>
      <c r="R6" s="99" t="s">
        <v>5</v>
      </c>
      <c r="S6" s="99" t="s">
        <v>6</v>
      </c>
      <c r="T6" s="99" t="s">
        <v>7</v>
      </c>
      <c r="U6" s="99" t="s">
        <v>8</v>
      </c>
      <c r="V6" s="99" t="s">
        <v>9</v>
      </c>
      <c r="W6" s="99" t="s">
        <v>10</v>
      </c>
      <c r="X6" s="101" t="s">
        <v>38</v>
      </c>
    </row>
    <row r="7" spans="1:27" ht="12.75" customHeight="1" thickBo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N7" s="152">
        <f>SLOPE(Return!B2:B1211,Return!$P2:$P1211)</f>
        <v>-2.6022458170355995E-2</v>
      </c>
      <c r="O7" s="153">
        <f>SLOPE(Return!C2:C1211,Return!$P2:$P1211)</f>
        <v>1.4063207388870234E-2</v>
      </c>
      <c r="P7" s="153">
        <f>SLOPE(Return!D2:D1211,Return!$P2:$P1211)</f>
        <v>-3.0827369475626743E-2</v>
      </c>
      <c r="Q7" s="153">
        <f>SLOPE(Return!E2:E1211,Return!$P2:$P1211)</f>
        <v>-3.3248149368658803E-2</v>
      </c>
      <c r="R7" s="153">
        <f>SLOPE(Return!F2:F1211,Return!$P2:$P1211)</f>
        <v>2.4797468717584419E-2</v>
      </c>
      <c r="S7" s="153">
        <f>SLOPE(Return!G2:G1211,Return!$P2:$P1211)</f>
        <v>0.17293477690093251</v>
      </c>
      <c r="T7" s="153">
        <f>SLOPE(Return!H2:H1211,Return!$P2:$P1211)</f>
        <v>2.5535618763076421E-2</v>
      </c>
      <c r="U7" s="153">
        <f>SLOPE(Return!I2:I1211,Return!$P2:$P1211)</f>
        <v>5.0417095298141458E-2</v>
      </c>
      <c r="V7" s="153">
        <f>SLOPE(Return!J2:J1211,Return!$P2:$P1211)</f>
        <v>3.4963875311735441E-2</v>
      </c>
      <c r="W7" s="153">
        <f>SLOPE(Return!K2:K1211,Return!$P2:$P1211)</f>
        <v>-6.8445870350984678E-2</v>
      </c>
      <c r="X7" s="155">
        <f>SLOPE(Return!L2:L1211,Return!$P2:$P1211)</f>
        <v>1.6416819501471388E-2</v>
      </c>
      <c r="Y7" s="156"/>
    </row>
    <row r="8" spans="1:27" ht="17.25" customHeight="1">
      <c r="B8" s="410" t="s">
        <v>45</v>
      </c>
      <c r="C8" s="411"/>
      <c r="D8" s="411"/>
      <c r="E8" s="411"/>
      <c r="F8" s="411"/>
      <c r="G8" s="411"/>
      <c r="H8" s="411"/>
      <c r="I8" s="411"/>
      <c r="J8" s="411"/>
      <c r="K8" s="412"/>
    </row>
    <row r="9" spans="1:27" ht="17.25" customHeight="1" thickBot="1">
      <c r="A9" s="6"/>
      <c r="B9" s="413"/>
      <c r="C9" s="414"/>
      <c r="D9" s="414"/>
      <c r="E9" s="414"/>
      <c r="F9" s="414"/>
      <c r="G9" s="414"/>
      <c r="H9" s="414"/>
      <c r="I9" s="414"/>
      <c r="J9" s="414"/>
      <c r="K9" s="415"/>
    </row>
    <row r="10" spans="1:27" ht="17.25" customHeight="1" thickBot="1">
      <c r="A10" s="7"/>
      <c r="B10" s="105"/>
      <c r="C10" s="106" t="s">
        <v>2</v>
      </c>
      <c r="D10" s="107" t="s">
        <v>3</v>
      </c>
      <c r="E10" s="108" t="s">
        <v>4</v>
      </c>
      <c r="F10" s="107" t="s">
        <v>5</v>
      </c>
      <c r="G10" s="107" t="s">
        <v>6</v>
      </c>
      <c r="H10" s="107" t="s">
        <v>7</v>
      </c>
      <c r="I10" s="107" t="s">
        <v>8</v>
      </c>
      <c r="J10" s="107" t="s">
        <v>9</v>
      </c>
      <c r="K10" s="109" t="s">
        <v>10</v>
      </c>
      <c r="V10" s="454" t="s">
        <v>211</v>
      </c>
    </row>
    <row r="11" spans="1:27" ht="12.75" customHeight="1">
      <c r="B11" s="110" t="s">
        <v>1</v>
      </c>
      <c r="C11" s="127">
        <f>_xlfn.COVARIANCE.S(Return!$B$2:$B$1222,Return!C$2:C$1222)</f>
        <v>4.0314749987461492E-6</v>
      </c>
      <c r="D11" s="127">
        <f>_xlfn.COVARIANCE.S(Return!$B$2:$B$1222,Return!D$2:D$1222)</f>
        <v>-9.7300498602414883E-7</v>
      </c>
      <c r="E11" s="127">
        <f>_xlfn.COVARIANCE.S(Return!$B$2:$B$1222,Return!E$2:E$1222)</f>
        <v>2.9718721461371785E-6</v>
      </c>
      <c r="F11" s="127">
        <f>_xlfn.COVARIANCE.S(Return!$B$2:$B$1222,Return!F$2:F$1222)</f>
        <v>6.2970133595456653E-5</v>
      </c>
      <c r="G11" s="127">
        <f>_xlfn.COVARIANCE.S(Return!$B$2:$B$1222,Return!G$2:G$1222)</f>
        <v>-4.731462957247213E-6</v>
      </c>
      <c r="H11" s="127">
        <f>_xlfn.COVARIANCE.S(Return!$B$2:$B$1222,Return!H$2:H$1222)</f>
        <v>7.1374483217336829E-6</v>
      </c>
      <c r="I11" s="127">
        <f>_xlfn.COVARIANCE.S(Return!$B$2:$B$1222,Return!I$2:I$1222)</f>
        <v>1.6086346506693412E-6</v>
      </c>
      <c r="J11" s="127">
        <f>_xlfn.COVARIANCE.S(Return!$B$2:$B$1222,Return!J$2:J$1222)</f>
        <v>-9.7495095356082264E-6</v>
      </c>
      <c r="K11" s="128">
        <f>_xlfn.COVARIANCE.S(Return!$B$2:$B$1222,Return!K$2:K$1222)</f>
        <v>8.1942434743308199E-6</v>
      </c>
      <c r="N11" s="159"/>
      <c r="O11" s="162"/>
      <c r="P11" s="99" t="s">
        <v>1</v>
      </c>
      <c r="Q11" s="99" t="s">
        <v>2</v>
      </c>
      <c r="R11" s="99" t="s">
        <v>3</v>
      </c>
      <c r="S11" s="100" t="s">
        <v>4</v>
      </c>
      <c r="T11" s="99" t="s">
        <v>5</v>
      </c>
      <c r="U11" s="99" t="s">
        <v>6</v>
      </c>
      <c r="V11" s="99" t="s">
        <v>7</v>
      </c>
      <c r="W11" s="99" t="s">
        <v>8</v>
      </c>
      <c r="X11" s="99" t="s">
        <v>9</v>
      </c>
      <c r="Y11" s="99" t="s">
        <v>10</v>
      </c>
      <c r="Z11" s="99" t="s">
        <v>46</v>
      </c>
      <c r="AA11" s="101" t="s">
        <v>47</v>
      </c>
    </row>
    <row r="12" spans="1:27" ht="12.75" customHeight="1">
      <c r="B12" s="110" t="s">
        <v>2</v>
      </c>
      <c r="C12" s="127"/>
      <c r="D12" s="127">
        <f>_xlfn.COVARIANCE.S(Return!$C$2:$C$1222,Return!D$2:D$1222)</f>
        <v>2.0172358984496649E-5</v>
      </c>
      <c r="E12" s="127">
        <f>_xlfn.COVARIANCE.S(Return!$C$2:$C$1222,Return!E$2:E$1222)</f>
        <v>-4.5822191151665448E-8</v>
      </c>
      <c r="F12" s="127">
        <f>_xlfn.COVARIANCE.S(Return!$C$2:$C$1222,Return!F$2:F$1222)</f>
        <v>2.1280781727913012E-5</v>
      </c>
      <c r="G12" s="127">
        <f>_xlfn.COVARIANCE.S(Return!$C$2:$C$1222,Return!G$2:G$1222)</f>
        <v>1.2751614249615605E-5</v>
      </c>
      <c r="H12" s="127">
        <f>_xlfn.COVARIANCE.S(Return!$C$2:$C$1222,Return!H$2:H$1222)</f>
        <v>9.4844112459589745E-6</v>
      </c>
      <c r="I12" s="127">
        <f>_xlfn.COVARIANCE.S(Return!$C$2:$C$1222,Return!I$2:I$1222)</f>
        <v>1.9998704289191861E-5</v>
      </c>
      <c r="J12" s="127">
        <f>_xlfn.COVARIANCE.S(Return!$C$2:$C$1222,Return!J$2:J$1222)</f>
        <v>1.4373805202964537E-5</v>
      </c>
      <c r="K12" s="128">
        <f>_xlfn.COVARIANCE.S(Return!$C$2:$C$1222,Return!K$2:K$1222)</f>
        <v>2.6776762508885957E-5</v>
      </c>
      <c r="N12" s="160" t="s">
        <v>48</v>
      </c>
      <c r="O12" s="166">
        <f>Return!A1211</f>
        <v>44305</v>
      </c>
      <c r="P12" s="164">
        <v>14724.8</v>
      </c>
      <c r="Q12" s="86">
        <v>2745.55</v>
      </c>
      <c r="R12" s="86">
        <v>987.3</v>
      </c>
      <c r="S12" s="86">
        <v>1064.6500000000001</v>
      </c>
      <c r="T12" s="86">
        <v>456.5</v>
      </c>
      <c r="U12" s="86">
        <v>2596.1999999999998</v>
      </c>
      <c r="V12" s="86">
        <v>4968.1099999999997</v>
      </c>
      <c r="W12" s="86">
        <v>654.45000000000005</v>
      </c>
      <c r="X12" s="86">
        <v>944.35</v>
      </c>
      <c r="Y12" s="86">
        <v>3779.7</v>
      </c>
      <c r="Z12" s="86">
        <f>Return!M1211</f>
        <v>222.35489999999999</v>
      </c>
      <c r="AA12" s="122">
        <f>Return!N1211</f>
        <v>273.13679999999999</v>
      </c>
    </row>
    <row r="13" spans="1:27" ht="12.75" customHeight="1">
      <c r="B13" s="110" t="s">
        <v>3</v>
      </c>
      <c r="C13" s="129"/>
      <c r="D13" s="129"/>
      <c r="E13" s="129">
        <f>_xlfn.COVARIANCE.S(Return!$D$2:$D$1222,Return!E$2:E$1222)</f>
        <v>5.1450214791122799E-5</v>
      </c>
      <c r="F13" s="129">
        <f>_xlfn.COVARIANCE.S(Return!$D$2:$D$1222,Return!F$2:F$1222)</f>
        <v>1.1415962439198577E-5</v>
      </c>
      <c r="G13" s="129">
        <f>_xlfn.COVARIANCE.S(Return!$D$2:$D$1222,Return!G$2:G$1222)</f>
        <v>3.7897018312772346E-5</v>
      </c>
      <c r="H13" s="129">
        <f>_xlfn.COVARIANCE.S(Return!$D$2:$D$1222,Return!H$2:H$1222)</f>
        <v>4.7726193168428549E-5</v>
      </c>
      <c r="I13" s="129">
        <f>_xlfn.COVARIANCE.S(Return!$D$2:$D$1222,Return!I$2:I$1222)</f>
        <v>1.4668745653328386E-5</v>
      </c>
      <c r="J13" s="129">
        <f>_xlfn.COVARIANCE.S(Return!$D$2:$D$1222,Return!J$2:J$1222)</f>
        <v>1.2523296802810084E-5</v>
      </c>
      <c r="K13" s="130">
        <f>_xlfn.COVARIANCE.S(Return!$D$2:$D$1222,Return!K$2:K$1222)</f>
        <v>3.2801129438959273E-5</v>
      </c>
      <c r="N13" s="160" t="s">
        <v>49</v>
      </c>
      <c r="O13" s="166">
        <f>Return!A2</f>
        <v>46080</v>
      </c>
      <c r="P13" s="164">
        <v>26530</v>
      </c>
      <c r="Q13" s="86">
        <v>5639.5</v>
      </c>
      <c r="R13" s="86">
        <v>1220.4000000000001</v>
      </c>
      <c r="S13" s="86">
        <v>2301.9</v>
      </c>
      <c r="T13" s="86">
        <v>921.7</v>
      </c>
      <c r="U13" s="86">
        <v>4333.3</v>
      </c>
      <c r="V13" s="86">
        <v>6431.5</v>
      </c>
      <c r="W13" s="86">
        <v>1737</v>
      </c>
      <c r="X13" s="86">
        <v>1348.2</v>
      </c>
      <c r="Y13" s="86">
        <v>6408.5</v>
      </c>
      <c r="Z13" s="86">
        <f>Return!M2</f>
        <v>497.13409999999999</v>
      </c>
      <c r="AA13" s="122">
        <f>Return!N2</f>
        <v>576.9248</v>
      </c>
    </row>
    <row r="14" spans="1:27" ht="12.75" customHeight="1">
      <c r="B14" s="111" t="s">
        <v>4</v>
      </c>
      <c r="C14" s="129"/>
      <c r="D14" s="129"/>
      <c r="E14" s="129"/>
      <c r="F14" s="129">
        <f>_xlfn.COVARIANCE.S(Return!$E$2:$E$1222,Return!F$2:F$1222)</f>
        <v>1.4631846861592324E-5</v>
      </c>
      <c r="G14" s="129">
        <f>_xlfn.COVARIANCE.S(Return!$E$2:$E$1222,Return!G2:G1222)</f>
        <v>5.559558290139987E-5</v>
      </c>
      <c r="H14" s="129">
        <f>_xlfn.COVARIANCE.S(Return!$E$2:$E$1222,Return!H2:H1222)</f>
        <v>6.8511271900352638E-5</v>
      </c>
      <c r="I14" s="129">
        <f>_xlfn.COVARIANCE.S(Return!$E$2:$E$1222,Return!I2:I1222)</f>
        <v>5.6225766279934851E-6</v>
      </c>
      <c r="J14" s="129">
        <f>_xlfn.COVARIANCE.S(Return!$E$2:$E$1222,Return!J2:J1222)</f>
        <v>7.1121670084005822E-6</v>
      </c>
      <c r="K14" s="130">
        <f>_xlfn.COVARIANCE.S(Return!$E$2:$E$1222,Return!K2:K1222)</f>
        <v>1.2826064227862052E-5</v>
      </c>
      <c r="N14" s="160" t="s">
        <v>50</v>
      </c>
      <c r="O14" s="167">
        <f>YEARFRAC(O12,O13,1)</f>
        <v>4.8607941579187584</v>
      </c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122"/>
    </row>
    <row r="15" spans="1:27" ht="12.75" customHeight="1">
      <c r="B15" s="110" t="s">
        <v>5</v>
      </c>
      <c r="C15" s="129"/>
      <c r="D15" s="129"/>
      <c r="E15" s="129"/>
      <c r="F15" s="129"/>
      <c r="G15" s="129">
        <f>_xlfn.COVARIANCE.S(Return!$F$2:$F$1222,Return!G$2:G$1222)</f>
        <v>1.1332858010400234E-5</v>
      </c>
      <c r="H15" s="129">
        <f>_xlfn.COVARIANCE.S(Return!$F$2:$F$1222,Return!H$2:H$1222)</f>
        <v>8.2637961853804834E-6</v>
      </c>
      <c r="I15" s="129">
        <f>_xlfn.COVARIANCE.S(Return!$F$2:$F$1222,Return!I$2:I$1222)</f>
        <v>9.074538831680065E-6</v>
      </c>
      <c r="J15" s="129">
        <f>_xlfn.COVARIANCE.S(Return!$F$2:$F$1222,Return!J$2:J$1222)</f>
        <v>-6.9361765316011485E-7</v>
      </c>
      <c r="K15" s="130">
        <f>_xlfn.COVARIANCE.S(Return!$F$2:$F$1222,Return!K$2:K$1222)</f>
        <v>2.7814913139331725E-8</v>
      </c>
      <c r="N15" s="160" t="s">
        <v>51</v>
      </c>
      <c r="O15" s="168"/>
      <c r="P15" s="85">
        <f t="shared" ref="P15:Y15" si="2">(P13/P12)^(1/$O$14)-1</f>
        <v>0.12876119904533279</v>
      </c>
      <c r="Q15" s="85">
        <f t="shared" si="2"/>
        <v>0.15961224331655144</v>
      </c>
      <c r="R15" s="85">
        <f t="shared" si="2"/>
        <v>4.4570759824568817E-2</v>
      </c>
      <c r="S15" s="85">
        <f t="shared" si="2"/>
        <v>0.1719093212157552</v>
      </c>
      <c r="T15" s="85">
        <f t="shared" si="2"/>
        <v>0.1555202528922901</v>
      </c>
      <c r="U15" s="85">
        <f t="shared" si="2"/>
        <v>0.11114420176013295</v>
      </c>
      <c r="V15" s="85">
        <f t="shared" si="2"/>
        <v>5.4548139909216697E-2</v>
      </c>
      <c r="W15" s="85">
        <f t="shared" si="2"/>
        <v>0.22239840577044689</v>
      </c>
      <c r="X15" s="85">
        <f t="shared" si="2"/>
        <v>7.5994105515309052E-2</v>
      </c>
      <c r="Y15" s="85">
        <f t="shared" si="2"/>
        <v>0.1147389286088043</v>
      </c>
      <c r="Z15" s="86"/>
      <c r="AA15" s="122"/>
    </row>
    <row r="16" spans="1:27" ht="12.75" customHeight="1">
      <c r="B16" s="110" t="s">
        <v>6</v>
      </c>
      <c r="C16" s="129"/>
      <c r="D16" s="129"/>
      <c r="E16" s="129"/>
      <c r="F16" s="129"/>
      <c r="G16" s="129"/>
      <c r="H16" s="129">
        <f>_xlfn.COVARIANCE.S(Return!$G$2:$G$1222,Return!H$2:H$1222)</f>
        <v>3.0445858795376407E-5</v>
      </c>
      <c r="I16" s="129">
        <f>_xlfn.COVARIANCE.S(Return!$G$2:$G$1222,Return!I$2:I$1222)</f>
        <v>1.4711127754801836E-5</v>
      </c>
      <c r="J16" s="129">
        <f>_xlfn.COVARIANCE.S(Return!$G$2:$G$1222,Return!J$2:J$1222)</f>
        <v>8.1431000388752446E-6</v>
      </c>
      <c r="K16" s="130">
        <f>_xlfn.COVARIANCE.S(Return!$G$2:$G$1222,Return!K$2:K$1222)</f>
        <v>-5.4453389793543073E-6</v>
      </c>
      <c r="N16" s="421" t="s">
        <v>52</v>
      </c>
      <c r="O16" s="168" t="s">
        <v>53</v>
      </c>
      <c r="P16" s="125">
        <f t="shared" ref="P16:Y16" si="3">$P$18+N3*(P19-$P$18)</f>
        <v>7.3336239400235453E-2</v>
      </c>
      <c r="Q16" s="125">
        <f t="shared" si="3"/>
        <v>9.3289447170631756E-2</v>
      </c>
      <c r="R16" s="125">
        <f t="shared" si="3"/>
        <v>9.9258200235634919E-2</v>
      </c>
      <c r="S16" s="125">
        <f t="shared" si="3"/>
        <v>9.6256527089382954E-2</v>
      </c>
      <c r="T16" s="125">
        <f t="shared" si="3"/>
        <v>8.054623503319866E-2</v>
      </c>
      <c r="U16" s="125">
        <f t="shared" si="3"/>
        <v>8.006412876570318E-2</v>
      </c>
      <c r="V16" s="125">
        <f t="shared" si="3"/>
        <v>9.1815402892832729E-2</v>
      </c>
      <c r="W16" s="125">
        <f t="shared" si="3"/>
        <v>8.8935909226242157E-2</v>
      </c>
      <c r="X16" s="125">
        <f t="shared" si="3"/>
        <v>9.2415497052431725E-2</v>
      </c>
      <c r="Y16" s="125">
        <f t="shared" si="3"/>
        <v>0.1091019557136322</v>
      </c>
      <c r="Z16" s="86"/>
      <c r="AA16" s="122"/>
    </row>
    <row r="17" spans="1:27" ht="12.75" customHeight="1">
      <c r="B17" s="110" t="s">
        <v>7</v>
      </c>
      <c r="C17" s="129"/>
      <c r="D17" s="129"/>
      <c r="E17" s="129"/>
      <c r="F17" s="129"/>
      <c r="G17" s="129"/>
      <c r="H17" s="129"/>
      <c r="I17" s="129">
        <f>_xlfn.COVARIANCE.S(Return!$H$2:$H$1222,Return!I$2:I$1222)</f>
        <v>1.8442667653355719E-6</v>
      </c>
      <c r="J17" s="129">
        <f>_xlfn.COVARIANCE.S(Return!$H$2:$H$1222,Return!J$2:J$1222)</f>
        <v>1.1254041498125732E-5</v>
      </c>
      <c r="K17" s="130">
        <f>_xlfn.COVARIANCE.S(Return!$H$2:$H$1222,Return!K$2:K$1222)</f>
        <v>1.3179578473315514E-5</v>
      </c>
      <c r="N17" s="422"/>
      <c r="O17" s="168" t="s">
        <v>54</v>
      </c>
      <c r="P17" s="125">
        <f t="shared" ref="P17:Y17" si="4">$P$18+N7*(P20-$P$18)</f>
        <v>6.5647369467043928E-2</v>
      </c>
      <c r="Q17" s="125">
        <f t="shared" si="4"/>
        <v>6.9579507360031712E-2</v>
      </c>
      <c r="R17" s="125">
        <f t="shared" si="4"/>
        <v>6.5176039540190522E-2</v>
      </c>
      <c r="S17" s="125">
        <f t="shared" si="4"/>
        <v>6.4938577090330227E-2</v>
      </c>
      <c r="T17" s="125">
        <f t="shared" si="4"/>
        <v>7.063246719330446E-2</v>
      </c>
      <c r="U17" s="125">
        <f t="shared" si="4"/>
        <v>8.5163754493806379E-2</v>
      </c>
      <c r="V17" s="125">
        <f t="shared" si="4"/>
        <v>7.0704874816431021E-2</v>
      </c>
      <c r="W17" s="125">
        <f t="shared" si="4"/>
        <v>7.314558261938521E-2</v>
      </c>
      <c r="X17" s="125">
        <f t="shared" si="4"/>
        <v>7.1629724243840856E-2</v>
      </c>
      <c r="Y17" s="125">
        <f t="shared" si="4"/>
        <v>6.1485914137362013E-2</v>
      </c>
      <c r="Z17" s="86"/>
      <c r="AA17" s="122"/>
    </row>
    <row r="18" spans="1:27" ht="12.75" customHeight="1">
      <c r="B18" s="110" t="s">
        <v>8</v>
      </c>
      <c r="C18" s="129"/>
      <c r="D18" s="129"/>
      <c r="E18" s="129"/>
      <c r="F18" s="129"/>
      <c r="G18" s="129"/>
      <c r="H18" s="129"/>
      <c r="I18" s="129"/>
      <c r="J18" s="129">
        <f>_xlfn.COVARIANCE.S(Return!$I$2:$I$1222,Return!J$2:J$1222)</f>
        <v>2.4152633107575275E-5</v>
      </c>
      <c r="K18" s="130">
        <f>_xlfn.COVARIANCE.S(Return!$I$2:$I$1222,Return!K$2:K$1222)</f>
        <v>2.760555419042028E-5</v>
      </c>
      <c r="N18" s="160" t="s">
        <v>55</v>
      </c>
      <c r="O18" s="168"/>
      <c r="P18" s="84">
        <v>6.8199999999999997E-2</v>
      </c>
      <c r="Q18" s="84">
        <v>6.8199999999999997E-2</v>
      </c>
      <c r="R18" s="84">
        <v>6.8199999999999997E-2</v>
      </c>
      <c r="S18" s="84">
        <v>6.8199999999999997E-2</v>
      </c>
      <c r="T18" s="84">
        <v>6.8199999999999997E-2</v>
      </c>
      <c r="U18" s="84">
        <v>6.8199999999999997E-2</v>
      </c>
      <c r="V18" s="84">
        <v>6.8199999999999997E-2</v>
      </c>
      <c r="W18" s="84">
        <v>6.8199999999999997E-2</v>
      </c>
      <c r="X18" s="84">
        <v>6.8199999999999997E-2</v>
      </c>
      <c r="Y18" s="84">
        <v>6.8199999999999997E-2</v>
      </c>
      <c r="Z18" s="86"/>
      <c r="AA18" s="122"/>
    </row>
    <row r="19" spans="1:27" ht="12.75" customHeight="1">
      <c r="B19" s="110" t="s">
        <v>9</v>
      </c>
      <c r="C19" s="129"/>
      <c r="D19" s="129"/>
      <c r="E19" s="129"/>
      <c r="F19" s="129"/>
      <c r="G19" s="129"/>
      <c r="H19" s="129"/>
      <c r="I19" s="129"/>
      <c r="J19" s="129"/>
      <c r="K19" s="130">
        <f>_xlfn.COVARIANCE.S(Return!$J$2:$J$1222,Return!K$2:K$1222)</f>
        <v>6.3869455618685746E-5</v>
      </c>
      <c r="N19" s="421" t="s">
        <v>56</v>
      </c>
      <c r="O19" s="168" t="s">
        <v>53</v>
      </c>
      <c r="P19" s="165">
        <f t="shared" ref="P19:Y19" si="5">RATE($O$14,0,-$Z$12,$Z$13,0)</f>
        <v>0.18001297284019788</v>
      </c>
      <c r="Q19" s="165">
        <f t="shared" si="5"/>
        <v>0.18001297284019788</v>
      </c>
      <c r="R19" s="165">
        <f t="shared" si="5"/>
        <v>0.18001297284019788</v>
      </c>
      <c r="S19" s="165">
        <f t="shared" si="5"/>
        <v>0.18001297284019788</v>
      </c>
      <c r="T19" s="165">
        <f t="shared" si="5"/>
        <v>0.18001297284019788</v>
      </c>
      <c r="U19" s="165">
        <f t="shared" si="5"/>
        <v>0.18001297284019788</v>
      </c>
      <c r="V19" s="165">
        <f t="shared" si="5"/>
        <v>0.18001297284019788</v>
      </c>
      <c r="W19" s="165">
        <f t="shared" si="5"/>
        <v>0.18001297284019788</v>
      </c>
      <c r="X19" s="165">
        <f t="shared" si="5"/>
        <v>0.18001297284019788</v>
      </c>
      <c r="Y19" s="165">
        <f t="shared" si="5"/>
        <v>0.18001297284019788</v>
      </c>
      <c r="Z19" s="86"/>
      <c r="AA19" s="122"/>
    </row>
    <row r="20" spans="1:27" ht="12.75" customHeight="1" thickBot="1">
      <c r="B20" s="112" t="s">
        <v>10</v>
      </c>
      <c r="C20" s="131"/>
      <c r="D20" s="131"/>
      <c r="E20" s="131"/>
      <c r="F20" s="131"/>
      <c r="G20" s="131"/>
      <c r="H20" s="131"/>
      <c r="I20" s="131"/>
      <c r="J20" s="131"/>
      <c r="K20" s="132"/>
      <c r="N20" s="422"/>
      <c r="O20" s="168" t="s">
        <v>54</v>
      </c>
      <c r="P20" s="165">
        <f t="shared" ref="P20:Y20" si="6">RATE($O$14,0,-$AA$12,$AA$13,0)</f>
        <v>0.16629336674672582</v>
      </c>
      <c r="Q20" s="165">
        <f t="shared" si="6"/>
        <v>0.16629336674672582</v>
      </c>
      <c r="R20" s="165">
        <f t="shared" si="6"/>
        <v>0.16629336674672582</v>
      </c>
      <c r="S20" s="165">
        <f t="shared" si="6"/>
        <v>0.16629336674672582</v>
      </c>
      <c r="T20" s="165">
        <f t="shared" si="6"/>
        <v>0.16629336674672582</v>
      </c>
      <c r="U20" s="165">
        <f t="shared" si="6"/>
        <v>0.16629336674672582</v>
      </c>
      <c r="V20" s="165">
        <f t="shared" si="6"/>
        <v>0.16629336674672582</v>
      </c>
      <c r="W20" s="165">
        <f t="shared" si="6"/>
        <v>0.16629336674672582</v>
      </c>
      <c r="X20" s="165">
        <f t="shared" si="6"/>
        <v>0.16629336674672582</v>
      </c>
      <c r="Y20" s="165">
        <f t="shared" si="6"/>
        <v>0.16629336674672582</v>
      </c>
      <c r="Z20" s="86"/>
      <c r="AA20" s="122"/>
    </row>
    <row r="21" spans="1:27" ht="12.75" customHeight="1" thickBot="1">
      <c r="B21" s="1"/>
      <c r="N21" s="161" t="s">
        <v>57</v>
      </c>
      <c r="O21" s="169"/>
      <c r="P21" s="126">
        <f t="shared" ref="P21:Y21" si="7">(P15-P16)/100</f>
        <v>5.5424959645097329E-4</v>
      </c>
      <c r="Q21" s="126">
        <f t="shared" si="7"/>
        <v>6.6322796145919683E-4</v>
      </c>
      <c r="R21" s="126">
        <f t="shared" si="7"/>
        <v>-5.4687440411066099E-4</v>
      </c>
      <c r="S21" s="126">
        <f t="shared" si="7"/>
        <v>7.5652794126372246E-4</v>
      </c>
      <c r="T21" s="126">
        <f t="shared" si="7"/>
        <v>7.4974017859091445E-4</v>
      </c>
      <c r="U21" s="126">
        <f t="shared" si="7"/>
        <v>3.1080072994429773E-4</v>
      </c>
      <c r="V21" s="126">
        <f t="shared" si="7"/>
        <v>-3.7267262983616033E-4</v>
      </c>
      <c r="W21" s="126">
        <f t="shared" si="7"/>
        <v>1.3346249654420472E-3</v>
      </c>
      <c r="X21" s="126">
        <f t="shared" si="7"/>
        <v>-1.6421391537122673E-4</v>
      </c>
      <c r="Y21" s="126">
        <f t="shared" si="7"/>
        <v>5.636972895172107E-5</v>
      </c>
      <c r="Z21" s="123"/>
      <c r="AA21" s="124"/>
    </row>
    <row r="22" spans="1:27" ht="12.75" customHeight="1" thickBot="1">
      <c r="A22" s="8"/>
    </row>
    <row r="23" spans="1:27" ht="12.75" customHeight="1">
      <c r="A23" s="8"/>
      <c r="B23" s="410" t="s">
        <v>58</v>
      </c>
      <c r="C23" s="411"/>
      <c r="D23" s="411"/>
      <c r="E23" s="411"/>
      <c r="F23" s="411"/>
      <c r="G23" s="411"/>
      <c r="H23" s="411"/>
      <c r="I23" s="411"/>
      <c r="J23" s="411"/>
      <c r="K23" s="412"/>
      <c r="N23" s="461" t="s">
        <v>59</v>
      </c>
      <c r="O23" s="455">
        <f>(L3-P18)/L5</f>
        <v>0.47715121486418427</v>
      </c>
      <c r="P23" s="456"/>
    </row>
    <row r="24" spans="1:27" ht="12.75" customHeight="1" thickBot="1">
      <c r="B24" s="413"/>
      <c r="C24" s="414"/>
      <c r="D24" s="414"/>
      <c r="E24" s="414"/>
      <c r="F24" s="414"/>
      <c r="G24" s="414"/>
      <c r="H24" s="414"/>
      <c r="I24" s="414"/>
      <c r="J24" s="414"/>
      <c r="K24" s="415"/>
      <c r="N24" s="462" t="s">
        <v>60</v>
      </c>
      <c r="O24" s="459" t="s">
        <v>53</v>
      </c>
      <c r="P24" s="457" t="s">
        <v>54</v>
      </c>
    </row>
    <row r="25" spans="1:27" ht="17.25" customHeight="1">
      <c r="B25" s="105"/>
      <c r="C25" s="118" t="s">
        <v>2</v>
      </c>
      <c r="D25" s="113" t="s">
        <v>3</v>
      </c>
      <c r="E25" s="114" t="s">
        <v>4</v>
      </c>
      <c r="F25" s="113" t="s">
        <v>5</v>
      </c>
      <c r="G25" s="113" t="s">
        <v>6</v>
      </c>
      <c r="H25" s="113" t="s">
        <v>7</v>
      </c>
      <c r="I25" s="113" t="s">
        <v>8</v>
      </c>
      <c r="J25" s="113" t="s">
        <v>9</v>
      </c>
      <c r="K25" s="115" t="s">
        <v>10</v>
      </c>
      <c r="N25" s="463"/>
      <c r="O25" s="460">
        <f>(L3-P18)/X3</f>
        <v>0.24344997203297988</v>
      </c>
      <c r="P25" s="458">
        <f>(L3-Q18)/X7</f>
        <v>2.9578178939934556</v>
      </c>
    </row>
    <row r="26" spans="1:27" ht="12.75" customHeight="1">
      <c r="B26" s="110" t="s">
        <v>1</v>
      </c>
      <c r="C26" s="119">
        <f>CORREL(Return!$B$2:$B$1222,Return!C$2:C$1222)</f>
        <v>1.8785608906239596E-2</v>
      </c>
      <c r="D26" s="119">
        <f>CORREL(Return!$B$2:$B$1222,Return!D$2:D$1222)</f>
        <v>-3.5234171660913651E-3</v>
      </c>
      <c r="E26" s="119">
        <f>CORREL(Return!$B$2:$B$1222,Return!E$2:E$1222)</f>
        <v>1.2398386277176982E-2</v>
      </c>
      <c r="F26" s="119">
        <f>CORREL(Return!$B$2:$B$1222,Return!F$2:F$1222)</f>
        <v>0.26487237136873387</v>
      </c>
      <c r="G26" s="119">
        <f>CORREL(Return!$B$2:$B$1222,Return!G$2:G$1222)</f>
        <v>-1.5545456078321741E-2</v>
      </c>
      <c r="H26" s="119">
        <f>CORREL(Return!$B$2:$B$1222,Return!H$2:H$1222)</f>
        <v>3.5943589825633213E-2</v>
      </c>
      <c r="I26" s="119">
        <f>CORREL(Return!$B$2:$B$1222,Return!I$2:I$1222)</f>
        <v>8.4590994464957235E-3</v>
      </c>
      <c r="J26" s="119">
        <f>CORREL(Return!$B$2:$B$1222,Return!J$2:J$1222)</f>
        <v>-4.5877039833627835E-2</v>
      </c>
      <c r="K26" s="119">
        <f>CORREL(Return!$B$2:$B$1222,Return!K$2:K$1222)</f>
        <v>3.297736333324755E-2</v>
      </c>
    </row>
    <row r="27" spans="1:27" ht="12.75" customHeight="1">
      <c r="B27" s="110" t="s">
        <v>2</v>
      </c>
      <c r="C27" s="119"/>
      <c r="D27" s="119">
        <f>CORREL(Return!$C$2:$C$1222,Return!D$2:D$1222)</f>
        <v>7.3782716385688882E-2</v>
      </c>
      <c r="E27" s="119">
        <f>CORREL(Return!$C$2:$C$1222,Return!E$2:E$1222)</f>
        <v>-1.9319557302167122E-4</v>
      </c>
      <c r="F27" s="119">
        <f>CORREL(Return!$C$2:$C$1222,Return!F$2:F$1222)</f>
        <v>9.0528330085928352E-2</v>
      </c>
      <c r="G27" s="119">
        <f>CORREL(Return!$C$2:$C$1222,Return!G$2:G$1222)</f>
        <v>4.2400056838135622E-2</v>
      </c>
      <c r="H27" s="119">
        <f>CORREL(Return!$C$2:$C$1222,Return!H$2:H$1222)</f>
        <v>4.8316098934647805E-2</v>
      </c>
      <c r="I27" s="119">
        <f>CORREL(Return!$C$2:$C$1222,Return!I$2:I$1222)</f>
        <v>0.10642143675355478</v>
      </c>
      <c r="J27" s="119">
        <f>CORREL(Return!$C$2:$C$1222,Return!J$2:J$1222)</f>
        <v>6.8441255280595539E-2</v>
      </c>
      <c r="K27" s="119">
        <f>CORREL(Return!$C$2:$C$1222,Return!K$2:K$1222)</f>
        <v>0.10904392556873795</v>
      </c>
    </row>
    <row r="28" spans="1:27" ht="12.75" customHeight="1">
      <c r="B28" s="110" t="s">
        <v>3</v>
      </c>
      <c r="C28" s="120"/>
      <c r="D28" s="120"/>
      <c r="E28" s="120">
        <f>CORREL(Return!$D$2:$D$1222,Return!E$2:E$1222)</f>
        <v>0.16827068240130691</v>
      </c>
      <c r="F28" s="120">
        <f>CORREL(Return!$D$2:$D$1222,Return!F$2:F$1222)</f>
        <v>3.7739588253313749E-2</v>
      </c>
      <c r="G28" s="120">
        <f>CORREL(Return!$D$2:$D$1222,Return!G$2:G$1222)</f>
        <v>9.7747635332574204E-2</v>
      </c>
      <c r="H28" s="120">
        <f>CORREL(Return!$D$2:$D$1222,Return!H$2:H$1222)</f>
        <v>0.18859849626149025</v>
      </c>
      <c r="I28" s="120">
        <f>CORREL(Return!$D$2:$D$1222,Return!I$2:I$1222)</f>
        <v>6.0550841528668777E-2</v>
      </c>
      <c r="J28" s="120">
        <f>CORREL(Return!$D$2:$D$1222,Return!J$2:J$1222)</f>
        <v>4.6255654545441477E-2</v>
      </c>
      <c r="K28" s="120">
        <f>CORREL(Return!$D$2:$D$1222,Return!K$2:K$1222)</f>
        <v>0.1036172721725792</v>
      </c>
    </row>
    <row r="29" spans="1:27" ht="12.75" customHeight="1">
      <c r="B29" s="111" t="s">
        <v>4</v>
      </c>
      <c r="C29" s="120"/>
      <c r="D29" s="120"/>
      <c r="E29" s="120"/>
      <c r="F29" s="120">
        <f>CORREL(Return!$E$2:$E$1222,Return!F$2:F$1222)</f>
        <v>5.5727532612613297E-2</v>
      </c>
      <c r="G29" s="120">
        <f>CORREL(Return!$E$2:$E$1222,Return!G$2:G$1222)</f>
        <v>0.16529696219913864</v>
      </c>
      <c r="H29" s="120">
        <f>CORREL(Return!$E$2:$E$1222,Return!H$2:H$1222)</f>
        <v>0.31208063938997438</v>
      </c>
      <c r="I29" s="120">
        <f>CORREL(Return!$E$2:$E$1222,Return!I$2:I$1222)</f>
        <v>2.6753829432141586E-2</v>
      </c>
      <c r="J29" s="120">
        <f>CORREL(Return!$E$2:$E$1222,Return!J$2:J$1222)</f>
        <v>3.0281087591738622E-2</v>
      </c>
      <c r="K29" s="120">
        <f>CORREL(Return!$E$2:$E$1222,Return!K$2:K$1222)</f>
        <v>4.6704651209805145E-2</v>
      </c>
    </row>
    <row r="30" spans="1:27" ht="12.75" customHeight="1">
      <c r="B30" s="110" t="s">
        <v>5</v>
      </c>
      <c r="C30" s="120"/>
      <c r="D30" s="120"/>
      <c r="E30" s="120"/>
      <c r="F30" s="120"/>
      <c r="G30" s="120">
        <f>CORREL(Return!$F$2:$F$1222,Return!G$2:G$1222)</f>
        <v>3.3992499318993133E-2</v>
      </c>
      <c r="H30" s="120">
        <f>CORREL(Return!$F$2:$F$1222,Return!H$2:H$1222)</f>
        <v>3.7992134713439769E-2</v>
      </c>
      <c r="I30" s="120">
        <f>CORREL(Return!$F$2:$F$1222,Return!I$2:I$1222)</f>
        <v>4.3563914896483341E-2</v>
      </c>
      <c r="J30" s="120">
        <f>CORREL(Return!$F$2:$F$1222,Return!J$2:J$1222)</f>
        <v>-2.9796714752746319E-3</v>
      </c>
      <c r="K30" s="120">
        <f>CORREL(Return!$F$2:$F$1222,Return!K$2:K$1222)</f>
        <v>1.0219282375675384E-4</v>
      </c>
    </row>
    <row r="31" spans="1:27" ht="12.75" customHeight="1">
      <c r="B31" s="110" t="s">
        <v>6</v>
      </c>
      <c r="C31" s="120"/>
      <c r="D31" s="120"/>
      <c r="E31" s="120"/>
      <c r="F31" s="120"/>
      <c r="G31" s="120"/>
      <c r="H31" s="120">
        <f>CORREL(Return!$G$2:$G$1222,Return!H$2:H$1222)</f>
        <v>0.10937371918249161</v>
      </c>
      <c r="I31" s="120">
        <f>CORREL(Return!$G$2:$G$1222,Return!I$2:I$1222)</f>
        <v>5.5204755721545241E-2</v>
      </c>
      <c r="J31" s="120">
        <f>CORREL(Return!$G$2:$G$1222,Return!J$2:J$1222)</f>
        <v>2.7342564670015886E-2</v>
      </c>
      <c r="K31" s="120">
        <f>CORREL(Return!$G$2:$G$1222,Return!K$2:K$1222)</f>
        <v>-1.56376539264949E-2</v>
      </c>
    </row>
    <row r="32" spans="1:27" ht="12.75" customHeight="1">
      <c r="B32" s="110" t="s">
        <v>7</v>
      </c>
      <c r="C32" s="120"/>
      <c r="D32" s="120"/>
      <c r="E32" s="120"/>
      <c r="F32" s="120"/>
      <c r="G32" s="120"/>
      <c r="H32" s="120"/>
      <c r="I32" s="120">
        <f>CORREL(Return!$H$2:$H$1222,Return!I$2:I$1222)</f>
        <v>1.0603139573609666E-2</v>
      </c>
      <c r="J32" s="120">
        <f>CORREL(Return!$H$2:$H$1222,Return!J$2:J$1222)</f>
        <v>5.7894619329458184E-2</v>
      </c>
      <c r="K32" s="120">
        <f>CORREL(Return!$H$2:$H$1222,Return!K$2:K$1222)</f>
        <v>5.7986702181292295E-2</v>
      </c>
    </row>
    <row r="33" spans="2:11" ht="12.75" customHeight="1">
      <c r="B33" s="110" t="s">
        <v>8</v>
      </c>
      <c r="C33" s="120"/>
      <c r="D33" s="120"/>
      <c r="E33" s="120"/>
      <c r="F33" s="120"/>
      <c r="G33" s="120"/>
      <c r="H33" s="120"/>
      <c r="I33" s="120"/>
      <c r="J33" s="120">
        <f>CORREL(Return!$I$2:$I$1222,Return!J$2:J$1222)</f>
        <v>0.12978961636132794</v>
      </c>
      <c r="K33" s="120">
        <f>CORREL(Return!$I$2:$I$1222,Return!K$2:K$1222)</f>
        <v>0.12687297808701531</v>
      </c>
    </row>
    <row r="34" spans="2:11" ht="12.75" customHeight="1">
      <c r="B34" s="110" t="s">
        <v>9</v>
      </c>
      <c r="C34" s="120"/>
      <c r="D34" s="120"/>
      <c r="E34" s="120"/>
      <c r="F34" s="120"/>
      <c r="G34" s="120"/>
      <c r="H34" s="120"/>
      <c r="I34" s="120"/>
      <c r="J34" s="120"/>
      <c r="K34" s="120">
        <f>CORREL(Return!$J$2:$J$1222,Return!K$2:K$1222)</f>
        <v>0.26265449091718784</v>
      </c>
    </row>
    <row r="35" spans="2:11" ht="12.75" customHeight="1" thickBot="1">
      <c r="B35" s="112" t="s">
        <v>10</v>
      </c>
      <c r="C35" s="120"/>
      <c r="D35" s="120"/>
      <c r="E35" s="120"/>
      <c r="F35" s="120"/>
      <c r="G35" s="120"/>
      <c r="H35" s="120"/>
      <c r="I35" s="120"/>
      <c r="J35" s="120"/>
      <c r="K35" s="120"/>
    </row>
    <row r="39" spans="2:11" ht="12.75" customHeight="1">
      <c r="B39" s="171" t="s">
        <v>61</v>
      </c>
      <c r="C39" s="173" t="s">
        <v>62</v>
      </c>
    </row>
    <row r="40" spans="2:11" ht="12.75" customHeight="1">
      <c r="B40" s="172" t="s">
        <v>63</v>
      </c>
      <c r="C40" s="173" t="s">
        <v>64</v>
      </c>
    </row>
    <row r="41" spans="2:11" ht="12.75" customHeight="1">
      <c r="B41" s="172" t="s">
        <v>1</v>
      </c>
      <c r="C41" s="174">
        <v>0.1</v>
      </c>
    </row>
    <row r="42" spans="2:11" ht="12.75" customHeight="1">
      <c r="B42" s="172" t="s">
        <v>2</v>
      </c>
      <c r="C42" s="174">
        <v>0.1</v>
      </c>
    </row>
    <row r="43" spans="2:11" ht="12.75" customHeight="1">
      <c r="B43" s="172" t="s">
        <v>3</v>
      </c>
      <c r="C43" s="174">
        <v>0.1</v>
      </c>
    </row>
    <row r="44" spans="2:11" ht="12.75" customHeight="1">
      <c r="B44" s="172" t="s">
        <v>4</v>
      </c>
      <c r="C44" s="174">
        <v>0.1</v>
      </c>
    </row>
    <row r="45" spans="2:11" ht="12.75" customHeight="1">
      <c r="B45" s="172" t="s">
        <v>5</v>
      </c>
      <c r="C45" s="174">
        <v>0.1</v>
      </c>
    </row>
    <row r="46" spans="2:11" ht="12.75" customHeight="1">
      <c r="B46" s="172" t="s">
        <v>6</v>
      </c>
      <c r="C46" s="174">
        <v>0.1</v>
      </c>
    </row>
    <row r="47" spans="2:11" ht="12.75" customHeight="1">
      <c r="B47" s="172" t="s">
        <v>7</v>
      </c>
      <c r="C47" s="174">
        <v>0.1</v>
      </c>
    </row>
    <row r="48" spans="2:11" ht="12.75" customHeight="1">
      <c r="B48" s="172" t="s">
        <v>8</v>
      </c>
      <c r="C48" s="174">
        <v>0.1</v>
      </c>
    </row>
    <row r="49" spans="2:3" ht="12.75" customHeight="1">
      <c r="B49" s="172" t="s">
        <v>9</v>
      </c>
      <c r="C49" s="174">
        <v>0.1</v>
      </c>
    </row>
    <row r="50" spans="2:3" ht="12.75" customHeight="1">
      <c r="B50" s="172" t="s">
        <v>10</v>
      </c>
      <c r="C50" s="174">
        <v>0.1</v>
      </c>
    </row>
  </sheetData>
  <mergeCells count="7">
    <mergeCell ref="B23:K24"/>
    <mergeCell ref="N5:W5"/>
    <mergeCell ref="B8:K9"/>
    <mergeCell ref="N1:W1"/>
    <mergeCell ref="N16:N17"/>
    <mergeCell ref="N19:N20"/>
    <mergeCell ref="N24:N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>
      <selection activeCell="E13" sqref="E13"/>
    </sheetView>
  </sheetViews>
  <sheetFormatPr defaultColWidth="8.6640625" defaultRowHeight="13.2"/>
  <cols>
    <col min="1" max="1" width="33.33203125" style="1" customWidth="1"/>
    <col min="2" max="2" width="14.21875" customWidth="1"/>
    <col min="3" max="3" width="14.33203125" customWidth="1"/>
    <col min="4" max="4" width="11.44140625" customWidth="1"/>
    <col min="5" max="5" width="12.109375" customWidth="1"/>
    <col min="6" max="6" width="12.44140625" customWidth="1"/>
    <col min="7" max="7" width="13.21875" customWidth="1"/>
  </cols>
  <sheetData>
    <row r="1" spans="1:7" ht="24.6" customHeight="1">
      <c r="A1" s="139" t="s">
        <v>65</v>
      </c>
      <c r="B1" s="140" t="s">
        <v>66</v>
      </c>
      <c r="C1" s="140" t="s">
        <v>67</v>
      </c>
      <c r="D1" s="140" t="s">
        <v>68</v>
      </c>
      <c r="E1" s="140" t="s">
        <v>69</v>
      </c>
      <c r="F1" s="140" t="s">
        <v>70</v>
      </c>
      <c r="G1" s="141" t="s">
        <v>71</v>
      </c>
    </row>
    <row r="2" spans="1:7" ht="12.75" customHeight="1">
      <c r="A2" s="116" t="s">
        <v>72</v>
      </c>
      <c r="B2" s="142">
        <f>'Stock Statistics'!L3</f>
        <v>0.11675796248391279</v>
      </c>
      <c r="C2" s="142">
        <f>'Stock Statistics'!L5</f>
        <v>0.1017664022876569</v>
      </c>
      <c r="D2" s="143">
        <f>'Stock Statistics'!X3</f>
        <v>0.19945766301971357</v>
      </c>
      <c r="E2" s="143">
        <f>'Stock Statistics'!O23</f>
        <v>0.47715121486418427</v>
      </c>
      <c r="F2" s="143">
        <f>'Stock Statistics'!O25</f>
        <v>0.24344997203297988</v>
      </c>
      <c r="G2" s="144">
        <f>'Stock Statistics'!L3-('Stock Statistics'!P18+'Stock Statistics'!X3*('Stock Statistics'!P19-'Stock Statistics'!P18))</f>
        <v>2.6256008225920224E-2</v>
      </c>
    </row>
    <row r="3" spans="1:7">
      <c r="A3" s="116" t="s">
        <v>73</v>
      </c>
      <c r="B3" s="142">
        <f>'Portfolio 2 &amp; 3'!J8</f>
        <v>0.11758308142664564</v>
      </c>
      <c r="C3" s="142">
        <f>'Portfolio 2 &amp; 3'!J10</f>
        <v>0.10414615501247595</v>
      </c>
      <c r="D3" s="143">
        <f>'Portfolio 2 &amp; 3'!J11</f>
        <v>0.20342873368675937</v>
      </c>
      <c r="E3" s="143">
        <f>'Portfolio 2 &amp; 3'!J15</f>
        <v>0.47417095158942651</v>
      </c>
      <c r="F3" s="143">
        <f>'Portfolio 2 &amp; 3'!J16</f>
        <v>0.24275371788277447</v>
      </c>
      <c r="G3" s="144">
        <f>'Portfolio 2 &amp; 3'!J14</f>
        <v>2.663710995201217E-2</v>
      </c>
    </row>
    <row r="4" spans="1:7">
      <c r="A4" s="116" t="s">
        <v>74</v>
      </c>
      <c r="B4" s="142">
        <f>'Portfolio 2 &amp; 3'!E24</f>
        <v>0.19368659018203904</v>
      </c>
      <c r="C4" s="142">
        <f>'Portfolio 2 &amp; 3'!E26</f>
        <v>0.11037186331087459</v>
      </c>
      <c r="D4" s="143">
        <f>'Portfolio 2 &amp; 3'!E27</f>
        <v>0.16794585946027249</v>
      </c>
      <c r="E4" s="143">
        <f>'Portfolio 2 &amp; 3'!E31</f>
        <v>1.136943659532069</v>
      </c>
      <c r="F4" s="143">
        <f>'Portfolio 2 &amp; 3'!E32</f>
        <v>0.74718478076991746</v>
      </c>
      <c r="G4" s="144">
        <f>'Portfolio 2 &amp; 3'!E30</f>
        <v>0.10670806435958391</v>
      </c>
    </row>
    <row r="5" spans="1:7">
      <c r="A5" s="116" t="s">
        <v>75</v>
      </c>
      <c r="B5" s="142">
        <f>'Portfolio 4-6'!B7</f>
        <v>0.1925579641119104</v>
      </c>
      <c r="C5" s="142">
        <f>'Portfolio 4-6'!B9</f>
        <v>9.5140197306479699E-2</v>
      </c>
      <c r="D5" s="143">
        <f>'Portfolio 4-6'!B10</f>
        <v>0.52146351953724057</v>
      </c>
      <c r="E5" s="143">
        <f>'Portfolio 4-6'!B14</f>
        <v>1.3071022305252331</v>
      </c>
      <c r="F5" s="143">
        <f>'Portfolio 4-6'!B15</f>
        <v>0.23847874194971239</v>
      </c>
      <c r="G5" s="144">
        <f>'Portfolio 4-6'!B13</f>
        <v>6.6051577764738911E-2</v>
      </c>
    </row>
    <row r="6" spans="1:7">
      <c r="A6" s="116" t="s">
        <v>76</v>
      </c>
      <c r="B6" s="142">
        <f>'Portfolio 4-6'!E7</f>
        <v>0.19929966912292163</v>
      </c>
      <c r="C6" s="142">
        <f>'Portfolio 4-6'!E9</f>
        <v>0.13059445975490863</v>
      </c>
      <c r="D6" s="143">
        <f>'Portfolio 4-6'!E10</f>
        <v>0.99917830731306545</v>
      </c>
      <c r="E6" s="143">
        <f>'Portfolio 4-6'!E14</f>
        <v>1.0038685359927302</v>
      </c>
      <c r="F6" s="143">
        <f>'Portfolio 4-6'!E15</f>
        <v>0.13120748135081872</v>
      </c>
      <c r="G6" s="144">
        <f>'Portfolio 4-6'!E13</f>
        <v>1.9378572184810955E-2</v>
      </c>
    </row>
    <row r="7" spans="1:7" ht="13.8" thickBot="1">
      <c r="A7" s="117" t="s">
        <v>77</v>
      </c>
      <c r="B7" s="145">
        <f>'Portfolio 4-6'!H7</f>
        <v>0.181053343294028</v>
      </c>
      <c r="C7" s="145">
        <f>'Portfolio 4-6'!H9</f>
        <v>0.13267663640677216</v>
      </c>
      <c r="D7" s="146">
        <f>'Portfolio 4-6'!H10</f>
        <v>3.4792531653090396E-2</v>
      </c>
      <c r="E7" s="146">
        <f>'Portfolio 4-6'!H14</f>
        <v>0.85058942064247023</v>
      </c>
      <c r="F7" s="146">
        <f>'Portfolio 4-6'!H15</f>
        <v>3.2436082668334363</v>
      </c>
      <c r="G7" s="147">
        <f>'Portfolio 4-6'!H13</f>
        <v>0.10896308689725928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271"/>
  <sheetViews>
    <sheetView workbookViewId="0">
      <selection activeCell="H7" sqref="H7"/>
    </sheetView>
  </sheetViews>
  <sheetFormatPr defaultRowHeight="13.2"/>
  <cols>
    <col min="1" max="1" width="18.77734375" style="163" customWidth="1"/>
    <col min="2" max="2" width="36.44140625" customWidth="1"/>
    <col min="3" max="3" width="20" customWidth="1"/>
  </cols>
  <sheetData>
    <row r="1" spans="1:3" ht="13.8">
      <c r="A1" s="405" t="s">
        <v>203</v>
      </c>
      <c r="B1" s="404" t="s">
        <v>65</v>
      </c>
      <c r="C1" s="404" t="s">
        <v>204</v>
      </c>
    </row>
    <row r="2" spans="1:3">
      <c r="A2" s="406">
        <f>Return!A2</f>
        <v>46080</v>
      </c>
      <c r="B2" s="408" t="s">
        <v>72</v>
      </c>
      <c r="C2" s="409">
        <f>Return!L2</f>
        <v>-1.2797187536666229E-2</v>
      </c>
    </row>
    <row r="3" spans="1:3">
      <c r="A3" s="406">
        <f>Return!A3</f>
        <v>46079</v>
      </c>
      <c r="B3" s="408" t="s">
        <v>72</v>
      </c>
      <c r="C3" s="409">
        <f>Return!L3</f>
        <v>1.0093914769435535E-2</v>
      </c>
    </row>
    <row r="4" spans="1:3">
      <c r="A4" s="406">
        <f>Return!A4</f>
        <v>46078</v>
      </c>
      <c r="B4" s="408" t="s">
        <v>72</v>
      </c>
      <c r="C4" s="409">
        <f>Return!L4</f>
        <v>1.595578546277136E-2</v>
      </c>
    </row>
    <row r="5" spans="1:3">
      <c r="A5" s="406">
        <f>Return!A5</f>
        <v>46077</v>
      </c>
      <c r="B5" s="408" t="s">
        <v>72</v>
      </c>
      <c r="C5" s="409">
        <f>Return!L5</f>
        <v>1.2648738370691333E-3</v>
      </c>
    </row>
    <row r="6" spans="1:3">
      <c r="A6" s="406">
        <f>Return!A6</f>
        <v>46076</v>
      </c>
      <c r="B6" s="408" t="s">
        <v>72</v>
      </c>
      <c r="C6" s="409">
        <f>Return!L6</f>
        <v>6.6240352276421893E-3</v>
      </c>
    </row>
    <row r="7" spans="1:3">
      <c r="A7" s="406">
        <f>Return!A7</f>
        <v>46073</v>
      </c>
      <c r="B7" s="408" t="s">
        <v>72</v>
      </c>
      <c r="C7" s="409">
        <f>Return!L7</f>
        <v>3.7415852577396796E-4</v>
      </c>
    </row>
    <row r="8" spans="1:3">
      <c r="A8" s="406">
        <f>Return!A8</f>
        <v>46072</v>
      </c>
      <c r="B8" s="408" t="s">
        <v>72</v>
      </c>
      <c r="C8" s="409">
        <f>Return!L8</f>
        <v>-3.3390465055341901E-3</v>
      </c>
    </row>
    <row r="9" spans="1:3">
      <c r="A9" s="406">
        <f>Return!A9</f>
        <v>46071</v>
      </c>
      <c r="B9" s="408" t="s">
        <v>72</v>
      </c>
      <c r="C9" s="409">
        <f>Return!L9</f>
        <v>-2.6785545483675767E-3</v>
      </c>
    </row>
    <row r="10" spans="1:3">
      <c r="A10" s="406">
        <f>Return!A10</f>
        <v>46070</v>
      </c>
      <c r="B10" s="408" t="s">
        <v>72</v>
      </c>
      <c r="C10" s="409">
        <f>Return!L10</f>
        <v>2.953972826687743E-3</v>
      </c>
    </row>
    <row r="11" spans="1:3">
      <c r="A11" s="406">
        <f>Return!A11</f>
        <v>46069</v>
      </c>
      <c r="B11" s="408" t="s">
        <v>72</v>
      </c>
      <c r="C11" s="409">
        <f>Return!L11</f>
        <v>1.1283731095424047E-2</v>
      </c>
    </row>
    <row r="12" spans="1:3">
      <c r="A12" s="406">
        <f>Return!A12</f>
        <v>46066</v>
      </c>
      <c r="B12" s="408" t="s">
        <v>72</v>
      </c>
      <c r="C12" s="409">
        <f>Return!L12</f>
        <v>-1.3715196714510531E-2</v>
      </c>
    </row>
    <row r="13" spans="1:3">
      <c r="A13" s="406">
        <f>Return!A13</f>
        <v>46065</v>
      </c>
      <c r="B13" s="408" t="s">
        <v>72</v>
      </c>
      <c r="C13" s="409">
        <f>Return!L13</f>
        <v>-1.624858476741777E-3</v>
      </c>
    </row>
    <row r="14" spans="1:3">
      <c r="A14" s="406">
        <f>Return!A14</f>
        <v>46064</v>
      </c>
      <c r="B14" s="408" t="s">
        <v>72</v>
      </c>
      <c r="C14" s="409">
        <f>Return!L14</f>
        <v>7.7044299857629717E-3</v>
      </c>
    </row>
    <row r="15" spans="1:3">
      <c r="A15" s="406">
        <f>Return!A15</f>
        <v>46063</v>
      </c>
      <c r="B15" s="408" t="s">
        <v>72</v>
      </c>
      <c r="C15" s="409">
        <f>Return!L15</f>
        <v>-8.8791219606282369E-3</v>
      </c>
    </row>
    <row r="16" spans="1:3">
      <c r="A16" s="406">
        <f>Return!A16</f>
        <v>46062</v>
      </c>
      <c r="B16" s="408" t="s">
        <v>72</v>
      </c>
      <c r="C16" s="409">
        <f>Return!L16</f>
        <v>1.4164412048153278E-2</v>
      </c>
    </row>
    <row r="17" spans="1:3">
      <c r="A17" s="406">
        <f>Return!A17</f>
        <v>46059</v>
      </c>
      <c r="B17" s="408" t="s">
        <v>72</v>
      </c>
      <c r="C17" s="409">
        <f>Return!L17</f>
        <v>-5.7874988880559641E-3</v>
      </c>
    </row>
    <row r="18" spans="1:3">
      <c r="A18" s="406">
        <f>Return!A18</f>
        <v>46058</v>
      </c>
      <c r="B18" s="408" t="s">
        <v>72</v>
      </c>
      <c r="C18" s="409">
        <f>Return!L18</f>
        <v>-3.1778650747548527E-4</v>
      </c>
    </row>
    <row r="19" spans="1:3">
      <c r="A19" s="406">
        <f>Return!A19</f>
        <v>46057</v>
      </c>
      <c r="B19" s="408" t="s">
        <v>72</v>
      </c>
      <c r="C19" s="409">
        <f>Return!L19</f>
        <v>-3.137997392134992E-3</v>
      </c>
    </row>
    <row r="20" spans="1:3">
      <c r="A20" s="406">
        <f>Return!A20</f>
        <v>46056</v>
      </c>
      <c r="B20" s="408" t="s">
        <v>72</v>
      </c>
      <c r="C20" s="409">
        <f>Return!L20</f>
        <v>2.2898883590782716E-2</v>
      </c>
    </row>
    <row r="21" spans="1:3">
      <c r="A21" s="406">
        <f>Return!A21</f>
        <v>46055</v>
      </c>
      <c r="B21" s="408" t="s">
        <v>72</v>
      </c>
      <c r="C21" s="409">
        <f>Return!L21</f>
        <v>-2.5156488817992496E-3</v>
      </c>
    </row>
    <row r="22" spans="1:3">
      <c r="A22" s="406">
        <f>Return!A22</f>
        <v>46054</v>
      </c>
      <c r="B22" s="408" t="s">
        <v>72</v>
      </c>
      <c r="C22" s="409">
        <f>Return!L22</f>
        <v>-8.6671587899734785E-3</v>
      </c>
    </row>
    <row r="23" spans="1:3">
      <c r="A23" s="406">
        <f>Return!A23</f>
        <v>46052</v>
      </c>
      <c r="B23" s="408" t="s">
        <v>72</v>
      </c>
      <c r="C23" s="409">
        <f>Return!L23</f>
        <v>1.0614895343360966E-2</v>
      </c>
    </row>
    <row r="24" spans="1:3">
      <c r="A24" s="406">
        <f>Return!A24</f>
        <v>46051</v>
      </c>
      <c r="B24" s="408" t="s">
        <v>72</v>
      </c>
      <c r="C24" s="409">
        <f>Return!L24</f>
        <v>-9.2211793914967703E-3</v>
      </c>
    </row>
    <row r="25" spans="1:3">
      <c r="A25" s="406">
        <f>Return!A25</f>
        <v>46050</v>
      </c>
      <c r="B25" s="408" t="s">
        <v>72</v>
      </c>
      <c r="C25" s="409">
        <f>Return!L25</f>
        <v>-1.4339105682072638E-3</v>
      </c>
    </row>
    <row r="26" spans="1:3">
      <c r="A26" s="406">
        <f>Return!A26</f>
        <v>46049</v>
      </c>
      <c r="B26" s="408" t="s">
        <v>72</v>
      </c>
      <c r="C26" s="409">
        <f>Return!L26</f>
        <v>4.2425968908908276E-3</v>
      </c>
    </row>
    <row r="27" spans="1:3">
      <c r="A27" s="406">
        <f>Return!A27</f>
        <v>46045</v>
      </c>
      <c r="B27" s="408" t="s">
        <v>72</v>
      </c>
      <c r="C27" s="409">
        <f>Return!L27</f>
        <v>-8.677308566120567E-3</v>
      </c>
    </row>
    <row r="28" spans="1:3">
      <c r="A28" s="406">
        <f>Return!A28</f>
        <v>46044</v>
      </c>
      <c r="B28" s="408" t="s">
        <v>72</v>
      </c>
      <c r="C28" s="409">
        <f>Return!L28</f>
        <v>1.4717759778713532E-2</v>
      </c>
    </row>
    <row r="29" spans="1:3">
      <c r="A29" s="406">
        <f>Return!A29</f>
        <v>46043</v>
      </c>
      <c r="B29" s="408" t="s">
        <v>72</v>
      </c>
      <c r="C29" s="409">
        <f>Return!L29</f>
        <v>-3.9098614968804644E-3</v>
      </c>
    </row>
    <row r="30" spans="1:3">
      <c r="A30" s="406">
        <f>Return!A30</f>
        <v>46042</v>
      </c>
      <c r="B30" s="408" t="s">
        <v>72</v>
      </c>
      <c r="C30" s="409">
        <f>Return!L30</f>
        <v>-1.5397713882161115E-2</v>
      </c>
    </row>
    <row r="31" spans="1:3">
      <c r="A31" s="406">
        <f>Return!A31</f>
        <v>46041</v>
      </c>
      <c r="B31" s="408" t="s">
        <v>72</v>
      </c>
      <c r="C31" s="409">
        <f>Return!L31</f>
        <v>2.6418714515361215E-5</v>
      </c>
    </row>
    <row r="32" spans="1:3">
      <c r="A32" s="406">
        <f>Return!A32</f>
        <v>46038</v>
      </c>
      <c r="B32" s="408" t="s">
        <v>72</v>
      </c>
      <c r="C32" s="409">
        <f>Return!L32</f>
        <v>-1.0868328105236991E-2</v>
      </c>
    </row>
    <row r="33" spans="1:3">
      <c r="A33" s="406">
        <f>Return!A33</f>
        <v>46036</v>
      </c>
      <c r="B33" s="408" t="s">
        <v>72</v>
      </c>
      <c r="C33" s="409">
        <f>Return!L33</f>
        <v>-3.4796669039475494E-3</v>
      </c>
    </row>
    <row r="34" spans="1:3">
      <c r="A34" s="406">
        <f>Return!A34</f>
        <v>46035</v>
      </c>
      <c r="B34" s="408" t="s">
        <v>72</v>
      </c>
      <c r="C34" s="409">
        <f>Return!L34</f>
        <v>-5.9726849740841786E-3</v>
      </c>
    </row>
    <row r="35" spans="1:3">
      <c r="A35" s="406">
        <f>Return!A35</f>
        <v>46034</v>
      </c>
      <c r="B35" s="408" t="s">
        <v>72</v>
      </c>
      <c r="C35" s="409">
        <f>Return!L35</f>
        <v>-8.4924028361368139E-4</v>
      </c>
    </row>
    <row r="36" spans="1:3">
      <c r="A36" s="406">
        <f>Return!A36</f>
        <v>46031</v>
      </c>
      <c r="B36" s="408" t="s">
        <v>72</v>
      </c>
      <c r="C36" s="409">
        <f>Return!L36</f>
        <v>-5.62309497758784E-3</v>
      </c>
    </row>
    <row r="37" spans="1:3">
      <c r="A37" s="406">
        <f>Return!A37</f>
        <v>46030</v>
      </c>
      <c r="B37" s="408" t="s">
        <v>72</v>
      </c>
      <c r="C37" s="409">
        <f>Return!L37</f>
        <v>-1.3476136856401434E-2</v>
      </c>
    </row>
    <row r="38" spans="1:3">
      <c r="A38" s="406">
        <f>Return!A38</f>
        <v>46029</v>
      </c>
      <c r="B38" s="408" t="s">
        <v>72</v>
      </c>
      <c r="C38" s="409">
        <f>Return!L38</f>
        <v>5.2973083550982986E-3</v>
      </c>
    </row>
    <row r="39" spans="1:3">
      <c r="A39" s="406">
        <f>Return!A39</f>
        <v>46028</v>
      </c>
      <c r="B39" s="408" t="s">
        <v>72</v>
      </c>
      <c r="C39" s="409">
        <f>Return!L39</f>
        <v>1.8149433012124714E-2</v>
      </c>
    </row>
    <row r="40" spans="1:3">
      <c r="A40" s="406">
        <f>Return!A40</f>
        <v>46027</v>
      </c>
      <c r="B40" s="408" t="s">
        <v>72</v>
      </c>
      <c r="C40" s="409">
        <f>Return!L40</f>
        <v>-2.4823657109016525E-3</v>
      </c>
    </row>
    <row r="41" spans="1:3">
      <c r="A41" s="406">
        <f>Return!A41</f>
        <v>46024</v>
      </c>
      <c r="B41" s="408" t="s">
        <v>72</v>
      </c>
      <c r="C41" s="409">
        <f>Return!L41</f>
        <v>6.3424860027880142E-3</v>
      </c>
    </row>
    <row r="42" spans="1:3">
      <c r="A42" s="406">
        <f>Return!A42</f>
        <v>46023</v>
      </c>
      <c r="B42" s="408" t="s">
        <v>72</v>
      </c>
      <c r="C42" s="409">
        <f>Return!L42</f>
        <v>-5.0717915750937096E-3</v>
      </c>
    </row>
    <row r="43" spans="1:3">
      <c r="A43" s="406">
        <f>Return!A43</f>
        <v>46022</v>
      </c>
      <c r="B43" s="408" t="s">
        <v>72</v>
      </c>
      <c r="C43" s="409">
        <f>Return!L43</f>
        <v>6.6365782585987307E-3</v>
      </c>
    </row>
    <row r="44" spans="1:3">
      <c r="A44" s="406">
        <f>Return!A44</f>
        <v>46021</v>
      </c>
      <c r="B44" s="408" t="s">
        <v>72</v>
      </c>
      <c r="C44" s="409">
        <f>Return!L44</f>
        <v>-3.3393269856187026E-3</v>
      </c>
    </row>
    <row r="45" spans="1:3">
      <c r="A45" s="406">
        <f>Return!A45</f>
        <v>46020</v>
      </c>
      <c r="B45" s="408" t="s">
        <v>72</v>
      </c>
      <c r="C45" s="409">
        <f>Return!L45</f>
        <v>-5.405546518658687E-3</v>
      </c>
    </row>
    <row r="46" spans="1:3">
      <c r="A46" s="406">
        <f>Return!A46</f>
        <v>46017</v>
      </c>
      <c r="B46" s="408" t="s">
        <v>72</v>
      </c>
      <c r="C46" s="409">
        <f>Return!L46</f>
        <v>-1.6566311402594113E-3</v>
      </c>
    </row>
    <row r="47" spans="1:3">
      <c r="A47" s="406">
        <f>Return!A47</f>
        <v>46015</v>
      </c>
      <c r="B47" s="408" t="s">
        <v>72</v>
      </c>
      <c r="C47" s="409">
        <f>Return!L47</f>
        <v>-3.6036410551162986E-3</v>
      </c>
    </row>
    <row r="48" spans="1:3">
      <c r="A48" s="406">
        <f>Return!A48</f>
        <v>46014</v>
      </c>
      <c r="B48" s="408" t="s">
        <v>72</v>
      </c>
      <c r="C48" s="409">
        <f>Return!L48</f>
        <v>-1.8174646025169133E-3</v>
      </c>
    </row>
    <row r="49" spans="1:3">
      <c r="A49" s="406">
        <f>Return!A49</f>
        <v>46013</v>
      </c>
      <c r="B49" s="408" t="s">
        <v>72</v>
      </c>
      <c r="C49" s="409">
        <f>Return!L49</f>
        <v>3.3042930718864211E-3</v>
      </c>
    </row>
    <row r="50" spans="1:3">
      <c r="A50" s="406">
        <f>Return!A50</f>
        <v>46010</v>
      </c>
      <c r="B50" s="408" t="s">
        <v>72</v>
      </c>
      <c r="C50" s="409">
        <f>Return!L50</f>
        <v>6.3721213917445566E-3</v>
      </c>
    </row>
    <row r="51" spans="1:3">
      <c r="A51" s="406">
        <f>Return!A51</f>
        <v>46009</v>
      </c>
      <c r="B51" s="408" t="s">
        <v>72</v>
      </c>
      <c r="C51" s="409">
        <f>Return!L51</f>
        <v>-3.9240961511948489E-4</v>
      </c>
    </row>
    <row r="52" spans="1:3">
      <c r="A52" s="406">
        <f>Return!A52</f>
        <v>46008</v>
      </c>
      <c r="B52" s="408" t="s">
        <v>72</v>
      </c>
      <c r="C52" s="409">
        <f>Return!L52</f>
        <v>5.7587049377719537E-4</v>
      </c>
    </row>
    <row r="53" spans="1:3">
      <c r="A53" s="406">
        <f>Return!A53</f>
        <v>46007</v>
      </c>
      <c r="B53" s="408" t="s">
        <v>72</v>
      </c>
      <c r="C53" s="409">
        <f>Return!L53</f>
        <v>-3.7373512451255859E-3</v>
      </c>
    </row>
    <row r="54" spans="1:3">
      <c r="A54" s="406">
        <f>Return!A54</f>
        <v>46006</v>
      </c>
      <c r="B54" s="408" t="s">
        <v>72</v>
      </c>
      <c r="C54" s="409">
        <f>Return!L54</f>
        <v>-5.2765014751046703E-3</v>
      </c>
    </row>
    <row r="55" spans="1:3">
      <c r="A55" s="406">
        <f>Return!A55</f>
        <v>46003</v>
      </c>
      <c r="B55" s="408" t="s">
        <v>72</v>
      </c>
      <c r="C55" s="409">
        <f>Return!L55</f>
        <v>3.3336139329665517E-3</v>
      </c>
    </row>
    <row r="56" spans="1:3">
      <c r="A56" s="406">
        <f>Return!A56</f>
        <v>46002</v>
      </c>
      <c r="B56" s="408" t="s">
        <v>72</v>
      </c>
      <c r="C56" s="409">
        <f>Return!L56</f>
        <v>8.832868400877528E-3</v>
      </c>
    </row>
    <row r="57" spans="1:3">
      <c r="A57" s="406">
        <f>Return!A57</f>
        <v>46001</v>
      </c>
      <c r="B57" s="408" t="s">
        <v>72</v>
      </c>
      <c r="C57" s="409">
        <f>Return!L57</f>
        <v>8.8245711426645623E-4</v>
      </c>
    </row>
    <row r="58" spans="1:3">
      <c r="A58" s="406">
        <f>Return!A58</f>
        <v>46000</v>
      </c>
      <c r="B58" s="408" t="s">
        <v>72</v>
      </c>
      <c r="C58" s="409">
        <f>Return!L58</f>
        <v>-7.1943978788837184E-3</v>
      </c>
    </row>
    <row r="59" spans="1:3">
      <c r="A59" s="406">
        <f>Return!A59</f>
        <v>45999</v>
      </c>
      <c r="B59" s="408" t="s">
        <v>72</v>
      </c>
      <c r="C59" s="409">
        <f>Return!L59</f>
        <v>-1.2789736938888989E-2</v>
      </c>
    </row>
    <row r="60" spans="1:3">
      <c r="A60" s="406">
        <f>Return!A60</f>
        <v>45996</v>
      </c>
      <c r="B60" s="408" t="s">
        <v>72</v>
      </c>
      <c r="C60" s="409">
        <f>Return!L60</f>
        <v>-1.2112099083899832E-3</v>
      </c>
    </row>
    <row r="61" spans="1:3">
      <c r="A61" s="406">
        <f>Return!A61</f>
        <v>45995</v>
      </c>
      <c r="B61" s="408" t="s">
        <v>72</v>
      </c>
      <c r="C61" s="409">
        <f>Return!L61</f>
        <v>5.0620384368309781E-3</v>
      </c>
    </row>
    <row r="62" spans="1:3">
      <c r="A62" s="406">
        <f>Return!A62</f>
        <v>45994</v>
      </c>
      <c r="B62" s="408" t="s">
        <v>72</v>
      </c>
      <c r="C62" s="409">
        <f>Return!L62</f>
        <v>-1.8476757800396713E-3</v>
      </c>
    </row>
    <row r="63" spans="1:3">
      <c r="A63" s="406">
        <f>Return!A63</f>
        <v>45993</v>
      </c>
      <c r="B63" s="408" t="s">
        <v>72</v>
      </c>
      <c r="C63" s="409">
        <f>Return!L63</f>
        <v>-1.134381225340278E-3</v>
      </c>
    </row>
    <row r="64" spans="1:3">
      <c r="A64" s="406">
        <f>Return!A64</f>
        <v>45992</v>
      </c>
      <c r="B64" s="408" t="s">
        <v>72</v>
      </c>
      <c r="C64" s="409">
        <f>Return!L64</f>
        <v>-6.4837276015830341E-3</v>
      </c>
    </row>
    <row r="65" spans="1:3">
      <c r="A65" s="406">
        <f>Return!A65</f>
        <v>45989</v>
      </c>
      <c r="B65" s="408" t="s">
        <v>72</v>
      </c>
      <c r="C65" s="409">
        <f>Return!L65</f>
        <v>4.2186772365390493E-3</v>
      </c>
    </row>
    <row r="66" spans="1:3">
      <c r="A66" s="406">
        <f>Return!A66</f>
        <v>45988</v>
      </c>
      <c r="B66" s="408" t="s">
        <v>72</v>
      </c>
      <c r="C66" s="409">
        <f>Return!L66</f>
        <v>-3.8744381977042401E-3</v>
      </c>
    </row>
    <row r="67" spans="1:3">
      <c r="A67" s="406">
        <f>Return!A67</f>
        <v>45987</v>
      </c>
      <c r="B67" s="408" t="s">
        <v>72</v>
      </c>
      <c r="C67" s="409">
        <f>Return!L67</f>
        <v>1.0438562422646992E-2</v>
      </c>
    </row>
    <row r="68" spans="1:3">
      <c r="A68" s="406">
        <f>Return!A68</f>
        <v>45986</v>
      </c>
      <c r="B68" s="408" t="s">
        <v>72</v>
      </c>
      <c r="C68" s="409">
        <f>Return!L68</f>
        <v>8.403955774027529E-3</v>
      </c>
    </row>
    <row r="69" spans="1:3">
      <c r="A69" s="406">
        <f>Return!A69</f>
        <v>45985</v>
      </c>
      <c r="B69" s="408" t="s">
        <v>72</v>
      </c>
      <c r="C69" s="409">
        <f>Return!L69</f>
        <v>-3.4917922554021418E-3</v>
      </c>
    </row>
    <row r="70" spans="1:3">
      <c r="A70" s="406">
        <f>Return!A70</f>
        <v>45982</v>
      </c>
      <c r="B70" s="408" t="s">
        <v>72</v>
      </c>
      <c r="C70" s="409">
        <f>Return!L70</f>
        <v>-4.4473515432224301E-3</v>
      </c>
    </row>
    <row r="71" spans="1:3">
      <c r="A71" s="406">
        <f>Return!A71</f>
        <v>45981</v>
      </c>
      <c r="B71" s="408" t="s">
        <v>72</v>
      </c>
      <c r="C71" s="409">
        <f>Return!L71</f>
        <v>-3.4282483617210156E-3</v>
      </c>
    </row>
    <row r="72" spans="1:3">
      <c r="A72" s="406">
        <f>Return!A72</f>
        <v>45980</v>
      </c>
      <c r="B72" s="408" t="s">
        <v>72</v>
      </c>
      <c r="C72" s="409">
        <f>Return!L72</f>
        <v>-8.9898968941515528E-4</v>
      </c>
    </row>
    <row r="73" spans="1:3">
      <c r="A73" s="406">
        <f>Return!A73</f>
        <v>45979</v>
      </c>
      <c r="B73" s="408" t="s">
        <v>72</v>
      </c>
      <c r="C73" s="409">
        <f>Return!L73</f>
        <v>-4.2545814556558771E-3</v>
      </c>
    </row>
    <row r="74" spans="1:3">
      <c r="A74" s="406">
        <f>Return!A74</f>
        <v>45978</v>
      </c>
      <c r="B74" s="408" t="s">
        <v>72</v>
      </c>
      <c r="C74" s="409">
        <f>Return!L74</f>
        <v>-3.0547312041569722E-4</v>
      </c>
    </row>
    <row r="75" spans="1:3">
      <c r="A75" s="406">
        <f>Return!A75</f>
        <v>45975</v>
      </c>
      <c r="B75" s="408" t="s">
        <v>72</v>
      </c>
      <c r="C75" s="409">
        <f>Return!L75</f>
        <v>8.8782375806281287E-4</v>
      </c>
    </row>
    <row r="76" spans="1:3">
      <c r="A76" s="406">
        <f>Return!A76</f>
        <v>45974</v>
      </c>
      <c r="B76" s="408" t="s">
        <v>72</v>
      </c>
      <c r="C76" s="409">
        <f>Return!L76</f>
        <v>3.9793892084760054E-3</v>
      </c>
    </row>
    <row r="77" spans="1:3">
      <c r="A77" s="406">
        <f>Return!A77</f>
        <v>45973</v>
      </c>
      <c r="B77" s="408" t="s">
        <v>72</v>
      </c>
      <c r="C77" s="409">
        <f>Return!L77</f>
        <v>8.2828888929136826E-3</v>
      </c>
    </row>
    <row r="78" spans="1:3">
      <c r="A78" s="406">
        <f>Return!A78</f>
        <v>45972</v>
      </c>
      <c r="B78" s="408" t="s">
        <v>72</v>
      </c>
      <c r="C78" s="409">
        <f>Return!L78</f>
        <v>-3.2699739360780291E-4</v>
      </c>
    </row>
    <row r="79" spans="1:3">
      <c r="A79" s="406">
        <f>Return!A79</f>
        <v>45971</v>
      </c>
      <c r="B79" s="408" t="s">
        <v>72</v>
      </c>
      <c r="C79" s="409">
        <f>Return!L79</f>
        <v>1.4485129384449433E-2</v>
      </c>
    </row>
    <row r="80" spans="1:3">
      <c r="A80" s="406">
        <f>Return!A80</f>
        <v>45968</v>
      </c>
      <c r="B80" s="408" t="s">
        <v>72</v>
      </c>
      <c r="C80" s="409">
        <f>Return!L80</f>
        <v>-4.9993763575609147E-3</v>
      </c>
    </row>
    <row r="81" spans="1:3">
      <c r="A81" s="406">
        <f>Return!A81</f>
        <v>45967</v>
      </c>
      <c r="B81" s="408" t="s">
        <v>72</v>
      </c>
      <c r="C81" s="409">
        <f>Return!L81</f>
        <v>-5.9419465251923124E-3</v>
      </c>
    </row>
    <row r="82" spans="1:3">
      <c r="A82" s="406">
        <f>Return!A82</f>
        <v>45965</v>
      </c>
      <c r="B82" s="408" t="s">
        <v>72</v>
      </c>
      <c r="C82" s="409">
        <f>Return!L82</f>
        <v>-1.370618689133988E-3</v>
      </c>
    </row>
    <row r="83" spans="1:3">
      <c r="A83" s="406">
        <f>Return!A83</f>
        <v>45964</v>
      </c>
      <c r="B83" s="408" t="s">
        <v>72</v>
      </c>
      <c r="C83" s="409">
        <f>Return!L83</f>
        <v>8.0965264373089787E-3</v>
      </c>
    </row>
    <row r="84" spans="1:3">
      <c r="A84" s="406">
        <f>Return!A84</f>
        <v>45961</v>
      </c>
      <c r="B84" s="408" t="s">
        <v>72</v>
      </c>
      <c r="C84" s="409">
        <f>Return!L84</f>
        <v>-1.2560603481743496E-3</v>
      </c>
    </row>
    <row r="85" spans="1:3">
      <c r="A85" s="406">
        <f>Return!A85</f>
        <v>45960</v>
      </c>
      <c r="B85" s="408" t="s">
        <v>72</v>
      </c>
      <c r="C85" s="409">
        <f>Return!L85</f>
        <v>-8.4992085583158478E-3</v>
      </c>
    </row>
    <row r="86" spans="1:3">
      <c r="A86" s="406">
        <f>Return!A86</f>
        <v>45959</v>
      </c>
      <c r="B86" s="408" t="s">
        <v>72</v>
      </c>
      <c r="C86" s="409">
        <f>Return!L86</f>
        <v>3.7924850868411887E-3</v>
      </c>
    </row>
    <row r="87" spans="1:3">
      <c r="A87" s="406">
        <f>Return!A87</f>
        <v>45958</v>
      </c>
      <c r="B87" s="408" t="s">
        <v>72</v>
      </c>
      <c r="C87" s="409">
        <f>Return!L87</f>
        <v>-1.7073378528782103E-3</v>
      </c>
    </row>
    <row r="88" spans="1:3">
      <c r="A88" s="406">
        <f>Return!A88</f>
        <v>45957</v>
      </c>
      <c r="B88" s="408" t="s">
        <v>72</v>
      </c>
      <c r="C88" s="409">
        <f>Return!L88</f>
        <v>-2.2815831415247999E-3</v>
      </c>
    </row>
    <row r="89" spans="1:3">
      <c r="A89" s="406">
        <f>Return!A89</f>
        <v>45954</v>
      </c>
      <c r="B89" s="408" t="s">
        <v>72</v>
      </c>
      <c r="C89" s="409">
        <f>Return!L89</f>
        <v>-6.8166733580593379E-3</v>
      </c>
    </row>
    <row r="90" spans="1:3">
      <c r="A90" s="406">
        <f>Return!A90</f>
        <v>45953</v>
      </c>
      <c r="B90" s="408" t="s">
        <v>72</v>
      </c>
      <c r="C90" s="409">
        <f>Return!L90</f>
        <v>-2.3836256744000769E-3</v>
      </c>
    </row>
    <row r="91" spans="1:3">
      <c r="A91" s="406">
        <f>Return!A91</f>
        <v>45951</v>
      </c>
      <c r="B91" s="408" t="s">
        <v>72</v>
      </c>
      <c r="C91" s="409">
        <f>Return!L91</f>
        <v>2.3833639781264486E-3</v>
      </c>
    </row>
    <row r="92" spans="1:3">
      <c r="A92" s="406">
        <f>Return!A92</f>
        <v>45950</v>
      </c>
      <c r="B92" s="408" t="s">
        <v>72</v>
      </c>
      <c r="C92" s="409">
        <f>Return!L92</f>
        <v>6.2390528030940419E-3</v>
      </c>
    </row>
    <row r="93" spans="1:3">
      <c r="A93" s="406">
        <f>Return!A93</f>
        <v>45947</v>
      </c>
      <c r="B93" s="408" t="s">
        <v>72</v>
      </c>
      <c r="C93" s="409">
        <f>Return!L93</f>
        <v>3.8530195201160939E-3</v>
      </c>
    </row>
    <row r="94" spans="1:3">
      <c r="A94" s="406">
        <f>Return!A94</f>
        <v>45946</v>
      </c>
      <c r="B94" s="408" t="s">
        <v>72</v>
      </c>
      <c r="C94" s="409">
        <f>Return!L94</f>
        <v>2.3185451825457068E-3</v>
      </c>
    </row>
    <row r="95" spans="1:3">
      <c r="A95" s="406">
        <f>Return!A95</f>
        <v>45945</v>
      </c>
      <c r="B95" s="408" t="s">
        <v>72</v>
      </c>
      <c r="C95" s="409">
        <f>Return!L95</f>
        <v>4.7792957334510093E-4</v>
      </c>
    </row>
    <row r="96" spans="1:3">
      <c r="A96" s="406">
        <f>Return!A96</f>
        <v>45944</v>
      </c>
      <c r="B96" s="408" t="s">
        <v>72</v>
      </c>
      <c r="C96" s="409">
        <f>Return!L96</f>
        <v>-5.2563340551561276E-3</v>
      </c>
    </row>
    <row r="97" spans="1:3">
      <c r="A97" s="406">
        <f>Return!A97</f>
        <v>45943</v>
      </c>
      <c r="B97" s="408" t="s">
        <v>72</v>
      </c>
      <c r="C97" s="409">
        <f>Return!L97</f>
        <v>-1.4770523666145919E-3</v>
      </c>
    </row>
    <row r="98" spans="1:3">
      <c r="A98" s="406">
        <f>Return!A98</f>
        <v>45940</v>
      </c>
      <c r="B98" s="408" t="s">
        <v>72</v>
      </c>
      <c r="C98" s="409">
        <f>Return!L98</f>
        <v>9.1452468668097881E-3</v>
      </c>
    </row>
    <row r="99" spans="1:3">
      <c r="A99" s="406">
        <f>Return!A99</f>
        <v>45939</v>
      </c>
      <c r="B99" s="408" t="s">
        <v>72</v>
      </c>
      <c r="C99" s="409">
        <f>Return!L99</f>
        <v>5.3395375475885146E-3</v>
      </c>
    </row>
    <row r="100" spans="1:3">
      <c r="A100" s="406">
        <f>Return!A100</f>
        <v>45938</v>
      </c>
      <c r="B100" s="408" t="s">
        <v>72</v>
      </c>
      <c r="C100" s="409">
        <f>Return!L100</f>
        <v>7.5149873914177705E-3</v>
      </c>
    </row>
    <row r="101" spans="1:3">
      <c r="A101" s="406">
        <f>Return!A101</f>
        <v>45937</v>
      </c>
      <c r="B101" s="408" t="s">
        <v>72</v>
      </c>
      <c r="C101" s="409">
        <f>Return!L101</f>
        <v>-2.534998914102686E-3</v>
      </c>
    </row>
    <row r="102" spans="1:3">
      <c r="A102" s="406">
        <f>Return!A102</f>
        <v>45936</v>
      </c>
      <c r="B102" s="408" t="s">
        <v>72</v>
      </c>
      <c r="C102" s="409">
        <f>Return!L102</f>
        <v>3.6378755328320281E-3</v>
      </c>
    </row>
    <row r="103" spans="1:3">
      <c r="A103" s="406">
        <f>Return!A103</f>
        <v>45933</v>
      </c>
      <c r="B103" s="408" t="s">
        <v>72</v>
      </c>
      <c r="C103" s="409">
        <f>Return!L103</f>
        <v>-3.4233737497662638E-3</v>
      </c>
    </row>
    <row r="104" spans="1:3">
      <c r="A104" s="406">
        <f>Return!A104</f>
        <v>45931</v>
      </c>
      <c r="B104" s="408" t="s">
        <v>72</v>
      </c>
      <c r="C104" s="409">
        <f>Return!L104</f>
        <v>8.8467543639996916E-3</v>
      </c>
    </row>
    <row r="105" spans="1:3">
      <c r="A105" s="406">
        <f>Return!A105</f>
        <v>45930</v>
      </c>
      <c r="B105" s="408" t="s">
        <v>72</v>
      </c>
      <c r="C105" s="409">
        <f>Return!L105</f>
        <v>-2.0626433615656141E-3</v>
      </c>
    </row>
    <row r="106" spans="1:3">
      <c r="A106" s="406">
        <f>Return!A106</f>
        <v>45929</v>
      </c>
      <c r="B106" s="408" t="s">
        <v>72</v>
      </c>
      <c r="C106" s="409">
        <f>Return!L106</f>
        <v>6.6395905167927396E-3</v>
      </c>
    </row>
    <row r="107" spans="1:3">
      <c r="A107" s="406">
        <f>Return!A107</f>
        <v>45926</v>
      </c>
      <c r="B107" s="408" t="s">
        <v>72</v>
      </c>
      <c r="C107" s="409">
        <f>Return!L107</f>
        <v>-9.9946227863888203E-3</v>
      </c>
    </row>
    <row r="108" spans="1:3">
      <c r="A108" s="406">
        <f>Return!A108</f>
        <v>45925</v>
      </c>
      <c r="B108" s="408" t="s">
        <v>72</v>
      </c>
      <c r="C108" s="409">
        <f>Return!L108</f>
        <v>-1.1176902272604072E-2</v>
      </c>
    </row>
    <row r="109" spans="1:3">
      <c r="A109" s="406">
        <f>Return!A109</f>
        <v>45924</v>
      </c>
      <c r="B109" s="408" t="s">
        <v>72</v>
      </c>
      <c r="C109" s="409">
        <f>Return!L109</f>
        <v>-7.966325008583873E-3</v>
      </c>
    </row>
    <row r="110" spans="1:3">
      <c r="A110" s="406">
        <f>Return!A110</f>
        <v>45923</v>
      </c>
      <c r="B110" s="408" t="s">
        <v>72</v>
      </c>
      <c r="C110" s="409">
        <f>Return!L110</f>
        <v>-2.582103754371986E-3</v>
      </c>
    </row>
    <row r="111" spans="1:3">
      <c r="A111" s="406">
        <f>Return!A111</f>
        <v>45922</v>
      </c>
      <c r="B111" s="408" t="s">
        <v>72</v>
      </c>
      <c r="C111" s="409">
        <f>Return!L111</f>
        <v>-5.595406795659643E-3</v>
      </c>
    </row>
    <row r="112" spans="1:3">
      <c r="A112" s="406">
        <f>Return!A112</f>
        <v>45919</v>
      </c>
      <c r="B112" s="408" t="s">
        <v>72</v>
      </c>
      <c r="C112" s="409">
        <f>Return!L112</f>
        <v>-5.2201214590273061E-3</v>
      </c>
    </row>
    <row r="113" spans="1:3">
      <c r="A113" s="406">
        <f>Return!A113</f>
        <v>45918</v>
      </c>
      <c r="B113" s="408" t="s">
        <v>72</v>
      </c>
      <c r="C113" s="409">
        <f>Return!L113</f>
        <v>3.0677382605978783E-4</v>
      </c>
    </row>
    <row r="114" spans="1:3">
      <c r="A114" s="406">
        <f>Return!A114</f>
        <v>45917</v>
      </c>
      <c r="B114" s="408" t="s">
        <v>72</v>
      </c>
      <c r="C114" s="409">
        <f>Return!L114</f>
        <v>5.7927038308107238E-3</v>
      </c>
    </row>
    <row r="115" spans="1:3">
      <c r="A115" s="406">
        <f>Return!A115</f>
        <v>45916</v>
      </c>
      <c r="B115" s="408" t="s">
        <v>72</v>
      </c>
      <c r="C115" s="409">
        <f>Return!L115</f>
        <v>2.3324321004068961E-3</v>
      </c>
    </row>
    <row r="116" spans="1:3">
      <c r="A116" s="406">
        <f>Return!A116</f>
        <v>45915</v>
      </c>
      <c r="B116" s="408" t="s">
        <v>72</v>
      </c>
      <c r="C116" s="409">
        <f>Return!L116</f>
        <v>-9.1411588363231495E-4</v>
      </c>
    </row>
    <row r="117" spans="1:3">
      <c r="A117" s="406">
        <f>Return!A117</f>
        <v>45912</v>
      </c>
      <c r="B117" s="408" t="s">
        <v>72</v>
      </c>
      <c r="C117" s="409">
        <f>Return!L117</f>
        <v>2.2140435966812896E-3</v>
      </c>
    </row>
    <row r="118" spans="1:3">
      <c r="A118" s="406">
        <f>Return!A118</f>
        <v>45911</v>
      </c>
      <c r="B118" s="408" t="s">
        <v>72</v>
      </c>
      <c r="C118" s="409">
        <f>Return!L118</f>
        <v>-4.7645007409106738E-4</v>
      </c>
    </row>
    <row r="119" spans="1:3">
      <c r="A119" s="406">
        <f>Return!A119</f>
        <v>45910</v>
      </c>
      <c r="B119" s="408" t="s">
        <v>72</v>
      </c>
      <c r="C119" s="409">
        <f>Return!L119</f>
        <v>8.3559230895227255E-3</v>
      </c>
    </row>
    <row r="120" spans="1:3">
      <c r="A120" s="406">
        <f>Return!A120</f>
        <v>45909</v>
      </c>
      <c r="B120" s="408" t="s">
        <v>72</v>
      </c>
      <c r="C120" s="409">
        <f>Return!L120</f>
        <v>8.8507907497631499E-3</v>
      </c>
    </row>
    <row r="121" spans="1:3">
      <c r="A121" s="406">
        <f>Return!A121</f>
        <v>45908</v>
      </c>
      <c r="B121" s="408" t="s">
        <v>72</v>
      </c>
      <c r="C121" s="409">
        <f>Return!L121</f>
        <v>1.1962723915191127E-3</v>
      </c>
    </row>
    <row r="122" spans="1:3">
      <c r="A122" s="406">
        <f>Return!A122</f>
        <v>45905</v>
      </c>
      <c r="B122" s="408" t="s">
        <v>72</v>
      </c>
      <c r="C122" s="409">
        <f>Return!L122</f>
        <v>-3.4711216084184152E-3</v>
      </c>
    </row>
    <row r="123" spans="1:3">
      <c r="A123" s="406">
        <f>Return!A123</f>
        <v>45904</v>
      </c>
      <c r="B123" s="408" t="s">
        <v>72</v>
      </c>
      <c r="C123" s="409">
        <f>Return!L123</f>
        <v>-2.6337023088699504E-3</v>
      </c>
    </row>
    <row r="124" spans="1:3">
      <c r="A124" s="406">
        <f>Return!A124</f>
        <v>45903</v>
      </c>
      <c r="B124" s="408" t="s">
        <v>72</v>
      </c>
      <c r="C124" s="409">
        <f>Return!L124</f>
        <v>2.6579816171394318E-3</v>
      </c>
    </row>
    <row r="125" spans="1:3">
      <c r="A125" s="406">
        <f>Return!A125</f>
        <v>45902</v>
      </c>
      <c r="B125" s="408" t="s">
        <v>72</v>
      </c>
      <c r="C125" s="409">
        <f>Return!L125</f>
        <v>2.9251889553692074E-3</v>
      </c>
    </row>
    <row r="126" spans="1:3">
      <c r="A126" s="406">
        <f>Return!A126</f>
        <v>45901</v>
      </c>
      <c r="B126" s="408" t="s">
        <v>72</v>
      </c>
      <c r="C126" s="409">
        <f>Return!L126</f>
        <v>4.3145594799548067E-3</v>
      </c>
    </row>
    <row r="127" spans="1:3">
      <c r="A127" s="406">
        <f>Return!A127</f>
        <v>45898</v>
      </c>
      <c r="B127" s="408" t="s">
        <v>72</v>
      </c>
      <c r="C127" s="409">
        <f>Return!L127</f>
        <v>-1.8709053235005592E-3</v>
      </c>
    </row>
    <row r="128" spans="1:3">
      <c r="A128" s="406">
        <f>Return!A128</f>
        <v>45897</v>
      </c>
      <c r="B128" s="408" t="s">
        <v>72</v>
      </c>
      <c r="C128" s="409">
        <f>Return!L128</f>
        <v>-4.4800674735156016E-3</v>
      </c>
    </row>
    <row r="129" spans="1:3">
      <c r="A129" s="406">
        <f>Return!A129</f>
        <v>45895</v>
      </c>
      <c r="B129" s="408" t="s">
        <v>72</v>
      </c>
      <c r="C129" s="409">
        <f>Return!L129</f>
        <v>-6.934335040528811E-3</v>
      </c>
    </row>
    <row r="130" spans="1:3">
      <c r="A130" s="406">
        <f>Return!A130</f>
        <v>45894</v>
      </c>
      <c r="B130" s="408" t="s">
        <v>72</v>
      </c>
      <c r="C130" s="409">
        <f>Return!L130</f>
        <v>-6.3843314708777526E-3</v>
      </c>
    </row>
    <row r="131" spans="1:3">
      <c r="A131" s="406">
        <f>Return!A131</f>
        <v>45891</v>
      </c>
      <c r="B131" s="408" t="s">
        <v>72</v>
      </c>
      <c r="C131" s="409">
        <f>Return!L131</f>
        <v>-2.0623993270846145E-3</v>
      </c>
    </row>
    <row r="132" spans="1:3">
      <c r="A132" s="406">
        <f>Return!A132</f>
        <v>45890</v>
      </c>
      <c r="B132" s="408" t="s">
        <v>72</v>
      </c>
      <c r="C132" s="409">
        <f>Return!L132</f>
        <v>3.5099811974670658E-3</v>
      </c>
    </row>
    <row r="133" spans="1:3">
      <c r="A133" s="406">
        <f>Return!A133</f>
        <v>45889</v>
      </c>
      <c r="B133" s="408" t="s">
        <v>72</v>
      </c>
      <c r="C133" s="409">
        <f>Return!L133</f>
        <v>4.0403192803289984E-3</v>
      </c>
    </row>
    <row r="134" spans="1:3">
      <c r="A134" s="406">
        <f>Return!A134</f>
        <v>45888</v>
      </c>
      <c r="B134" s="408" t="s">
        <v>72</v>
      </c>
      <c r="C134" s="409">
        <f>Return!L134</f>
        <v>-1.1840769649699796E-3</v>
      </c>
    </row>
    <row r="135" spans="1:3">
      <c r="A135" s="406">
        <f>Return!A135</f>
        <v>45887</v>
      </c>
      <c r="B135" s="408" t="s">
        <v>72</v>
      </c>
      <c r="C135" s="409">
        <f>Return!L135</f>
        <v>-6.3883049899039332E-3</v>
      </c>
    </row>
    <row r="136" spans="1:3">
      <c r="A136" s="406">
        <f>Return!A136</f>
        <v>45883</v>
      </c>
      <c r="B136" s="408" t="s">
        <v>72</v>
      </c>
      <c r="C136" s="409">
        <f>Return!L136</f>
        <v>1.1545129666287665E-3</v>
      </c>
    </row>
    <row r="137" spans="1:3">
      <c r="A137" s="406">
        <f>Return!A137</f>
        <v>45882</v>
      </c>
      <c r="B137" s="408" t="s">
        <v>72</v>
      </c>
      <c r="C137" s="409">
        <f>Return!L137</f>
        <v>9.9474195777756354E-3</v>
      </c>
    </row>
    <row r="138" spans="1:3">
      <c r="A138" s="406">
        <f>Return!A138</f>
        <v>45881</v>
      </c>
      <c r="B138" s="408" t="s">
        <v>72</v>
      </c>
      <c r="C138" s="409">
        <f>Return!L138</f>
        <v>1.353838581678757E-2</v>
      </c>
    </row>
    <row r="139" spans="1:3">
      <c r="A139" s="406">
        <f>Return!A139</f>
        <v>45880</v>
      </c>
      <c r="B139" s="408" t="s">
        <v>72</v>
      </c>
      <c r="C139" s="409">
        <f>Return!L139</f>
        <v>9.9580847574167082E-3</v>
      </c>
    </row>
    <row r="140" spans="1:3">
      <c r="A140" s="406">
        <f>Return!A140</f>
        <v>45877</v>
      </c>
      <c r="B140" s="408" t="s">
        <v>72</v>
      </c>
      <c r="C140" s="409">
        <f>Return!L140</f>
        <v>2.1031797806252365E-3</v>
      </c>
    </row>
    <row r="141" spans="1:3">
      <c r="A141" s="406">
        <f>Return!A141</f>
        <v>45876</v>
      </c>
      <c r="B141" s="408" t="s">
        <v>72</v>
      </c>
      <c r="C141" s="409">
        <f>Return!L141</f>
        <v>8.6608596934049454E-4</v>
      </c>
    </row>
    <row r="142" spans="1:3">
      <c r="A142" s="406">
        <f>Return!A142</f>
        <v>45875</v>
      </c>
      <c r="B142" s="408" t="s">
        <v>72</v>
      </c>
      <c r="C142" s="409">
        <f>Return!L142</f>
        <v>-8.7969052860626864E-3</v>
      </c>
    </row>
    <row r="143" spans="1:3">
      <c r="A143" s="406">
        <f>Return!A143</f>
        <v>45874</v>
      </c>
      <c r="B143" s="408" t="s">
        <v>72</v>
      </c>
      <c r="C143" s="409">
        <f>Return!L143</f>
        <v>-4.6618824529677146E-3</v>
      </c>
    </row>
    <row r="144" spans="1:3">
      <c r="A144" s="406">
        <f>Return!A144</f>
        <v>45873</v>
      </c>
      <c r="B144" s="408" t="s">
        <v>72</v>
      </c>
      <c r="C144" s="409">
        <f>Return!L144</f>
        <v>-8.7908075922292703E-3</v>
      </c>
    </row>
    <row r="145" spans="1:3">
      <c r="A145" s="406">
        <f>Return!A145</f>
        <v>45870</v>
      </c>
      <c r="B145" s="408" t="s">
        <v>72</v>
      </c>
      <c r="C145" s="409">
        <f>Return!L145</f>
        <v>-6.5206142185311611E-3</v>
      </c>
    </row>
    <row r="146" spans="1:3">
      <c r="A146" s="406">
        <f>Return!A146</f>
        <v>45869</v>
      </c>
      <c r="B146" s="408" t="s">
        <v>72</v>
      </c>
      <c r="C146" s="409">
        <f>Return!L146</f>
        <v>-2.1243964618064028E-2</v>
      </c>
    </row>
    <row r="147" spans="1:3">
      <c r="A147" s="406">
        <f>Return!A147</f>
        <v>45868</v>
      </c>
      <c r="B147" s="408" t="s">
        <v>72</v>
      </c>
      <c r="C147" s="409">
        <f>Return!L147</f>
        <v>-1.1191941602801327E-2</v>
      </c>
    </row>
    <row r="148" spans="1:3">
      <c r="A148" s="406">
        <f>Return!A148</f>
        <v>45867</v>
      </c>
      <c r="B148" s="408" t="s">
        <v>72</v>
      </c>
      <c r="C148" s="409">
        <f>Return!L148</f>
        <v>7.7008493083374303E-3</v>
      </c>
    </row>
    <row r="149" spans="1:3">
      <c r="A149" s="406">
        <f>Return!A149</f>
        <v>45866</v>
      </c>
      <c r="B149" s="408" t="s">
        <v>72</v>
      </c>
      <c r="C149" s="409">
        <f>Return!L149</f>
        <v>5.5442958743473093E-3</v>
      </c>
    </row>
    <row r="150" spans="1:3">
      <c r="A150" s="406">
        <f>Return!A150</f>
        <v>45863</v>
      </c>
      <c r="B150" s="408" t="s">
        <v>72</v>
      </c>
      <c r="C150" s="409">
        <f>Return!L150</f>
        <v>6.0802772543928629E-3</v>
      </c>
    </row>
    <row r="151" spans="1:3">
      <c r="A151" s="406">
        <f>Return!A151</f>
        <v>45862</v>
      </c>
      <c r="B151" s="408" t="s">
        <v>72</v>
      </c>
      <c r="C151" s="409">
        <f>Return!L151</f>
        <v>5.3894074382025686E-3</v>
      </c>
    </row>
    <row r="152" spans="1:3">
      <c r="A152" s="406">
        <f>Return!A152</f>
        <v>45861</v>
      </c>
      <c r="B152" s="408" t="s">
        <v>72</v>
      </c>
      <c r="C152" s="409">
        <f>Return!L152</f>
        <v>6.823837097542391E-3</v>
      </c>
    </row>
    <row r="153" spans="1:3">
      <c r="A153" s="406">
        <f>Return!A153</f>
        <v>45860</v>
      </c>
      <c r="B153" s="408" t="s">
        <v>72</v>
      </c>
      <c r="C153" s="409">
        <f>Return!L153</f>
        <v>2.5006526553445611E-3</v>
      </c>
    </row>
    <row r="154" spans="1:3">
      <c r="A154" s="406">
        <f>Return!A154</f>
        <v>45859</v>
      </c>
      <c r="B154" s="408" t="s">
        <v>72</v>
      </c>
      <c r="C154" s="409">
        <f>Return!L154</f>
        <v>-6.0049315997601068E-3</v>
      </c>
    </row>
    <row r="155" spans="1:3">
      <c r="A155" s="406">
        <f>Return!A155</f>
        <v>45856</v>
      </c>
      <c r="B155" s="408" t="s">
        <v>72</v>
      </c>
      <c r="C155" s="409">
        <f>Return!L155</f>
        <v>-4.2283388073419883E-3</v>
      </c>
    </row>
    <row r="156" spans="1:3">
      <c r="A156" s="406">
        <f>Return!A156</f>
        <v>45855</v>
      </c>
      <c r="B156" s="408" t="s">
        <v>72</v>
      </c>
      <c r="C156" s="409">
        <f>Return!L156</f>
        <v>-2.5736182593651851E-4</v>
      </c>
    </row>
    <row r="157" spans="1:3">
      <c r="A157" s="406">
        <f>Return!A157</f>
        <v>45854</v>
      </c>
      <c r="B157" s="408" t="s">
        <v>72</v>
      </c>
      <c r="C157" s="409">
        <f>Return!L157</f>
        <v>9.1498060475012782E-4</v>
      </c>
    </row>
    <row r="158" spans="1:3">
      <c r="A158" s="406">
        <f>Return!A158</f>
        <v>45853</v>
      </c>
      <c r="B158" s="408" t="s">
        <v>72</v>
      </c>
      <c r="C158" s="409">
        <f>Return!L158</f>
        <v>3.3916678710574862E-3</v>
      </c>
    </row>
    <row r="159" spans="1:3">
      <c r="A159" s="406">
        <f>Return!A159</f>
        <v>45852</v>
      </c>
      <c r="B159" s="408" t="s">
        <v>72</v>
      </c>
      <c r="C159" s="409">
        <f>Return!L159</f>
        <v>2.0259285238746691E-3</v>
      </c>
    </row>
    <row r="160" spans="1:3">
      <c r="A160" s="406">
        <f>Return!A160</f>
        <v>45849</v>
      </c>
      <c r="B160" s="408" t="s">
        <v>72</v>
      </c>
      <c r="C160" s="409">
        <f>Return!L160</f>
        <v>4.8505792502781331E-3</v>
      </c>
    </row>
    <row r="161" spans="1:3">
      <c r="A161" s="406">
        <f>Return!A161</f>
        <v>45848</v>
      </c>
      <c r="B161" s="408" t="s">
        <v>72</v>
      </c>
      <c r="C161" s="409">
        <f>Return!L161</f>
        <v>-2.3549493927175385E-4</v>
      </c>
    </row>
    <row r="162" spans="1:3">
      <c r="A162" s="406">
        <f>Return!A162</f>
        <v>45847</v>
      </c>
      <c r="B162" s="408" t="s">
        <v>72</v>
      </c>
      <c r="C162" s="409">
        <f>Return!L162</f>
        <v>-1.8207383220162466E-4</v>
      </c>
    </row>
    <row r="163" spans="1:3">
      <c r="A163" s="406">
        <f>Return!A163</f>
        <v>45846</v>
      </c>
      <c r="B163" s="408" t="s">
        <v>72</v>
      </c>
      <c r="C163" s="409">
        <f>Return!L163</f>
        <v>-9.5980929285898308E-3</v>
      </c>
    </row>
    <row r="164" spans="1:3">
      <c r="A164" s="406">
        <f>Return!A164</f>
        <v>45845</v>
      </c>
      <c r="B164" s="408" t="s">
        <v>72</v>
      </c>
      <c r="C164" s="409">
        <f>Return!L164</f>
        <v>-6.38970754876215E-3</v>
      </c>
    </row>
    <row r="165" spans="1:3">
      <c r="A165" s="406">
        <f>Return!A165</f>
        <v>45842</v>
      </c>
      <c r="B165" s="408" t="s">
        <v>72</v>
      </c>
      <c r="C165" s="409">
        <f>Return!L165</f>
        <v>-5.5919707085279238E-3</v>
      </c>
    </row>
    <row r="166" spans="1:3">
      <c r="A166" s="406">
        <f>Return!A166</f>
        <v>45841</v>
      </c>
      <c r="B166" s="408" t="s">
        <v>72</v>
      </c>
      <c r="C166" s="409">
        <f>Return!L166</f>
        <v>8.2560748914195384E-4</v>
      </c>
    </row>
    <row r="167" spans="1:3">
      <c r="A167" s="406">
        <f>Return!A167</f>
        <v>45840</v>
      </c>
      <c r="B167" s="408" t="s">
        <v>72</v>
      </c>
      <c r="C167" s="409">
        <f>Return!L167</f>
        <v>3.1530605080010102E-3</v>
      </c>
    </row>
    <row r="168" spans="1:3">
      <c r="A168" s="406">
        <f>Return!A168</f>
        <v>45839</v>
      </c>
      <c r="B168" s="408" t="s">
        <v>72</v>
      </c>
      <c r="C168" s="409">
        <f>Return!L168</f>
        <v>8.2803189185002462E-4</v>
      </c>
    </row>
    <row r="169" spans="1:3">
      <c r="A169" s="406">
        <f>Return!A169</f>
        <v>45838</v>
      </c>
      <c r="B169" s="408" t="s">
        <v>72</v>
      </c>
      <c r="C169" s="409">
        <f>Return!L169</f>
        <v>3.5557868563001888E-3</v>
      </c>
    </row>
    <row r="170" spans="1:3">
      <c r="A170" s="406">
        <f>Return!A170</f>
        <v>45835</v>
      </c>
      <c r="B170" s="408" t="s">
        <v>72</v>
      </c>
      <c r="C170" s="409">
        <f>Return!L170</f>
        <v>1.4021757610361547E-2</v>
      </c>
    </row>
    <row r="171" spans="1:3">
      <c r="A171" s="406">
        <f>Return!A171</f>
        <v>45834</v>
      </c>
      <c r="B171" s="408" t="s">
        <v>72</v>
      </c>
      <c r="C171" s="409">
        <f>Return!L171</f>
        <v>5.099473752752888E-3</v>
      </c>
    </row>
    <row r="172" spans="1:3">
      <c r="A172" s="406">
        <f>Return!A172</f>
        <v>45833</v>
      </c>
      <c r="B172" s="408" t="s">
        <v>72</v>
      </c>
      <c r="C172" s="409">
        <f>Return!L172</f>
        <v>1.7392684421852832E-3</v>
      </c>
    </row>
    <row r="173" spans="1:3">
      <c r="A173" s="406">
        <f>Return!A173</f>
        <v>45832</v>
      </c>
      <c r="B173" s="408" t="s">
        <v>72</v>
      </c>
      <c r="C173" s="409">
        <f>Return!L173</f>
        <v>5.559898501078628E-3</v>
      </c>
    </row>
    <row r="174" spans="1:3">
      <c r="A174" s="406">
        <f>Return!A174</f>
        <v>45831</v>
      </c>
      <c r="B174" s="408" t="s">
        <v>72</v>
      </c>
      <c r="C174" s="409">
        <f>Return!L174</f>
        <v>-1.3324620647440668E-3</v>
      </c>
    </row>
    <row r="175" spans="1:3">
      <c r="A175" s="406">
        <f>Return!A175</f>
        <v>45828</v>
      </c>
      <c r="B175" s="408" t="s">
        <v>72</v>
      </c>
      <c r="C175" s="409">
        <f>Return!L175</f>
        <v>3.3725075185727137E-3</v>
      </c>
    </row>
    <row r="176" spans="1:3">
      <c r="A176" s="406">
        <f>Return!A176</f>
        <v>45827</v>
      </c>
      <c r="B176" s="408" t="s">
        <v>72</v>
      </c>
      <c r="C176" s="409">
        <f>Return!L176</f>
        <v>-3.4938942716530542E-3</v>
      </c>
    </row>
    <row r="177" spans="1:3">
      <c r="A177" s="406">
        <f>Return!A177</f>
        <v>45826</v>
      </c>
      <c r="B177" s="408" t="s">
        <v>72</v>
      </c>
      <c r="C177" s="409">
        <f>Return!L177</f>
        <v>-3.7033067198748095E-4</v>
      </c>
    </row>
    <row r="178" spans="1:3">
      <c r="A178" s="406">
        <f>Return!A178</f>
        <v>45825</v>
      </c>
      <c r="B178" s="408" t="s">
        <v>72</v>
      </c>
      <c r="C178" s="409">
        <f>Return!L178</f>
        <v>-4.3735757370031584E-3</v>
      </c>
    </row>
    <row r="179" spans="1:3">
      <c r="A179" s="406">
        <f>Return!A179</f>
        <v>45824</v>
      </c>
      <c r="B179" s="408" t="s">
        <v>72</v>
      </c>
      <c r="C179" s="409">
        <f>Return!L179</f>
        <v>-1.6421902419857331E-3</v>
      </c>
    </row>
    <row r="180" spans="1:3">
      <c r="A180" s="406">
        <f>Return!A180</f>
        <v>45821</v>
      </c>
      <c r="B180" s="408" t="s">
        <v>72</v>
      </c>
      <c r="C180" s="409">
        <f>Return!L180</f>
        <v>-1.0487145320804248E-2</v>
      </c>
    </row>
    <row r="181" spans="1:3">
      <c r="A181" s="406">
        <f>Return!A181</f>
        <v>45820</v>
      </c>
      <c r="B181" s="408" t="s">
        <v>72</v>
      </c>
      <c r="C181" s="409">
        <f>Return!L181</f>
        <v>-6.8206431221748865E-4</v>
      </c>
    </row>
    <row r="182" spans="1:3">
      <c r="A182" s="406">
        <f>Return!A182</f>
        <v>45819</v>
      </c>
      <c r="B182" s="408" t="s">
        <v>72</v>
      </c>
      <c r="C182" s="409">
        <f>Return!L182</f>
        <v>-3.574737548431258E-3</v>
      </c>
    </row>
    <row r="183" spans="1:3">
      <c r="A183" s="406">
        <f>Return!A183</f>
        <v>45818</v>
      </c>
      <c r="B183" s="408" t="s">
        <v>72</v>
      </c>
      <c r="C183" s="409">
        <f>Return!L183</f>
        <v>1.7894875030081655E-3</v>
      </c>
    </row>
    <row r="184" spans="1:3">
      <c r="A184" s="406">
        <f>Return!A184</f>
        <v>45817</v>
      </c>
      <c r="B184" s="408" t="s">
        <v>72</v>
      </c>
      <c r="C184" s="409">
        <f>Return!L184</f>
        <v>5.9412017515366317E-3</v>
      </c>
    </row>
    <row r="185" spans="1:3">
      <c r="A185" s="406">
        <f>Return!A185</f>
        <v>45814</v>
      </c>
      <c r="B185" s="408" t="s">
        <v>72</v>
      </c>
      <c r="C185" s="409">
        <f>Return!L185</f>
        <v>4.814976958122991E-3</v>
      </c>
    </row>
    <row r="186" spans="1:3">
      <c r="A186" s="406">
        <f>Return!A186</f>
        <v>45813</v>
      </c>
      <c r="B186" s="408" t="s">
        <v>72</v>
      </c>
      <c r="C186" s="409">
        <f>Return!L186</f>
        <v>3.9281404409965328E-3</v>
      </c>
    </row>
    <row r="187" spans="1:3">
      <c r="A187" s="406">
        <f>Return!A187</f>
        <v>45812</v>
      </c>
      <c r="B187" s="408" t="s">
        <v>72</v>
      </c>
      <c r="C187" s="409">
        <f>Return!L187</f>
        <v>3.0756107874871678E-3</v>
      </c>
    </row>
    <row r="188" spans="1:3">
      <c r="A188" s="406">
        <f>Return!A188</f>
        <v>45811</v>
      </c>
      <c r="B188" s="408" t="s">
        <v>72</v>
      </c>
      <c r="C188" s="409">
        <f>Return!L188</f>
        <v>5.7221262969315489E-3</v>
      </c>
    </row>
    <row r="189" spans="1:3">
      <c r="A189" s="406">
        <f>Return!A189</f>
        <v>45810</v>
      </c>
      <c r="B189" s="408" t="s">
        <v>72</v>
      </c>
      <c r="C189" s="409">
        <f>Return!L189</f>
        <v>1.5031116391826052E-3</v>
      </c>
    </row>
    <row r="190" spans="1:3">
      <c r="A190" s="406">
        <f>Return!A190</f>
        <v>45807</v>
      </c>
      <c r="B190" s="408" t="s">
        <v>72</v>
      </c>
      <c r="C190" s="409">
        <f>Return!L190</f>
        <v>-4.1657743941034787E-3</v>
      </c>
    </row>
    <row r="191" spans="1:3">
      <c r="A191" s="406">
        <f>Return!A191</f>
        <v>45806</v>
      </c>
      <c r="B191" s="408" t="s">
        <v>72</v>
      </c>
      <c r="C191" s="409">
        <f>Return!L191</f>
        <v>-2.1913341812030036E-3</v>
      </c>
    </row>
    <row r="192" spans="1:3">
      <c r="A192" s="406">
        <f>Return!A192</f>
        <v>45805</v>
      </c>
      <c r="B192" s="408" t="s">
        <v>72</v>
      </c>
      <c r="C192" s="409">
        <f>Return!L192</f>
        <v>8.1741502090543487E-5</v>
      </c>
    </row>
    <row r="193" spans="1:3">
      <c r="A193" s="406">
        <f>Return!A193</f>
        <v>45804</v>
      </c>
      <c r="B193" s="408" t="s">
        <v>72</v>
      </c>
      <c r="C193" s="409">
        <f>Return!L193</f>
        <v>-2.297629804303643E-3</v>
      </c>
    </row>
    <row r="194" spans="1:3">
      <c r="A194" s="406">
        <f>Return!A194</f>
        <v>45803</v>
      </c>
      <c r="B194" s="408" t="s">
        <v>72</v>
      </c>
      <c r="C194" s="409">
        <f>Return!L194</f>
        <v>-2.1646407044359326E-3</v>
      </c>
    </row>
    <row r="195" spans="1:3">
      <c r="A195" s="406">
        <f>Return!A195</f>
        <v>45800</v>
      </c>
      <c r="B195" s="408" t="s">
        <v>72</v>
      </c>
      <c r="C195" s="409">
        <f>Return!L195</f>
        <v>-5.8597867798129656E-3</v>
      </c>
    </row>
    <row r="196" spans="1:3">
      <c r="A196" s="406">
        <f>Return!A196</f>
        <v>45799</v>
      </c>
      <c r="B196" s="408" t="s">
        <v>72</v>
      </c>
      <c r="C196" s="409">
        <f>Return!L196</f>
        <v>3.0409098480622667E-3</v>
      </c>
    </row>
    <row r="197" spans="1:3">
      <c r="A197" s="406">
        <f>Return!A197</f>
        <v>45798</v>
      </c>
      <c r="B197" s="408" t="s">
        <v>72</v>
      </c>
      <c r="C197" s="409">
        <f>Return!L197</f>
        <v>5.4352889062275356E-3</v>
      </c>
    </row>
    <row r="198" spans="1:3">
      <c r="A198" s="406">
        <f>Return!A198</f>
        <v>45797</v>
      </c>
      <c r="B198" s="408" t="s">
        <v>72</v>
      </c>
      <c r="C198" s="409">
        <f>Return!L198</f>
        <v>-9.3427672380954913E-3</v>
      </c>
    </row>
    <row r="199" spans="1:3">
      <c r="A199" s="406">
        <f>Return!A199</f>
        <v>45796</v>
      </c>
      <c r="B199" s="408" t="s">
        <v>72</v>
      </c>
      <c r="C199" s="409">
        <f>Return!L199</f>
        <v>7.1283404255605863E-3</v>
      </c>
    </row>
    <row r="200" spans="1:3">
      <c r="A200" s="406">
        <f>Return!A200</f>
        <v>45793</v>
      </c>
      <c r="B200" s="408" t="s">
        <v>72</v>
      </c>
      <c r="C200" s="409">
        <f>Return!L200</f>
        <v>-6.1456314531276876E-3</v>
      </c>
    </row>
    <row r="201" spans="1:3">
      <c r="A201" s="406">
        <f>Return!A201</f>
        <v>45792</v>
      </c>
      <c r="B201" s="408" t="s">
        <v>72</v>
      </c>
      <c r="C201" s="409">
        <f>Return!L201</f>
        <v>2.3434905358623434E-3</v>
      </c>
    </row>
    <row r="202" spans="1:3">
      <c r="A202" s="406">
        <f>Return!A202</f>
        <v>45791</v>
      </c>
      <c r="B202" s="408" t="s">
        <v>72</v>
      </c>
      <c r="C202" s="409">
        <f>Return!L202</f>
        <v>-5.7639826698290117E-4</v>
      </c>
    </row>
    <row r="203" spans="1:3">
      <c r="A203" s="406">
        <f>Return!A203</f>
        <v>45790</v>
      </c>
      <c r="B203" s="408" t="s">
        <v>72</v>
      </c>
      <c r="C203" s="409">
        <f>Return!L203</f>
        <v>4.9757512848759384E-3</v>
      </c>
    </row>
    <row r="204" spans="1:3">
      <c r="A204" s="406">
        <f>Return!A204</f>
        <v>45789</v>
      </c>
      <c r="B204" s="408" t="s">
        <v>72</v>
      </c>
      <c r="C204" s="409">
        <f>Return!L204</f>
        <v>1.0239354780567807E-2</v>
      </c>
    </row>
    <row r="205" spans="1:3">
      <c r="A205" s="406">
        <f>Return!A205</f>
        <v>45786</v>
      </c>
      <c r="B205" s="408" t="s">
        <v>72</v>
      </c>
      <c r="C205" s="409">
        <f>Return!L205</f>
        <v>8.3064545682144681E-3</v>
      </c>
    </row>
    <row r="206" spans="1:3">
      <c r="A206" s="406">
        <f>Return!A206</f>
        <v>45785</v>
      </c>
      <c r="B206" s="408" t="s">
        <v>72</v>
      </c>
      <c r="C206" s="409">
        <f>Return!L206</f>
        <v>9.9510605422243074E-5</v>
      </c>
    </row>
    <row r="207" spans="1:3">
      <c r="A207" s="406">
        <f>Return!A207</f>
        <v>45784</v>
      </c>
      <c r="B207" s="408" t="s">
        <v>72</v>
      </c>
      <c r="C207" s="409">
        <f>Return!L207</f>
        <v>-2.2105208867262047E-4</v>
      </c>
    </row>
    <row r="208" spans="1:3">
      <c r="A208" s="406">
        <f>Return!A208</f>
        <v>45783</v>
      </c>
      <c r="B208" s="408" t="s">
        <v>72</v>
      </c>
      <c r="C208" s="409">
        <f>Return!L208</f>
        <v>-1.5869406004154107E-2</v>
      </c>
    </row>
    <row r="209" spans="1:3">
      <c r="A209" s="406">
        <f>Return!A209</f>
        <v>45782</v>
      </c>
      <c r="B209" s="408" t="s">
        <v>72</v>
      </c>
      <c r="C209" s="409">
        <f>Return!L209</f>
        <v>4.5671817036247977E-4</v>
      </c>
    </row>
    <row r="210" spans="1:3">
      <c r="A210" s="406">
        <f>Return!A210</f>
        <v>45779</v>
      </c>
      <c r="B210" s="408" t="s">
        <v>72</v>
      </c>
      <c r="C210" s="409">
        <f>Return!L210</f>
        <v>-2.8835173449561721E-3</v>
      </c>
    </row>
    <row r="211" spans="1:3">
      <c r="A211" s="406">
        <f>Return!A211</f>
        <v>45777</v>
      </c>
      <c r="B211" s="408" t="s">
        <v>72</v>
      </c>
      <c r="C211" s="409">
        <f>Return!L211</f>
        <v>1.9096070946020066E-4</v>
      </c>
    </row>
    <row r="212" spans="1:3">
      <c r="A212" s="406">
        <f>Return!A212</f>
        <v>45776</v>
      </c>
      <c r="B212" s="408" t="s">
        <v>72</v>
      </c>
      <c r="C212" s="409">
        <f>Return!L212</f>
        <v>1.568150241655703E-4</v>
      </c>
    </row>
    <row r="213" spans="1:3">
      <c r="A213" s="406">
        <f>Return!A213</f>
        <v>45775</v>
      </c>
      <c r="B213" s="408" t="s">
        <v>72</v>
      </c>
      <c r="C213" s="409">
        <f>Return!L213</f>
        <v>5.0940935215944101E-3</v>
      </c>
    </row>
    <row r="214" spans="1:3">
      <c r="A214" s="406">
        <f>Return!A214</f>
        <v>45772</v>
      </c>
      <c r="B214" s="408" t="s">
        <v>72</v>
      </c>
      <c r="C214" s="409">
        <f>Return!L214</f>
        <v>-8.9733202620031587E-3</v>
      </c>
    </row>
    <row r="215" spans="1:3">
      <c r="A215" s="406">
        <f>Return!A215</f>
        <v>45771</v>
      </c>
      <c r="B215" s="408" t="s">
        <v>72</v>
      </c>
      <c r="C215" s="409">
        <f>Return!L215</f>
        <v>2.7058599561162792E-3</v>
      </c>
    </row>
    <row r="216" spans="1:3">
      <c r="A216" s="406">
        <f>Return!A216</f>
        <v>45770</v>
      </c>
      <c r="B216" s="408" t="s">
        <v>72</v>
      </c>
      <c r="C216" s="409">
        <f>Return!L216</f>
        <v>-4.1641393550444954E-4</v>
      </c>
    </row>
    <row r="217" spans="1:3">
      <c r="A217" s="406">
        <f>Return!A217</f>
        <v>45769</v>
      </c>
      <c r="B217" s="408" t="s">
        <v>72</v>
      </c>
      <c r="C217" s="409">
        <f>Return!L217</f>
        <v>1.3264845602251253E-2</v>
      </c>
    </row>
    <row r="218" spans="1:3">
      <c r="A218" s="406">
        <f>Return!A218</f>
        <v>45768</v>
      </c>
      <c r="B218" s="408" t="s">
        <v>72</v>
      </c>
      <c r="C218" s="409">
        <f>Return!L218</f>
        <v>6.3975341934819664E-3</v>
      </c>
    </row>
    <row r="219" spans="1:3">
      <c r="A219" s="406">
        <f>Return!A219</f>
        <v>45764</v>
      </c>
      <c r="B219" s="408" t="s">
        <v>72</v>
      </c>
      <c r="C219" s="409">
        <f>Return!L219</f>
        <v>1.0333771837987114E-2</v>
      </c>
    </row>
    <row r="220" spans="1:3">
      <c r="A220" s="406">
        <f>Return!A220</f>
        <v>45763</v>
      </c>
      <c r="B220" s="408" t="s">
        <v>72</v>
      </c>
      <c r="C220" s="409">
        <f>Return!L220</f>
        <v>4.7852928381305849E-3</v>
      </c>
    </row>
    <row r="221" spans="1:3">
      <c r="A221" s="406">
        <f>Return!A221</f>
        <v>45762</v>
      </c>
      <c r="B221" s="408" t="s">
        <v>72</v>
      </c>
      <c r="C221" s="409">
        <f>Return!L221</f>
        <v>9.060642960999005E-3</v>
      </c>
    </row>
    <row r="222" spans="1:3">
      <c r="A222" s="406">
        <f>Return!A222</f>
        <v>45758</v>
      </c>
      <c r="B222" s="408" t="s">
        <v>72</v>
      </c>
      <c r="C222" s="409">
        <f>Return!L222</f>
        <v>1.2019976257557269E-2</v>
      </c>
    </row>
    <row r="223" spans="1:3">
      <c r="A223" s="406">
        <f>Return!A223</f>
        <v>45756</v>
      </c>
      <c r="B223" s="408" t="s">
        <v>72</v>
      </c>
      <c r="C223" s="409">
        <f>Return!L223</f>
        <v>2.3813778216403465E-3</v>
      </c>
    </row>
    <row r="224" spans="1:3">
      <c r="A224" s="406">
        <f>Return!A224</f>
        <v>45755</v>
      </c>
      <c r="B224" s="408" t="s">
        <v>72</v>
      </c>
      <c r="C224" s="409">
        <f>Return!L224</f>
        <v>1.1333299894441805E-2</v>
      </c>
    </row>
    <row r="225" spans="1:3">
      <c r="A225" s="406">
        <f>Return!A225</f>
        <v>45754</v>
      </c>
      <c r="B225" s="408" t="s">
        <v>72</v>
      </c>
      <c r="C225" s="409">
        <f>Return!L225</f>
        <v>-8.8668633442966719E-3</v>
      </c>
    </row>
    <row r="226" spans="1:3">
      <c r="A226" s="406">
        <f>Return!A226</f>
        <v>45751</v>
      </c>
      <c r="B226" s="408" t="s">
        <v>72</v>
      </c>
      <c r="C226" s="409">
        <f>Return!L226</f>
        <v>-1.0945746937874694E-3</v>
      </c>
    </row>
    <row r="227" spans="1:3">
      <c r="A227" s="406">
        <f>Return!A227</f>
        <v>45750</v>
      </c>
      <c r="B227" s="408" t="s">
        <v>72</v>
      </c>
      <c r="C227" s="409">
        <f>Return!L227</f>
        <v>-3.8443715051363894E-4</v>
      </c>
    </row>
    <row r="228" spans="1:3">
      <c r="A228" s="406">
        <f>Return!A228</f>
        <v>45749</v>
      </c>
      <c r="B228" s="408" t="s">
        <v>72</v>
      </c>
      <c r="C228" s="409">
        <f>Return!L228</f>
        <v>-1.9648181648184146E-2</v>
      </c>
    </row>
    <row r="229" spans="1:3">
      <c r="A229" s="406">
        <f>Return!A229</f>
        <v>45748</v>
      </c>
      <c r="B229" s="408" t="s">
        <v>72</v>
      </c>
      <c r="C229" s="409">
        <f>Return!L229</f>
        <v>-1.3430841733677208E-3</v>
      </c>
    </row>
    <row r="230" spans="1:3">
      <c r="A230" s="406">
        <f>Return!A230</f>
        <v>45744</v>
      </c>
      <c r="B230" s="408" t="s">
        <v>72</v>
      </c>
      <c r="C230" s="409">
        <f>Return!L230</f>
        <v>4.3274523757603888E-3</v>
      </c>
    </row>
    <row r="231" spans="1:3">
      <c r="A231" s="406">
        <f>Return!A231</f>
        <v>45743</v>
      </c>
      <c r="B231" s="408" t="s">
        <v>72</v>
      </c>
      <c r="C231" s="409">
        <f>Return!L231</f>
        <v>-7.9134072530869792E-3</v>
      </c>
    </row>
    <row r="232" spans="1:3">
      <c r="A232" s="406">
        <f>Return!A232</f>
        <v>45742</v>
      </c>
      <c r="B232" s="408" t="s">
        <v>72</v>
      </c>
      <c r="C232" s="409">
        <f>Return!L232</f>
        <v>-1.1301693890694535E-2</v>
      </c>
    </row>
    <row r="233" spans="1:3">
      <c r="A233" s="406">
        <f>Return!A233</f>
        <v>45741</v>
      </c>
      <c r="B233" s="408" t="s">
        <v>72</v>
      </c>
      <c r="C233" s="409">
        <f>Return!L233</f>
        <v>-5.9688732872484095E-3</v>
      </c>
    </row>
    <row r="234" spans="1:3">
      <c r="A234" s="406">
        <f>Return!A234</f>
        <v>45740</v>
      </c>
      <c r="B234" s="408" t="s">
        <v>72</v>
      </c>
      <c r="C234" s="409">
        <f>Return!L234</f>
        <v>-1.1040657223663623E-3</v>
      </c>
    </row>
    <row r="235" spans="1:3">
      <c r="A235" s="406">
        <f>Return!A235</f>
        <v>45737</v>
      </c>
      <c r="B235" s="408" t="s">
        <v>72</v>
      </c>
      <c r="C235" s="409">
        <f>Return!L235</f>
        <v>-4.9231303882343262E-3</v>
      </c>
    </row>
    <row r="236" spans="1:3">
      <c r="A236" s="406">
        <f>Return!A236</f>
        <v>45736</v>
      </c>
      <c r="B236" s="408" t="s">
        <v>72</v>
      </c>
      <c r="C236" s="409">
        <f>Return!L236</f>
        <v>6.1022699884742074E-3</v>
      </c>
    </row>
    <row r="237" spans="1:3">
      <c r="A237" s="406">
        <f>Return!A237</f>
        <v>45735</v>
      </c>
      <c r="B237" s="408" t="s">
        <v>72</v>
      </c>
      <c r="C237" s="409">
        <f>Return!L237</f>
        <v>9.150864257285762E-3</v>
      </c>
    </row>
    <row r="238" spans="1:3">
      <c r="A238" s="406">
        <f>Return!A238</f>
        <v>45734</v>
      </c>
      <c r="B238" s="408" t="s">
        <v>72</v>
      </c>
      <c r="C238" s="409">
        <f>Return!L238</f>
        <v>8.7410016455516278E-3</v>
      </c>
    </row>
    <row r="239" spans="1:3">
      <c r="A239" s="406">
        <f>Return!A239</f>
        <v>45733</v>
      </c>
      <c r="B239" s="408" t="s">
        <v>72</v>
      </c>
      <c r="C239" s="409">
        <f>Return!L239</f>
        <v>1.0862881598207899E-2</v>
      </c>
    </row>
    <row r="240" spans="1:3">
      <c r="A240" s="406">
        <f>Return!A240</f>
        <v>45729</v>
      </c>
      <c r="B240" s="408" t="s">
        <v>72</v>
      </c>
      <c r="C240" s="409">
        <f>Return!L240</f>
        <v>3.3099153729869817E-3</v>
      </c>
    </row>
    <row r="241" spans="1:3">
      <c r="A241" s="406">
        <f>Return!A241</f>
        <v>45728</v>
      </c>
      <c r="B241" s="408" t="s">
        <v>72</v>
      </c>
      <c r="C241" s="409">
        <f>Return!L241</f>
        <v>6.6398160635217571E-3</v>
      </c>
    </row>
    <row r="242" spans="1:3">
      <c r="A242" s="406">
        <f>Return!A242</f>
        <v>45727</v>
      </c>
      <c r="B242" s="408" t="s">
        <v>72</v>
      </c>
      <c r="C242" s="409">
        <f>Return!L242</f>
        <v>5.2544748200335466E-3</v>
      </c>
    </row>
    <row r="243" spans="1:3">
      <c r="A243" s="406">
        <f>Return!A243</f>
        <v>45726</v>
      </c>
      <c r="B243" s="408" t="s">
        <v>72</v>
      </c>
      <c r="C243" s="409">
        <f>Return!L243</f>
        <v>-2.1280284794820119E-3</v>
      </c>
    </row>
    <row r="244" spans="1:3">
      <c r="A244" s="406">
        <f>Return!A244</f>
        <v>45723</v>
      </c>
      <c r="B244" s="408" t="s">
        <v>72</v>
      </c>
      <c r="C244" s="409">
        <f>Return!L244</f>
        <v>-2.6638824937334198E-3</v>
      </c>
    </row>
    <row r="245" spans="1:3">
      <c r="A245" s="406">
        <f>Return!A245</f>
        <v>45722</v>
      </c>
      <c r="B245" s="408" t="s">
        <v>72</v>
      </c>
      <c r="C245" s="409">
        <f>Return!L245</f>
        <v>1.7690815400569959E-3</v>
      </c>
    </row>
    <row r="246" spans="1:3">
      <c r="A246" s="406">
        <f>Return!A246</f>
        <v>45721</v>
      </c>
      <c r="B246" s="408" t="s">
        <v>72</v>
      </c>
      <c r="C246" s="409">
        <f>Return!L246</f>
        <v>6.9024277105546395E-3</v>
      </c>
    </row>
    <row r="247" spans="1:3">
      <c r="A247" s="406">
        <f>Return!A247</f>
        <v>45720</v>
      </c>
      <c r="B247" s="408" t="s">
        <v>72</v>
      </c>
      <c r="C247" s="409">
        <f>Return!L247</f>
        <v>9.2181186630603228E-3</v>
      </c>
    </row>
    <row r="248" spans="1:3">
      <c r="A248" s="406">
        <f>Return!A248</f>
        <v>45719</v>
      </c>
      <c r="B248" s="408" t="s">
        <v>72</v>
      </c>
      <c r="C248" s="409">
        <f>Return!L248</f>
        <v>7.6344021313950175E-3</v>
      </c>
    </row>
    <row r="249" spans="1:3">
      <c r="A249" s="406">
        <f>Return!A249</f>
        <v>45716</v>
      </c>
      <c r="B249" s="408" t="s">
        <v>72</v>
      </c>
      <c r="C249" s="409">
        <f>Return!L249</f>
        <v>1.0857879319204587E-3</v>
      </c>
    </row>
    <row r="250" spans="1:3">
      <c r="A250" s="406">
        <f>Return!A250</f>
        <v>45715</v>
      </c>
      <c r="B250" s="408" t="s">
        <v>72</v>
      </c>
      <c r="C250" s="409">
        <f>Return!L250</f>
        <v>-5.6697366766054677E-5</v>
      </c>
    </row>
    <row r="251" spans="1:3">
      <c r="A251" s="406">
        <f>Return!A251</f>
        <v>45713</v>
      </c>
      <c r="B251" s="408" t="s">
        <v>72</v>
      </c>
      <c r="C251" s="409">
        <f>Return!L251</f>
        <v>-7.2744943918112339E-3</v>
      </c>
    </row>
    <row r="252" spans="1:3">
      <c r="A252" s="406">
        <f>Return!A252</f>
        <v>45712</v>
      </c>
      <c r="B252" s="408" t="s">
        <v>72</v>
      </c>
      <c r="C252" s="409">
        <f>Return!L252</f>
        <v>-6.0452392822244348E-3</v>
      </c>
    </row>
    <row r="253" spans="1:3">
      <c r="A253" s="406">
        <f>Return!A253</f>
        <v>45709</v>
      </c>
      <c r="B253" s="408" t="s">
        <v>72</v>
      </c>
      <c r="C253" s="409">
        <f>Return!L253</f>
        <v>-1.0296485103594669E-2</v>
      </c>
    </row>
    <row r="254" spans="1:3">
      <c r="A254" s="406">
        <f>Return!A254</f>
        <v>45708</v>
      </c>
      <c r="B254" s="408" t="s">
        <v>72</v>
      </c>
      <c r="C254" s="409">
        <f>Return!L254</f>
        <v>-3.7256563372047866E-3</v>
      </c>
    </row>
    <row r="255" spans="1:3">
      <c r="A255" s="406">
        <f>Return!A255</f>
        <v>45707</v>
      </c>
      <c r="B255" s="408" t="s">
        <v>72</v>
      </c>
      <c r="C255" s="409">
        <f>Return!L255</f>
        <v>-1.0094895191734662E-2</v>
      </c>
    </row>
    <row r="256" spans="1:3">
      <c r="A256" s="406">
        <f>Return!A256</f>
        <v>45706</v>
      </c>
      <c r="B256" s="408" t="s">
        <v>72</v>
      </c>
      <c r="C256" s="409">
        <f>Return!L256</f>
        <v>-9.3576621190604489E-4</v>
      </c>
    </row>
    <row r="257" spans="1:3">
      <c r="A257" s="406">
        <f>Return!A257</f>
        <v>45705</v>
      </c>
      <c r="B257" s="408" t="s">
        <v>72</v>
      </c>
      <c r="C257" s="409">
        <f>Return!L257</f>
        <v>3.9520189616480839E-3</v>
      </c>
    </row>
    <row r="258" spans="1:3">
      <c r="A258" s="406">
        <f>Return!A258</f>
        <v>45702</v>
      </c>
      <c r="B258" s="408" t="s">
        <v>72</v>
      </c>
      <c r="C258" s="409">
        <f>Return!L258</f>
        <v>-4.0854759549149838E-3</v>
      </c>
    </row>
    <row r="259" spans="1:3">
      <c r="A259" s="406">
        <f>Return!A259</f>
        <v>45701</v>
      </c>
      <c r="B259" s="408" t="s">
        <v>72</v>
      </c>
      <c r="C259" s="409">
        <f>Return!L259</f>
        <v>-1.5043109017141279E-4</v>
      </c>
    </row>
    <row r="260" spans="1:3">
      <c r="A260" s="406">
        <f>Return!A260</f>
        <v>45700</v>
      </c>
      <c r="B260" s="408" t="s">
        <v>72</v>
      </c>
      <c r="C260" s="409">
        <f>Return!L260</f>
        <v>-9.8610428177416908E-3</v>
      </c>
    </row>
    <row r="261" spans="1:3">
      <c r="A261" s="406">
        <f>Return!A261</f>
        <v>45699</v>
      </c>
      <c r="B261" s="408" t="s">
        <v>72</v>
      </c>
      <c r="C261" s="409">
        <f>Return!L261</f>
        <v>-6.5876296096109869E-3</v>
      </c>
    </row>
    <row r="262" spans="1:3">
      <c r="A262" s="406">
        <f>Return!A262</f>
        <v>45698</v>
      </c>
      <c r="B262" s="408" t="s">
        <v>72</v>
      </c>
      <c r="C262" s="409">
        <f>Return!L262</f>
        <v>-8.7749785996624873E-3</v>
      </c>
    </row>
    <row r="263" spans="1:3">
      <c r="A263" s="406">
        <f>Return!A263</f>
        <v>45695</v>
      </c>
      <c r="B263" s="408" t="s">
        <v>72</v>
      </c>
      <c r="C263" s="409">
        <f>Return!L263</f>
        <v>-1.0481267645173859E-2</v>
      </c>
    </row>
    <row r="264" spans="1:3">
      <c r="A264" s="406">
        <f>Return!A264</f>
        <v>45694</v>
      </c>
      <c r="B264" s="408" t="s">
        <v>72</v>
      </c>
      <c r="C264" s="409">
        <f>Return!L264</f>
        <v>-1.8133042404638985E-3</v>
      </c>
    </row>
    <row r="265" spans="1:3">
      <c r="A265" s="406">
        <f>Return!A265</f>
        <v>45693</v>
      </c>
      <c r="B265" s="408" t="s">
        <v>72</v>
      </c>
      <c r="C265" s="409">
        <f>Return!L265</f>
        <v>9.9095139230142553E-3</v>
      </c>
    </row>
    <row r="266" spans="1:3">
      <c r="A266" s="406">
        <f>Return!A266</f>
        <v>45692</v>
      </c>
      <c r="B266" s="408" t="s">
        <v>72</v>
      </c>
      <c r="C266" s="409">
        <f>Return!L266</f>
        <v>4.5473520891834767E-3</v>
      </c>
    </row>
    <row r="267" spans="1:3">
      <c r="A267" s="406">
        <f>Return!A267</f>
        <v>45691</v>
      </c>
      <c r="B267" s="408" t="s">
        <v>72</v>
      </c>
      <c r="C267" s="409">
        <f>Return!L267</f>
        <v>5.8701555768131009E-3</v>
      </c>
    </row>
    <row r="268" spans="1:3">
      <c r="A268" s="406">
        <f>Return!A268</f>
        <v>45689</v>
      </c>
      <c r="B268" s="408" t="s">
        <v>72</v>
      </c>
      <c r="C268" s="409">
        <f>Return!L268</f>
        <v>5.7902726127317724E-3</v>
      </c>
    </row>
    <row r="269" spans="1:3">
      <c r="A269" s="406">
        <f>Return!A269</f>
        <v>45688</v>
      </c>
      <c r="B269" s="408" t="s">
        <v>72</v>
      </c>
      <c r="C269" s="409">
        <f>Return!L269</f>
        <v>-3.1574929834322137E-4</v>
      </c>
    </row>
    <row r="270" spans="1:3">
      <c r="A270" s="406">
        <f>Return!A270</f>
        <v>45687</v>
      </c>
      <c r="B270" s="408" t="s">
        <v>72</v>
      </c>
      <c r="C270" s="409">
        <f>Return!L270</f>
        <v>-2.3939319576669351E-4</v>
      </c>
    </row>
    <row r="271" spans="1:3">
      <c r="A271" s="406">
        <f>Return!A271</f>
        <v>45686</v>
      </c>
      <c r="B271" s="408" t="s">
        <v>72</v>
      </c>
      <c r="C271" s="409">
        <f>Return!L271</f>
        <v>7.2977175426883548E-3</v>
      </c>
    </row>
    <row r="272" spans="1:3">
      <c r="A272" s="406">
        <f>Return!A272</f>
        <v>45685</v>
      </c>
      <c r="B272" s="408" t="s">
        <v>72</v>
      </c>
      <c r="C272" s="409">
        <f>Return!L272</f>
        <v>4.0083275052132279E-3</v>
      </c>
    </row>
    <row r="273" spans="1:3">
      <c r="A273" s="406">
        <f>Return!A273</f>
        <v>45684</v>
      </c>
      <c r="B273" s="408" t="s">
        <v>72</v>
      </c>
      <c r="C273" s="409">
        <f>Return!L273</f>
        <v>-5.7704645257017134E-4</v>
      </c>
    </row>
    <row r="274" spans="1:3">
      <c r="A274" s="406">
        <f>Return!A274</f>
        <v>45681</v>
      </c>
      <c r="B274" s="408" t="s">
        <v>72</v>
      </c>
      <c r="C274" s="409">
        <f>Return!L274</f>
        <v>-1.2649273846824493E-2</v>
      </c>
    </row>
    <row r="275" spans="1:3">
      <c r="A275" s="406">
        <f>Return!A275</f>
        <v>45680</v>
      </c>
      <c r="B275" s="408" t="s">
        <v>72</v>
      </c>
      <c r="C275" s="409">
        <f>Return!L275</f>
        <v>-1.7188181195792226E-2</v>
      </c>
    </row>
    <row r="276" spans="1:3">
      <c r="A276" s="406">
        <f>Return!A276</f>
        <v>45679</v>
      </c>
      <c r="B276" s="408" t="s">
        <v>72</v>
      </c>
      <c r="C276" s="409">
        <f>Return!L276</f>
        <v>-4.0664628121544685E-3</v>
      </c>
    </row>
    <row r="277" spans="1:3">
      <c r="A277" s="406">
        <f>Return!A277</f>
        <v>45678</v>
      </c>
      <c r="B277" s="408" t="s">
        <v>72</v>
      </c>
      <c r="C277" s="409">
        <f>Return!L277</f>
        <v>-2.3977493583661187E-4</v>
      </c>
    </row>
    <row r="278" spans="1:3">
      <c r="A278" s="406">
        <f>Return!A278</f>
        <v>45677</v>
      </c>
      <c r="B278" s="408" t="s">
        <v>72</v>
      </c>
      <c r="C278" s="409">
        <f>Return!L278</f>
        <v>1.4226110208141888E-3</v>
      </c>
    </row>
    <row r="279" spans="1:3">
      <c r="A279" s="406">
        <f>Return!A279</f>
        <v>45674</v>
      </c>
      <c r="B279" s="408" t="s">
        <v>72</v>
      </c>
      <c r="C279" s="409">
        <f>Return!L279</f>
        <v>-4.4951327116604049E-4</v>
      </c>
    </row>
    <row r="280" spans="1:3">
      <c r="A280" s="406">
        <f>Return!A280</f>
        <v>45673</v>
      </c>
      <c r="B280" s="408" t="s">
        <v>72</v>
      </c>
      <c r="C280" s="409">
        <f>Return!L280</f>
        <v>2.7156853786833549E-3</v>
      </c>
    </row>
    <row r="281" spans="1:3">
      <c r="A281" s="406">
        <f>Return!A281</f>
        <v>45672</v>
      </c>
      <c r="B281" s="408" t="s">
        <v>72</v>
      </c>
      <c r="C281" s="409">
        <f>Return!L281</f>
        <v>-3.362999810571846E-3</v>
      </c>
    </row>
    <row r="282" spans="1:3">
      <c r="A282" s="406">
        <f>Return!A282</f>
        <v>45671</v>
      </c>
      <c r="B282" s="408" t="s">
        <v>72</v>
      </c>
      <c r="C282" s="409">
        <f>Return!L282</f>
        <v>-5.9037042252412589E-3</v>
      </c>
    </row>
    <row r="283" spans="1:3">
      <c r="A283" s="406">
        <f>Return!A283</f>
        <v>45670</v>
      </c>
      <c r="B283" s="408" t="s">
        <v>72</v>
      </c>
      <c r="C283" s="409">
        <f>Return!L283</f>
        <v>-4.6546817120966793E-3</v>
      </c>
    </row>
    <row r="284" spans="1:3">
      <c r="A284" s="406">
        <f>Return!A284</f>
        <v>45667</v>
      </c>
      <c r="B284" s="408" t="s">
        <v>72</v>
      </c>
      <c r="C284" s="409">
        <f>Return!L284</f>
        <v>-6.4849843784254863E-3</v>
      </c>
    </row>
    <row r="285" spans="1:3">
      <c r="A285" s="406">
        <f>Return!A285</f>
        <v>45666</v>
      </c>
      <c r="B285" s="408" t="s">
        <v>72</v>
      </c>
      <c r="C285" s="409">
        <f>Return!L285</f>
        <v>-6.2628261059136554E-3</v>
      </c>
    </row>
    <row r="286" spans="1:3">
      <c r="A286" s="406">
        <f>Return!A286</f>
        <v>45665</v>
      </c>
      <c r="B286" s="408" t="s">
        <v>72</v>
      </c>
      <c r="C286" s="409">
        <f>Return!L286</f>
        <v>-1.6121730191636364E-2</v>
      </c>
    </row>
    <row r="287" spans="1:3">
      <c r="A287" s="406">
        <f>Return!A287</f>
        <v>45664</v>
      </c>
      <c r="B287" s="408" t="s">
        <v>72</v>
      </c>
      <c r="C287" s="409">
        <f>Return!L287</f>
        <v>-3.9998222720907849E-3</v>
      </c>
    </row>
    <row r="288" spans="1:3">
      <c r="A288" s="406">
        <f>Return!A288</f>
        <v>45663</v>
      </c>
      <c r="B288" s="408" t="s">
        <v>72</v>
      </c>
      <c r="C288" s="409">
        <f>Return!L288</f>
        <v>-3.9231377691685406E-3</v>
      </c>
    </row>
    <row r="289" spans="1:3">
      <c r="A289" s="406">
        <f>Return!A289</f>
        <v>45660</v>
      </c>
      <c r="B289" s="408" t="s">
        <v>72</v>
      </c>
      <c r="C289" s="409">
        <f>Return!L289</f>
        <v>-4.4781946087306505E-3</v>
      </c>
    </row>
    <row r="290" spans="1:3">
      <c r="A290" s="406">
        <f>Return!A290</f>
        <v>45659</v>
      </c>
      <c r="B290" s="408" t="s">
        <v>72</v>
      </c>
      <c r="C290" s="409">
        <f>Return!L290</f>
        <v>-7.3094021467362495E-3</v>
      </c>
    </row>
    <row r="291" spans="1:3">
      <c r="A291" s="406">
        <f>Return!A291</f>
        <v>45658</v>
      </c>
      <c r="B291" s="408" t="s">
        <v>72</v>
      </c>
      <c r="C291" s="409">
        <f>Return!L291</f>
        <v>-4.2330500846507902E-3</v>
      </c>
    </row>
    <row r="292" spans="1:3">
      <c r="A292" s="406">
        <f>Return!A292</f>
        <v>45657</v>
      </c>
      <c r="B292" s="408" t="s">
        <v>72</v>
      </c>
      <c r="C292" s="409">
        <f>Return!L292</f>
        <v>5.3652703298255142E-3</v>
      </c>
    </row>
    <row r="293" spans="1:3">
      <c r="A293" s="406">
        <f>Return!A293</f>
        <v>45656</v>
      </c>
      <c r="B293" s="408" t="s">
        <v>72</v>
      </c>
      <c r="C293" s="409">
        <f>Return!L293</f>
        <v>1.9296118337985937E-3</v>
      </c>
    </row>
    <row r="294" spans="1:3">
      <c r="A294" s="406">
        <f>Return!A294</f>
        <v>45653</v>
      </c>
      <c r="B294" s="408" t="s">
        <v>72</v>
      </c>
      <c r="C294" s="409">
        <f>Return!L294</f>
        <v>1.1025559833612609E-2</v>
      </c>
    </row>
    <row r="295" spans="1:3">
      <c r="A295" s="406">
        <f>Return!A295</f>
        <v>45652</v>
      </c>
      <c r="B295" s="408" t="s">
        <v>72</v>
      </c>
      <c r="C295" s="409">
        <f>Return!L295</f>
        <v>8.2814687339186222E-3</v>
      </c>
    </row>
    <row r="296" spans="1:3">
      <c r="A296" s="406">
        <f>Return!A296</f>
        <v>45650</v>
      </c>
      <c r="B296" s="408" t="s">
        <v>72</v>
      </c>
      <c r="C296" s="409">
        <f>Return!L296</f>
        <v>5.3332119895931835E-3</v>
      </c>
    </row>
    <row r="297" spans="1:3">
      <c r="A297" s="406">
        <f>Return!A297</f>
        <v>45649</v>
      </c>
      <c r="B297" s="408" t="s">
        <v>72</v>
      </c>
      <c r="C297" s="409">
        <f>Return!L297</f>
        <v>2.8963779199905537E-3</v>
      </c>
    </row>
    <row r="298" spans="1:3">
      <c r="A298" s="406">
        <f>Return!A298</f>
        <v>45646</v>
      </c>
      <c r="B298" s="408" t="s">
        <v>72</v>
      </c>
      <c r="C298" s="409">
        <f>Return!L298</f>
        <v>-4.2556817824159453E-4</v>
      </c>
    </row>
    <row r="299" spans="1:3">
      <c r="A299" s="406">
        <f>Return!A299</f>
        <v>45645</v>
      </c>
      <c r="B299" s="408" t="s">
        <v>72</v>
      </c>
      <c r="C299" s="409">
        <f>Return!L299</f>
        <v>1.4400913775258664E-3</v>
      </c>
    </row>
    <row r="300" spans="1:3">
      <c r="A300" s="406">
        <f>Return!A300</f>
        <v>45644</v>
      </c>
      <c r="B300" s="408" t="s">
        <v>72</v>
      </c>
      <c r="C300" s="409">
        <f>Return!L300</f>
        <v>3.7513926997119868E-3</v>
      </c>
    </row>
    <row r="301" spans="1:3">
      <c r="A301" s="406">
        <f>Return!A301</f>
        <v>45643</v>
      </c>
      <c r="B301" s="408" t="s">
        <v>72</v>
      </c>
      <c r="C301" s="409">
        <f>Return!L301</f>
        <v>1.0559108270056858E-2</v>
      </c>
    </row>
    <row r="302" spans="1:3">
      <c r="A302" s="406">
        <f>Return!A302</f>
        <v>45642</v>
      </c>
      <c r="B302" s="408" t="s">
        <v>72</v>
      </c>
      <c r="C302" s="409">
        <f>Return!L302</f>
        <v>4.5478508479632525E-3</v>
      </c>
    </row>
    <row r="303" spans="1:3">
      <c r="A303" s="406">
        <f>Return!A303</f>
        <v>45639</v>
      </c>
      <c r="B303" s="408" t="s">
        <v>72</v>
      </c>
      <c r="C303" s="409">
        <f>Return!L303</f>
        <v>2.6374762415889044E-3</v>
      </c>
    </row>
    <row r="304" spans="1:3">
      <c r="A304" s="406">
        <f>Return!A304</f>
        <v>45638</v>
      </c>
      <c r="B304" s="408" t="s">
        <v>72</v>
      </c>
      <c r="C304" s="409">
        <f>Return!L304</f>
        <v>-3.3479438541091267E-3</v>
      </c>
    </row>
    <row r="305" spans="1:3">
      <c r="A305" s="406">
        <f>Return!A305</f>
        <v>45637</v>
      </c>
      <c r="B305" s="408" t="s">
        <v>72</v>
      </c>
      <c r="C305" s="409">
        <f>Return!L305</f>
        <v>-4.9239948873417349E-3</v>
      </c>
    </row>
    <row r="306" spans="1:3">
      <c r="A306" s="406">
        <f>Return!A306</f>
        <v>45636</v>
      </c>
      <c r="B306" s="408" t="s">
        <v>72</v>
      </c>
      <c r="C306" s="409">
        <f>Return!L306</f>
        <v>-1.8751617778984605E-3</v>
      </c>
    </row>
    <row r="307" spans="1:3">
      <c r="A307" s="406">
        <f>Return!A307</f>
        <v>45635</v>
      </c>
      <c r="B307" s="408" t="s">
        <v>72</v>
      </c>
      <c r="C307" s="409">
        <f>Return!L307</f>
        <v>-1.2791423997250294E-3</v>
      </c>
    </row>
    <row r="308" spans="1:3">
      <c r="A308" s="406">
        <f>Return!A308</f>
        <v>45632</v>
      </c>
      <c r="B308" s="408" t="s">
        <v>72</v>
      </c>
      <c r="C308" s="409">
        <f>Return!L308</f>
        <v>-3.5263415187283202E-4</v>
      </c>
    </row>
    <row r="309" spans="1:3">
      <c r="A309" s="406">
        <f>Return!A309</f>
        <v>45631</v>
      </c>
      <c r="B309" s="408" t="s">
        <v>72</v>
      </c>
      <c r="C309" s="409">
        <f>Return!L309</f>
        <v>-6.1902338263988364E-3</v>
      </c>
    </row>
    <row r="310" spans="1:3">
      <c r="A310" s="406">
        <f>Return!A310</f>
        <v>45630</v>
      </c>
      <c r="B310" s="408" t="s">
        <v>72</v>
      </c>
      <c r="C310" s="409">
        <f>Return!L310</f>
        <v>-9.0292957717321896E-4</v>
      </c>
    </row>
    <row r="311" spans="1:3">
      <c r="A311" s="406">
        <f>Return!A311</f>
        <v>45629</v>
      </c>
      <c r="B311" s="408" t="s">
        <v>72</v>
      </c>
      <c r="C311" s="409">
        <f>Return!L311</f>
        <v>1.3579830718200175E-3</v>
      </c>
    </row>
    <row r="312" spans="1:3">
      <c r="A312" s="406">
        <f>Return!A312</f>
        <v>45628</v>
      </c>
      <c r="B312" s="408" t="s">
        <v>72</v>
      </c>
      <c r="C312" s="409">
        <f>Return!L312</f>
        <v>1.9768541111399021E-3</v>
      </c>
    </row>
    <row r="313" spans="1:3">
      <c r="A313" s="406">
        <f>Return!A313</f>
        <v>45625</v>
      </c>
      <c r="B313" s="408" t="s">
        <v>72</v>
      </c>
      <c r="C313" s="409">
        <f>Return!L313</f>
        <v>4.8157130621035577E-3</v>
      </c>
    </row>
    <row r="314" spans="1:3">
      <c r="A314" s="406">
        <f>Return!A314</f>
        <v>45624</v>
      </c>
      <c r="B314" s="408" t="s">
        <v>72</v>
      </c>
      <c r="C314" s="409">
        <f>Return!L314</f>
        <v>1.1205777988402558E-2</v>
      </c>
    </row>
    <row r="315" spans="1:3">
      <c r="A315" s="406">
        <f>Return!A315</f>
        <v>45623</v>
      </c>
      <c r="B315" s="408" t="s">
        <v>72</v>
      </c>
      <c r="C315" s="409">
        <f>Return!L315</f>
        <v>8.0488638613262359E-3</v>
      </c>
    </row>
    <row r="316" spans="1:3">
      <c r="A316" s="406">
        <f>Return!A316</f>
        <v>45622</v>
      </c>
      <c r="B316" s="408" t="s">
        <v>72</v>
      </c>
      <c r="C316" s="409">
        <f>Return!L316</f>
        <v>5.2893795130067197E-4</v>
      </c>
    </row>
    <row r="317" spans="1:3">
      <c r="A317" s="406">
        <f>Return!A317</f>
        <v>45621</v>
      </c>
      <c r="B317" s="408" t="s">
        <v>72</v>
      </c>
      <c r="C317" s="409">
        <f>Return!L317</f>
        <v>-4.7223460665140153E-3</v>
      </c>
    </row>
    <row r="318" spans="1:3">
      <c r="A318" s="406">
        <f>Return!A318</f>
        <v>45618</v>
      </c>
      <c r="B318" s="408" t="s">
        <v>72</v>
      </c>
      <c r="C318" s="409">
        <f>Return!L318</f>
        <v>2.0117798935106426E-4</v>
      </c>
    </row>
    <row r="319" spans="1:3">
      <c r="A319" s="406">
        <f>Return!A319</f>
        <v>45617</v>
      </c>
      <c r="B319" s="408" t="s">
        <v>72</v>
      </c>
      <c r="C319" s="409">
        <f>Return!L319</f>
        <v>1.3650980618968977E-3</v>
      </c>
    </row>
    <row r="320" spans="1:3">
      <c r="A320" s="406">
        <f>Return!A320</f>
        <v>45615</v>
      </c>
      <c r="B320" s="408" t="s">
        <v>72</v>
      </c>
      <c r="C320" s="409">
        <f>Return!L320</f>
        <v>4.3980424053385713E-3</v>
      </c>
    </row>
    <row r="321" spans="1:3">
      <c r="A321" s="406">
        <f>Return!A321</f>
        <v>45614</v>
      </c>
      <c r="B321" s="408" t="s">
        <v>72</v>
      </c>
      <c r="C321" s="409">
        <f>Return!L321</f>
        <v>2.1899522597203106E-3</v>
      </c>
    </row>
    <row r="322" spans="1:3">
      <c r="A322" s="406">
        <f>Return!A322</f>
        <v>45610</v>
      </c>
      <c r="B322" s="408" t="s">
        <v>72</v>
      </c>
      <c r="C322" s="409">
        <f>Return!L322</f>
        <v>6.8608483474314917E-4</v>
      </c>
    </row>
    <row r="323" spans="1:3">
      <c r="A323" s="406">
        <f>Return!A323</f>
        <v>45609</v>
      </c>
      <c r="B323" s="408" t="s">
        <v>72</v>
      </c>
      <c r="C323" s="409">
        <f>Return!L323</f>
        <v>-2.1274366614364875E-3</v>
      </c>
    </row>
    <row r="324" spans="1:3">
      <c r="A324" s="406">
        <f>Return!A324</f>
        <v>45608</v>
      </c>
      <c r="B324" s="408" t="s">
        <v>72</v>
      </c>
      <c r="C324" s="409">
        <f>Return!L324</f>
        <v>-9.9860112157376339E-3</v>
      </c>
    </row>
    <row r="325" spans="1:3">
      <c r="A325" s="406">
        <f>Return!A325</f>
        <v>45607</v>
      </c>
      <c r="B325" s="408" t="s">
        <v>72</v>
      </c>
      <c r="C325" s="409">
        <f>Return!L325</f>
        <v>-9.0659993616167001E-3</v>
      </c>
    </row>
    <row r="326" spans="1:3">
      <c r="A326" s="406">
        <f>Return!A326</f>
        <v>45604</v>
      </c>
      <c r="B326" s="408" t="s">
        <v>72</v>
      </c>
      <c r="C326" s="409">
        <f>Return!L326</f>
        <v>-1.0947099260651089E-2</v>
      </c>
    </row>
    <row r="327" spans="1:3">
      <c r="A327" s="406">
        <f>Return!A327</f>
        <v>45603</v>
      </c>
      <c r="B327" s="408" t="s">
        <v>72</v>
      </c>
      <c r="C327" s="409">
        <f>Return!L327</f>
        <v>-1.0402999209733947E-2</v>
      </c>
    </row>
    <row r="328" spans="1:3">
      <c r="A328" s="406">
        <f>Return!A328</f>
        <v>45602</v>
      </c>
      <c r="B328" s="408" t="s">
        <v>72</v>
      </c>
      <c r="C328" s="409">
        <f>Return!L328</f>
        <v>-1.2476902926160943E-2</v>
      </c>
    </row>
    <row r="329" spans="1:3">
      <c r="A329" s="406">
        <f>Return!A329</f>
        <v>45601</v>
      </c>
      <c r="B329" s="408" t="s">
        <v>72</v>
      </c>
      <c r="C329" s="409">
        <f>Return!L329</f>
        <v>-7.485030151692056E-4</v>
      </c>
    </row>
    <row r="330" spans="1:3">
      <c r="A330" s="406">
        <f>Return!A330</f>
        <v>45600</v>
      </c>
      <c r="B330" s="408" t="s">
        <v>72</v>
      </c>
      <c r="C330" s="409">
        <f>Return!L330</f>
        <v>-4.4583817352712111E-3</v>
      </c>
    </row>
    <row r="331" spans="1:3">
      <c r="A331" s="406">
        <f>Return!A331</f>
        <v>45597</v>
      </c>
      <c r="B331" s="408" t="s">
        <v>72</v>
      </c>
      <c r="C331" s="409">
        <f>Return!L331</f>
        <v>4.4191359563819487E-3</v>
      </c>
    </row>
    <row r="332" spans="1:3">
      <c r="A332" s="406">
        <f>Return!A332</f>
        <v>45596</v>
      </c>
      <c r="B332" s="408" t="s">
        <v>72</v>
      </c>
      <c r="C332" s="409">
        <f>Return!L332</f>
        <v>3.2638602781957776E-3</v>
      </c>
    </row>
    <row r="333" spans="1:3">
      <c r="A333" s="406">
        <f>Return!A333</f>
        <v>45595</v>
      </c>
      <c r="B333" s="408" t="s">
        <v>72</v>
      </c>
      <c r="C333" s="409">
        <f>Return!L333</f>
        <v>-3.279925811123718E-3</v>
      </c>
    </row>
    <row r="334" spans="1:3">
      <c r="A334" s="406">
        <f>Return!A334</f>
        <v>45594</v>
      </c>
      <c r="B334" s="408" t="s">
        <v>72</v>
      </c>
      <c r="C334" s="409">
        <f>Return!L334</f>
        <v>-1.4288916499017768E-3</v>
      </c>
    </row>
    <row r="335" spans="1:3">
      <c r="A335" s="406">
        <f>Return!A335</f>
        <v>45593</v>
      </c>
      <c r="B335" s="408" t="s">
        <v>72</v>
      </c>
      <c r="C335" s="409">
        <f>Return!L335</f>
        <v>5.2421315028638798E-4</v>
      </c>
    </row>
    <row r="336" spans="1:3">
      <c r="A336" s="406">
        <f>Return!A336</f>
        <v>45590</v>
      </c>
      <c r="B336" s="408" t="s">
        <v>72</v>
      </c>
      <c r="C336" s="409">
        <f>Return!L336</f>
        <v>-1.0025220679704575E-2</v>
      </c>
    </row>
    <row r="337" spans="1:3">
      <c r="A337" s="406">
        <f>Return!A337</f>
        <v>45589</v>
      </c>
      <c r="B337" s="408" t="s">
        <v>72</v>
      </c>
      <c r="C337" s="409">
        <f>Return!L337</f>
        <v>2.4732557319989091E-3</v>
      </c>
    </row>
    <row r="338" spans="1:3">
      <c r="A338" s="406">
        <f>Return!A338</f>
        <v>45588</v>
      </c>
      <c r="B338" s="408" t="s">
        <v>72</v>
      </c>
      <c r="C338" s="409">
        <f>Return!L338</f>
        <v>5.4599378250692124E-3</v>
      </c>
    </row>
    <row r="339" spans="1:3">
      <c r="A339" s="406">
        <f>Return!A339</f>
        <v>45587</v>
      </c>
      <c r="B339" s="408" t="s">
        <v>72</v>
      </c>
      <c r="C339" s="409">
        <f>Return!L339</f>
        <v>-4.2296296388660906E-3</v>
      </c>
    </row>
    <row r="340" spans="1:3">
      <c r="A340" s="406">
        <f>Return!A340</f>
        <v>45586</v>
      </c>
      <c r="B340" s="408" t="s">
        <v>72</v>
      </c>
      <c r="C340" s="409">
        <f>Return!L340</f>
        <v>-6.8152288044239714E-3</v>
      </c>
    </row>
    <row r="341" spans="1:3">
      <c r="A341" s="406">
        <f>Return!A341</f>
        <v>45583</v>
      </c>
      <c r="B341" s="408" t="s">
        <v>72</v>
      </c>
      <c r="C341" s="409">
        <f>Return!L341</f>
        <v>-6.2624473927815963E-3</v>
      </c>
    </row>
    <row r="342" spans="1:3">
      <c r="A342" s="406">
        <f>Return!A342</f>
        <v>45582</v>
      </c>
      <c r="B342" s="408" t="s">
        <v>72</v>
      </c>
      <c r="C342" s="409">
        <f>Return!L342</f>
        <v>-3.3681654163999937E-3</v>
      </c>
    </row>
    <row r="343" spans="1:3">
      <c r="A343" s="406">
        <f>Return!A343</f>
        <v>45581</v>
      </c>
      <c r="B343" s="408" t="s">
        <v>72</v>
      </c>
      <c r="C343" s="409">
        <f>Return!L343</f>
        <v>-1.2902885907440705E-2</v>
      </c>
    </row>
    <row r="344" spans="1:3">
      <c r="A344" s="406">
        <f>Return!A344</f>
        <v>45580</v>
      </c>
      <c r="B344" s="408" t="s">
        <v>72</v>
      </c>
      <c r="C344" s="409">
        <f>Return!L344</f>
        <v>-3.5839862734896042E-3</v>
      </c>
    </row>
    <row r="345" spans="1:3">
      <c r="A345" s="406">
        <f>Return!A345</f>
        <v>45579</v>
      </c>
      <c r="B345" s="408" t="s">
        <v>72</v>
      </c>
      <c r="C345" s="409">
        <f>Return!L345</f>
        <v>-2.5800068702051572E-3</v>
      </c>
    </row>
    <row r="346" spans="1:3">
      <c r="A346" s="406">
        <f>Return!A346</f>
        <v>45576</v>
      </c>
      <c r="B346" s="408" t="s">
        <v>72</v>
      </c>
      <c r="C346" s="409">
        <f>Return!L346</f>
        <v>1.926479560399916E-3</v>
      </c>
    </row>
    <row r="347" spans="1:3">
      <c r="A347" s="406">
        <f>Return!A347</f>
        <v>45575</v>
      </c>
      <c r="B347" s="408" t="s">
        <v>72</v>
      </c>
      <c r="C347" s="409">
        <f>Return!L347</f>
        <v>9.1403661311314339E-4</v>
      </c>
    </row>
    <row r="348" spans="1:3">
      <c r="A348" s="406">
        <f>Return!A348</f>
        <v>45574</v>
      </c>
      <c r="B348" s="408" t="s">
        <v>72</v>
      </c>
      <c r="C348" s="409">
        <f>Return!L348</f>
        <v>-2.7289123090757043E-3</v>
      </c>
    </row>
    <row r="349" spans="1:3">
      <c r="A349" s="406">
        <f>Return!A349</f>
        <v>45573</v>
      </c>
      <c r="B349" s="408" t="s">
        <v>72</v>
      </c>
      <c r="C349" s="409">
        <f>Return!L349</f>
        <v>3.9763676568762988E-4</v>
      </c>
    </row>
    <row r="350" spans="1:3">
      <c r="A350" s="406">
        <f>Return!A350</f>
        <v>45572</v>
      </c>
      <c r="B350" s="408" t="s">
        <v>72</v>
      </c>
      <c r="C350" s="409">
        <f>Return!L350</f>
        <v>1.5760470539214967E-3</v>
      </c>
    </row>
    <row r="351" spans="1:3">
      <c r="A351" s="406">
        <f>Return!A351</f>
        <v>45569</v>
      </c>
      <c r="B351" s="408" t="s">
        <v>72</v>
      </c>
      <c r="C351" s="409">
        <f>Return!L351</f>
        <v>1.0074599149047143E-2</v>
      </c>
    </row>
    <row r="352" spans="1:3">
      <c r="A352" s="406">
        <f>Return!A352</f>
        <v>45568</v>
      </c>
      <c r="B352" s="408" t="s">
        <v>72</v>
      </c>
      <c r="C352" s="409">
        <f>Return!L352</f>
        <v>2.6892216157919516E-3</v>
      </c>
    </row>
    <row r="353" spans="1:3">
      <c r="A353" s="406">
        <f>Return!A353</f>
        <v>45566</v>
      </c>
      <c r="B353" s="408" t="s">
        <v>72</v>
      </c>
      <c r="C353" s="409">
        <f>Return!L353</f>
        <v>2.012662146845587E-3</v>
      </c>
    </row>
    <row r="354" spans="1:3">
      <c r="A354" s="406">
        <f>Return!A354</f>
        <v>45565</v>
      </c>
      <c r="B354" s="408" t="s">
        <v>72</v>
      </c>
      <c r="C354" s="409">
        <f>Return!L354</f>
        <v>-3.9281831288329348E-3</v>
      </c>
    </row>
    <row r="355" spans="1:3">
      <c r="A355" s="406">
        <f>Return!A355</f>
        <v>45562</v>
      </c>
      <c r="B355" s="408" t="s">
        <v>72</v>
      </c>
      <c r="C355" s="409">
        <f>Return!L355</f>
        <v>-7.6895815187808438E-3</v>
      </c>
    </row>
    <row r="356" spans="1:3">
      <c r="A356" s="406">
        <f>Return!A356</f>
        <v>45561</v>
      </c>
      <c r="B356" s="408" t="s">
        <v>72</v>
      </c>
      <c r="C356" s="409">
        <f>Return!L356</f>
        <v>4.35145186508784E-3</v>
      </c>
    </row>
    <row r="357" spans="1:3">
      <c r="A357" s="406">
        <f>Return!A357</f>
        <v>45560</v>
      </c>
      <c r="B357" s="408" t="s">
        <v>72</v>
      </c>
      <c r="C357" s="409">
        <f>Return!L357</f>
        <v>5.4934468542955329E-4</v>
      </c>
    </row>
    <row r="358" spans="1:3">
      <c r="A358" s="406">
        <f>Return!A358</f>
        <v>45559</v>
      </c>
      <c r="B358" s="408" t="s">
        <v>72</v>
      </c>
      <c r="C358" s="409">
        <f>Return!L358</f>
        <v>8.8437025041589214E-3</v>
      </c>
    </row>
    <row r="359" spans="1:3">
      <c r="A359" s="406">
        <f>Return!A359</f>
        <v>45558</v>
      </c>
      <c r="B359" s="408" t="s">
        <v>72</v>
      </c>
      <c r="C359" s="409">
        <f>Return!L359</f>
        <v>3.9009498834279392E-3</v>
      </c>
    </row>
    <row r="360" spans="1:3">
      <c r="A360" s="406">
        <f>Return!A360</f>
        <v>45555</v>
      </c>
      <c r="B360" s="408" t="s">
        <v>72</v>
      </c>
      <c r="C360" s="409">
        <f>Return!L360</f>
        <v>4.1857135494868434E-5</v>
      </c>
    </row>
    <row r="361" spans="1:3">
      <c r="A361" s="406">
        <f>Return!A361</f>
        <v>45554</v>
      </c>
      <c r="B361" s="408" t="s">
        <v>72</v>
      </c>
      <c r="C361" s="409">
        <f>Return!L361</f>
        <v>3.8733978966119207E-4</v>
      </c>
    </row>
    <row r="362" spans="1:3">
      <c r="A362" s="406">
        <f>Return!A362</f>
        <v>45553</v>
      </c>
      <c r="B362" s="408" t="s">
        <v>72</v>
      </c>
      <c r="C362" s="409">
        <f>Return!L362</f>
        <v>-6.7424283176512889E-3</v>
      </c>
    </row>
    <row r="363" spans="1:3">
      <c r="A363" s="406">
        <f>Return!A363</f>
        <v>45552</v>
      </c>
      <c r="B363" s="408" t="s">
        <v>72</v>
      </c>
      <c r="C363" s="409">
        <f>Return!L363</f>
        <v>-8.8177764104018855E-3</v>
      </c>
    </row>
    <row r="364" spans="1:3">
      <c r="A364" s="406">
        <f>Return!A364</f>
        <v>45551</v>
      </c>
      <c r="B364" s="408" t="s">
        <v>72</v>
      </c>
      <c r="C364" s="409">
        <f>Return!L364</f>
        <v>-8.7647633494700398E-3</v>
      </c>
    </row>
    <row r="365" spans="1:3">
      <c r="A365" s="406">
        <f>Return!A365</f>
        <v>45548</v>
      </c>
      <c r="B365" s="408" t="s">
        <v>72</v>
      </c>
      <c r="C365" s="409">
        <f>Return!L365</f>
        <v>-3.136058998683505E-3</v>
      </c>
    </row>
    <row r="366" spans="1:3">
      <c r="A366" s="406">
        <f>Return!A366</f>
        <v>45547</v>
      </c>
      <c r="B366" s="408" t="s">
        <v>72</v>
      </c>
      <c r="C366" s="409">
        <f>Return!L366</f>
        <v>1.04439961782237E-3</v>
      </c>
    </row>
    <row r="367" spans="1:3">
      <c r="A367" s="406">
        <f>Return!A367</f>
        <v>45546</v>
      </c>
      <c r="B367" s="408" t="s">
        <v>72</v>
      </c>
      <c r="C367" s="409">
        <f>Return!L367</f>
        <v>3.9149117066830776E-3</v>
      </c>
    </row>
    <row r="368" spans="1:3">
      <c r="A368" s="406">
        <f>Return!A368</f>
        <v>45545</v>
      </c>
      <c r="B368" s="408" t="s">
        <v>72</v>
      </c>
      <c r="C368" s="409">
        <f>Return!L368</f>
        <v>1.3121426189690519E-3</v>
      </c>
    </row>
    <row r="369" spans="1:3">
      <c r="A369" s="406">
        <f>Return!A369</f>
        <v>45544</v>
      </c>
      <c r="B369" s="408" t="s">
        <v>72</v>
      </c>
      <c r="C369" s="409">
        <f>Return!L369</f>
        <v>3.2079633863919214E-3</v>
      </c>
    </row>
    <row r="370" spans="1:3">
      <c r="A370" s="406">
        <f>Return!A370</f>
        <v>45541</v>
      </c>
      <c r="B370" s="408" t="s">
        <v>72</v>
      </c>
      <c r="C370" s="409">
        <f>Return!L370</f>
        <v>-1.810801344846752E-3</v>
      </c>
    </row>
    <row r="371" spans="1:3">
      <c r="A371" s="406">
        <f>Return!A371</f>
        <v>45540</v>
      </c>
      <c r="B371" s="408" t="s">
        <v>72</v>
      </c>
      <c r="C371" s="409">
        <f>Return!L371</f>
        <v>4.6792264323148539E-3</v>
      </c>
    </row>
    <row r="372" spans="1:3">
      <c r="A372" s="406">
        <f>Return!A372</f>
        <v>45539</v>
      </c>
      <c r="B372" s="408" t="s">
        <v>72</v>
      </c>
      <c r="C372" s="409">
        <f>Return!L372</f>
        <v>4.5328382223627501E-4</v>
      </c>
    </row>
    <row r="373" spans="1:3">
      <c r="A373" s="406">
        <f>Return!A373</f>
        <v>45538</v>
      </c>
      <c r="B373" s="408" t="s">
        <v>72</v>
      </c>
      <c r="C373" s="409">
        <f>Return!L373</f>
        <v>8.0824891327237614E-5</v>
      </c>
    </row>
    <row r="374" spans="1:3">
      <c r="A374" s="406">
        <f>Return!A374</f>
        <v>45537</v>
      </c>
      <c r="B374" s="408" t="s">
        <v>72</v>
      </c>
      <c r="C374" s="409">
        <f>Return!L374</f>
        <v>-1.946979932054434E-3</v>
      </c>
    </row>
    <row r="375" spans="1:3">
      <c r="A375" s="406">
        <f>Return!A375</f>
        <v>45534</v>
      </c>
      <c r="B375" s="408" t="s">
        <v>72</v>
      </c>
      <c r="C375" s="409">
        <f>Return!L375</f>
        <v>-2.1251373248968547E-3</v>
      </c>
    </row>
    <row r="376" spans="1:3">
      <c r="A376" s="406">
        <f>Return!A376</f>
        <v>45533</v>
      </c>
      <c r="B376" s="408" t="s">
        <v>72</v>
      </c>
      <c r="C376" s="409">
        <f>Return!L376</f>
        <v>1.6585152270061983E-3</v>
      </c>
    </row>
    <row r="377" spans="1:3">
      <c r="A377" s="406">
        <f>Return!A377</f>
        <v>45532</v>
      </c>
      <c r="B377" s="408" t="s">
        <v>72</v>
      </c>
      <c r="C377" s="409">
        <f>Return!L377</f>
        <v>3.0868052689028069E-3</v>
      </c>
    </row>
    <row r="378" spans="1:3">
      <c r="A378" s="406">
        <f>Return!A378</f>
        <v>45531</v>
      </c>
      <c r="B378" s="408" t="s">
        <v>72</v>
      </c>
      <c r="C378" s="409">
        <f>Return!L378</f>
        <v>1.115240376696224E-2</v>
      </c>
    </row>
    <row r="379" spans="1:3">
      <c r="A379" s="406">
        <f>Return!A379</f>
        <v>45530</v>
      </c>
      <c r="B379" s="408" t="s">
        <v>72</v>
      </c>
      <c r="C379" s="409">
        <f>Return!L379</f>
        <v>-4.3335763574457566E-3</v>
      </c>
    </row>
    <row r="380" spans="1:3">
      <c r="A380" s="406">
        <f>Return!A380</f>
        <v>45527</v>
      </c>
      <c r="B380" s="408" t="s">
        <v>72</v>
      </c>
      <c r="C380" s="409">
        <f>Return!L380</f>
        <v>6.4467179512770929E-3</v>
      </c>
    </row>
    <row r="381" spans="1:3">
      <c r="A381" s="406">
        <f>Return!A381</f>
        <v>45526</v>
      </c>
      <c r="B381" s="408" t="s">
        <v>72</v>
      </c>
      <c r="C381" s="409">
        <f>Return!L381</f>
        <v>4.1844427412231376E-3</v>
      </c>
    </row>
    <row r="382" spans="1:3">
      <c r="A382" s="406">
        <f>Return!A382</f>
        <v>45525</v>
      </c>
      <c r="B382" s="408" t="s">
        <v>72</v>
      </c>
      <c r="C382" s="409">
        <f>Return!L382</f>
        <v>6.1621206600595444E-3</v>
      </c>
    </row>
    <row r="383" spans="1:3">
      <c r="A383" s="406">
        <f>Return!A383</f>
        <v>45524</v>
      </c>
      <c r="B383" s="408" t="s">
        <v>72</v>
      </c>
      <c r="C383" s="409">
        <f>Return!L383</f>
        <v>-5.2291626183013735E-3</v>
      </c>
    </row>
    <row r="384" spans="1:3">
      <c r="A384" s="406">
        <f>Return!A384</f>
        <v>45523</v>
      </c>
      <c r="B384" s="408" t="s">
        <v>72</v>
      </c>
      <c r="C384" s="409">
        <f>Return!L384</f>
        <v>4.2505887600965027E-3</v>
      </c>
    </row>
    <row r="385" spans="1:3">
      <c r="A385" s="406">
        <f>Return!A385</f>
        <v>45520</v>
      </c>
      <c r="B385" s="408" t="s">
        <v>72</v>
      </c>
      <c r="C385" s="409">
        <f>Return!L385</f>
        <v>1.2729275819463896E-2</v>
      </c>
    </row>
    <row r="386" spans="1:3">
      <c r="A386" s="406">
        <f>Return!A386</f>
        <v>45518</v>
      </c>
      <c r="B386" s="408" t="s">
        <v>72</v>
      </c>
      <c r="C386" s="409">
        <f>Return!L386</f>
        <v>4.2202979863851576E-4</v>
      </c>
    </row>
    <row r="387" spans="1:3">
      <c r="A387" s="406">
        <f>Return!A387</f>
        <v>45517</v>
      </c>
      <c r="B387" s="408" t="s">
        <v>72</v>
      </c>
      <c r="C387" s="409">
        <f>Return!L387</f>
        <v>-3.6749493557019655E-3</v>
      </c>
    </row>
    <row r="388" spans="1:3">
      <c r="A388" s="406">
        <f>Return!A388</f>
        <v>45516</v>
      </c>
      <c r="B388" s="408" t="s">
        <v>72</v>
      </c>
      <c r="C388" s="409">
        <f>Return!L388</f>
        <v>-4.4804358509910576E-3</v>
      </c>
    </row>
    <row r="389" spans="1:3">
      <c r="A389" s="406">
        <f>Return!A389</f>
        <v>45513</v>
      </c>
      <c r="B389" s="408" t="s">
        <v>72</v>
      </c>
      <c r="C389" s="409">
        <f>Return!L389</f>
        <v>-2.4440299370324251E-3</v>
      </c>
    </row>
    <row r="390" spans="1:3">
      <c r="A390" s="406">
        <f>Return!A390</f>
        <v>45512</v>
      </c>
      <c r="B390" s="408" t="s">
        <v>72</v>
      </c>
      <c r="C390" s="409">
        <f>Return!L390</f>
        <v>-8.6330604657758672E-3</v>
      </c>
    </row>
    <row r="391" spans="1:3">
      <c r="A391" s="406">
        <f>Return!A391</f>
        <v>45511</v>
      </c>
      <c r="B391" s="408" t="s">
        <v>72</v>
      </c>
      <c r="C391" s="409">
        <f>Return!L391</f>
        <v>1.4086977185281065E-2</v>
      </c>
    </row>
    <row r="392" spans="1:3">
      <c r="A392" s="406">
        <f>Return!A392</f>
        <v>45510</v>
      </c>
      <c r="B392" s="408" t="s">
        <v>72</v>
      </c>
      <c r="C392" s="409">
        <f>Return!L392</f>
        <v>1.206916979339571E-2</v>
      </c>
    </row>
    <row r="393" spans="1:3">
      <c r="A393" s="406">
        <f>Return!A393</f>
        <v>45509</v>
      </c>
      <c r="B393" s="408" t="s">
        <v>72</v>
      </c>
      <c r="C393" s="409">
        <f>Return!L393</f>
        <v>6.51160265051839E-4</v>
      </c>
    </row>
    <row r="394" spans="1:3">
      <c r="A394" s="406">
        <f>Return!A394</f>
        <v>45506</v>
      </c>
      <c r="B394" s="408" t="s">
        <v>72</v>
      </c>
      <c r="C394" s="409">
        <f>Return!L394</f>
        <v>-7.3647203340608579E-4</v>
      </c>
    </row>
    <row r="395" spans="1:3">
      <c r="A395" s="406">
        <f>Return!A395</f>
        <v>45505</v>
      </c>
      <c r="B395" s="408" t="s">
        <v>72</v>
      </c>
      <c r="C395" s="409">
        <f>Return!L395</f>
        <v>2.0769429352975816E-3</v>
      </c>
    </row>
    <row r="396" spans="1:3">
      <c r="A396" s="406">
        <f>Return!A396</f>
        <v>45504</v>
      </c>
      <c r="B396" s="408" t="s">
        <v>72</v>
      </c>
      <c r="C396" s="409">
        <f>Return!L396</f>
        <v>1.349877537159224E-3</v>
      </c>
    </row>
    <row r="397" spans="1:3">
      <c r="A397" s="406">
        <f>Return!A397</f>
        <v>45503</v>
      </c>
      <c r="B397" s="408" t="s">
        <v>72</v>
      </c>
      <c r="C397" s="409">
        <f>Return!L397</f>
        <v>8.2902217773515897E-3</v>
      </c>
    </row>
    <row r="398" spans="1:3">
      <c r="A398" s="406">
        <f>Return!A398</f>
        <v>45502</v>
      </c>
      <c r="B398" s="408" t="s">
        <v>72</v>
      </c>
      <c r="C398" s="409">
        <f>Return!L398</f>
        <v>7.8760196818810724E-4</v>
      </c>
    </row>
    <row r="399" spans="1:3">
      <c r="A399" s="406">
        <f>Return!A399</f>
        <v>45499</v>
      </c>
      <c r="B399" s="408" t="s">
        <v>72</v>
      </c>
      <c r="C399" s="409">
        <f>Return!L399</f>
        <v>5.8220109815051903E-3</v>
      </c>
    </row>
    <row r="400" spans="1:3">
      <c r="A400" s="406">
        <f>Return!A400</f>
        <v>45498</v>
      </c>
      <c r="B400" s="408" t="s">
        <v>72</v>
      </c>
      <c r="C400" s="409">
        <f>Return!L400</f>
        <v>3.7852881486154658E-3</v>
      </c>
    </row>
    <row r="401" spans="1:3">
      <c r="A401" s="406">
        <f>Return!A401</f>
        <v>45497</v>
      </c>
      <c r="B401" s="408" t="s">
        <v>72</v>
      </c>
      <c r="C401" s="409">
        <f>Return!L401</f>
        <v>7.9905582209440357E-3</v>
      </c>
    </row>
    <row r="402" spans="1:3">
      <c r="A402" s="406">
        <f>Return!A402</f>
        <v>45496</v>
      </c>
      <c r="B402" s="408" t="s">
        <v>72</v>
      </c>
      <c r="C402" s="409">
        <f>Return!L402</f>
        <v>1.1673426101898816E-2</v>
      </c>
    </row>
    <row r="403" spans="1:3">
      <c r="A403" s="406">
        <f>Return!A403</f>
        <v>45495</v>
      </c>
      <c r="B403" s="408" t="s">
        <v>72</v>
      </c>
      <c r="C403" s="409">
        <f>Return!L403</f>
        <v>1.0642081158311126E-2</v>
      </c>
    </row>
    <row r="404" spans="1:3">
      <c r="A404" s="406">
        <f>Return!A404</f>
        <v>45492</v>
      </c>
      <c r="B404" s="408" t="s">
        <v>72</v>
      </c>
      <c r="C404" s="409">
        <f>Return!L404</f>
        <v>-2.644861649456591E-3</v>
      </c>
    </row>
    <row r="405" spans="1:3">
      <c r="A405" s="406">
        <f>Return!A405</f>
        <v>45491</v>
      </c>
      <c r="B405" s="408" t="s">
        <v>72</v>
      </c>
      <c r="C405" s="409">
        <f>Return!L405</f>
        <v>2.7277047370320496E-3</v>
      </c>
    </row>
    <row r="406" spans="1:3">
      <c r="A406" s="406">
        <f>Return!A406</f>
        <v>45489</v>
      </c>
      <c r="B406" s="408" t="s">
        <v>72</v>
      </c>
      <c r="C406" s="409">
        <f>Return!L406</f>
        <v>-3.0419718604385239E-3</v>
      </c>
    </row>
    <row r="407" spans="1:3">
      <c r="A407" s="406">
        <f>Return!A407</f>
        <v>45488</v>
      </c>
      <c r="B407" s="408" t="s">
        <v>72</v>
      </c>
      <c r="C407" s="409">
        <f>Return!L407</f>
        <v>6.4633076032365134E-4</v>
      </c>
    </row>
    <row r="408" spans="1:3">
      <c r="A408" s="406">
        <f>Return!A408</f>
        <v>45485</v>
      </c>
      <c r="B408" s="408" t="s">
        <v>72</v>
      </c>
      <c r="C408" s="409">
        <f>Return!L408</f>
        <v>1.1880118763127007E-3</v>
      </c>
    </row>
    <row r="409" spans="1:3">
      <c r="A409" s="406">
        <f>Return!A409</f>
        <v>45484</v>
      </c>
      <c r="B409" s="408" t="s">
        <v>72</v>
      </c>
      <c r="C409" s="409">
        <f>Return!L409</f>
        <v>2.4267122030390146E-3</v>
      </c>
    </row>
    <row r="410" spans="1:3">
      <c r="A410" s="406">
        <f>Return!A410</f>
        <v>45483</v>
      </c>
      <c r="B410" s="408" t="s">
        <v>72</v>
      </c>
      <c r="C410" s="409">
        <f>Return!L410</f>
        <v>1.6531110903141451E-3</v>
      </c>
    </row>
    <row r="411" spans="1:3">
      <c r="A411" s="406">
        <f>Return!A411</f>
        <v>45482</v>
      </c>
      <c r="B411" s="408" t="s">
        <v>72</v>
      </c>
      <c r="C411" s="409">
        <f>Return!L411</f>
        <v>1.3184500088462801E-3</v>
      </c>
    </row>
    <row r="412" spans="1:3">
      <c r="A412" s="406">
        <f>Return!A412</f>
        <v>45481</v>
      </c>
      <c r="B412" s="408" t="s">
        <v>72</v>
      </c>
      <c r="C412" s="409">
        <f>Return!L412</f>
        <v>-9.4594138914059795E-4</v>
      </c>
    </row>
    <row r="413" spans="1:3">
      <c r="A413" s="406">
        <f>Return!A413</f>
        <v>45478</v>
      </c>
      <c r="B413" s="408" t="s">
        <v>72</v>
      </c>
      <c r="C413" s="409">
        <f>Return!L413</f>
        <v>9.1221752381928662E-3</v>
      </c>
    </row>
    <row r="414" spans="1:3">
      <c r="A414" s="406">
        <f>Return!A414</f>
        <v>45477</v>
      </c>
      <c r="B414" s="408" t="s">
        <v>72</v>
      </c>
      <c r="C414" s="409">
        <f>Return!L414</f>
        <v>1.888302701186852E-2</v>
      </c>
    </row>
    <row r="415" spans="1:3">
      <c r="A415" s="406">
        <f>Return!A415</f>
        <v>45476</v>
      </c>
      <c r="B415" s="408" t="s">
        <v>72</v>
      </c>
      <c r="C415" s="409">
        <f>Return!L415</f>
        <v>1.0703873623967007E-3</v>
      </c>
    </row>
    <row r="416" spans="1:3">
      <c r="A416" s="406">
        <f>Return!A416</f>
        <v>45475</v>
      </c>
      <c r="B416" s="408" t="s">
        <v>72</v>
      </c>
      <c r="C416" s="409">
        <f>Return!L416</f>
        <v>1.5522275862072579E-2</v>
      </c>
    </row>
    <row r="417" spans="1:3">
      <c r="A417" s="406">
        <f>Return!A417</f>
        <v>45474</v>
      </c>
      <c r="B417" s="408" t="s">
        <v>72</v>
      </c>
      <c r="C417" s="409">
        <f>Return!L417</f>
        <v>3.2316058797692889E-3</v>
      </c>
    </row>
    <row r="418" spans="1:3">
      <c r="A418" s="406">
        <f>Return!A418</f>
        <v>45471</v>
      </c>
      <c r="B418" s="408" t="s">
        <v>72</v>
      </c>
      <c r="C418" s="409">
        <f>Return!L418</f>
        <v>2.5659111248323859E-3</v>
      </c>
    </row>
    <row r="419" spans="1:3">
      <c r="A419" s="406">
        <f>Return!A419</f>
        <v>45470</v>
      </c>
      <c r="B419" s="408" t="s">
        <v>72</v>
      </c>
      <c r="C419" s="409">
        <f>Return!L419</f>
        <v>-5.5457684875164783E-4</v>
      </c>
    </row>
    <row r="420" spans="1:3">
      <c r="A420" s="406">
        <f>Return!A420</f>
        <v>45469</v>
      </c>
      <c r="B420" s="408" t="s">
        <v>72</v>
      </c>
      <c r="C420" s="409">
        <f>Return!L420</f>
        <v>7.2806735883669035E-3</v>
      </c>
    </row>
    <row r="421" spans="1:3">
      <c r="A421" s="406">
        <f>Return!A421</f>
        <v>45468</v>
      </c>
      <c r="B421" s="408" t="s">
        <v>72</v>
      </c>
      <c r="C421" s="409">
        <f>Return!L421</f>
        <v>-1.4669623801994336E-4</v>
      </c>
    </row>
    <row r="422" spans="1:3">
      <c r="A422" s="406">
        <f>Return!A422</f>
        <v>45467</v>
      </c>
      <c r="B422" s="408" t="s">
        <v>72</v>
      </c>
      <c r="C422" s="409">
        <f>Return!L422</f>
        <v>-2.4941112477285159E-3</v>
      </c>
    </row>
    <row r="423" spans="1:3">
      <c r="A423" s="406">
        <f>Return!A423</f>
        <v>45464</v>
      </c>
      <c r="B423" s="408" t="s">
        <v>72</v>
      </c>
      <c r="C423" s="409">
        <f>Return!L423</f>
        <v>3.7627228760268969E-4</v>
      </c>
    </row>
    <row r="424" spans="1:3">
      <c r="A424" s="406">
        <f>Return!A424</f>
        <v>45463</v>
      </c>
      <c r="B424" s="408" t="s">
        <v>72</v>
      </c>
      <c r="C424" s="409">
        <f>Return!L424</f>
        <v>8.9948820114996901E-4</v>
      </c>
    </row>
    <row r="425" spans="1:3">
      <c r="A425" s="406">
        <f>Return!A425</f>
        <v>45462</v>
      </c>
      <c r="B425" s="408" t="s">
        <v>72</v>
      </c>
      <c r="C425" s="409">
        <f>Return!L425</f>
        <v>-2.5090726484911664E-3</v>
      </c>
    </row>
    <row r="426" spans="1:3">
      <c r="A426" s="406">
        <f>Return!A426</f>
        <v>45461</v>
      </c>
      <c r="B426" s="408" t="s">
        <v>72</v>
      </c>
      <c r="C426" s="409">
        <f>Return!L426</f>
        <v>-7.0614676253037178E-3</v>
      </c>
    </row>
    <row r="427" spans="1:3">
      <c r="A427" s="406">
        <f>Return!A427</f>
        <v>45457</v>
      </c>
      <c r="B427" s="408" t="s">
        <v>72</v>
      </c>
      <c r="C427" s="409">
        <f>Return!L427</f>
        <v>-4.8381290972628168E-3</v>
      </c>
    </row>
    <row r="428" spans="1:3">
      <c r="A428" s="406">
        <f>Return!A428</f>
        <v>45456</v>
      </c>
      <c r="B428" s="408" t="s">
        <v>72</v>
      </c>
      <c r="C428" s="409">
        <f>Return!L428</f>
        <v>-7.5955647593780734E-3</v>
      </c>
    </row>
    <row r="429" spans="1:3">
      <c r="A429" s="406">
        <f>Return!A429</f>
        <v>45455</v>
      </c>
      <c r="B429" s="408" t="s">
        <v>72</v>
      </c>
      <c r="C429" s="409">
        <f>Return!L429</f>
        <v>1.3612141429862504E-3</v>
      </c>
    </row>
    <row r="430" spans="1:3">
      <c r="A430" s="406">
        <f>Return!A430</f>
        <v>45454</v>
      </c>
      <c r="B430" s="408" t="s">
        <v>72</v>
      </c>
      <c r="C430" s="409">
        <f>Return!L430</f>
        <v>3.1805758684871452E-3</v>
      </c>
    </row>
    <row r="431" spans="1:3">
      <c r="A431" s="406">
        <f>Return!A431</f>
        <v>45453</v>
      </c>
      <c r="B431" s="408" t="s">
        <v>72</v>
      </c>
      <c r="C431" s="409">
        <f>Return!L431</f>
        <v>7.6791927129019315E-3</v>
      </c>
    </row>
    <row r="432" spans="1:3">
      <c r="A432" s="406">
        <f>Return!A432</f>
        <v>45450</v>
      </c>
      <c r="B432" s="408" t="s">
        <v>72</v>
      </c>
      <c r="C432" s="409">
        <f>Return!L432</f>
        <v>4.8153269862848396E-4</v>
      </c>
    </row>
    <row r="433" spans="1:3">
      <c r="A433" s="406">
        <f>Return!A433</f>
        <v>45449</v>
      </c>
      <c r="B433" s="408" t="s">
        <v>72</v>
      </c>
      <c r="C433" s="409">
        <f>Return!L433</f>
        <v>-3.4125994986505402E-4</v>
      </c>
    </row>
    <row r="434" spans="1:3">
      <c r="A434" s="406">
        <f>Return!A434</f>
        <v>45448</v>
      </c>
      <c r="B434" s="408" t="s">
        <v>72</v>
      </c>
      <c r="C434" s="409">
        <f>Return!L434</f>
        <v>1.556568843612028E-2</v>
      </c>
    </row>
    <row r="435" spans="1:3">
      <c r="A435" s="406">
        <f>Return!A435</f>
        <v>45447</v>
      </c>
      <c r="B435" s="408" t="s">
        <v>72</v>
      </c>
      <c r="C435" s="409">
        <f>Return!L435</f>
        <v>1.3870361423856682E-2</v>
      </c>
    </row>
    <row r="436" spans="1:3">
      <c r="A436" s="406">
        <f>Return!A436</f>
        <v>45446</v>
      </c>
      <c r="B436" s="408" t="s">
        <v>72</v>
      </c>
      <c r="C436" s="409">
        <f>Return!L436</f>
        <v>3.0126610563976398E-3</v>
      </c>
    </row>
    <row r="437" spans="1:3">
      <c r="A437" s="406">
        <f>Return!A437</f>
        <v>45443</v>
      </c>
      <c r="B437" s="408" t="s">
        <v>72</v>
      </c>
      <c r="C437" s="409">
        <f>Return!L437</f>
        <v>1.091005703094906E-2</v>
      </c>
    </row>
    <row r="438" spans="1:3">
      <c r="A438" s="406">
        <f>Return!A438</f>
        <v>45442</v>
      </c>
      <c r="B438" s="408" t="s">
        <v>72</v>
      </c>
      <c r="C438" s="409">
        <f>Return!L438</f>
        <v>-7.7338563750179766E-3</v>
      </c>
    </row>
    <row r="439" spans="1:3">
      <c r="A439" s="406">
        <f>Return!A439</f>
        <v>45441</v>
      </c>
      <c r="B439" s="408" t="s">
        <v>72</v>
      </c>
      <c r="C439" s="409">
        <f>Return!L439</f>
        <v>-4.1994734105328824E-3</v>
      </c>
    </row>
    <row r="440" spans="1:3">
      <c r="A440" s="406">
        <f>Return!A440</f>
        <v>45440</v>
      </c>
      <c r="B440" s="408" t="s">
        <v>72</v>
      </c>
      <c r="C440" s="409">
        <f>Return!L440</f>
        <v>-1.0145669808211185E-2</v>
      </c>
    </row>
    <row r="441" spans="1:3">
      <c r="A441" s="406">
        <f>Return!A441</f>
        <v>45439</v>
      </c>
      <c r="B441" s="408" t="s">
        <v>72</v>
      </c>
      <c r="C441" s="409">
        <f>Return!L441</f>
        <v>-8.2705866569559548E-3</v>
      </c>
    </row>
    <row r="442" spans="1:3">
      <c r="A442" s="406">
        <f>Return!A442</f>
        <v>45436</v>
      </c>
      <c r="B442" s="408" t="s">
        <v>72</v>
      </c>
      <c r="C442" s="409">
        <f>Return!L442</f>
        <v>3.7598065069130546E-4</v>
      </c>
    </row>
    <row r="443" spans="1:3">
      <c r="A443" s="406">
        <f>Return!A443</f>
        <v>45435</v>
      </c>
      <c r="B443" s="408" t="s">
        <v>72</v>
      </c>
      <c r="C443" s="409">
        <f>Return!L443</f>
        <v>-2.7844480577331448E-4</v>
      </c>
    </row>
    <row r="444" spans="1:3">
      <c r="A444" s="406">
        <f>Return!A444</f>
        <v>45434</v>
      </c>
      <c r="B444" s="408" t="s">
        <v>72</v>
      </c>
      <c r="C444" s="409">
        <f>Return!L444</f>
        <v>-2.5848646059288887E-3</v>
      </c>
    </row>
    <row r="445" spans="1:3">
      <c r="A445" s="406">
        <f>Return!A445</f>
        <v>45433</v>
      </c>
      <c r="B445" s="408" t="s">
        <v>72</v>
      </c>
      <c r="C445" s="409">
        <f>Return!L445</f>
        <v>-6.6691433010890085E-3</v>
      </c>
    </row>
    <row r="446" spans="1:3">
      <c r="A446" s="406">
        <f>Return!A446</f>
        <v>45430</v>
      </c>
      <c r="B446" s="408" t="s">
        <v>72</v>
      </c>
      <c r="C446" s="409">
        <f>Return!L446</f>
        <v>1.0874791267831618E-2</v>
      </c>
    </row>
    <row r="447" spans="1:3">
      <c r="A447" s="406">
        <f>Return!A447</f>
        <v>45429</v>
      </c>
      <c r="B447" s="408" t="s">
        <v>72</v>
      </c>
      <c r="C447" s="409">
        <f>Return!L447</f>
        <v>1.3303476579327419E-2</v>
      </c>
    </row>
    <row r="448" spans="1:3">
      <c r="A448" s="406">
        <f>Return!A448</f>
        <v>45428</v>
      </c>
      <c r="B448" s="408" t="s">
        <v>72</v>
      </c>
      <c r="C448" s="409">
        <f>Return!L448</f>
        <v>6.4124143508780904E-3</v>
      </c>
    </row>
    <row r="449" spans="1:3">
      <c r="A449" s="406">
        <f>Return!A449</f>
        <v>45427</v>
      </c>
      <c r="B449" s="408" t="s">
        <v>72</v>
      </c>
      <c r="C449" s="409">
        <f>Return!L449</f>
        <v>8.4701043619548201E-4</v>
      </c>
    </row>
    <row r="450" spans="1:3">
      <c r="A450" s="406">
        <f>Return!A450</f>
        <v>45426</v>
      </c>
      <c r="B450" s="408" t="s">
        <v>72</v>
      </c>
      <c r="C450" s="409">
        <f>Return!L450</f>
        <v>-2.1112151548600632E-3</v>
      </c>
    </row>
    <row r="451" spans="1:3">
      <c r="A451" s="406">
        <f>Return!A451</f>
        <v>45425</v>
      </c>
      <c r="B451" s="408" t="s">
        <v>72</v>
      </c>
      <c r="C451" s="409">
        <f>Return!L451</f>
        <v>1.2681734112557167E-2</v>
      </c>
    </row>
    <row r="452" spans="1:3">
      <c r="A452" s="406">
        <f>Return!A452</f>
        <v>45422</v>
      </c>
      <c r="B452" s="408" t="s">
        <v>72</v>
      </c>
      <c r="C452" s="409">
        <f>Return!L452</f>
        <v>2.1606171302530766E-3</v>
      </c>
    </row>
    <row r="453" spans="1:3">
      <c r="A453" s="406">
        <f>Return!A453</f>
        <v>45421</v>
      </c>
      <c r="B453" s="408" t="s">
        <v>72</v>
      </c>
      <c r="C453" s="409">
        <f>Return!L453</f>
        <v>7.3289335085508552E-3</v>
      </c>
    </row>
    <row r="454" spans="1:3">
      <c r="A454" s="406">
        <f>Return!A454</f>
        <v>45420</v>
      </c>
      <c r="B454" s="408" t="s">
        <v>72</v>
      </c>
      <c r="C454" s="409">
        <f>Return!L454</f>
        <v>3.2038064198113897E-3</v>
      </c>
    </row>
    <row r="455" spans="1:3">
      <c r="A455" s="406">
        <f>Return!A455</f>
        <v>45419</v>
      </c>
      <c r="B455" s="408" t="s">
        <v>72</v>
      </c>
      <c r="C455" s="409">
        <f>Return!L455</f>
        <v>-1.5156117405641565E-3</v>
      </c>
    </row>
    <row r="456" spans="1:3">
      <c r="A456" s="406">
        <f>Return!A456</f>
        <v>45418</v>
      </c>
      <c r="B456" s="408" t="s">
        <v>72</v>
      </c>
      <c r="C456" s="409">
        <f>Return!L456</f>
        <v>-1.7487007746201759E-2</v>
      </c>
    </row>
    <row r="457" spans="1:3">
      <c r="A457" s="406">
        <f>Return!A457</f>
        <v>45415</v>
      </c>
      <c r="B457" s="408" t="s">
        <v>72</v>
      </c>
      <c r="C457" s="409">
        <f>Return!L457</f>
        <v>-5.620274935001294E-3</v>
      </c>
    </row>
    <row r="458" spans="1:3">
      <c r="A458" s="406">
        <f>Return!A458</f>
        <v>45414</v>
      </c>
      <c r="B458" s="408" t="s">
        <v>72</v>
      </c>
      <c r="C458" s="409">
        <f>Return!L458</f>
        <v>3.2168724095622951E-3</v>
      </c>
    </row>
    <row r="459" spans="1:3">
      <c r="A459" s="406">
        <f>Return!A459</f>
        <v>45412</v>
      </c>
      <c r="B459" s="408" t="s">
        <v>72</v>
      </c>
      <c r="C459" s="409">
        <f>Return!L459</f>
        <v>5.8739640307231044E-3</v>
      </c>
    </row>
    <row r="460" spans="1:3">
      <c r="A460" s="406">
        <f>Return!A460</f>
        <v>45411</v>
      </c>
      <c r="B460" s="408" t="s">
        <v>72</v>
      </c>
      <c r="C460" s="409">
        <f>Return!L460</f>
        <v>4.3919460315911124E-3</v>
      </c>
    </row>
    <row r="461" spans="1:3">
      <c r="A461" s="406">
        <f>Return!A461</f>
        <v>45408</v>
      </c>
      <c r="B461" s="408" t="s">
        <v>72</v>
      </c>
      <c r="C461" s="409">
        <f>Return!L461</f>
        <v>8.3348457318533969E-5</v>
      </c>
    </row>
    <row r="462" spans="1:3">
      <c r="A462" s="406">
        <f>Return!A462</f>
        <v>45407</v>
      </c>
      <c r="B462" s="408" t="s">
        <v>72</v>
      </c>
      <c r="C462" s="409">
        <f>Return!L462</f>
        <v>6.1104341314024381E-3</v>
      </c>
    </row>
    <row r="463" spans="1:3">
      <c r="A463" s="406">
        <f>Return!A463</f>
        <v>45406</v>
      </c>
      <c r="B463" s="408" t="s">
        <v>72</v>
      </c>
      <c r="C463" s="409">
        <f>Return!L463</f>
        <v>-3.1098246979980779E-4</v>
      </c>
    </row>
    <row r="464" spans="1:3">
      <c r="A464" s="406">
        <f>Return!A464</f>
        <v>45405</v>
      </c>
      <c r="B464" s="408" t="s">
        <v>72</v>
      </c>
      <c r="C464" s="409">
        <f>Return!L464</f>
        <v>8.496001187429679E-3</v>
      </c>
    </row>
    <row r="465" spans="1:3">
      <c r="A465" s="406">
        <f>Return!A465</f>
        <v>45404</v>
      </c>
      <c r="B465" s="408" t="s">
        <v>72</v>
      </c>
      <c r="C465" s="409">
        <f>Return!L465</f>
        <v>1.3776348851719838E-2</v>
      </c>
    </row>
    <row r="466" spans="1:3">
      <c r="A466" s="406">
        <f>Return!A466</f>
        <v>45401</v>
      </c>
      <c r="B466" s="408" t="s">
        <v>72</v>
      </c>
      <c r="C466" s="409">
        <f>Return!L466</f>
        <v>-5.0865860913025551E-4</v>
      </c>
    </row>
    <row r="467" spans="1:3">
      <c r="A467" s="406">
        <f>Return!A467</f>
        <v>45400</v>
      </c>
      <c r="B467" s="408" t="s">
        <v>72</v>
      </c>
      <c r="C467" s="409">
        <f>Return!L467</f>
        <v>-1.3728216787146324E-3</v>
      </c>
    </row>
    <row r="468" spans="1:3">
      <c r="A468" s="406">
        <f>Return!A468</f>
        <v>45398</v>
      </c>
      <c r="B468" s="408" t="s">
        <v>72</v>
      </c>
      <c r="C468" s="409">
        <f>Return!L468</f>
        <v>4.5633449852550967E-3</v>
      </c>
    </row>
    <row r="469" spans="1:3">
      <c r="A469" s="406">
        <f>Return!A469</f>
        <v>45397</v>
      </c>
      <c r="B469" s="408" t="s">
        <v>72</v>
      </c>
      <c r="C469" s="409">
        <f>Return!L469</f>
        <v>-4.6545297017174933E-3</v>
      </c>
    </row>
    <row r="470" spans="1:3">
      <c r="A470" s="406">
        <f>Return!A470</f>
        <v>45394</v>
      </c>
      <c r="B470" s="408" t="s">
        <v>72</v>
      </c>
      <c r="C470" s="409">
        <f>Return!L470</f>
        <v>-1.1623585334277514E-2</v>
      </c>
    </row>
    <row r="471" spans="1:3">
      <c r="A471" s="406">
        <f>Return!A471</f>
        <v>45392</v>
      </c>
      <c r="B471" s="408" t="s">
        <v>72</v>
      </c>
      <c r="C471" s="409">
        <f>Return!L471</f>
        <v>-1.3283974564290328E-3</v>
      </c>
    </row>
    <row r="472" spans="1:3">
      <c r="A472" s="406">
        <f>Return!A472</f>
        <v>45391</v>
      </c>
      <c r="B472" s="408" t="s">
        <v>72</v>
      </c>
      <c r="C472" s="409">
        <f>Return!L472</f>
        <v>-6.3774042685354731E-3</v>
      </c>
    </row>
    <row r="473" spans="1:3">
      <c r="A473" s="406">
        <f>Return!A473</f>
        <v>45390</v>
      </c>
      <c r="B473" s="408" t="s">
        <v>72</v>
      </c>
      <c r="C473" s="409">
        <f>Return!L473</f>
        <v>-8.6078552030129079E-3</v>
      </c>
    </row>
    <row r="474" spans="1:3">
      <c r="A474" s="406">
        <f>Return!A474</f>
        <v>45387</v>
      </c>
      <c r="B474" s="408" t="s">
        <v>72</v>
      </c>
      <c r="C474" s="409">
        <f>Return!L474</f>
        <v>-2.6897927511800273E-3</v>
      </c>
    </row>
    <row r="475" spans="1:3">
      <c r="A475" s="406">
        <f>Return!A475</f>
        <v>45386</v>
      </c>
      <c r="B475" s="408" t="s">
        <v>72</v>
      </c>
      <c r="C475" s="409">
        <f>Return!L475</f>
        <v>-1.3864939591490904E-3</v>
      </c>
    </row>
    <row r="476" spans="1:3">
      <c r="A476" s="406">
        <f>Return!A476</f>
        <v>45385</v>
      </c>
      <c r="B476" s="408" t="s">
        <v>72</v>
      </c>
      <c r="C476" s="409">
        <f>Return!L476</f>
        <v>-5.0894347726733839E-3</v>
      </c>
    </row>
    <row r="477" spans="1:3">
      <c r="A477" s="406">
        <f>Return!A477</f>
        <v>45384</v>
      </c>
      <c r="B477" s="408" t="s">
        <v>72</v>
      </c>
      <c r="C477" s="409">
        <f>Return!L477</f>
        <v>-7.2773701929269722E-4</v>
      </c>
    </row>
    <row r="478" spans="1:3">
      <c r="A478" s="406">
        <f>Return!A478</f>
        <v>45383</v>
      </c>
      <c r="B478" s="408" t="s">
        <v>72</v>
      </c>
      <c r="C478" s="409">
        <f>Return!L478</f>
        <v>-2.7872076955820155E-3</v>
      </c>
    </row>
    <row r="479" spans="1:3">
      <c r="A479" s="406">
        <f>Return!A479</f>
        <v>45379</v>
      </c>
      <c r="B479" s="408" t="s">
        <v>72</v>
      </c>
      <c r="C479" s="409">
        <f>Return!L479</f>
        <v>6.439839012759227E-3</v>
      </c>
    </row>
    <row r="480" spans="1:3">
      <c r="A480" s="406">
        <f>Return!A480</f>
        <v>45378</v>
      </c>
      <c r="B480" s="408" t="s">
        <v>72</v>
      </c>
      <c r="C480" s="409">
        <f>Return!L480</f>
        <v>-1.1491649126522388E-4</v>
      </c>
    </row>
    <row r="481" spans="1:3">
      <c r="A481" s="406">
        <f>Return!A481</f>
        <v>45377</v>
      </c>
      <c r="B481" s="408" t="s">
        <v>72</v>
      </c>
      <c r="C481" s="409">
        <f>Return!L481</f>
        <v>9.1763160193128052E-3</v>
      </c>
    </row>
    <row r="482" spans="1:3">
      <c r="A482" s="406">
        <f>Return!A482</f>
        <v>45373</v>
      </c>
      <c r="B482" s="408" t="s">
        <v>72</v>
      </c>
      <c r="C482" s="409">
        <f>Return!L482</f>
        <v>-5.6936287502586352E-4</v>
      </c>
    </row>
    <row r="483" spans="1:3">
      <c r="A483" s="406">
        <f>Return!A483</f>
        <v>45372</v>
      </c>
      <c r="B483" s="408" t="s">
        <v>72</v>
      </c>
      <c r="C483" s="409">
        <f>Return!L483</f>
        <v>5.7010088568870982E-3</v>
      </c>
    </row>
    <row r="484" spans="1:3">
      <c r="A484" s="406">
        <f>Return!A484</f>
        <v>45371</v>
      </c>
      <c r="B484" s="408" t="s">
        <v>72</v>
      </c>
      <c r="C484" s="409">
        <f>Return!L484</f>
        <v>4.0473451031617898E-3</v>
      </c>
    </row>
    <row r="485" spans="1:3">
      <c r="A485" s="406">
        <f>Return!A485</f>
        <v>45370</v>
      </c>
      <c r="B485" s="408" t="s">
        <v>72</v>
      </c>
      <c r="C485" s="409">
        <f>Return!L485</f>
        <v>4.0279958446363178E-3</v>
      </c>
    </row>
    <row r="486" spans="1:3">
      <c r="A486" s="406">
        <f>Return!A486</f>
        <v>45369</v>
      </c>
      <c r="B486" s="408" t="s">
        <v>72</v>
      </c>
      <c r="C486" s="409">
        <f>Return!L486</f>
        <v>-2.3184547865178866E-3</v>
      </c>
    </row>
    <row r="487" spans="1:3">
      <c r="A487" s="406">
        <f>Return!A487</f>
        <v>45366</v>
      </c>
      <c r="B487" s="408" t="s">
        <v>72</v>
      </c>
      <c r="C487" s="409">
        <f>Return!L487</f>
        <v>-4.6439858418194317E-3</v>
      </c>
    </row>
    <row r="488" spans="1:3">
      <c r="A488" s="406">
        <f>Return!A488</f>
        <v>45365</v>
      </c>
      <c r="B488" s="408" t="s">
        <v>72</v>
      </c>
      <c r="C488" s="409">
        <f>Return!L488</f>
        <v>-3.546309943602706E-3</v>
      </c>
    </row>
    <row r="489" spans="1:3">
      <c r="A489" s="406">
        <f>Return!A489</f>
        <v>45364</v>
      </c>
      <c r="B489" s="408" t="s">
        <v>72</v>
      </c>
      <c r="C489" s="409">
        <f>Return!L489</f>
        <v>-4.6441531988385531E-3</v>
      </c>
    </row>
    <row r="490" spans="1:3">
      <c r="A490" s="406">
        <f>Return!A490</f>
        <v>45363</v>
      </c>
      <c r="B490" s="408" t="s">
        <v>72</v>
      </c>
      <c r="C490" s="409">
        <f>Return!L490</f>
        <v>-1.6868362038845995E-3</v>
      </c>
    </row>
    <row r="491" spans="1:3">
      <c r="A491" s="406">
        <f>Return!A491</f>
        <v>45362</v>
      </c>
      <c r="B491" s="408" t="s">
        <v>72</v>
      </c>
      <c r="C491" s="409">
        <f>Return!L491</f>
        <v>-4.5646834405911321E-3</v>
      </c>
    </row>
    <row r="492" spans="1:3">
      <c r="A492" s="406">
        <f>Return!A492</f>
        <v>45358</v>
      </c>
      <c r="B492" s="408" t="s">
        <v>72</v>
      </c>
      <c r="C492" s="409">
        <f>Return!L492</f>
        <v>-1.3236433341898648E-4</v>
      </c>
    </row>
    <row r="493" spans="1:3">
      <c r="A493" s="406">
        <f>Return!A493</f>
        <v>45357</v>
      </c>
      <c r="B493" s="408" t="s">
        <v>72</v>
      </c>
      <c r="C493" s="409">
        <f>Return!L493</f>
        <v>-4.587952767035444E-3</v>
      </c>
    </row>
    <row r="494" spans="1:3">
      <c r="A494" s="406">
        <f>Return!A494</f>
        <v>45356</v>
      </c>
      <c r="B494" s="408" t="s">
        <v>72</v>
      </c>
      <c r="C494" s="409">
        <f>Return!L494</f>
        <v>-6.1135297800071833E-3</v>
      </c>
    </row>
    <row r="495" spans="1:3">
      <c r="A495" s="406">
        <f>Return!A495</f>
        <v>45355</v>
      </c>
      <c r="B495" s="408" t="s">
        <v>72</v>
      </c>
      <c r="C495" s="409">
        <f>Return!L495</f>
        <v>1.0407177372793724E-3</v>
      </c>
    </row>
    <row r="496" spans="1:3">
      <c r="A496" s="406">
        <f>Return!A496</f>
        <v>45353</v>
      </c>
      <c r="B496" s="408" t="s">
        <v>72</v>
      </c>
      <c r="C496" s="409">
        <f>Return!L496</f>
        <v>5.294073809240232E-3</v>
      </c>
    </row>
    <row r="497" spans="1:3">
      <c r="A497" s="406">
        <f>Return!A497</f>
        <v>45352</v>
      </c>
      <c r="B497" s="408" t="s">
        <v>72</v>
      </c>
      <c r="C497" s="409">
        <f>Return!L497</f>
        <v>9.3370431248335183E-3</v>
      </c>
    </row>
    <row r="498" spans="1:3">
      <c r="A498" s="406">
        <f>Return!A498</f>
        <v>45351</v>
      </c>
      <c r="B498" s="408" t="s">
        <v>72</v>
      </c>
      <c r="C498" s="409">
        <f>Return!L498</f>
        <v>2.7308756385570226E-3</v>
      </c>
    </row>
    <row r="499" spans="1:3">
      <c r="A499" s="406">
        <f>Return!A499</f>
        <v>45350</v>
      </c>
      <c r="B499" s="408" t="s">
        <v>72</v>
      </c>
      <c r="C499" s="409">
        <f>Return!L499</f>
        <v>-6.7748272492493935E-3</v>
      </c>
    </row>
    <row r="500" spans="1:3">
      <c r="A500" s="406">
        <f>Return!A500</f>
        <v>45349</v>
      </c>
      <c r="B500" s="408" t="s">
        <v>72</v>
      </c>
      <c r="C500" s="409">
        <f>Return!L500</f>
        <v>1.8539271721404989E-3</v>
      </c>
    </row>
    <row r="501" spans="1:3">
      <c r="A501" s="406">
        <f>Return!A501</f>
        <v>45348</v>
      </c>
      <c r="B501" s="408" t="s">
        <v>72</v>
      </c>
      <c r="C501" s="409">
        <f>Return!L501</f>
        <v>2.703144173165493E-3</v>
      </c>
    </row>
    <row r="502" spans="1:3">
      <c r="A502" s="406">
        <f>Return!A502</f>
        <v>45345</v>
      </c>
      <c r="B502" s="408" t="s">
        <v>72</v>
      </c>
      <c r="C502" s="409">
        <f>Return!L502</f>
        <v>5.3243614193088291E-4</v>
      </c>
    </row>
    <row r="503" spans="1:3">
      <c r="A503" s="406">
        <f>Return!A503</f>
        <v>45344</v>
      </c>
      <c r="B503" s="408" t="s">
        <v>72</v>
      </c>
      <c r="C503" s="409">
        <f>Return!L503</f>
        <v>-8.4917358580667134E-4</v>
      </c>
    </row>
    <row r="504" spans="1:3">
      <c r="A504" s="406">
        <f>Return!A504</f>
        <v>45343</v>
      </c>
      <c r="B504" s="408" t="s">
        <v>72</v>
      </c>
      <c r="C504" s="409">
        <f>Return!L504</f>
        <v>-3.5010159811721311E-3</v>
      </c>
    </row>
    <row r="505" spans="1:3">
      <c r="A505" s="406">
        <f>Return!A505</f>
        <v>45342</v>
      </c>
      <c r="B505" s="408" t="s">
        <v>72</v>
      </c>
      <c r="C505" s="409">
        <f>Return!L505</f>
        <v>-5.539769487901895E-3</v>
      </c>
    </row>
    <row r="506" spans="1:3">
      <c r="A506" s="406">
        <f>Return!A506</f>
        <v>45341</v>
      </c>
      <c r="B506" s="408" t="s">
        <v>72</v>
      </c>
      <c r="C506" s="409">
        <f>Return!L506</f>
        <v>2.9153564592629168E-3</v>
      </c>
    </row>
    <row r="507" spans="1:3">
      <c r="A507" s="406">
        <f>Return!A507</f>
        <v>45338</v>
      </c>
      <c r="B507" s="408" t="s">
        <v>72</v>
      </c>
      <c r="C507" s="409">
        <f>Return!L507</f>
        <v>4.5325439692259894E-3</v>
      </c>
    </row>
    <row r="508" spans="1:3">
      <c r="A508" s="406">
        <f>Return!A508</f>
        <v>45337</v>
      </c>
      <c r="B508" s="408" t="s">
        <v>72</v>
      </c>
      <c r="C508" s="409">
        <f>Return!L508</f>
        <v>-2.587190721718926E-3</v>
      </c>
    </row>
    <row r="509" spans="1:3">
      <c r="A509" s="406">
        <f>Return!A509</f>
        <v>45336</v>
      </c>
      <c r="B509" s="408" t="s">
        <v>72</v>
      </c>
      <c r="C509" s="409">
        <f>Return!L509</f>
        <v>9.3119882141689432E-3</v>
      </c>
    </row>
    <row r="510" spans="1:3">
      <c r="A510" s="406">
        <f>Return!A510</f>
        <v>45335</v>
      </c>
      <c r="B510" s="408" t="s">
        <v>72</v>
      </c>
      <c r="C510" s="409">
        <f>Return!L510</f>
        <v>1.0187434198470412E-3</v>
      </c>
    </row>
    <row r="511" spans="1:3">
      <c r="A511" s="406">
        <f>Return!A511</f>
        <v>45334</v>
      </c>
      <c r="B511" s="408" t="s">
        <v>72</v>
      </c>
      <c r="C511" s="409">
        <f>Return!L511</f>
        <v>9.3985953585234878E-3</v>
      </c>
    </row>
    <row r="512" spans="1:3">
      <c r="A512" s="406">
        <f>Return!A512</f>
        <v>45331</v>
      </c>
      <c r="B512" s="408" t="s">
        <v>72</v>
      </c>
      <c r="C512" s="409">
        <f>Return!L512</f>
        <v>-9.5714131449237366E-4</v>
      </c>
    </row>
    <row r="513" spans="1:3">
      <c r="A513" s="406">
        <f>Return!A513</f>
        <v>45330</v>
      </c>
      <c r="B513" s="408" t="s">
        <v>72</v>
      </c>
      <c r="C513" s="409">
        <f>Return!L513</f>
        <v>2.4028656194408386E-3</v>
      </c>
    </row>
    <row r="514" spans="1:3">
      <c r="A514" s="406">
        <f>Return!A514</f>
        <v>45329</v>
      </c>
      <c r="B514" s="408" t="s">
        <v>72</v>
      </c>
      <c r="C514" s="409">
        <f>Return!L514</f>
        <v>-4.7839003335224499E-4</v>
      </c>
    </row>
    <row r="515" spans="1:3">
      <c r="A515" s="406">
        <f>Return!A515</f>
        <v>45328</v>
      </c>
      <c r="B515" s="408" t="s">
        <v>72</v>
      </c>
      <c r="C515" s="409">
        <f>Return!L515</f>
        <v>2.4662693198396206E-3</v>
      </c>
    </row>
    <row r="516" spans="1:3">
      <c r="A516" s="406">
        <f>Return!A516</f>
        <v>45327</v>
      </c>
      <c r="B516" s="408" t="s">
        <v>72</v>
      </c>
      <c r="C516" s="409">
        <f>Return!L516</f>
        <v>5.2519688380280212E-3</v>
      </c>
    </row>
    <row r="517" spans="1:3">
      <c r="A517" s="406">
        <f>Return!A517</f>
        <v>45324</v>
      </c>
      <c r="B517" s="408" t="s">
        <v>72</v>
      </c>
      <c r="C517" s="409">
        <f>Return!L517</f>
        <v>4.0654405033604497E-3</v>
      </c>
    </row>
    <row r="518" spans="1:3">
      <c r="A518" s="406">
        <f>Return!A518</f>
        <v>45323</v>
      </c>
      <c r="B518" s="408" t="s">
        <v>72</v>
      </c>
      <c r="C518" s="409">
        <f>Return!L518</f>
        <v>1.4360134674232673E-2</v>
      </c>
    </row>
    <row r="519" spans="1:3">
      <c r="A519" s="406">
        <f>Return!A519</f>
        <v>45322</v>
      </c>
      <c r="B519" s="408" t="s">
        <v>72</v>
      </c>
      <c r="C519" s="409">
        <f>Return!L519</f>
        <v>-7.8840617691621287E-4</v>
      </c>
    </row>
    <row r="520" spans="1:3">
      <c r="A520" s="406">
        <f>Return!A520</f>
        <v>45321</v>
      </c>
      <c r="B520" s="408" t="s">
        <v>72</v>
      </c>
      <c r="C520" s="409">
        <f>Return!L520</f>
        <v>2.3032120597546181E-3</v>
      </c>
    </row>
    <row r="521" spans="1:3">
      <c r="A521" s="406">
        <f>Return!A521</f>
        <v>45320</v>
      </c>
      <c r="B521" s="408" t="s">
        <v>72</v>
      </c>
      <c r="C521" s="409">
        <f>Return!L521</f>
        <v>1.3175709336525765E-2</v>
      </c>
    </row>
    <row r="522" spans="1:3">
      <c r="A522" s="406">
        <f>Return!A522</f>
        <v>45316</v>
      </c>
      <c r="B522" s="408" t="s">
        <v>72</v>
      </c>
      <c r="C522" s="409">
        <f>Return!L522</f>
        <v>3.6884595058417581E-3</v>
      </c>
    </row>
    <row r="523" spans="1:3">
      <c r="A523" s="406">
        <f>Return!A523</f>
        <v>45315</v>
      </c>
      <c r="B523" s="408" t="s">
        <v>72</v>
      </c>
      <c r="C523" s="409">
        <f>Return!L523</f>
        <v>6.4868484178828706E-3</v>
      </c>
    </row>
    <row r="524" spans="1:3">
      <c r="A524" s="406">
        <f>Return!A524</f>
        <v>45314</v>
      </c>
      <c r="B524" s="408" t="s">
        <v>72</v>
      </c>
      <c r="C524" s="409">
        <f>Return!L524</f>
        <v>3.7390689107822624E-3</v>
      </c>
    </row>
    <row r="525" spans="1:3">
      <c r="A525" s="406">
        <f>Return!A525</f>
        <v>45311</v>
      </c>
      <c r="B525" s="408" t="s">
        <v>72</v>
      </c>
      <c r="C525" s="409">
        <f>Return!L525</f>
        <v>-2.0218587678010988E-3</v>
      </c>
    </row>
    <row r="526" spans="1:3">
      <c r="A526" s="406">
        <f>Return!A526</f>
        <v>45310</v>
      </c>
      <c r="B526" s="408" t="s">
        <v>72</v>
      </c>
      <c r="C526" s="409">
        <f>Return!L526</f>
        <v>-3.3824077536369866E-3</v>
      </c>
    </row>
    <row r="527" spans="1:3">
      <c r="A527" s="406">
        <f>Return!A527</f>
        <v>45309</v>
      </c>
      <c r="B527" s="408" t="s">
        <v>72</v>
      </c>
      <c r="C527" s="409">
        <f>Return!L527</f>
        <v>5.4167999790945744E-3</v>
      </c>
    </row>
    <row r="528" spans="1:3">
      <c r="A528" s="406">
        <f>Return!A528</f>
        <v>45308</v>
      </c>
      <c r="B528" s="408" t="s">
        <v>72</v>
      </c>
      <c r="C528" s="409">
        <f>Return!L528</f>
        <v>1.0690362258589057E-2</v>
      </c>
    </row>
    <row r="529" spans="1:3">
      <c r="A529" s="406">
        <f>Return!A529</f>
        <v>45307</v>
      </c>
      <c r="B529" s="408" t="s">
        <v>72</v>
      </c>
      <c r="C529" s="409">
        <f>Return!L529</f>
        <v>-2.6835754526036673E-3</v>
      </c>
    </row>
    <row r="530" spans="1:3">
      <c r="A530" s="406">
        <f>Return!A530</f>
        <v>45306</v>
      </c>
      <c r="B530" s="408" t="s">
        <v>72</v>
      </c>
      <c r="C530" s="409">
        <f>Return!L530</f>
        <v>1.8676355687644239E-3</v>
      </c>
    </row>
    <row r="531" spans="1:3">
      <c r="A531" s="406">
        <f>Return!A531</f>
        <v>45303</v>
      </c>
      <c r="B531" s="408" t="s">
        <v>72</v>
      </c>
      <c r="C531" s="409">
        <f>Return!L531</f>
        <v>-2.0583983866189451E-3</v>
      </c>
    </row>
    <row r="532" spans="1:3">
      <c r="A532" s="406">
        <f>Return!A532</f>
        <v>45302</v>
      </c>
      <c r="B532" s="408" t="s">
        <v>72</v>
      </c>
      <c r="C532" s="409">
        <f>Return!L532</f>
        <v>4.9500732225127115E-3</v>
      </c>
    </row>
    <row r="533" spans="1:3">
      <c r="A533" s="406">
        <f>Return!A533</f>
        <v>45301</v>
      </c>
      <c r="B533" s="408" t="s">
        <v>72</v>
      </c>
      <c r="C533" s="409">
        <f>Return!L533</f>
        <v>-4.7411357430232823E-3</v>
      </c>
    </row>
    <row r="534" spans="1:3">
      <c r="A534" s="406">
        <f>Return!A534</f>
        <v>45300</v>
      </c>
      <c r="B534" s="408" t="s">
        <v>72</v>
      </c>
      <c r="C534" s="409">
        <f>Return!L534</f>
        <v>5.4085964726657372E-3</v>
      </c>
    </row>
    <row r="535" spans="1:3">
      <c r="A535" s="406">
        <f>Return!A535</f>
        <v>45299</v>
      </c>
      <c r="B535" s="408" t="s">
        <v>72</v>
      </c>
      <c r="C535" s="409">
        <f>Return!L535</f>
        <v>-1.7878459586864893E-3</v>
      </c>
    </row>
    <row r="536" spans="1:3">
      <c r="A536" s="406">
        <f>Return!A536</f>
        <v>45296</v>
      </c>
      <c r="B536" s="408" t="s">
        <v>72</v>
      </c>
      <c r="C536" s="409">
        <f>Return!L536</f>
        <v>1.1750755026700677E-3</v>
      </c>
    </row>
    <row r="537" spans="1:3">
      <c r="A537" s="406">
        <f>Return!A537</f>
        <v>45295</v>
      </c>
      <c r="B537" s="408" t="s">
        <v>72</v>
      </c>
      <c r="C537" s="409">
        <f>Return!L537</f>
        <v>-4.8693512336552922E-3</v>
      </c>
    </row>
    <row r="538" spans="1:3">
      <c r="A538" s="406">
        <f>Return!A538</f>
        <v>45294</v>
      </c>
      <c r="B538" s="408" t="s">
        <v>72</v>
      </c>
      <c r="C538" s="409">
        <f>Return!L538</f>
        <v>1.5338884872284902E-3</v>
      </c>
    </row>
    <row r="539" spans="1:3">
      <c r="A539" s="406">
        <f>Return!A539</f>
        <v>45293</v>
      </c>
      <c r="B539" s="408" t="s">
        <v>72</v>
      </c>
      <c r="C539" s="409">
        <f>Return!L539</f>
        <v>2.1830455431614752E-3</v>
      </c>
    </row>
    <row r="540" spans="1:3">
      <c r="A540" s="406">
        <f>Return!A540</f>
        <v>45292</v>
      </c>
      <c r="B540" s="408" t="s">
        <v>72</v>
      </c>
      <c r="C540" s="409">
        <f>Return!L540</f>
        <v>4.583139318291475E-4</v>
      </c>
    </row>
    <row r="541" spans="1:3">
      <c r="A541" s="406">
        <f>Return!A541</f>
        <v>45289</v>
      </c>
      <c r="B541" s="408" t="s">
        <v>72</v>
      </c>
      <c r="C541" s="409">
        <f>Return!L541</f>
        <v>1.1175279167369651E-2</v>
      </c>
    </row>
    <row r="542" spans="1:3">
      <c r="A542" s="406">
        <f>Return!A542</f>
        <v>45288</v>
      </c>
      <c r="B542" s="408" t="s">
        <v>72</v>
      </c>
      <c r="C542" s="409">
        <f>Return!L542</f>
        <v>1.426851752124154E-3</v>
      </c>
    </row>
    <row r="543" spans="1:3">
      <c r="A543" s="406">
        <f>Return!A543</f>
        <v>45287</v>
      </c>
      <c r="B543" s="408" t="s">
        <v>72</v>
      </c>
      <c r="C543" s="409">
        <f>Return!L543</f>
        <v>1.073982010891353E-2</v>
      </c>
    </row>
    <row r="544" spans="1:3">
      <c r="A544" s="406">
        <f>Return!A544</f>
        <v>45286</v>
      </c>
      <c r="B544" s="408" t="s">
        <v>72</v>
      </c>
      <c r="C544" s="409">
        <f>Return!L544</f>
        <v>5.3618076959038577E-3</v>
      </c>
    </row>
    <row r="545" spans="1:3">
      <c r="A545" s="406">
        <f>Return!A545</f>
        <v>45282</v>
      </c>
      <c r="B545" s="408" t="s">
        <v>72</v>
      </c>
      <c r="C545" s="409">
        <f>Return!L545</f>
        <v>2.7151191518309495E-3</v>
      </c>
    </row>
    <row r="546" spans="1:3">
      <c r="A546" s="406">
        <f>Return!A546</f>
        <v>45281</v>
      </c>
      <c r="B546" s="408" t="s">
        <v>72</v>
      </c>
      <c r="C546" s="409">
        <f>Return!L546</f>
        <v>1.0666188304753896E-2</v>
      </c>
    </row>
    <row r="547" spans="1:3">
      <c r="A547" s="406">
        <f>Return!A547</f>
        <v>45280</v>
      </c>
      <c r="B547" s="408" t="s">
        <v>72</v>
      </c>
      <c r="C547" s="409">
        <f>Return!L547</f>
        <v>-3.4239863797837773E-3</v>
      </c>
    </row>
    <row r="548" spans="1:3">
      <c r="A548" s="406">
        <f>Return!A548</f>
        <v>45279</v>
      </c>
      <c r="B548" s="408" t="s">
        <v>72</v>
      </c>
      <c r="C548" s="409">
        <f>Return!L548</f>
        <v>1.8930842283331598E-2</v>
      </c>
    </row>
    <row r="549" spans="1:3">
      <c r="A549" s="406">
        <f>Return!A549</f>
        <v>45278</v>
      </c>
      <c r="B549" s="408" t="s">
        <v>72</v>
      </c>
      <c r="C549" s="409">
        <f>Return!L549</f>
        <v>3.6741347831790163E-3</v>
      </c>
    </row>
    <row r="550" spans="1:3">
      <c r="A550" s="406">
        <f>Return!A550</f>
        <v>45275</v>
      </c>
      <c r="B550" s="408" t="s">
        <v>72</v>
      </c>
      <c r="C550" s="409">
        <f>Return!L550</f>
        <v>3.694744198815009E-3</v>
      </c>
    </row>
    <row r="551" spans="1:3">
      <c r="A551" s="406">
        <f>Return!A551</f>
        <v>45274</v>
      </c>
      <c r="B551" s="408" t="s">
        <v>72</v>
      </c>
      <c r="C551" s="409">
        <f>Return!L551</f>
        <v>-3.5735993356759473E-3</v>
      </c>
    </row>
    <row r="552" spans="1:3">
      <c r="A552" s="406">
        <f>Return!A552</f>
        <v>45273</v>
      </c>
      <c r="B552" s="408" t="s">
        <v>72</v>
      </c>
      <c r="C552" s="409">
        <f>Return!L552</f>
        <v>-1.7397129148020264E-4</v>
      </c>
    </row>
    <row r="553" spans="1:3">
      <c r="A553" s="406">
        <f>Return!A553</f>
        <v>45272</v>
      </c>
      <c r="B553" s="408" t="s">
        <v>72</v>
      </c>
      <c r="C553" s="409">
        <f>Return!L553</f>
        <v>3.5898524947543483E-3</v>
      </c>
    </row>
    <row r="554" spans="1:3">
      <c r="A554" s="406">
        <f>Return!A554</f>
        <v>45271</v>
      </c>
      <c r="B554" s="408" t="s">
        <v>72</v>
      </c>
      <c r="C554" s="409">
        <f>Return!L554</f>
        <v>7.8455701555803573E-3</v>
      </c>
    </row>
    <row r="555" spans="1:3">
      <c r="A555" s="406">
        <f>Return!A555</f>
        <v>45268</v>
      </c>
      <c r="B555" s="408" t="s">
        <v>72</v>
      </c>
      <c r="C555" s="409">
        <f>Return!L555</f>
        <v>-3.9428505720300114E-3</v>
      </c>
    </row>
    <row r="556" spans="1:3">
      <c r="A556" s="406">
        <f>Return!A556</f>
        <v>45267</v>
      </c>
      <c r="B556" s="408" t="s">
        <v>72</v>
      </c>
      <c r="C556" s="409">
        <f>Return!L556</f>
        <v>2.4664895936468488E-3</v>
      </c>
    </row>
    <row r="557" spans="1:3">
      <c r="A557" s="406">
        <f>Return!A557</f>
        <v>45266</v>
      </c>
      <c r="B557" s="408" t="s">
        <v>72</v>
      </c>
      <c r="C557" s="409">
        <f>Return!L557</f>
        <v>-5.4467070657259059E-3</v>
      </c>
    </row>
    <row r="558" spans="1:3">
      <c r="A558" s="406">
        <f>Return!A558</f>
        <v>45265</v>
      </c>
      <c r="B558" s="408" t="s">
        <v>72</v>
      </c>
      <c r="C558" s="409">
        <f>Return!L558</f>
        <v>-9.3318126336273477E-4</v>
      </c>
    </row>
    <row r="559" spans="1:3">
      <c r="A559" s="406">
        <f>Return!A559</f>
        <v>45264</v>
      </c>
      <c r="B559" s="408" t="s">
        <v>72</v>
      </c>
      <c r="C559" s="409">
        <f>Return!L559</f>
        <v>-9.9069285773479791E-3</v>
      </c>
    </row>
    <row r="560" spans="1:3">
      <c r="A560" s="406">
        <f>Return!A560</f>
        <v>45261</v>
      </c>
      <c r="B560" s="408" t="s">
        <v>72</v>
      </c>
      <c r="C560" s="409">
        <f>Return!L560</f>
        <v>1.2149897526404691E-3</v>
      </c>
    </row>
    <row r="561" spans="1:3">
      <c r="A561" s="406">
        <f>Return!A561</f>
        <v>45260</v>
      </c>
      <c r="B561" s="408" t="s">
        <v>72</v>
      </c>
      <c r="C561" s="409">
        <f>Return!L561</f>
        <v>-2.1278736141233578E-3</v>
      </c>
    </row>
    <row r="562" spans="1:3">
      <c r="A562" s="406">
        <f>Return!A562</f>
        <v>45259</v>
      </c>
      <c r="B562" s="408" t="s">
        <v>72</v>
      </c>
      <c r="C562" s="409">
        <f>Return!L562</f>
        <v>1.8337010723917936E-3</v>
      </c>
    </row>
    <row r="563" spans="1:3">
      <c r="A563" s="406">
        <f>Return!A563</f>
        <v>45258</v>
      </c>
      <c r="B563" s="408" t="s">
        <v>72</v>
      </c>
      <c r="C563" s="409">
        <f>Return!L563</f>
        <v>4.4623534626011844E-3</v>
      </c>
    </row>
    <row r="564" spans="1:3">
      <c r="A564" s="406">
        <f>Return!A564</f>
        <v>45254</v>
      </c>
      <c r="B564" s="408" t="s">
        <v>72</v>
      </c>
      <c r="C564" s="409">
        <f>Return!L564</f>
        <v>1.9457214861964161E-3</v>
      </c>
    </row>
    <row r="565" spans="1:3">
      <c r="A565" s="406">
        <f>Return!A565</f>
        <v>45253</v>
      </c>
      <c r="B565" s="408" t="s">
        <v>72</v>
      </c>
      <c r="C565" s="409">
        <f>Return!L565</f>
        <v>4.6486677866619946E-3</v>
      </c>
    </row>
    <row r="566" spans="1:3">
      <c r="A566" s="406">
        <f>Return!A566</f>
        <v>45252</v>
      </c>
      <c r="B566" s="408" t="s">
        <v>72</v>
      </c>
      <c r="C566" s="409">
        <f>Return!L566</f>
        <v>3.0186476101745053E-3</v>
      </c>
    </row>
    <row r="567" spans="1:3">
      <c r="A567" s="406">
        <f>Return!A567</f>
        <v>45251</v>
      </c>
      <c r="B567" s="408" t="s">
        <v>72</v>
      </c>
      <c r="C567" s="409">
        <f>Return!L567</f>
        <v>-5.8831922014838537E-3</v>
      </c>
    </row>
    <row r="568" spans="1:3">
      <c r="A568" s="406">
        <f>Return!A568</f>
        <v>45250</v>
      </c>
      <c r="B568" s="408" t="s">
        <v>72</v>
      </c>
      <c r="C568" s="409">
        <f>Return!L568</f>
        <v>8.4460247434503099E-3</v>
      </c>
    </row>
    <row r="569" spans="1:3">
      <c r="A569" s="406">
        <f>Return!A569</f>
        <v>45247</v>
      </c>
      <c r="B569" s="408" t="s">
        <v>72</v>
      </c>
      <c r="C569" s="409">
        <f>Return!L569</f>
        <v>-1.2917774226152475E-3</v>
      </c>
    </row>
    <row r="570" spans="1:3">
      <c r="A570" s="406">
        <f>Return!A570</f>
        <v>45246</v>
      </c>
      <c r="B570" s="408" t="s">
        <v>72</v>
      </c>
      <c r="C570" s="409">
        <f>Return!L570</f>
        <v>5.9168171125913898E-3</v>
      </c>
    </row>
    <row r="571" spans="1:3">
      <c r="A571" s="406">
        <f>Return!A571</f>
        <v>45245</v>
      </c>
      <c r="B571" s="408" t="s">
        <v>72</v>
      </c>
      <c r="C571" s="409">
        <f>Return!L571</f>
        <v>1.070344665822184E-2</v>
      </c>
    </row>
    <row r="572" spans="1:3">
      <c r="A572" s="406">
        <f>Return!A572</f>
        <v>45243</v>
      </c>
      <c r="B572" s="408" t="s">
        <v>72</v>
      </c>
      <c r="C572" s="409">
        <f>Return!L572</f>
        <v>7.1175197158732865E-4</v>
      </c>
    </row>
    <row r="573" spans="1:3">
      <c r="A573" s="406">
        <f>Return!A573</f>
        <v>45242</v>
      </c>
      <c r="B573" s="408" t="s">
        <v>72</v>
      </c>
      <c r="C573" s="409">
        <f>Return!L573</f>
        <v>2.7649036963766742E-3</v>
      </c>
    </row>
    <row r="574" spans="1:3">
      <c r="A574" s="406">
        <f>Return!A574</f>
        <v>45240</v>
      </c>
      <c r="B574" s="408" t="s">
        <v>72</v>
      </c>
      <c r="C574" s="409">
        <f>Return!L574</f>
        <v>4.3932011751462768E-4</v>
      </c>
    </row>
    <row r="575" spans="1:3">
      <c r="A575" s="406">
        <f>Return!A575</f>
        <v>45239</v>
      </c>
      <c r="B575" s="408" t="s">
        <v>72</v>
      </c>
      <c r="C575" s="409">
        <f>Return!L575</f>
        <v>-1.2606437231731799E-3</v>
      </c>
    </row>
    <row r="576" spans="1:3">
      <c r="A576" s="406">
        <f>Return!A576</f>
        <v>45238</v>
      </c>
      <c r="B576" s="408" t="s">
        <v>72</v>
      </c>
      <c r="C576" s="409">
        <f>Return!L576</f>
        <v>6.1905345151231066E-3</v>
      </c>
    </row>
    <row r="577" spans="1:3">
      <c r="A577" s="406">
        <f>Return!A577</f>
        <v>45237</v>
      </c>
      <c r="B577" s="408" t="s">
        <v>72</v>
      </c>
      <c r="C577" s="409">
        <f>Return!L577</f>
        <v>6.7926024679666316E-3</v>
      </c>
    </row>
    <row r="578" spans="1:3">
      <c r="A578" s="406">
        <f>Return!A578</f>
        <v>45236</v>
      </c>
      <c r="B578" s="408" t="s">
        <v>72</v>
      </c>
      <c r="C578" s="409">
        <f>Return!L578</f>
        <v>9.9473689050667679E-3</v>
      </c>
    </row>
    <row r="579" spans="1:3">
      <c r="A579" s="406">
        <f>Return!A579</f>
        <v>45233</v>
      </c>
      <c r="B579" s="408" t="s">
        <v>72</v>
      </c>
      <c r="C579" s="409">
        <f>Return!L579</f>
        <v>9.4924644021635481E-3</v>
      </c>
    </row>
    <row r="580" spans="1:3">
      <c r="A580" s="406">
        <f>Return!A580</f>
        <v>45232</v>
      </c>
      <c r="B580" s="408" t="s">
        <v>72</v>
      </c>
      <c r="C580" s="409">
        <f>Return!L580</f>
        <v>1.3421798875227462E-2</v>
      </c>
    </row>
    <row r="581" spans="1:3">
      <c r="A581" s="406">
        <f>Return!A581</f>
        <v>45231</v>
      </c>
      <c r="B581" s="408" t="s">
        <v>72</v>
      </c>
      <c r="C581" s="409">
        <f>Return!L581</f>
        <v>8.0222334068854508E-3</v>
      </c>
    </row>
    <row r="582" spans="1:3">
      <c r="A582" s="406">
        <f>Return!A582</f>
        <v>45230</v>
      </c>
      <c r="B582" s="408" t="s">
        <v>72</v>
      </c>
      <c r="C582" s="409">
        <f>Return!L582</f>
        <v>6.6559786510469428E-3</v>
      </c>
    </row>
    <row r="583" spans="1:3">
      <c r="A583" s="406">
        <f>Return!A583</f>
        <v>45229</v>
      </c>
      <c r="B583" s="408" t="s">
        <v>72</v>
      </c>
      <c r="C583" s="409">
        <f>Return!L583</f>
        <v>1.4268134787023168E-3</v>
      </c>
    </row>
    <row r="584" spans="1:3">
      <c r="A584" s="406">
        <f>Return!A584</f>
        <v>45226</v>
      </c>
      <c r="B584" s="408" t="s">
        <v>72</v>
      </c>
      <c r="C584" s="409">
        <f>Return!L584</f>
        <v>4.1095696457710872E-3</v>
      </c>
    </row>
    <row r="585" spans="1:3">
      <c r="A585" s="406">
        <f>Return!A585</f>
        <v>45225</v>
      </c>
      <c r="B585" s="408" t="s">
        <v>72</v>
      </c>
      <c r="C585" s="409">
        <f>Return!L585</f>
        <v>5.0075700228467994E-5</v>
      </c>
    </row>
    <row r="586" spans="1:3">
      <c r="A586" s="406">
        <f>Return!A586</f>
        <v>45224</v>
      </c>
      <c r="B586" s="408" t="s">
        <v>72</v>
      </c>
      <c r="C586" s="409">
        <f>Return!L586</f>
        <v>-1.2398595274228253E-3</v>
      </c>
    </row>
    <row r="587" spans="1:3">
      <c r="A587" s="406">
        <f>Return!A587</f>
        <v>45222</v>
      </c>
      <c r="B587" s="408" t="s">
        <v>72</v>
      </c>
      <c r="C587" s="409">
        <f>Return!L587</f>
        <v>-3.2631815494500987E-3</v>
      </c>
    </row>
    <row r="588" spans="1:3">
      <c r="A588" s="406">
        <f>Return!A588</f>
        <v>45219</v>
      </c>
      <c r="B588" s="408" t="s">
        <v>72</v>
      </c>
      <c r="C588" s="409">
        <f>Return!L588</f>
        <v>3.6263163831491902E-4</v>
      </c>
    </row>
    <row r="589" spans="1:3">
      <c r="A589" s="406">
        <f>Return!A589</f>
        <v>45218</v>
      </c>
      <c r="B589" s="408" t="s">
        <v>72</v>
      </c>
      <c r="C589" s="409">
        <f>Return!L589</f>
        <v>-2.2060466070782923E-3</v>
      </c>
    </row>
    <row r="590" spans="1:3">
      <c r="A590" s="406">
        <f>Return!A590</f>
        <v>45217</v>
      </c>
      <c r="B590" s="408" t="s">
        <v>72</v>
      </c>
      <c r="C590" s="409">
        <f>Return!L590</f>
        <v>-9.8824669601038969E-3</v>
      </c>
    </row>
    <row r="591" spans="1:3">
      <c r="A591" s="406">
        <f>Return!A591</f>
        <v>45216</v>
      </c>
      <c r="B591" s="408" t="s">
        <v>72</v>
      </c>
      <c r="C591" s="409">
        <f>Return!L591</f>
        <v>-7.6859666921669269E-3</v>
      </c>
    </row>
    <row r="592" spans="1:3">
      <c r="A592" s="406">
        <f>Return!A592</f>
        <v>45215</v>
      </c>
      <c r="B592" s="408" t="s">
        <v>72</v>
      </c>
      <c r="C592" s="409">
        <f>Return!L592</f>
        <v>-3.6577307340699573E-3</v>
      </c>
    </row>
    <row r="593" spans="1:3">
      <c r="A593" s="406">
        <f>Return!A593</f>
        <v>45212</v>
      </c>
      <c r="B593" s="408" t="s">
        <v>72</v>
      </c>
      <c r="C593" s="409">
        <f>Return!L593</f>
        <v>1.601199138338858E-4</v>
      </c>
    </row>
    <row r="594" spans="1:3">
      <c r="A594" s="406">
        <f>Return!A594</f>
        <v>45211</v>
      </c>
      <c r="B594" s="408" t="s">
        <v>72</v>
      </c>
      <c r="C594" s="409">
        <f>Return!L594</f>
        <v>4.1909600144175744E-3</v>
      </c>
    </row>
    <row r="595" spans="1:3">
      <c r="A595" s="406">
        <f>Return!A595</f>
        <v>45210</v>
      </c>
      <c r="B595" s="408" t="s">
        <v>72</v>
      </c>
      <c r="C595" s="409">
        <f>Return!L595</f>
        <v>8.5301171746385751E-4</v>
      </c>
    </row>
    <row r="596" spans="1:3">
      <c r="A596" s="406">
        <f>Return!A596</f>
        <v>45209</v>
      </c>
      <c r="B596" s="408" t="s">
        <v>72</v>
      </c>
      <c r="C596" s="409">
        <f>Return!L596</f>
        <v>-2.8620548624786776E-3</v>
      </c>
    </row>
    <row r="597" spans="1:3">
      <c r="A597" s="406">
        <f>Return!A597</f>
        <v>45208</v>
      </c>
      <c r="B597" s="408" t="s">
        <v>72</v>
      </c>
      <c r="C597" s="409">
        <f>Return!L597</f>
        <v>4.5845147907854749E-3</v>
      </c>
    </row>
    <row r="598" spans="1:3">
      <c r="A598" s="406">
        <f>Return!A598</f>
        <v>45205</v>
      </c>
      <c r="B598" s="408" t="s">
        <v>72</v>
      </c>
      <c r="C598" s="409">
        <f>Return!L598</f>
        <v>-9.4567189923349683E-4</v>
      </c>
    </row>
    <row r="599" spans="1:3">
      <c r="A599" s="406">
        <f>Return!A599</f>
        <v>45204</v>
      </c>
      <c r="B599" s="408" t="s">
        <v>72</v>
      </c>
      <c r="C599" s="409">
        <f>Return!L599</f>
        <v>5.0450715390085426E-3</v>
      </c>
    </row>
    <row r="600" spans="1:3">
      <c r="A600" s="406">
        <f>Return!A600</f>
        <v>45203</v>
      </c>
      <c r="B600" s="408" t="s">
        <v>72</v>
      </c>
      <c r="C600" s="409">
        <f>Return!L600</f>
        <v>3.5674909165697333E-3</v>
      </c>
    </row>
    <row r="601" spans="1:3">
      <c r="A601" s="406">
        <f>Return!A601</f>
        <v>45202</v>
      </c>
      <c r="B601" s="408" t="s">
        <v>72</v>
      </c>
      <c r="C601" s="409">
        <f>Return!L601</f>
        <v>-2.9168337639390242E-3</v>
      </c>
    </row>
    <row r="602" spans="1:3">
      <c r="A602" s="406">
        <f>Return!A602</f>
        <v>45198</v>
      </c>
      <c r="B602" s="408" t="s">
        <v>72</v>
      </c>
      <c r="C602" s="409">
        <f>Return!L602</f>
        <v>2.7511061635161929E-3</v>
      </c>
    </row>
    <row r="603" spans="1:3">
      <c r="A603" s="406">
        <f>Return!A603</f>
        <v>45197</v>
      </c>
      <c r="B603" s="408" t="s">
        <v>72</v>
      </c>
      <c r="C603" s="409">
        <f>Return!L603</f>
        <v>-8.9067812205590735E-3</v>
      </c>
    </row>
    <row r="604" spans="1:3">
      <c r="A604" s="406">
        <f>Return!A604</f>
        <v>45196</v>
      </c>
      <c r="B604" s="408" t="s">
        <v>72</v>
      </c>
      <c r="C604" s="409">
        <f>Return!L604</f>
        <v>9.7258698964951124E-3</v>
      </c>
    </row>
    <row r="605" spans="1:3">
      <c r="A605" s="406">
        <f>Return!A605</f>
        <v>45195</v>
      </c>
      <c r="B605" s="408" t="s">
        <v>72</v>
      </c>
      <c r="C605" s="409">
        <f>Return!L605</f>
        <v>-5.5581810475089331E-3</v>
      </c>
    </row>
    <row r="606" spans="1:3">
      <c r="A606" s="406">
        <f>Return!A606</f>
        <v>45194</v>
      </c>
      <c r="B606" s="408" t="s">
        <v>72</v>
      </c>
      <c r="C606" s="409">
        <f>Return!L606</f>
        <v>1.7251685857242852E-2</v>
      </c>
    </row>
    <row r="607" spans="1:3">
      <c r="A607" s="406">
        <f>Return!A607</f>
        <v>45191</v>
      </c>
      <c r="B607" s="408" t="s">
        <v>72</v>
      </c>
      <c r="C607" s="409">
        <f>Return!L607</f>
        <v>-1.2647069282820906E-2</v>
      </c>
    </row>
    <row r="608" spans="1:3">
      <c r="A608" s="406">
        <f>Return!A608</f>
        <v>45190</v>
      </c>
      <c r="B608" s="408" t="s">
        <v>72</v>
      </c>
      <c r="C608" s="409">
        <f>Return!L608</f>
        <v>1.2178921397011471E-3</v>
      </c>
    </row>
    <row r="609" spans="1:3">
      <c r="A609" s="406">
        <f>Return!A609</f>
        <v>45189</v>
      </c>
      <c r="B609" s="408" t="s">
        <v>72</v>
      </c>
      <c r="C609" s="409">
        <f>Return!L609</f>
        <v>-1.2352590510942594E-2</v>
      </c>
    </row>
    <row r="610" spans="1:3">
      <c r="A610" s="406">
        <f>Return!A610</f>
        <v>45187</v>
      </c>
      <c r="B610" s="408" t="s">
        <v>72</v>
      </c>
      <c r="C610" s="409">
        <f>Return!L610</f>
        <v>-3.3603258825090393E-3</v>
      </c>
    </row>
    <row r="611" spans="1:3">
      <c r="A611" s="406">
        <f>Return!A611</f>
        <v>45184</v>
      </c>
      <c r="B611" s="408" t="s">
        <v>72</v>
      </c>
      <c r="C611" s="409">
        <f>Return!L611</f>
        <v>-5.2370967259486711E-3</v>
      </c>
    </row>
    <row r="612" spans="1:3">
      <c r="A612" s="406">
        <f>Return!A612</f>
        <v>45183</v>
      </c>
      <c r="B612" s="408" t="s">
        <v>72</v>
      </c>
      <c r="C612" s="409">
        <f>Return!L612</f>
        <v>-7.8971542314362451E-3</v>
      </c>
    </row>
    <row r="613" spans="1:3">
      <c r="A613" s="406">
        <f>Return!A613</f>
        <v>45182</v>
      </c>
      <c r="B613" s="408" t="s">
        <v>72</v>
      </c>
      <c r="C613" s="409">
        <f>Return!L613</f>
        <v>6.2986685400170522E-3</v>
      </c>
    </row>
    <row r="614" spans="1:3">
      <c r="A614" s="406">
        <f>Return!A614</f>
        <v>45181</v>
      </c>
      <c r="B614" s="408" t="s">
        <v>72</v>
      </c>
      <c r="C614" s="409">
        <f>Return!L614</f>
        <v>-2.5983618261983961E-3</v>
      </c>
    </row>
    <row r="615" spans="1:3">
      <c r="A615" s="406">
        <f>Return!A615</f>
        <v>45180</v>
      </c>
      <c r="B615" s="408" t="s">
        <v>72</v>
      </c>
      <c r="C615" s="409">
        <f>Return!L615</f>
        <v>5.3051400550373027E-3</v>
      </c>
    </row>
    <row r="616" spans="1:3">
      <c r="A616" s="406">
        <f>Return!A616</f>
        <v>45177</v>
      </c>
      <c r="B616" s="408" t="s">
        <v>72</v>
      </c>
      <c r="C616" s="409">
        <f>Return!L616</f>
        <v>9.376281491846189E-4</v>
      </c>
    </row>
    <row r="617" spans="1:3">
      <c r="A617" s="406">
        <f>Return!A617</f>
        <v>45176</v>
      </c>
      <c r="B617" s="408" t="s">
        <v>72</v>
      </c>
      <c r="C617" s="409">
        <f>Return!L617</f>
        <v>1.6196237472097881E-3</v>
      </c>
    </row>
    <row r="618" spans="1:3">
      <c r="A618" s="406">
        <f>Return!A618</f>
        <v>45175</v>
      </c>
      <c r="B618" s="408" t="s">
        <v>72</v>
      </c>
      <c r="C618" s="409">
        <f>Return!L618</f>
        <v>2.1596524529877374E-4</v>
      </c>
    </row>
    <row r="619" spans="1:3">
      <c r="A619" s="406">
        <f>Return!A619</f>
        <v>45174</v>
      </c>
      <c r="B619" s="408" t="s">
        <v>72</v>
      </c>
      <c r="C619" s="409">
        <f>Return!L619</f>
        <v>4.2708147694277658E-3</v>
      </c>
    </row>
    <row r="620" spans="1:3">
      <c r="A620" s="406">
        <f>Return!A620</f>
        <v>45173</v>
      </c>
      <c r="B620" s="408" t="s">
        <v>72</v>
      </c>
      <c r="C620" s="409">
        <f>Return!L620</f>
        <v>3.8626242075167029E-3</v>
      </c>
    </row>
    <row r="621" spans="1:3">
      <c r="A621" s="406">
        <f>Return!A621</f>
        <v>45170</v>
      </c>
      <c r="B621" s="408" t="s">
        <v>72</v>
      </c>
      <c r="C621" s="409">
        <f>Return!L621</f>
        <v>1.0342109178726182E-3</v>
      </c>
    </row>
    <row r="622" spans="1:3">
      <c r="A622" s="406">
        <f>Return!A622</f>
        <v>45169</v>
      </c>
      <c r="B622" s="408" t="s">
        <v>72</v>
      </c>
      <c r="C622" s="409">
        <f>Return!L622</f>
        <v>6.2165305278813121E-3</v>
      </c>
    </row>
    <row r="623" spans="1:3">
      <c r="A623" s="406">
        <f>Return!A623</f>
        <v>45168</v>
      </c>
      <c r="B623" s="408" t="s">
        <v>72</v>
      </c>
      <c r="C623" s="409">
        <f>Return!L623</f>
        <v>-2.8428150591092295E-3</v>
      </c>
    </row>
    <row r="624" spans="1:3">
      <c r="A624" s="406">
        <f>Return!A624</f>
        <v>45167</v>
      </c>
      <c r="B624" s="408" t="s">
        <v>72</v>
      </c>
      <c r="C624" s="409">
        <f>Return!L624</f>
        <v>-6.3139570800727273E-3</v>
      </c>
    </row>
    <row r="625" spans="1:3">
      <c r="A625" s="406">
        <f>Return!A625</f>
        <v>45166</v>
      </c>
      <c r="B625" s="408" t="s">
        <v>72</v>
      </c>
      <c r="C625" s="409">
        <f>Return!L625</f>
        <v>-2.5737842499978379E-3</v>
      </c>
    </row>
    <row r="626" spans="1:3">
      <c r="A626" s="406">
        <f>Return!A626</f>
        <v>45163</v>
      </c>
      <c r="B626" s="408" t="s">
        <v>72</v>
      </c>
      <c r="C626" s="409">
        <f>Return!L626</f>
        <v>-4.7385367824326948E-3</v>
      </c>
    </row>
    <row r="627" spans="1:3">
      <c r="A627" s="406">
        <f>Return!A627</f>
        <v>45162</v>
      </c>
      <c r="B627" s="408" t="s">
        <v>72</v>
      </c>
      <c r="C627" s="409">
        <f>Return!L627</f>
        <v>2.709822699406329E-3</v>
      </c>
    </row>
    <row r="628" spans="1:3">
      <c r="A628" s="406">
        <f>Return!A628</f>
        <v>45161</v>
      </c>
      <c r="B628" s="408" t="s">
        <v>72</v>
      </c>
      <c r="C628" s="409">
        <f>Return!L628</f>
        <v>-7.1771097556286873E-3</v>
      </c>
    </row>
    <row r="629" spans="1:3">
      <c r="A629" s="406">
        <f>Return!A629</f>
        <v>45160</v>
      </c>
      <c r="B629" s="408" t="s">
        <v>72</v>
      </c>
      <c r="C629" s="409">
        <f>Return!L629</f>
        <v>2.6372514490751102E-3</v>
      </c>
    </row>
    <row r="630" spans="1:3">
      <c r="A630" s="406">
        <f>Return!A630</f>
        <v>45159</v>
      </c>
      <c r="B630" s="408" t="s">
        <v>72</v>
      </c>
      <c r="C630" s="409">
        <f>Return!L630</f>
        <v>-4.4908452640955044E-3</v>
      </c>
    </row>
    <row r="631" spans="1:3">
      <c r="A631" s="406">
        <f>Return!A631</f>
        <v>45156</v>
      </c>
      <c r="B631" s="408" t="s">
        <v>72</v>
      </c>
      <c r="C631" s="409">
        <f>Return!L631</f>
        <v>-5.2089528214158791E-3</v>
      </c>
    </row>
    <row r="632" spans="1:3">
      <c r="A632" s="406">
        <f>Return!A632</f>
        <v>45155</v>
      </c>
      <c r="B632" s="408" t="s">
        <v>72</v>
      </c>
      <c r="C632" s="409">
        <f>Return!L632</f>
        <v>-4.0251648648012171E-4</v>
      </c>
    </row>
    <row r="633" spans="1:3">
      <c r="A633" s="406">
        <f>Return!A633</f>
        <v>45154</v>
      </c>
      <c r="B633" s="408" t="s">
        <v>72</v>
      </c>
      <c r="C633" s="409">
        <f>Return!L633</f>
        <v>-3.1289141314949738E-3</v>
      </c>
    </row>
    <row r="634" spans="1:3">
      <c r="A634" s="406">
        <f>Return!A634</f>
        <v>45152</v>
      </c>
      <c r="B634" s="408" t="s">
        <v>72</v>
      </c>
      <c r="C634" s="409">
        <f>Return!L634</f>
        <v>-4.4801031900529613E-3</v>
      </c>
    </row>
    <row r="635" spans="1:3">
      <c r="A635" s="406">
        <f>Return!A635</f>
        <v>45149</v>
      </c>
      <c r="B635" s="408" t="s">
        <v>72</v>
      </c>
      <c r="C635" s="409">
        <f>Return!L635</f>
        <v>1.2338255253160377E-3</v>
      </c>
    </row>
    <row r="636" spans="1:3">
      <c r="A636" s="406">
        <f>Return!A636</f>
        <v>45148</v>
      </c>
      <c r="B636" s="408" t="s">
        <v>72</v>
      </c>
      <c r="C636" s="409">
        <f>Return!L636</f>
        <v>-1.7563270447766978E-3</v>
      </c>
    </row>
    <row r="637" spans="1:3">
      <c r="A637" s="406">
        <f>Return!A637</f>
        <v>45147</v>
      </c>
      <c r="B637" s="408" t="s">
        <v>72</v>
      </c>
      <c r="C637" s="409">
        <f>Return!L637</f>
        <v>-2.6499822390916297E-3</v>
      </c>
    </row>
    <row r="638" spans="1:3">
      <c r="A638" s="406">
        <f>Return!A638</f>
        <v>45146</v>
      </c>
      <c r="B638" s="408" t="s">
        <v>72</v>
      </c>
      <c r="C638" s="409">
        <f>Return!L638</f>
        <v>-5.634687332137716E-3</v>
      </c>
    </row>
    <row r="639" spans="1:3">
      <c r="A639" s="406">
        <f>Return!A639</f>
        <v>45145</v>
      </c>
      <c r="B639" s="408" t="s">
        <v>72</v>
      </c>
      <c r="C639" s="409">
        <f>Return!L639</f>
        <v>-3.2483124986271402E-3</v>
      </c>
    </row>
    <row r="640" spans="1:3">
      <c r="A640" s="406">
        <f>Return!A640</f>
        <v>45142</v>
      </c>
      <c r="B640" s="408" t="s">
        <v>72</v>
      </c>
      <c r="C640" s="409">
        <f>Return!L640</f>
        <v>-4.3019426545100516E-3</v>
      </c>
    </row>
    <row r="641" spans="1:3">
      <c r="A641" s="406">
        <f>Return!A641</f>
        <v>45141</v>
      </c>
      <c r="B641" s="408" t="s">
        <v>72</v>
      </c>
      <c r="C641" s="409">
        <f>Return!L641</f>
        <v>7.2208987811361253E-3</v>
      </c>
    </row>
    <row r="642" spans="1:3">
      <c r="A642" s="406">
        <f>Return!A642</f>
        <v>45140</v>
      </c>
      <c r="B642" s="408" t="s">
        <v>72</v>
      </c>
      <c r="C642" s="409">
        <f>Return!L642</f>
        <v>6.7569804977354918E-3</v>
      </c>
    </row>
    <row r="643" spans="1:3">
      <c r="A643" s="406">
        <f>Return!A643</f>
        <v>45139</v>
      </c>
      <c r="B643" s="408" t="s">
        <v>72</v>
      </c>
      <c r="C643" s="409">
        <f>Return!L643</f>
        <v>1.6652374689529695E-2</v>
      </c>
    </row>
    <row r="644" spans="1:3">
      <c r="A644" s="406">
        <f>Return!A644</f>
        <v>45138</v>
      </c>
      <c r="B644" s="408" t="s">
        <v>72</v>
      </c>
      <c r="C644" s="409">
        <f>Return!L644</f>
        <v>4.204523891899915E-3</v>
      </c>
    </row>
    <row r="645" spans="1:3">
      <c r="A645" s="406">
        <f>Return!A645</f>
        <v>45135</v>
      </c>
      <c r="B645" s="408" t="s">
        <v>72</v>
      </c>
      <c r="C645" s="409">
        <f>Return!L645</f>
        <v>2.9963511158634781E-3</v>
      </c>
    </row>
    <row r="646" spans="1:3">
      <c r="A646" s="406">
        <f>Return!A646</f>
        <v>45134</v>
      </c>
      <c r="B646" s="408" t="s">
        <v>72</v>
      </c>
      <c r="C646" s="409">
        <f>Return!L646</f>
        <v>7.4364982342063676E-3</v>
      </c>
    </row>
    <row r="647" spans="1:3">
      <c r="A647" s="406">
        <f>Return!A647</f>
        <v>45133</v>
      </c>
      <c r="B647" s="408" t="s">
        <v>72</v>
      </c>
      <c r="C647" s="409">
        <f>Return!L647</f>
        <v>-3.9961125818358705E-4</v>
      </c>
    </row>
    <row r="648" spans="1:3">
      <c r="A648" s="406">
        <f>Return!A648</f>
        <v>45132</v>
      </c>
      <c r="B648" s="408" t="s">
        <v>72</v>
      </c>
      <c r="C648" s="409">
        <f>Return!L648</f>
        <v>8.7617260933214383E-3</v>
      </c>
    </row>
    <row r="649" spans="1:3">
      <c r="A649" s="406">
        <f>Return!A649</f>
        <v>45131</v>
      </c>
      <c r="B649" s="408" t="s">
        <v>72</v>
      </c>
      <c r="C649" s="409">
        <f>Return!L649</f>
        <v>1.1192535978895037E-3</v>
      </c>
    </row>
    <row r="650" spans="1:3">
      <c r="A650" s="406">
        <f>Return!A650</f>
        <v>45128</v>
      </c>
      <c r="B650" s="408" t="s">
        <v>72</v>
      </c>
      <c r="C650" s="409">
        <f>Return!L650</f>
        <v>1.3742512631578279E-2</v>
      </c>
    </row>
    <row r="651" spans="1:3">
      <c r="A651" s="406">
        <f>Return!A651</f>
        <v>45127</v>
      </c>
      <c r="B651" s="408" t="s">
        <v>72</v>
      </c>
      <c r="C651" s="409">
        <f>Return!L651</f>
        <v>8.375648691121328E-3</v>
      </c>
    </row>
    <row r="652" spans="1:3">
      <c r="A652" s="406">
        <f>Return!A652</f>
        <v>45126</v>
      </c>
      <c r="B652" s="408" t="s">
        <v>72</v>
      </c>
      <c r="C652" s="409">
        <f>Return!L652</f>
        <v>6.4245837792101211E-3</v>
      </c>
    </row>
    <row r="653" spans="1:3">
      <c r="A653" s="406">
        <f>Return!A653</f>
        <v>45125</v>
      </c>
      <c r="B653" s="408" t="s">
        <v>72</v>
      </c>
      <c r="C653" s="409">
        <f>Return!L653</f>
        <v>9.5994450311541833E-3</v>
      </c>
    </row>
    <row r="654" spans="1:3">
      <c r="A654" s="406">
        <f>Return!A654</f>
        <v>45124</v>
      </c>
      <c r="B654" s="408" t="s">
        <v>72</v>
      </c>
      <c r="C654" s="409">
        <f>Return!L654</f>
        <v>6.7898771560394571E-4</v>
      </c>
    </row>
    <row r="655" spans="1:3">
      <c r="A655" s="406">
        <f>Return!A655</f>
        <v>45121</v>
      </c>
      <c r="B655" s="408" t="s">
        <v>72</v>
      </c>
      <c r="C655" s="409">
        <f>Return!L655</f>
        <v>6.5585498904077921E-3</v>
      </c>
    </row>
    <row r="656" spans="1:3">
      <c r="A656" s="406">
        <f>Return!A656</f>
        <v>45120</v>
      </c>
      <c r="B656" s="408" t="s">
        <v>72</v>
      </c>
      <c r="C656" s="409">
        <f>Return!L656</f>
        <v>2.396112074366965E-3</v>
      </c>
    </row>
    <row r="657" spans="1:3">
      <c r="A657" s="406">
        <f>Return!A657</f>
        <v>45119</v>
      </c>
      <c r="B657" s="408" t="s">
        <v>72</v>
      </c>
      <c r="C657" s="409">
        <f>Return!L657</f>
        <v>1.522747539408076E-3</v>
      </c>
    </row>
    <row r="658" spans="1:3">
      <c r="A658" s="406">
        <f>Return!A658</f>
        <v>45118</v>
      </c>
      <c r="B658" s="408" t="s">
        <v>72</v>
      </c>
      <c r="C658" s="409">
        <f>Return!L658</f>
        <v>1.4624897341284906E-3</v>
      </c>
    </row>
    <row r="659" spans="1:3">
      <c r="A659" s="406">
        <f>Return!A659</f>
        <v>45117</v>
      </c>
      <c r="B659" s="408" t="s">
        <v>72</v>
      </c>
      <c r="C659" s="409">
        <f>Return!L659</f>
        <v>3.1014367165768963E-3</v>
      </c>
    </row>
    <row r="660" spans="1:3">
      <c r="A660" s="406">
        <f>Return!A660</f>
        <v>45114</v>
      </c>
      <c r="B660" s="408" t="s">
        <v>72</v>
      </c>
      <c r="C660" s="409">
        <f>Return!L660</f>
        <v>-6.3883708517031195E-4</v>
      </c>
    </row>
    <row r="661" spans="1:3">
      <c r="A661" s="406">
        <f>Return!A661</f>
        <v>45113</v>
      </c>
      <c r="B661" s="408" t="s">
        <v>72</v>
      </c>
      <c r="C661" s="409">
        <f>Return!L661</f>
        <v>1.3640907780516267E-3</v>
      </c>
    </row>
    <row r="662" spans="1:3">
      <c r="A662" s="406">
        <f>Return!A662</f>
        <v>45112</v>
      </c>
      <c r="B662" s="408" t="s">
        <v>72</v>
      </c>
      <c r="C662" s="409">
        <f>Return!L662</f>
        <v>4.1176841201785502E-3</v>
      </c>
    </row>
    <row r="663" spans="1:3">
      <c r="A663" s="406">
        <f>Return!A663</f>
        <v>45111</v>
      </c>
      <c r="B663" s="408" t="s">
        <v>72</v>
      </c>
      <c r="C663" s="409">
        <f>Return!L663</f>
        <v>5.1226706232956731E-3</v>
      </c>
    </row>
    <row r="664" spans="1:3">
      <c r="A664" s="406">
        <f>Return!A664</f>
        <v>45110</v>
      </c>
      <c r="B664" s="408" t="s">
        <v>72</v>
      </c>
      <c r="C664" s="409">
        <f>Return!L664</f>
        <v>-2.2163266770285992E-3</v>
      </c>
    </row>
    <row r="665" spans="1:3">
      <c r="A665" s="406">
        <f>Return!A665</f>
        <v>45107</v>
      </c>
      <c r="B665" s="408" t="s">
        <v>72</v>
      </c>
      <c r="C665" s="409">
        <f>Return!L665</f>
        <v>2.0302009590857338E-3</v>
      </c>
    </row>
    <row r="666" spans="1:3">
      <c r="A666" s="406">
        <f>Return!A666</f>
        <v>45105</v>
      </c>
      <c r="B666" s="408" t="s">
        <v>72</v>
      </c>
      <c r="C666" s="409">
        <f>Return!L666</f>
        <v>4.8585421233967967E-3</v>
      </c>
    </row>
    <row r="667" spans="1:3">
      <c r="A667" s="406">
        <f>Return!A667</f>
        <v>45104</v>
      </c>
      <c r="B667" s="408" t="s">
        <v>72</v>
      </c>
      <c r="C667" s="409">
        <f>Return!L667</f>
        <v>8.3250852825162477E-4</v>
      </c>
    </row>
    <row r="668" spans="1:3">
      <c r="A668" s="406">
        <f>Return!A668</f>
        <v>45103</v>
      </c>
      <c r="B668" s="408" t="s">
        <v>72</v>
      </c>
      <c r="C668" s="409">
        <f>Return!L668</f>
        <v>8.4855710653914534E-3</v>
      </c>
    </row>
    <row r="669" spans="1:3">
      <c r="A669" s="406">
        <f>Return!A669</f>
        <v>45100</v>
      </c>
      <c r="B669" s="408" t="s">
        <v>72</v>
      </c>
      <c r="C669" s="409">
        <f>Return!L669</f>
        <v>6.2311644866476622E-3</v>
      </c>
    </row>
    <row r="670" spans="1:3">
      <c r="A670" s="406">
        <f>Return!A670</f>
        <v>45099</v>
      </c>
      <c r="B670" s="408" t="s">
        <v>72</v>
      </c>
      <c r="C670" s="409">
        <f>Return!L670</f>
        <v>8.469531818608456E-3</v>
      </c>
    </row>
    <row r="671" spans="1:3">
      <c r="A671" s="406">
        <f>Return!A671</f>
        <v>45098</v>
      </c>
      <c r="B671" s="408" t="s">
        <v>72</v>
      </c>
      <c r="C671" s="409">
        <f>Return!L671</f>
        <v>6.8486910979466903E-3</v>
      </c>
    </row>
    <row r="672" spans="1:3">
      <c r="A672" s="406">
        <f>Return!A672</f>
        <v>45097</v>
      </c>
      <c r="B672" s="408" t="s">
        <v>72</v>
      </c>
      <c r="C672" s="409">
        <f>Return!L672</f>
        <v>3.5349332494011045E-3</v>
      </c>
    </row>
    <row r="673" spans="1:3">
      <c r="A673" s="406">
        <f>Return!A673</f>
        <v>45096</v>
      </c>
      <c r="B673" s="408" t="s">
        <v>72</v>
      </c>
      <c r="C673" s="409">
        <f>Return!L673</f>
        <v>4.8322598508999722E-3</v>
      </c>
    </row>
    <row r="674" spans="1:3">
      <c r="A674" s="406">
        <f>Return!A674</f>
        <v>45093</v>
      </c>
      <c r="B674" s="408" t="s">
        <v>72</v>
      </c>
      <c r="C674" s="409">
        <f>Return!L674</f>
        <v>1.1511552432939417E-3</v>
      </c>
    </row>
    <row r="675" spans="1:3">
      <c r="A675" s="406">
        <f>Return!A675</f>
        <v>45092</v>
      </c>
      <c r="B675" s="408" t="s">
        <v>72</v>
      </c>
      <c r="C675" s="409">
        <f>Return!L675</f>
        <v>1.2447961562755444E-3</v>
      </c>
    </row>
    <row r="676" spans="1:3">
      <c r="A676" s="406">
        <f>Return!A676</f>
        <v>45091</v>
      </c>
      <c r="B676" s="408" t="s">
        <v>72</v>
      </c>
      <c r="C676" s="409">
        <f>Return!L676</f>
        <v>2.2074554702266858E-3</v>
      </c>
    </row>
    <row r="677" spans="1:3">
      <c r="A677" s="406">
        <f>Return!A677</f>
        <v>45090</v>
      </c>
      <c r="B677" s="408" t="s">
        <v>72</v>
      </c>
      <c r="C677" s="409">
        <f>Return!L677</f>
        <v>1.0430959653520864E-2</v>
      </c>
    </row>
    <row r="678" spans="1:3">
      <c r="A678" s="406">
        <f>Return!A678</f>
        <v>45089</v>
      </c>
      <c r="B678" s="408" t="s">
        <v>72</v>
      </c>
      <c r="C678" s="409">
        <f>Return!L678</f>
        <v>1.6081609408970104E-3</v>
      </c>
    </row>
    <row r="679" spans="1:3">
      <c r="A679" s="406">
        <f>Return!A679</f>
        <v>45086</v>
      </c>
      <c r="B679" s="408" t="s">
        <v>72</v>
      </c>
      <c r="C679" s="409">
        <f>Return!L679</f>
        <v>8.7410963238224813E-3</v>
      </c>
    </row>
    <row r="680" spans="1:3">
      <c r="A680" s="406">
        <f>Return!A680</f>
        <v>45085</v>
      </c>
      <c r="B680" s="408" t="s">
        <v>72</v>
      </c>
      <c r="C680" s="409">
        <f>Return!L680</f>
        <v>-2.4320120575339762E-3</v>
      </c>
    </row>
    <row r="681" spans="1:3">
      <c r="A681" s="406">
        <f>Return!A681</f>
        <v>45084</v>
      </c>
      <c r="B681" s="408" t="s">
        <v>72</v>
      </c>
      <c r="C681" s="409">
        <f>Return!L681</f>
        <v>5.6226283298198756E-3</v>
      </c>
    </row>
    <row r="682" spans="1:3">
      <c r="A682" s="406">
        <f>Return!A682</f>
        <v>45083</v>
      </c>
      <c r="B682" s="408" t="s">
        <v>72</v>
      </c>
      <c r="C682" s="409">
        <f>Return!L682</f>
        <v>-3.9002328196325606E-3</v>
      </c>
    </row>
    <row r="683" spans="1:3">
      <c r="A683" s="406">
        <f>Return!A683</f>
        <v>45082</v>
      </c>
      <c r="B683" s="408" t="s">
        <v>72</v>
      </c>
      <c r="C683" s="409">
        <f>Return!L683</f>
        <v>-2.6179034199837032E-3</v>
      </c>
    </row>
    <row r="684" spans="1:3">
      <c r="A684" s="406">
        <f>Return!A684</f>
        <v>45079</v>
      </c>
      <c r="B684" s="408" t="s">
        <v>72</v>
      </c>
      <c r="C684" s="409">
        <f>Return!L684</f>
        <v>2.0759018915460542E-3</v>
      </c>
    </row>
    <row r="685" spans="1:3">
      <c r="A685" s="406">
        <f>Return!A685</f>
        <v>45078</v>
      </c>
      <c r="B685" s="408" t="s">
        <v>72</v>
      </c>
      <c r="C685" s="409">
        <f>Return!L685</f>
        <v>-2.3795438061227457E-4</v>
      </c>
    </row>
    <row r="686" spans="1:3">
      <c r="A686" s="406">
        <f>Return!A686</f>
        <v>45077</v>
      </c>
      <c r="B686" s="408" t="s">
        <v>72</v>
      </c>
      <c r="C686" s="409">
        <f>Return!L686</f>
        <v>2.3248216131559573E-3</v>
      </c>
    </row>
    <row r="687" spans="1:3">
      <c r="A687" s="406">
        <f>Return!A687</f>
        <v>45076</v>
      </c>
      <c r="B687" s="408" t="s">
        <v>72</v>
      </c>
      <c r="C687" s="409">
        <f>Return!L687</f>
        <v>-5.2397256849351847E-4</v>
      </c>
    </row>
    <row r="688" spans="1:3">
      <c r="A688" s="406">
        <f>Return!A688</f>
        <v>45075</v>
      </c>
      <c r="B688" s="408" t="s">
        <v>72</v>
      </c>
      <c r="C688" s="409">
        <f>Return!L688</f>
        <v>8.8945882492924982E-3</v>
      </c>
    </row>
    <row r="689" spans="1:3">
      <c r="A689" s="406">
        <f>Return!A689</f>
        <v>45072</v>
      </c>
      <c r="B689" s="408" t="s">
        <v>72</v>
      </c>
      <c r="C689" s="409">
        <f>Return!L689</f>
        <v>1.1560361696914372E-2</v>
      </c>
    </row>
    <row r="690" spans="1:3">
      <c r="A690" s="406">
        <f>Return!A690</f>
        <v>45071</v>
      </c>
      <c r="B690" s="408" t="s">
        <v>72</v>
      </c>
      <c r="C690" s="409">
        <f>Return!L690</f>
        <v>5.1897419428425422E-3</v>
      </c>
    </row>
    <row r="691" spans="1:3">
      <c r="A691" s="406">
        <f>Return!A691</f>
        <v>45070</v>
      </c>
      <c r="B691" s="408" t="s">
        <v>72</v>
      </c>
      <c r="C691" s="409">
        <f>Return!L691</f>
        <v>6.3219137513816819E-4</v>
      </c>
    </row>
    <row r="692" spans="1:3">
      <c r="A692" s="406">
        <f>Return!A692</f>
        <v>45069</v>
      </c>
      <c r="B692" s="408" t="s">
        <v>72</v>
      </c>
      <c r="C692" s="409">
        <f>Return!L692</f>
        <v>9.4296693509858813E-4</v>
      </c>
    </row>
    <row r="693" spans="1:3">
      <c r="A693" s="406">
        <f>Return!A693</f>
        <v>45068</v>
      </c>
      <c r="B693" s="408" t="s">
        <v>72</v>
      </c>
      <c r="C693" s="409">
        <f>Return!L693</f>
        <v>1.1839471159802079E-2</v>
      </c>
    </row>
    <row r="694" spans="1:3">
      <c r="A694" s="406">
        <f>Return!A694</f>
        <v>45065</v>
      </c>
      <c r="B694" s="408" t="s">
        <v>72</v>
      </c>
      <c r="C694" s="409">
        <f>Return!L694</f>
        <v>1.0454919782451268E-3</v>
      </c>
    </row>
    <row r="695" spans="1:3">
      <c r="A695" s="406">
        <f>Return!A695</f>
        <v>45064</v>
      </c>
      <c r="B695" s="408" t="s">
        <v>72</v>
      </c>
      <c r="C695" s="409">
        <f>Return!L695</f>
        <v>5.7102837172337282E-3</v>
      </c>
    </row>
    <row r="696" spans="1:3">
      <c r="A696" s="406">
        <f>Return!A696</f>
        <v>45063</v>
      </c>
      <c r="B696" s="408" t="s">
        <v>72</v>
      </c>
      <c r="C696" s="409">
        <f>Return!L696</f>
        <v>2.0052759406550265E-3</v>
      </c>
    </row>
    <row r="697" spans="1:3">
      <c r="A697" s="406">
        <f>Return!A697</f>
        <v>45062</v>
      </c>
      <c r="B697" s="408" t="s">
        <v>72</v>
      </c>
      <c r="C697" s="409">
        <f>Return!L697</f>
        <v>6.4040184038474841E-4</v>
      </c>
    </row>
    <row r="698" spans="1:3">
      <c r="A698" s="406">
        <f>Return!A698</f>
        <v>45061</v>
      </c>
      <c r="B698" s="408" t="s">
        <v>72</v>
      </c>
      <c r="C698" s="409">
        <f>Return!L698</f>
        <v>-4.8928946452428471E-3</v>
      </c>
    </row>
    <row r="699" spans="1:3">
      <c r="A699" s="406">
        <f>Return!A699</f>
        <v>45058</v>
      </c>
      <c r="B699" s="408" t="s">
        <v>72</v>
      </c>
      <c r="C699" s="409">
        <f>Return!L699</f>
        <v>-4.8805430957634044E-3</v>
      </c>
    </row>
    <row r="700" spans="1:3">
      <c r="A700" s="406">
        <f>Return!A700</f>
        <v>45057</v>
      </c>
      <c r="B700" s="408" t="s">
        <v>72</v>
      </c>
      <c r="C700" s="409">
        <f>Return!L700</f>
        <v>-1.090254616102053E-3</v>
      </c>
    </row>
    <row r="701" spans="1:3">
      <c r="A701" s="406">
        <f>Return!A701</f>
        <v>45056</v>
      </c>
      <c r="B701" s="408" t="s">
        <v>72</v>
      </c>
      <c r="C701" s="409">
        <f>Return!L701</f>
        <v>-3.4441935042644764E-3</v>
      </c>
    </row>
    <row r="702" spans="1:3">
      <c r="A702" s="406">
        <f>Return!A702</f>
        <v>45055</v>
      </c>
      <c r="B702" s="408" t="s">
        <v>72</v>
      </c>
      <c r="C702" s="409">
        <f>Return!L702</f>
        <v>-1.2443332247972866E-2</v>
      </c>
    </row>
    <row r="703" spans="1:3">
      <c r="A703" s="406">
        <f>Return!A703</f>
        <v>45054</v>
      </c>
      <c r="B703" s="408" t="s">
        <v>72</v>
      </c>
      <c r="C703" s="409">
        <f>Return!L703</f>
        <v>-3.0668962230367613E-3</v>
      </c>
    </row>
    <row r="704" spans="1:3">
      <c r="A704" s="406">
        <f>Return!A704</f>
        <v>45051</v>
      </c>
      <c r="B704" s="408" t="s">
        <v>72</v>
      </c>
      <c r="C704" s="409">
        <f>Return!L704</f>
        <v>-4.4170521334432463E-3</v>
      </c>
    </row>
    <row r="705" spans="1:3">
      <c r="A705" s="406">
        <f>Return!A705</f>
        <v>45050</v>
      </c>
      <c r="B705" s="408" t="s">
        <v>72</v>
      </c>
      <c r="C705" s="409">
        <f>Return!L705</f>
        <v>7.7705236773141437E-3</v>
      </c>
    </row>
    <row r="706" spans="1:3">
      <c r="A706" s="406">
        <f>Return!A706</f>
        <v>45049</v>
      </c>
      <c r="B706" s="408" t="s">
        <v>72</v>
      </c>
      <c r="C706" s="409">
        <f>Return!L706</f>
        <v>4.005201645493079E-3</v>
      </c>
    </row>
    <row r="707" spans="1:3">
      <c r="A707" s="406">
        <f>Return!A707</f>
        <v>45048</v>
      </c>
      <c r="B707" s="408" t="s">
        <v>72</v>
      </c>
      <c r="C707" s="409">
        <f>Return!L707</f>
        <v>1.0312972499982862E-3</v>
      </c>
    </row>
    <row r="708" spans="1:3">
      <c r="A708" s="406">
        <f>Return!A708</f>
        <v>45044</v>
      </c>
      <c r="B708" s="408" t="s">
        <v>72</v>
      </c>
      <c r="C708" s="409">
        <f>Return!L708</f>
        <v>2.3338639170683101E-4</v>
      </c>
    </row>
    <row r="709" spans="1:3">
      <c r="A709" s="406">
        <f>Return!A709</f>
        <v>45043</v>
      </c>
      <c r="B709" s="408" t="s">
        <v>72</v>
      </c>
      <c r="C709" s="409">
        <f>Return!L709</f>
        <v>1.3806480161343187E-3</v>
      </c>
    </row>
    <row r="710" spans="1:3">
      <c r="A710" s="406">
        <f>Return!A710</f>
        <v>45042</v>
      </c>
      <c r="B710" s="408" t="s">
        <v>72</v>
      </c>
      <c r="C710" s="409">
        <f>Return!L710</f>
        <v>2.4625323491100832E-3</v>
      </c>
    </row>
    <row r="711" spans="1:3">
      <c r="A711" s="406">
        <f>Return!A711</f>
        <v>45041</v>
      </c>
      <c r="B711" s="408" t="s">
        <v>72</v>
      </c>
      <c r="C711" s="409">
        <f>Return!L711</f>
        <v>-6.1891568971895908E-4</v>
      </c>
    </row>
    <row r="712" spans="1:3">
      <c r="A712" s="406">
        <f>Return!A712</f>
        <v>45040</v>
      </c>
      <c r="B712" s="408" t="s">
        <v>72</v>
      </c>
      <c r="C712" s="409">
        <f>Return!L712</f>
        <v>4.9826882021188415E-3</v>
      </c>
    </row>
    <row r="713" spans="1:3">
      <c r="A713" s="406">
        <f>Return!A713</f>
        <v>45037</v>
      </c>
      <c r="B713" s="408" t="s">
        <v>72</v>
      </c>
      <c r="C713" s="409">
        <f>Return!L713</f>
        <v>6.0212334251445792E-3</v>
      </c>
    </row>
    <row r="714" spans="1:3">
      <c r="A714" s="406">
        <f>Return!A714</f>
        <v>45036</v>
      </c>
      <c r="B714" s="408" t="s">
        <v>72</v>
      </c>
      <c r="C714" s="409">
        <f>Return!L714</f>
        <v>-8.8376966123935707E-4</v>
      </c>
    </row>
    <row r="715" spans="1:3">
      <c r="A715" s="406">
        <f>Return!A715</f>
        <v>45035</v>
      </c>
      <c r="B715" s="408" t="s">
        <v>72</v>
      </c>
      <c r="C715" s="409">
        <f>Return!L715</f>
        <v>6.4867644676948003E-3</v>
      </c>
    </row>
    <row r="716" spans="1:3">
      <c r="A716" s="406">
        <f>Return!A716</f>
        <v>45034</v>
      </c>
      <c r="B716" s="408" t="s">
        <v>72</v>
      </c>
      <c r="C716" s="409">
        <f>Return!L716</f>
        <v>-3.0422752313523432E-3</v>
      </c>
    </row>
    <row r="717" spans="1:3">
      <c r="A717" s="406">
        <f>Return!A717</f>
        <v>45033</v>
      </c>
      <c r="B717" s="408" t="s">
        <v>72</v>
      </c>
      <c r="C717" s="409">
        <f>Return!L717</f>
        <v>3.6530029514524401E-3</v>
      </c>
    </row>
    <row r="718" spans="1:3">
      <c r="A718" s="406">
        <f>Return!A718</f>
        <v>45029</v>
      </c>
      <c r="B718" s="408" t="s">
        <v>72</v>
      </c>
      <c r="C718" s="409">
        <f>Return!L718</f>
        <v>5.0208509597278036E-3</v>
      </c>
    </row>
    <row r="719" spans="1:3">
      <c r="A719" s="406">
        <f>Return!A719</f>
        <v>45028</v>
      </c>
      <c r="B719" s="408" t="s">
        <v>72</v>
      </c>
      <c r="C719" s="409">
        <f>Return!L719</f>
        <v>-3.2515385503554669E-3</v>
      </c>
    </row>
    <row r="720" spans="1:3">
      <c r="A720" s="406">
        <f>Return!A720</f>
        <v>45027</v>
      </c>
      <c r="B720" s="408" t="s">
        <v>72</v>
      </c>
      <c r="C720" s="409">
        <f>Return!L720</f>
        <v>7.1361358468925926E-3</v>
      </c>
    </row>
    <row r="721" spans="1:3">
      <c r="A721" s="406">
        <f>Return!A721</f>
        <v>45026</v>
      </c>
      <c r="B721" s="408" t="s">
        <v>72</v>
      </c>
      <c r="C721" s="409">
        <f>Return!L721</f>
        <v>8.5193039020279859E-3</v>
      </c>
    </row>
    <row r="722" spans="1:3">
      <c r="A722" s="406">
        <f>Return!A722</f>
        <v>45022</v>
      </c>
      <c r="B722" s="408" t="s">
        <v>72</v>
      </c>
      <c r="C722" s="409">
        <f>Return!L722</f>
        <v>-3.3611607523337328E-3</v>
      </c>
    </row>
    <row r="723" spans="1:3">
      <c r="A723" s="406">
        <f>Return!A723</f>
        <v>45021</v>
      </c>
      <c r="B723" s="408" t="s">
        <v>72</v>
      </c>
      <c r="C723" s="409">
        <f>Return!L723</f>
        <v>1.710478166603957E-2</v>
      </c>
    </row>
    <row r="724" spans="1:3">
      <c r="A724" s="406">
        <f>Return!A724</f>
        <v>45019</v>
      </c>
      <c r="B724" s="408" t="s">
        <v>72</v>
      </c>
      <c r="C724" s="409">
        <f>Return!L724</f>
        <v>4.6117424138772123E-3</v>
      </c>
    </row>
    <row r="725" spans="1:3">
      <c r="A725" s="406">
        <f>Return!A725</f>
        <v>45016</v>
      </c>
      <c r="B725" s="408" t="s">
        <v>72</v>
      </c>
      <c r="C725" s="409">
        <f>Return!L725</f>
        <v>4.9619311555993244E-3</v>
      </c>
    </row>
    <row r="726" spans="1:3">
      <c r="A726" s="406">
        <f>Return!A726</f>
        <v>45014</v>
      </c>
      <c r="B726" s="408" t="s">
        <v>72</v>
      </c>
      <c r="C726" s="409">
        <f>Return!L726</f>
        <v>6.3019653027522066E-3</v>
      </c>
    </row>
    <row r="727" spans="1:3">
      <c r="A727" s="406">
        <f>Return!A727</f>
        <v>45013</v>
      </c>
      <c r="B727" s="408" t="s">
        <v>72</v>
      </c>
      <c r="C727" s="409">
        <f>Return!L727</f>
        <v>7.7928335204043211E-3</v>
      </c>
    </row>
    <row r="728" spans="1:3">
      <c r="A728" s="406">
        <f>Return!A728</f>
        <v>45012</v>
      </c>
      <c r="B728" s="408" t="s">
        <v>72</v>
      </c>
      <c r="C728" s="409">
        <f>Return!L728</f>
        <v>3.6801704138580095E-3</v>
      </c>
    </row>
    <row r="729" spans="1:3">
      <c r="A729" s="406">
        <f>Return!A729</f>
        <v>45009</v>
      </c>
      <c r="B729" s="408" t="s">
        <v>72</v>
      </c>
      <c r="C729" s="409">
        <f>Return!L729</f>
        <v>1.3297103640807977E-4</v>
      </c>
    </row>
    <row r="730" spans="1:3">
      <c r="A730" s="406">
        <f>Return!A730</f>
        <v>45008</v>
      </c>
      <c r="B730" s="408" t="s">
        <v>72</v>
      </c>
      <c r="C730" s="409">
        <f>Return!L730</f>
        <v>1.004245290977524E-2</v>
      </c>
    </row>
    <row r="731" spans="1:3">
      <c r="A731" s="406">
        <f>Return!A731</f>
        <v>45007</v>
      </c>
      <c r="B731" s="408" t="s">
        <v>72</v>
      </c>
      <c r="C731" s="409">
        <f>Return!L731</f>
        <v>1.4850996847954158E-3</v>
      </c>
    </row>
    <row r="732" spans="1:3">
      <c r="A732" s="406">
        <f>Return!A732</f>
        <v>45006</v>
      </c>
      <c r="B732" s="408" t="s">
        <v>72</v>
      </c>
      <c r="C732" s="409">
        <f>Return!L732</f>
        <v>5.8410166084743951E-3</v>
      </c>
    </row>
    <row r="733" spans="1:3">
      <c r="A733" s="406">
        <f>Return!A733</f>
        <v>45005</v>
      </c>
      <c r="B733" s="408" t="s">
        <v>72</v>
      </c>
      <c r="C733" s="409">
        <f>Return!L733</f>
        <v>7.5086571625783347E-3</v>
      </c>
    </row>
    <row r="734" spans="1:3">
      <c r="A734" s="406">
        <f>Return!A734</f>
        <v>45002</v>
      </c>
      <c r="B734" s="408" t="s">
        <v>72</v>
      </c>
      <c r="C734" s="409">
        <f>Return!L734</f>
        <v>-2.7786388776132763E-3</v>
      </c>
    </row>
    <row r="735" spans="1:3">
      <c r="A735" s="406">
        <f>Return!A735</f>
        <v>45001</v>
      </c>
      <c r="B735" s="408" t="s">
        <v>72</v>
      </c>
      <c r="C735" s="409">
        <f>Return!L735</f>
        <v>5.906093668717193E-3</v>
      </c>
    </row>
    <row r="736" spans="1:3">
      <c r="A736" s="406">
        <f>Return!A736</f>
        <v>45000</v>
      </c>
      <c r="B736" s="408" t="s">
        <v>72</v>
      </c>
      <c r="C736" s="409">
        <f>Return!L736</f>
        <v>-1.9626990485635443E-3</v>
      </c>
    </row>
    <row r="737" spans="1:3">
      <c r="A737" s="406">
        <f>Return!A737</f>
        <v>44999</v>
      </c>
      <c r="B737" s="408" t="s">
        <v>72</v>
      </c>
      <c r="C737" s="409">
        <f>Return!L737</f>
        <v>5.7513069774949447E-3</v>
      </c>
    </row>
    <row r="738" spans="1:3">
      <c r="A738" s="406">
        <f>Return!A738</f>
        <v>44998</v>
      </c>
      <c r="B738" s="408" t="s">
        <v>72</v>
      </c>
      <c r="C738" s="409">
        <f>Return!L738</f>
        <v>-2.9226887301016871E-3</v>
      </c>
    </row>
    <row r="739" spans="1:3">
      <c r="A739" s="406">
        <f>Return!A739</f>
        <v>44995</v>
      </c>
      <c r="B739" s="408" t="s">
        <v>72</v>
      </c>
      <c r="C739" s="409">
        <f>Return!L739</f>
        <v>6.9530275549571797E-3</v>
      </c>
    </row>
    <row r="740" spans="1:3">
      <c r="A740" s="406">
        <f>Return!A740</f>
        <v>44994</v>
      </c>
      <c r="B740" s="408" t="s">
        <v>72</v>
      </c>
      <c r="C740" s="409">
        <f>Return!L740</f>
        <v>-2.4386274085234027E-3</v>
      </c>
    </row>
    <row r="741" spans="1:3">
      <c r="A741" s="406">
        <f>Return!A741</f>
        <v>44993</v>
      </c>
      <c r="B741" s="408" t="s">
        <v>72</v>
      </c>
      <c r="C741" s="409">
        <f>Return!L741</f>
        <v>8.7896611498970234E-6</v>
      </c>
    </row>
    <row r="742" spans="1:3">
      <c r="A742" s="406">
        <f>Return!A742</f>
        <v>44991</v>
      </c>
      <c r="B742" s="408" t="s">
        <v>72</v>
      </c>
      <c r="C742" s="409">
        <f>Return!L742</f>
        <v>-5.6028284578012438E-3</v>
      </c>
    </row>
    <row r="743" spans="1:3">
      <c r="A743" s="406">
        <f>Return!A743</f>
        <v>44988</v>
      </c>
      <c r="B743" s="408" t="s">
        <v>72</v>
      </c>
      <c r="C743" s="409">
        <f>Return!L743</f>
        <v>1.3454301910633521E-4</v>
      </c>
    </row>
    <row r="744" spans="1:3">
      <c r="A744" s="406">
        <f>Return!A744</f>
        <v>44987</v>
      </c>
      <c r="B744" s="408" t="s">
        <v>72</v>
      </c>
      <c r="C744" s="409">
        <f>Return!L744</f>
        <v>-1.5933082828087149E-3</v>
      </c>
    </row>
    <row r="745" spans="1:3">
      <c r="A745" s="406">
        <f>Return!A745</f>
        <v>44986</v>
      </c>
      <c r="B745" s="408" t="s">
        <v>72</v>
      </c>
      <c r="C745" s="409">
        <f>Return!L745</f>
        <v>6.97217965269323E-4</v>
      </c>
    </row>
    <row r="746" spans="1:3">
      <c r="A746" s="406">
        <f>Return!A746</f>
        <v>44985</v>
      </c>
      <c r="B746" s="408" t="s">
        <v>72</v>
      </c>
      <c r="C746" s="409">
        <f>Return!L746</f>
        <v>2.5733347619740603E-3</v>
      </c>
    </row>
    <row r="747" spans="1:3">
      <c r="A747" s="406">
        <f>Return!A747</f>
        <v>44984</v>
      </c>
      <c r="B747" s="408" t="s">
        <v>72</v>
      </c>
      <c r="C747" s="409">
        <f>Return!L747</f>
        <v>2.9970401316788261E-3</v>
      </c>
    </row>
    <row r="748" spans="1:3">
      <c r="A748" s="406">
        <f>Return!A748</f>
        <v>44981</v>
      </c>
      <c r="B748" s="408" t="s">
        <v>72</v>
      </c>
      <c r="C748" s="409">
        <f>Return!L748</f>
        <v>-3.5784465104811859E-3</v>
      </c>
    </row>
    <row r="749" spans="1:3">
      <c r="A749" s="406">
        <f>Return!A749</f>
        <v>44980</v>
      </c>
      <c r="B749" s="408" t="s">
        <v>72</v>
      </c>
      <c r="C749" s="409">
        <f>Return!L749</f>
        <v>-3.6118921506009915E-3</v>
      </c>
    </row>
    <row r="750" spans="1:3">
      <c r="A750" s="406">
        <f>Return!A750</f>
        <v>44979</v>
      </c>
      <c r="B750" s="408" t="s">
        <v>72</v>
      </c>
      <c r="C750" s="409">
        <f>Return!L750</f>
        <v>-8.7749911220628384E-3</v>
      </c>
    </row>
    <row r="751" spans="1:3">
      <c r="A751" s="406">
        <f>Return!A751</f>
        <v>44978</v>
      </c>
      <c r="B751" s="408" t="s">
        <v>72</v>
      </c>
      <c r="C751" s="409">
        <f>Return!L751</f>
        <v>-6.1961097863361759E-3</v>
      </c>
    </row>
    <row r="752" spans="1:3">
      <c r="A752" s="406">
        <f>Return!A752</f>
        <v>44977</v>
      </c>
      <c r="B752" s="408" t="s">
        <v>72</v>
      </c>
      <c r="C752" s="409">
        <f>Return!L752</f>
        <v>7.2232025990036743E-4</v>
      </c>
    </row>
    <row r="753" spans="1:3">
      <c r="A753" s="406">
        <f>Return!A753</f>
        <v>44974</v>
      </c>
      <c r="B753" s="408" t="s">
        <v>72</v>
      </c>
      <c r="C753" s="409">
        <f>Return!L753</f>
        <v>-3.9540703399345315E-3</v>
      </c>
    </row>
    <row r="754" spans="1:3">
      <c r="A754" s="406">
        <f>Return!A754</f>
        <v>44973</v>
      </c>
      <c r="B754" s="408" t="s">
        <v>72</v>
      </c>
      <c r="C754" s="409">
        <f>Return!L754</f>
        <v>-1.6833177378756641E-3</v>
      </c>
    </row>
    <row r="755" spans="1:3">
      <c r="A755" s="406">
        <f>Return!A755</f>
        <v>44972</v>
      </c>
      <c r="B755" s="408" t="s">
        <v>72</v>
      </c>
      <c r="C755" s="409">
        <f>Return!L755</f>
        <v>-5.8015225607447899E-3</v>
      </c>
    </row>
    <row r="756" spans="1:3">
      <c r="A756" s="406">
        <f>Return!A756</f>
        <v>44971</v>
      </c>
      <c r="B756" s="408" t="s">
        <v>72</v>
      </c>
      <c r="C756" s="409">
        <f>Return!L756</f>
        <v>2.5321326440694899E-4</v>
      </c>
    </row>
    <row r="757" spans="1:3">
      <c r="A757" s="406">
        <f>Return!A757</f>
        <v>44970</v>
      </c>
      <c r="B757" s="408" t="s">
        <v>72</v>
      </c>
      <c r="C757" s="409">
        <f>Return!L757</f>
        <v>-6.9761666110078413E-3</v>
      </c>
    </row>
    <row r="758" spans="1:3">
      <c r="A758" s="406">
        <f>Return!A758</f>
        <v>44967</v>
      </c>
      <c r="B758" s="408" t="s">
        <v>72</v>
      </c>
      <c r="C758" s="409">
        <f>Return!L758</f>
        <v>-5.339372981664741E-4</v>
      </c>
    </row>
    <row r="759" spans="1:3">
      <c r="A759" s="406">
        <f>Return!A759</f>
        <v>44966</v>
      </c>
      <c r="B759" s="408" t="s">
        <v>72</v>
      </c>
      <c r="C759" s="409">
        <f>Return!L759</f>
        <v>-5.9603067110729048E-3</v>
      </c>
    </row>
    <row r="760" spans="1:3">
      <c r="A760" s="406">
        <f>Return!A760</f>
        <v>44965</v>
      </c>
      <c r="B760" s="408" t="s">
        <v>72</v>
      </c>
      <c r="C760" s="409">
        <f>Return!L760</f>
        <v>5.5434611503559824E-3</v>
      </c>
    </row>
    <row r="761" spans="1:3">
      <c r="A761" s="406">
        <f>Return!A761</f>
        <v>44964</v>
      </c>
      <c r="B761" s="408" t="s">
        <v>72</v>
      </c>
      <c r="C761" s="409">
        <f>Return!L761</f>
        <v>-9.3297234760714057E-4</v>
      </c>
    </row>
    <row r="762" spans="1:3">
      <c r="A762" s="406">
        <f>Return!A762</f>
        <v>44963</v>
      </c>
      <c r="B762" s="408" t="s">
        <v>72</v>
      </c>
      <c r="C762" s="409">
        <f>Return!L762</f>
        <v>2.2739134454235449E-2</v>
      </c>
    </row>
    <row r="763" spans="1:3">
      <c r="A763" s="406">
        <f>Return!A763</f>
        <v>44960</v>
      </c>
      <c r="B763" s="408" t="s">
        <v>72</v>
      </c>
      <c r="C763" s="409">
        <f>Return!L763</f>
        <v>6.1268801257222125E-3</v>
      </c>
    </row>
    <row r="764" spans="1:3">
      <c r="A764" s="406">
        <f>Return!A764</f>
        <v>44959</v>
      </c>
      <c r="B764" s="408" t="s">
        <v>72</v>
      </c>
      <c r="C764" s="409">
        <f>Return!L764</f>
        <v>9.204332524639057E-3</v>
      </c>
    </row>
    <row r="765" spans="1:3">
      <c r="A765" s="406">
        <f>Return!A765</f>
        <v>44958</v>
      </c>
      <c r="B765" s="408" t="s">
        <v>72</v>
      </c>
      <c r="C765" s="409">
        <f>Return!L765</f>
        <v>-4.7568078207637279E-3</v>
      </c>
    </row>
    <row r="766" spans="1:3">
      <c r="A766" s="406">
        <f>Return!A766</f>
        <v>44957</v>
      </c>
      <c r="B766" s="408" t="s">
        <v>72</v>
      </c>
      <c r="C766" s="409">
        <f>Return!L766</f>
        <v>-1.7411828980651673E-3</v>
      </c>
    </row>
    <row r="767" spans="1:3">
      <c r="A767" s="406">
        <f>Return!A767</f>
        <v>44956</v>
      </c>
      <c r="B767" s="408" t="s">
        <v>72</v>
      </c>
      <c r="C767" s="409">
        <f>Return!L767</f>
        <v>-1.0068477612588536E-2</v>
      </c>
    </row>
    <row r="768" spans="1:3">
      <c r="A768" s="406">
        <f>Return!A768</f>
        <v>44953</v>
      </c>
      <c r="B768" s="408" t="s">
        <v>72</v>
      </c>
      <c r="C768" s="409">
        <f>Return!L768</f>
        <v>-4.7704400790585721E-3</v>
      </c>
    </row>
    <row r="769" spans="1:3">
      <c r="A769" s="406">
        <f>Return!A769</f>
        <v>44951</v>
      </c>
      <c r="B769" s="408" t="s">
        <v>72</v>
      </c>
      <c r="C769" s="409">
        <f>Return!L769</f>
        <v>-3.2329097116008607E-3</v>
      </c>
    </row>
    <row r="770" spans="1:3">
      <c r="A770" s="406">
        <f>Return!A770</f>
        <v>44950</v>
      </c>
      <c r="B770" s="408" t="s">
        <v>72</v>
      </c>
      <c r="C770" s="409">
        <f>Return!L770</f>
        <v>-6.423751367860186E-3</v>
      </c>
    </row>
    <row r="771" spans="1:3">
      <c r="A771" s="406">
        <f>Return!A771</f>
        <v>44949</v>
      </c>
      <c r="B771" s="408" t="s">
        <v>72</v>
      </c>
      <c r="C771" s="409">
        <f>Return!L771</f>
        <v>-7.7926112671893068E-3</v>
      </c>
    </row>
    <row r="772" spans="1:3">
      <c r="A772" s="406">
        <f>Return!A772</f>
        <v>44946</v>
      </c>
      <c r="B772" s="408" t="s">
        <v>72</v>
      </c>
      <c r="C772" s="409">
        <f>Return!L772</f>
        <v>-5.6570875048800951E-3</v>
      </c>
    </row>
    <row r="773" spans="1:3">
      <c r="A773" s="406">
        <f>Return!A773</f>
        <v>44945</v>
      </c>
      <c r="B773" s="408" t="s">
        <v>72</v>
      </c>
      <c r="C773" s="409">
        <f>Return!L773</f>
        <v>-8.1691359368781273E-4</v>
      </c>
    </row>
    <row r="774" spans="1:3">
      <c r="A774" s="406">
        <f>Return!A774</f>
        <v>44944</v>
      </c>
      <c r="B774" s="408" t="s">
        <v>72</v>
      </c>
      <c r="C774" s="409">
        <f>Return!L774</f>
        <v>-2.825292139946176E-4</v>
      </c>
    </row>
    <row r="775" spans="1:3">
      <c r="A775" s="406">
        <f>Return!A775</f>
        <v>44943</v>
      </c>
      <c r="B775" s="408" t="s">
        <v>72</v>
      </c>
      <c r="C775" s="409">
        <f>Return!L775</f>
        <v>-1.4832859187729464E-3</v>
      </c>
    </row>
    <row r="776" spans="1:3">
      <c r="A776" s="406">
        <f>Return!A776</f>
        <v>44942</v>
      </c>
      <c r="B776" s="408" t="s">
        <v>72</v>
      </c>
      <c r="C776" s="409">
        <f>Return!L776</f>
        <v>-7.4415696528387708E-4</v>
      </c>
    </row>
    <row r="777" spans="1:3">
      <c r="A777" s="406">
        <f>Return!A777</f>
        <v>44939</v>
      </c>
      <c r="B777" s="408" t="s">
        <v>72</v>
      </c>
      <c r="C777" s="409">
        <f>Return!L777</f>
        <v>-1.5903088943322525E-3</v>
      </c>
    </row>
    <row r="778" spans="1:3">
      <c r="A778" s="406">
        <f>Return!A778</f>
        <v>44938</v>
      </c>
      <c r="B778" s="408" t="s">
        <v>72</v>
      </c>
      <c r="C778" s="409">
        <f>Return!L778</f>
        <v>5.7466734984517789E-3</v>
      </c>
    </row>
    <row r="779" spans="1:3">
      <c r="A779" s="406">
        <f>Return!A779</f>
        <v>44937</v>
      </c>
      <c r="B779" s="408" t="s">
        <v>72</v>
      </c>
      <c r="C779" s="409">
        <f>Return!L779</f>
        <v>-1.6679507479345141E-3</v>
      </c>
    </row>
    <row r="780" spans="1:3">
      <c r="A780" s="406">
        <f>Return!A780</f>
        <v>44936</v>
      </c>
      <c r="B780" s="408" t="s">
        <v>72</v>
      </c>
      <c r="C780" s="409">
        <f>Return!L780</f>
        <v>2.2371506211364862E-3</v>
      </c>
    </row>
    <row r="781" spans="1:3">
      <c r="A781" s="406">
        <f>Return!A781</f>
        <v>44935</v>
      </c>
      <c r="B781" s="408" t="s">
        <v>72</v>
      </c>
      <c r="C781" s="409">
        <f>Return!L781</f>
        <v>8.5936838278342117E-4</v>
      </c>
    </row>
    <row r="782" spans="1:3">
      <c r="A782" s="406">
        <f>Return!A782</f>
        <v>44932</v>
      </c>
      <c r="B782" s="408" t="s">
        <v>72</v>
      </c>
      <c r="C782" s="409">
        <f>Return!L782</f>
        <v>1.7460422088889393E-3</v>
      </c>
    </row>
    <row r="783" spans="1:3">
      <c r="A783" s="406">
        <f>Return!A783</f>
        <v>44931</v>
      </c>
      <c r="B783" s="408" t="s">
        <v>72</v>
      </c>
      <c r="C783" s="409">
        <f>Return!L783</f>
        <v>1.1560226781323893E-3</v>
      </c>
    </row>
    <row r="784" spans="1:3">
      <c r="A784" s="406">
        <f>Return!A784</f>
        <v>44930</v>
      </c>
      <c r="B784" s="408" t="s">
        <v>72</v>
      </c>
      <c r="C784" s="409">
        <f>Return!L784</f>
        <v>-6.0975268763910004E-4</v>
      </c>
    </row>
    <row r="785" spans="1:3">
      <c r="A785" s="406">
        <f>Return!A785</f>
        <v>44929</v>
      </c>
      <c r="B785" s="408" t="s">
        <v>72</v>
      </c>
      <c r="C785" s="409">
        <f>Return!L785</f>
        <v>8.878778546653884E-3</v>
      </c>
    </row>
    <row r="786" spans="1:3">
      <c r="A786" s="406">
        <f>Return!A786</f>
        <v>44928</v>
      </c>
      <c r="B786" s="408" t="s">
        <v>72</v>
      </c>
      <c r="C786" s="409">
        <f>Return!L786</f>
        <v>-2.5466996719906206E-3</v>
      </c>
    </row>
    <row r="787" spans="1:3">
      <c r="A787" s="406">
        <f>Return!A787</f>
        <v>44925</v>
      </c>
      <c r="B787" s="408" t="s">
        <v>72</v>
      </c>
      <c r="C787" s="409">
        <f>Return!L787</f>
        <v>5.6767860362669665E-3</v>
      </c>
    </row>
    <row r="788" spans="1:3">
      <c r="A788" s="406">
        <f>Return!A788</f>
        <v>44924</v>
      </c>
      <c r="B788" s="408" t="s">
        <v>72</v>
      </c>
      <c r="C788" s="409">
        <f>Return!L788</f>
        <v>-5.7196140527105517E-4</v>
      </c>
    </row>
    <row r="789" spans="1:3">
      <c r="A789" s="406">
        <f>Return!A789</f>
        <v>44923</v>
      </c>
      <c r="B789" s="408" t="s">
        <v>72</v>
      </c>
      <c r="C789" s="409">
        <f>Return!L789</f>
        <v>-1.7515454050166617E-4</v>
      </c>
    </row>
    <row r="790" spans="1:3">
      <c r="A790" s="406">
        <f>Return!A790</f>
        <v>44922</v>
      </c>
      <c r="B790" s="408" t="s">
        <v>72</v>
      </c>
      <c r="C790" s="409">
        <f>Return!L790</f>
        <v>-4.1723741388215788E-3</v>
      </c>
    </row>
    <row r="791" spans="1:3">
      <c r="A791" s="406">
        <f>Return!A791</f>
        <v>44921</v>
      </c>
      <c r="B791" s="408" t="s">
        <v>72</v>
      </c>
      <c r="C791" s="409">
        <f>Return!L791</f>
        <v>-2.9423898715533101E-3</v>
      </c>
    </row>
    <row r="792" spans="1:3">
      <c r="A792" s="406">
        <f>Return!A792</f>
        <v>44918</v>
      </c>
      <c r="B792" s="408" t="s">
        <v>72</v>
      </c>
      <c r="C792" s="409">
        <f>Return!L792</f>
        <v>1.4950458010332514E-4</v>
      </c>
    </row>
    <row r="793" spans="1:3">
      <c r="A793" s="406">
        <f>Return!A793</f>
        <v>44917</v>
      </c>
      <c r="B793" s="408" t="s">
        <v>72</v>
      </c>
      <c r="C793" s="409">
        <f>Return!L793</f>
        <v>-5.5098017879659528E-3</v>
      </c>
    </row>
    <row r="794" spans="1:3">
      <c r="A794" s="406">
        <f>Return!A794</f>
        <v>44916</v>
      </c>
      <c r="B794" s="408" t="s">
        <v>72</v>
      </c>
      <c r="C794" s="409">
        <f>Return!L794</f>
        <v>5.4535029703688944E-4</v>
      </c>
    </row>
    <row r="795" spans="1:3">
      <c r="A795" s="406">
        <f>Return!A795</f>
        <v>44915</v>
      </c>
      <c r="B795" s="408" t="s">
        <v>72</v>
      </c>
      <c r="C795" s="409">
        <f>Return!L795</f>
        <v>-3.4290255066865504E-3</v>
      </c>
    </row>
    <row r="796" spans="1:3">
      <c r="A796" s="406">
        <f>Return!A796</f>
        <v>44914</v>
      </c>
      <c r="B796" s="408" t="s">
        <v>72</v>
      </c>
      <c r="C796" s="409">
        <f>Return!L796</f>
        <v>6.8167087819376686E-3</v>
      </c>
    </row>
    <row r="797" spans="1:3">
      <c r="A797" s="406">
        <f>Return!A797</f>
        <v>44911</v>
      </c>
      <c r="B797" s="408" t="s">
        <v>72</v>
      </c>
      <c r="C797" s="409">
        <f>Return!L797</f>
        <v>-1.1277552887270052E-3</v>
      </c>
    </row>
    <row r="798" spans="1:3">
      <c r="A798" s="406">
        <f>Return!A798</f>
        <v>44910</v>
      </c>
      <c r="B798" s="408" t="s">
        <v>72</v>
      </c>
      <c r="C798" s="409">
        <f>Return!L798</f>
        <v>1.2675851479325345E-2</v>
      </c>
    </row>
    <row r="799" spans="1:3">
      <c r="A799" s="406">
        <f>Return!A799</f>
        <v>44909</v>
      </c>
      <c r="B799" s="408" t="s">
        <v>72</v>
      </c>
      <c r="C799" s="409">
        <f>Return!L799</f>
        <v>-8.3290171682271451E-3</v>
      </c>
    </row>
    <row r="800" spans="1:3">
      <c r="A800" s="406">
        <f>Return!A800</f>
        <v>44908</v>
      </c>
      <c r="B800" s="408" t="s">
        <v>72</v>
      </c>
      <c r="C800" s="409">
        <f>Return!L800</f>
        <v>-3.6045058796223607E-3</v>
      </c>
    </row>
    <row r="801" spans="1:3">
      <c r="A801" s="406">
        <f>Return!A801</f>
        <v>44907</v>
      </c>
      <c r="B801" s="408" t="s">
        <v>72</v>
      </c>
      <c r="C801" s="409">
        <f>Return!L801</f>
        <v>-9.1239385389038793E-4</v>
      </c>
    </row>
    <row r="802" spans="1:3">
      <c r="A802" s="406">
        <f>Return!A802</f>
        <v>44904</v>
      </c>
      <c r="B802" s="408" t="s">
        <v>72</v>
      </c>
      <c r="C802" s="409">
        <f>Return!L802</f>
        <v>-3.4054651810358498E-3</v>
      </c>
    </row>
    <row r="803" spans="1:3">
      <c r="A803" s="406">
        <f>Return!A803</f>
        <v>44903</v>
      </c>
      <c r="B803" s="408" t="s">
        <v>72</v>
      </c>
      <c r="C803" s="409">
        <f>Return!L803</f>
        <v>5.1745181669801835E-3</v>
      </c>
    </row>
    <row r="804" spans="1:3">
      <c r="A804" s="406">
        <f>Return!A804</f>
        <v>44902</v>
      </c>
      <c r="B804" s="408" t="s">
        <v>72</v>
      </c>
      <c r="C804" s="409">
        <f>Return!L804</f>
        <v>1.5615768196210753E-4</v>
      </c>
    </row>
    <row r="805" spans="1:3">
      <c r="A805" s="406">
        <f>Return!A805</f>
        <v>44901</v>
      </c>
      <c r="B805" s="408" t="s">
        <v>72</v>
      </c>
      <c r="C805" s="409">
        <f>Return!L805</f>
        <v>-3.4631958689151122E-3</v>
      </c>
    </row>
    <row r="806" spans="1:3">
      <c r="A806" s="406">
        <f>Return!A806</f>
        <v>44900</v>
      </c>
      <c r="B806" s="408" t="s">
        <v>72</v>
      </c>
      <c r="C806" s="409">
        <f>Return!L806</f>
        <v>5.8084449865734682E-4</v>
      </c>
    </row>
    <row r="807" spans="1:3">
      <c r="A807" s="406">
        <f>Return!A807</f>
        <v>44897</v>
      </c>
      <c r="B807" s="408" t="s">
        <v>72</v>
      </c>
      <c r="C807" s="409">
        <f>Return!L807</f>
        <v>-7.4569913464423909E-3</v>
      </c>
    </row>
    <row r="808" spans="1:3">
      <c r="A808" s="406">
        <f>Return!A808</f>
        <v>44896</v>
      </c>
      <c r="B808" s="408" t="s">
        <v>72</v>
      </c>
      <c r="C808" s="409">
        <f>Return!L808</f>
        <v>-3.8455640535656208E-3</v>
      </c>
    </row>
    <row r="809" spans="1:3">
      <c r="A809" s="406">
        <f>Return!A809</f>
        <v>44895</v>
      </c>
      <c r="B809" s="408" t="s">
        <v>72</v>
      </c>
      <c r="C809" s="409">
        <f>Return!L809</f>
        <v>-1.3741039436966662E-5</v>
      </c>
    </row>
    <row r="810" spans="1:3">
      <c r="A810" s="406">
        <f>Return!A810</f>
        <v>44894</v>
      </c>
      <c r="B810" s="408" t="s">
        <v>72</v>
      </c>
      <c r="C810" s="409">
        <f>Return!L810</f>
        <v>6.8681854924164832E-4</v>
      </c>
    </row>
    <row r="811" spans="1:3">
      <c r="A811" s="406">
        <f>Return!A811</f>
        <v>44893</v>
      </c>
      <c r="B811" s="408" t="s">
        <v>72</v>
      </c>
      <c r="C811" s="409">
        <f>Return!L811</f>
        <v>1.9626810863759955E-4</v>
      </c>
    </row>
    <row r="812" spans="1:3">
      <c r="A812" s="406">
        <f>Return!A812</f>
        <v>44890</v>
      </c>
      <c r="B812" s="408" t="s">
        <v>72</v>
      </c>
      <c r="C812" s="409">
        <f>Return!L812</f>
        <v>3.6698118703920764E-3</v>
      </c>
    </row>
    <row r="813" spans="1:3">
      <c r="A813" s="406">
        <f>Return!A813</f>
        <v>44889</v>
      </c>
      <c r="B813" s="408" t="s">
        <v>72</v>
      </c>
      <c r="C813" s="409">
        <f>Return!L813</f>
        <v>5.5179619586380978E-3</v>
      </c>
    </row>
    <row r="814" spans="1:3">
      <c r="A814" s="406">
        <f>Return!A814</f>
        <v>44888</v>
      </c>
      <c r="B814" s="408" t="s">
        <v>72</v>
      </c>
      <c r="C814" s="409">
        <f>Return!L814</f>
        <v>9.3142673457464725E-3</v>
      </c>
    </row>
    <row r="815" spans="1:3">
      <c r="A815" s="406">
        <f>Return!A815</f>
        <v>44887</v>
      </c>
      <c r="B815" s="408" t="s">
        <v>72</v>
      </c>
      <c r="C815" s="409">
        <f>Return!L815</f>
        <v>-4.7392845770430369E-4</v>
      </c>
    </row>
    <row r="816" spans="1:3">
      <c r="A816" s="406">
        <f>Return!A816</f>
        <v>44886</v>
      </c>
      <c r="B816" s="408" t="s">
        <v>72</v>
      </c>
      <c r="C816" s="409">
        <f>Return!L816</f>
        <v>-2.0288923836873406E-3</v>
      </c>
    </row>
    <row r="817" spans="1:3">
      <c r="A817" s="406">
        <f>Return!A817</f>
        <v>44883</v>
      </c>
      <c r="B817" s="408" t="s">
        <v>72</v>
      </c>
      <c r="C817" s="409">
        <f>Return!L817</f>
        <v>-9.1212270253239892E-4</v>
      </c>
    </row>
    <row r="818" spans="1:3">
      <c r="A818" s="406">
        <f>Return!A818</f>
        <v>44882</v>
      </c>
      <c r="B818" s="408" t="s">
        <v>72</v>
      </c>
      <c r="C818" s="409">
        <f>Return!L818</f>
        <v>-1.9262591587529017E-3</v>
      </c>
    </row>
    <row r="819" spans="1:3">
      <c r="A819" s="406">
        <f>Return!A819</f>
        <v>44881</v>
      </c>
      <c r="B819" s="408" t="s">
        <v>72</v>
      </c>
      <c r="C819" s="409">
        <f>Return!L819</f>
        <v>-2.8387901539145373E-3</v>
      </c>
    </row>
    <row r="820" spans="1:3">
      <c r="A820" s="406">
        <f>Return!A820</f>
        <v>44880</v>
      </c>
      <c r="B820" s="408" t="s">
        <v>72</v>
      </c>
      <c r="C820" s="409">
        <f>Return!L820</f>
        <v>-7.3629838914495782E-3</v>
      </c>
    </row>
    <row r="821" spans="1:3">
      <c r="A821" s="406">
        <f>Return!A821</f>
        <v>44879</v>
      </c>
      <c r="B821" s="408" t="s">
        <v>72</v>
      </c>
      <c r="C821" s="409">
        <f>Return!L821</f>
        <v>-6.1724265678640856E-3</v>
      </c>
    </row>
    <row r="822" spans="1:3">
      <c r="A822" s="406">
        <f>Return!A822</f>
        <v>44876</v>
      </c>
      <c r="B822" s="408" t="s">
        <v>72</v>
      </c>
      <c r="C822" s="409">
        <f>Return!L822</f>
        <v>-3.9573103264764747E-3</v>
      </c>
    </row>
    <row r="823" spans="1:3">
      <c r="A823" s="406">
        <f>Return!A823</f>
        <v>44875</v>
      </c>
      <c r="B823" s="408" t="s">
        <v>72</v>
      </c>
      <c r="C823" s="409">
        <f>Return!L823</f>
        <v>1.0175287476280456E-3</v>
      </c>
    </row>
    <row r="824" spans="1:3">
      <c r="A824" s="406">
        <f>Return!A824</f>
        <v>44874</v>
      </c>
      <c r="B824" s="408" t="s">
        <v>72</v>
      </c>
      <c r="C824" s="409">
        <f>Return!L824</f>
        <v>-4.0355880721031296E-3</v>
      </c>
    </row>
    <row r="825" spans="1:3">
      <c r="A825" s="406">
        <f>Return!A825</f>
        <v>44872</v>
      </c>
      <c r="B825" s="408" t="s">
        <v>72</v>
      </c>
      <c r="C825" s="409">
        <f>Return!L825</f>
        <v>5.1600792381208578E-3</v>
      </c>
    </row>
    <row r="826" spans="1:3">
      <c r="A826" s="406">
        <f>Return!A826</f>
        <v>44869</v>
      </c>
      <c r="B826" s="408" t="s">
        <v>72</v>
      </c>
      <c r="C826" s="409">
        <f>Return!L826</f>
        <v>-1.1254744859088207E-2</v>
      </c>
    </row>
    <row r="827" spans="1:3">
      <c r="A827" s="406">
        <f>Return!A827</f>
        <v>44868</v>
      </c>
      <c r="B827" s="408" t="s">
        <v>72</v>
      </c>
      <c r="C827" s="409">
        <f>Return!L827</f>
        <v>-4.6851168790901787E-3</v>
      </c>
    </row>
    <row r="828" spans="1:3">
      <c r="A828" s="406">
        <f>Return!A828</f>
        <v>44867</v>
      </c>
      <c r="B828" s="408" t="s">
        <v>72</v>
      </c>
      <c r="C828" s="409">
        <f>Return!L828</f>
        <v>-1.5903467131847479E-3</v>
      </c>
    </row>
    <row r="829" spans="1:3">
      <c r="A829" s="406">
        <f>Return!A829</f>
        <v>44866</v>
      </c>
      <c r="B829" s="408" t="s">
        <v>72</v>
      </c>
      <c r="C829" s="409">
        <f>Return!L829</f>
        <v>-7.0120092259582083E-3</v>
      </c>
    </row>
    <row r="830" spans="1:3">
      <c r="A830" s="406">
        <f>Return!A830</f>
        <v>44865</v>
      </c>
      <c r="B830" s="408" t="s">
        <v>72</v>
      </c>
      <c r="C830" s="409">
        <f>Return!L830</f>
        <v>-1.066200653925138E-2</v>
      </c>
    </row>
    <row r="831" spans="1:3">
      <c r="A831" s="406">
        <f>Return!A831</f>
        <v>44862</v>
      </c>
      <c r="B831" s="408" t="s">
        <v>72</v>
      </c>
      <c r="C831" s="409">
        <f>Return!L831</f>
        <v>-2.6147258105475271E-3</v>
      </c>
    </row>
    <row r="832" spans="1:3">
      <c r="A832" s="406">
        <f>Return!A832</f>
        <v>44861</v>
      </c>
      <c r="B832" s="408" t="s">
        <v>72</v>
      </c>
      <c r="C832" s="409">
        <f>Return!L832</f>
        <v>1.1082922136041309E-2</v>
      </c>
    </row>
    <row r="833" spans="1:3">
      <c r="A833" s="406">
        <f>Return!A833</f>
        <v>44859</v>
      </c>
      <c r="B833" s="408" t="s">
        <v>72</v>
      </c>
      <c r="C833" s="409">
        <f>Return!L833</f>
        <v>1.1529791891781858E-2</v>
      </c>
    </row>
    <row r="834" spans="1:3">
      <c r="A834" s="406">
        <f>Return!A834</f>
        <v>44858</v>
      </c>
      <c r="B834" s="408" t="s">
        <v>72</v>
      </c>
      <c r="C834" s="409">
        <f>Return!L834</f>
        <v>6.0755728859190512E-3</v>
      </c>
    </row>
    <row r="835" spans="1:3">
      <c r="A835" s="406">
        <f>Return!A835</f>
        <v>44855</v>
      </c>
      <c r="B835" s="408" t="s">
        <v>72</v>
      </c>
      <c r="C835" s="409">
        <f>Return!L835</f>
        <v>6.2408039650118426E-3</v>
      </c>
    </row>
    <row r="836" spans="1:3">
      <c r="A836" s="406">
        <f>Return!A836</f>
        <v>44854</v>
      </c>
      <c r="B836" s="408" t="s">
        <v>72</v>
      </c>
      <c r="C836" s="409">
        <f>Return!L836</f>
        <v>1.2677760995149768E-2</v>
      </c>
    </row>
    <row r="837" spans="1:3">
      <c r="A837" s="406">
        <f>Return!A837</f>
        <v>44853</v>
      </c>
      <c r="B837" s="408" t="s">
        <v>72</v>
      </c>
      <c r="C837" s="409">
        <f>Return!L837</f>
        <v>-3.5144439073267249E-3</v>
      </c>
    </row>
    <row r="838" spans="1:3">
      <c r="A838" s="406">
        <f>Return!A838</f>
        <v>44852</v>
      </c>
      <c r="B838" s="408" t="s">
        <v>72</v>
      </c>
      <c r="C838" s="409">
        <f>Return!L838</f>
        <v>3.7929723074325203E-3</v>
      </c>
    </row>
    <row r="839" spans="1:3">
      <c r="A839" s="406">
        <f>Return!A839</f>
        <v>44851</v>
      </c>
      <c r="B839" s="408" t="s">
        <v>72</v>
      </c>
      <c r="C839" s="409">
        <f>Return!L839</f>
        <v>2.7514518337277088E-4</v>
      </c>
    </row>
    <row r="840" spans="1:3">
      <c r="A840" s="406">
        <f>Return!A840</f>
        <v>44848</v>
      </c>
      <c r="B840" s="408" t="s">
        <v>72</v>
      </c>
      <c r="C840" s="409">
        <f>Return!L840</f>
        <v>5.2801802691062848E-3</v>
      </c>
    </row>
    <row r="841" spans="1:3">
      <c r="A841" s="406">
        <f>Return!A841</f>
        <v>44847</v>
      </c>
      <c r="B841" s="408" t="s">
        <v>72</v>
      </c>
      <c r="C841" s="409">
        <f>Return!L841</f>
        <v>-4.8642072334882493E-3</v>
      </c>
    </row>
    <row r="842" spans="1:3">
      <c r="A842" s="406">
        <f>Return!A842</f>
        <v>44846</v>
      </c>
      <c r="B842" s="408" t="s">
        <v>72</v>
      </c>
      <c r="C842" s="409">
        <f>Return!L842</f>
        <v>8.7653161853474756E-4</v>
      </c>
    </row>
    <row r="843" spans="1:3">
      <c r="A843" s="406">
        <f>Return!A843</f>
        <v>44845</v>
      </c>
      <c r="B843" s="408" t="s">
        <v>72</v>
      </c>
      <c r="C843" s="409">
        <f>Return!L843</f>
        <v>-1.2588148181605252E-3</v>
      </c>
    </row>
    <row r="844" spans="1:3">
      <c r="A844" s="406">
        <f>Return!A844</f>
        <v>44844</v>
      </c>
      <c r="B844" s="408" t="s">
        <v>72</v>
      </c>
      <c r="C844" s="409">
        <f>Return!L844</f>
        <v>1.0350962492080584E-3</v>
      </c>
    </row>
    <row r="845" spans="1:3">
      <c r="A845" s="406">
        <f>Return!A845</f>
        <v>44841</v>
      </c>
      <c r="B845" s="408" t="s">
        <v>72</v>
      </c>
      <c r="C845" s="409">
        <f>Return!L845</f>
        <v>-8.8121467401315628E-5</v>
      </c>
    </row>
    <row r="846" spans="1:3">
      <c r="A846" s="406">
        <f>Return!A846</f>
        <v>44840</v>
      </c>
      <c r="B846" s="408" t="s">
        <v>72</v>
      </c>
      <c r="C846" s="409">
        <f>Return!L846</f>
        <v>1.3724411054690517E-3</v>
      </c>
    </row>
    <row r="847" spans="1:3">
      <c r="A847" s="406">
        <f>Return!A847</f>
        <v>44838</v>
      </c>
      <c r="B847" s="408" t="s">
        <v>72</v>
      </c>
      <c r="C847" s="409">
        <f>Return!L847</f>
        <v>-7.1400002622525926E-3</v>
      </c>
    </row>
    <row r="848" spans="1:3">
      <c r="A848" s="406">
        <f>Return!A848</f>
        <v>44837</v>
      </c>
      <c r="B848" s="408" t="s">
        <v>72</v>
      </c>
      <c r="C848" s="409">
        <f>Return!L848</f>
        <v>3.8709111903746959E-3</v>
      </c>
    </row>
    <row r="849" spans="1:3">
      <c r="A849" s="406">
        <f>Return!A849</f>
        <v>44834</v>
      </c>
      <c r="B849" s="408" t="s">
        <v>72</v>
      </c>
      <c r="C849" s="409">
        <f>Return!L849</f>
        <v>-8.4903301051467671E-3</v>
      </c>
    </row>
    <row r="850" spans="1:3">
      <c r="A850" s="406">
        <f>Return!A850</f>
        <v>44833</v>
      </c>
      <c r="B850" s="408" t="s">
        <v>72</v>
      </c>
      <c r="C850" s="409">
        <f>Return!L850</f>
        <v>4.8007645123424366E-3</v>
      </c>
    </row>
    <row r="851" spans="1:3">
      <c r="A851" s="406">
        <f>Return!A851</f>
        <v>44832</v>
      </c>
      <c r="B851" s="408" t="s">
        <v>72</v>
      </c>
      <c r="C851" s="409">
        <f>Return!L851</f>
        <v>1.6097834830473001E-2</v>
      </c>
    </row>
    <row r="852" spans="1:3">
      <c r="A852" s="406">
        <f>Return!A852</f>
        <v>44831</v>
      </c>
      <c r="B852" s="408" t="s">
        <v>72</v>
      </c>
      <c r="C852" s="409">
        <f>Return!L852</f>
        <v>-6.096137987481787E-3</v>
      </c>
    </row>
    <row r="853" spans="1:3">
      <c r="A853" s="406">
        <f>Return!A853</f>
        <v>44830</v>
      </c>
      <c r="B853" s="408" t="s">
        <v>72</v>
      </c>
      <c r="C853" s="409">
        <f>Return!L853</f>
        <v>1.6972837089455954E-2</v>
      </c>
    </row>
    <row r="854" spans="1:3">
      <c r="A854" s="406">
        <f>Return!A854</f>
        <v>44827</v>
      </c>
      <c r="B854" s="408" t="s">
        <v>72</v>
      </c>
      <c r="C854" s="409">
        <f>Return!L854</f>
        <v>-1.532656520502888E-3</v>
      </c>
    </row>
    <row r="855" spans="1:3">
      <c r="A855" s="406">
        <f>Return!A855</f>
        <v>44826</v>
      </c>
      <c r="B855" s="408" t="s">
        <v>72</v>
      </c>
      <c r="C855" s="409">
        <f>Return!L855</f>
        <v>6.72164072948733E-3</v>
      </c>
    </row>
    <row r="856" spans="1:3">
      <c r="A856" s="406">
        <f>Return!A856</f>
        <v>44825</v>
      </c>
      <c r="B856" s="408" t="s">
        <v>72</v>
      </c>
      <c r="C856" s="409">
        <f>Return!L856</f>
        <v>-3.2472490460605486E-4</v>
      </c>
    </row>
    <row r="857" spans="1:3">
      <c r="A857" s="406">
        <f>Return!A857</f>
        <v>44824</v>
      </c>
      <c r="B857" s="408" t="s">
        <v>72</v>
      </c>
      <c r="C857" s="409">
        <f>Return!L857</f>
        <v>1.2492812968209468E-2</v>
      </c>
    </row>
    <row r="858" spans="1:3">
      <c r="A858" s="406">
        <f>Return!A858</f>
        <v>44823</v>
      </c>
      <c r="B858" s="408" t="s">
        <v>72</v>
      </c>
      <c r="C858" s="409">
        <f>Return!L858</f>
        <v>-3.7280849564302536E-3</v>
      </c>
    </row>
    <row r="859" spans="1:3">
      <c r="A859" s="406">
        <f>Return!A859</f>
        <v>44820</v>
      </c>
      <c r="B859" s="408" t="s">
        <v>72</v>
      </c>
      <c r="C859" s="409">
        <f>Return!L859</f>
        <v>-3.972700289380883E-3</v>
      </c>
    </row>
    <row r="860" spans="1:3">
      <c r="A860" s="406">
        <f>Return!A860</f>
        <v>44819</v>
      </c>
      <c r="B860" s="408" t="s">
        <v>72</v>
      </c>
      <c r="C860" s="409">
        <f>Return!L860</f>
        <v>1.4712471155337659E-3</v>
      </c>
    </row>
    <row r="861" spans="1:3">
      <c r="A861" s="406">
        <f>Return!A861</f>
        <v>44818</v>
      </c>
      <c r="B861" s="408" t="s">
        <v>72</v>
      </c>
      <c r="C861" s="409">
        <f>Return!L861</f>
        <v>1.8411997996274666E-3</v>
      </c>
    </row>
    <row r="862" spans="1:3">
      <c r="A862" s="406">
        <f>Return!A862</f>
        <v>44817</v>
      </c>
      <c r="B862" s="408" t="s">
        <v>72</v>
      </c>
      <c r="C862" s="409">
        <f>Return!L862</f>
        <v>1.1620146491326019E-2</v>
      </c>
    </row>
    <row r="863" spans="1:3">
      <c r="A863" s="406">
        <f>Return!A863</f>
        <v>44816</v>
      </c>
      <c r="B863" s="408" t="s">
        <v>72</v>
      </c>
      <c r="C863" s="409">
        <f>Return!L863</f>
        <v>-6.7978783136206497E-3</v>
      </c>
    </row>
    <row r="864" spans="1:3">
      <c r="A864" s="406">
        <f>Return!A864</f>
        <v>44813</v>
      </c>
      <c r="B864" s="408" t="s">
        <v>72</v>
      </c>
      <c r="C864" s="409">
        <f>Return!L864</f>
        <v>-3.620474083169688E-3</v>
      </c>
    </row>
    <row r="865" spans="1:3">
      <c r="A865" s="406">
        <f>Return!A865</f>
        <v>44812</v>
      </c>
      <c r="B865" s="408" t="s">
        <v>72</v>
      </c>
      <c r="C865" s="409">
        <f>Return!L865</f>
        <v>-3.4680137172405272E-3</v>
      </c>
    </row>
    <row r="866" spans="1:3">
      <c r="A866" s="406">
        <f>Return!A866</f>
        <v>44811</v>
      </c>
      <c r="B866" s="408" t="s">
        <v>72</v>
      </c>
      <c r="C866" s="409">
        <f>Return!L866</f>
        <v>-7.3712170552601628E-4</v>
      </c>
    </row>
    <row r="867" spans="1:3">
      <c r="A867" s="406">
        <f>Return!A867</f>
        <v>44810</v>
      </c>
      <c r="B867" s="408" t="s">
        <v>72</v>
      </c>
      <c r="C867" s="409">
        <f>Return!L867</f>
        <v>1.2495710339236129E-3</v>
      </c>
    </row>
    <row r="868" spans="1:3">
      <c r="A868" s="406">
        <f>Return!A868</f>
        <v>44809</v>
      </c>
      <c r="B868" s="408" t="s">
        <v>72</v>
      </c>
      <c r="C868" s="409">
        <f>Return!L868</f>
        <v>2.1851764182462706E-3</v>
      </c>
    </row>
    <row r="869" spans="1:3">
      <c r="A869" s="406">
        <f>Return!A869</f>
        <v>44806</v>
      </c>
      <c r="B869" s="408" t="s">
        <v>72</v>
      </c>
      <c r="C869" s="409">
        <f>Return!L869</f>
        <v>1.0156663542113529E-4</v>
      </c>
    </row>
    <row r="870" spans="1:3">
      <c r="A870" s="406">
        <f>Return!A870</f>
        <v>44805</v>
      </c>
      <c r="B870" s="408" t="s">
        <v>72</v>
      </c>
      <c r="C870" s="409">
        <f>Return!L870</f>
        <v>-1.3716412231783892E-3</v>
      </c>
    </row>
    <row r="871" spans="1:3">
      <c r="A871" s="406">
        <f>Return!A871</f>
        <v>44803</v>
      </c>
      <c r="B871" s="408" t="s">
        <v>72</v>
      </c>
      <c r="C871" s="409">
        <f>Return!L871</f>
        <v>5.8978698319978491E-3</v>
      </c>
    </row>
    <row r="872" spans="1:3">
      <c r="A872" s="406">
        <f>Return!A872</f>
        <v>44802</v>
      </c>
      <c r="B872" s="408" t="s">
        <v>72</v>
      </c>
      <c r="C872" s="409">
        <f>Return!L872</f>
        <v>5.8431209683833425E-4</v>
      </c>
    </row>
    <row r="873" spans="1:3">
      <c r="A873" s="406">
        <f>Return!A873</f>
        <v>44799</v>
      </c>
      <c r="B873" s="408" t="s">
        <v>72</v>
      </c>
      <c r="C873" s="409">
        <f>Return!L873</f>
        <v>1.015954600467525E-3</v>
      </c>
    </row>
    <row r="874" spans="1:3">
      <c r="A874" s="406">
        <f>Return!A874</f>
        <v>44798</v>
      </c>
      <c r="B874" s="408" t="s">
        <v>72</v>
      </c>
      <c r="C874" s="409">
        <f>Return!L874</f>
        <v>-5.8937942979821372E-3</v>
      </c>
    </row>
    <row r="875" spans="1:3">
      <c r="A875" s="406">
        <f>Return!A875</f>
        <v>44797</v>
      </c>
      <c r="B875" s="408" t="s">
        <v>72</v>
      </c>
      <c r="C875" s="409">
        <f>Return!L875</f>
        <v>3.3239499613033621E-3</v>
      </c>
    </row>
    <row r="876" spans="1:3">
      <c r="A876" s="406">
        <f>Return!A876</f>
        <v>44796</v>
      </c>
      <c r="B876" s="408" t="s">
        <v>72</v>
      </c>
      <c r="C876" s="409">
        <f>Return!L876</f>
        <v>3.5627024710683914E-3</v>
      </c>
    </row>
    <row r="877" spans="1:3">
      <c r="A877" s="406">
        <f>Return!A877</f>
        <v>44795</v>
      </c>
      <c r="B877" s="408" t="s">
        <v>72</v>
      </c>
      <c r="C877" s="409">
        <f>Return!L877</f>
        <v>-3.9217184503975112E-3</v>
      </c>
    </row>
    <row r="878" spans="1:3">
      <c r="A878" s="406">
        <f>Return!A878</f>
        <v>44792</v>
      </c>
      <c r="B878" s="408" t="s">
        <v>72</v>
      </c>
      <c r="C878" s="409">
        <f>Return!L878</f>
        <v>-1.0974362017070638E-3</v>
      </c>
    </row>
    <row r="879" spans="1:3">
      <c r="A879" s="406">
        <f>Return!A879</f>
        <v>44791</v>
      </c>
      <c r="B879" s="408" t="s">
        <v>72</v>
      </c>
      <c r="C879" s="409">
        <f>Return!L879</f>
        <v>-7.5987381771276856E-3</v>
      </c>
    </row>
    <row r="880" spans="1:3">
      <c r="A880" s="406">
        <f>Return!A880</f>
        <v>44790</v>
      </c>
      <c r="B880" s="408" t="s">
        <v>72</v>
      </c>
      <c r="C880" s="409">
        <f>Return!L880</f>
        <v>-1.6841714226528174E-3</v>
      </c>
    </row>
    <row r="881" spans="1:3">
      <c r="A881" s="406">
        <f>Return!A881</f>
        <v>44789</v>
      </c>
      <c r="B881" s="408" t="s">
        <v>72</v>
      </c>
      <c r="C881" s="409">
        <f>Return!L881</f>
        <v>1.1757084537437094E-2</v>
      </c>
    </row>
    <row r="882" spans="1:3">
      <c r="A882" s="406">
        <f>Return!A882</f>
        <v>44785</v>
      </c>
      <c r="B882" s="408" t="s">
        <v>72</v>
      </c>
      <c r="C882" s="409">
        <f>Return!L882</f>
        <v>-5.0153997112927749E-3</v>
      </c>
    </row>
    <row r="883" spans="1:3">
      <c r="A883" s="406">
        <f>Return!A883</f>
        <v>44784</v>
      </c>
      <c r="B883" s="408" t="s">
        <v>72</v>
      </c>
      <c r="C883" s="409">
        <f>Return!L883</f>
        <v>-1.9839471427738216E-3</v>
      </c>
    </row>
    <row r="884" spans="1:3">
      <c r="A884" s="406">
        <f>Return!A884</f>
        <v>44783</v>
      </c>
      <c r="B884" s="408" t="s">
        <v>72</v>
      </c>
      <c r="C884" s="409">
        <f>Return!L884</f>
        <v>-8.1753192065098096E-3</v>
      </c>
    </row>
    <row r="885" spans="1:3">
      <c r="A885" s="406">
        <f>Return!A885</f>
        <v>44781</v>
      </c>
      <c r="B885" s="408" t="s">
        <v>72</v>
      </c>
      <c r="C885" s="409">
        <f>Return!L885</f>
        <v>-3.2501349844660217E-3</v>
      </c>
    </row>
    <row r="886" spans="1:3">
      <c r="A886" s="406">
        <f>Return!A886</f>
        <v>44778</v>
      </c>
      <c r="B886" s="408" t="s">
        <v>72</v>
      </c>
      <c r="C886" s="409">
        <f>Return!L886</f>
        <v>-2.4342442913236065E-4</v>
      </c>
    </row>
    <row r="887" spans="1:3">
      <c r="A887" s="406">
        <f>Return!A887</f>
        <v>44777</v>
      </c>
      <c r="B887" s="408" t="s">
        <v>72</v>
      </c>
      <c r="C887" s="409">
        <f>Return!L887</f>
        <v>3.9538927562246251E-3</v>
      </c>
    </row>
    <row r="888" spans="1:3">
      <c r="A888" s="406">
        <f>Return!A888</f>
        <v>44776</v>
      </c>
      <c r="B888" s="408" t="s">
        <v>72</v>
      </c>
      <c r="C888" s="409">
        <f>Return!L888</f>
        <v>2.2399351897585333E-3</v>
      </c>
    </row>
    <row r="889" spans="1:3">
      <c r="A889" s="406">
        <f>Return!A889</f>
        <v>44775</v>
      </c>
      <c r="B889" s="408" t="s">
        <v>72</v>
      </c>
      <c r="C889" s="409">
        <f>Return!L889</f>
        <v>-1.1835566131939196E-2</v>
      </c>
    </row>
    <row r="890" spans="1:3">
      <c r="A890" s="406">
        <f>Return!A890</f>
        <v>44774</v>
      </c>
      <c r="B890" s="408" t="s">
        <v>72</v>
      </c>
      <c r="C890" s="409">
        <f>Return!L890</f>
        <v>3.9013645370124025E-3</v>
      </c>
    </row>
    <row r="891" spans="1:3">
      <c r="A891" s="406">
        <f>Return!A891</f>
        <v>44771</v>
      </c>
      <c r="B891" s="408" t="s">
        <v>72</v>
      </c>
      <c r="C891" s="409">
        <f>Return!L891</f>
        <v>3.2187734127532941E-3</v>
      </c>
    </row>
    <row r="892" spans="1:3">
      <c r="A892" s="406">
        <f>Return!A892</f>
        <v>44770</v>
      </c>
      <c r="B892" s="408" t="s">
        <v>72</v>
      </c>
      <c r="C892" s="409">
        <f>Return!L892</f>
        <v>-3.4153219086675577E-3</v>
      </c>
    </row>
    <row r="893" spans="1:3">
      <c r="A893" s="406">
        <f>Return!A893</f>
        <v>44769</v>
      </c>
      <c r="B893" s="408" t="s">
        <v>72</v>
      </c>
      <c r="C893" s="409">
        <f>Return!L893</f>
        <v>1.9020967051807263E-2</v>
      </c>
    </row>
    <row r="894" spans="1:3">
      <c r="A894" s="406">
        <f>Return!A894</f>
        <v>44768</v>
      </c>
      <c r="B894" s="408" t="s">
        <v>72</v>
      </c>
      <c r="C894" s="409">
        <f>Return!L894</f>
        <v>-7.5618499391957583E-3</v>
      </c>
    </row>
    <row r="895" spans="1:3">
      <c r="A895" s="406">
        <f>Return!A895</f>
        <v>44767</v>
      </c>
      <c r="B895" s="408" t="s">
        <v>72</v>
      </c>
      <c r="C895" s="409">
        <f>Return!L895</f>
        <v>4.1183881912306361E-3</v>
      </c>
    </row>
    <row r="896" spans="1:3">
      <c r="A896" s="406">
        <f>Return!A896</f>
        <v>44764</v>
      </c>
      <c r="B896" s="408" t="s">
        <v>72</v>
      </c>
      <c r="C896" s="409">
        <f>Return!L896</f>
        <v>2.6445129293348317E-3</v>
      </c>
    </row>
    <row r="897" spans="1:3">
      <c r="A897" s="406">
        <f>Return!A897</f>
        <v>44763</v>
      </c>
      <c r="B897" s="408" t="s">
        <v>72</v>
      </c>
      <c r="C897" s="409">
        <f>Return!L897</f>
        <v>4.0635769634155569E-4</v>
      </c>
    </row>
    <row r="898" spans="1:3">
      <c r="A898" s="406">
        <f>Return!A898</f>
        <v>44762</v>
      </c>
      <c r="B898" s="408" t="s">
        <v>72</v>
      </c>
      <c r="C898" s="409">
        <f>Return!L898</f>
        <v>4.2687211025260819E-3</v>
      </c>
    </row>
    <row r="899" spans="1:3">
      <c r="A899" s="406">
        <f>Return!A899</f>
        <v>44761</v>
      </c>
      <c r="B899" s="408" t="s">
        <v>72</v>
      </c>
      <c r="C899" s="409">
        <f>Return!L899</f>
        <v>4.952045350751718E-3</v>
      </c>
    </row>
    <row r="900" spans="1:3">
      <c r="A900" s="406">
        <f>Return!A900</f>
        <v>44760</v>
      </c>
      <c r="B900" s="408" t="s">
        <v>72</v>
      </c>
      <c r="C900" s="409">
        <f>Return!L900</f>
        <v>-1.163007314103036E-2</v>
      </c>
    </row>
    <row r="901" spans="1:3">
      <c r="A901" s="406">
        <f>Return!A901</f>
        <v>44757</v>
      </c>
      <c r="B901" s="408" t="s">
        <v>72</v>
      </c>
      <c r="C901" s="409">
        <f>Return!L901</f>
        <v>6.0422042893810198E-4</v>
      </c>
    </row>
    <row r="902" spans="1:3">
      <c r="A902" s="406">
        <f>Return!A902</f>
        <v>44756</v>
      </c>
      <c r="B902" s="408" t="s">
        <v>72</v>
      </c>
      <c r="C902" s="409">
        <f>Return!L902</f>
        <v>1.1001319871889875E-3</v>
      </c>
    </row>
    <row r="903" spans="1:3">
      <c r="A903" s="406">
        <f>Return!A903</f>
        <v>44755</v>
      </c>
      <c r="B903" s="408" t="s">
        <v>72</v>
      </c>
      <c r="C903" s="409">
        <f>Return!L903</f>
        <v>-3.046695930852029E-3</v>
      </c>
    </row>
    <row r="904" spans="1:3">
      <c r="A904" s="406">
        <f>Return!A904</f>
        <v>44754</v>
      </c>
      <c r="B904" s="408" t="s">
        <v>72</v>
      </c>
      <c r="C904" s="409">
        <f>Return!L904</f>
        <v>-2.3179444538321669E-3</v>
      </c>
    </row>
    <row r="905" spans="1:3">
      <c r="A905" s="406">
        <f>Return!A905</f>
        <v>44753</v>
      </c>
      <c r="B905" s="408" t="s">
        <v>72</v>
      </c>
      <c r="C905" s="409">
        <f>Return!L905</f>
        <v>4.0178916486834533E-3</v>
      </c>
    </row>
    <row r="906" spans="1:3">
      <c r="A906" s="406">
        <f>Return!A906</f>
        <v>44750</v>
      </c>
      <c r="B906" s="408" t="s">
        <v>72</v>
      </c>
      <c r="C906" s="409">
        <f>Return!L906</f>
        <v>9.8131001926865828E-4</v>
      </c>
    </row>
    <row r="907" spans="1:3">
      <c r="A907" s="406">
        <f>Return!A907</f>
        <v>44749</v>
      </c>
      <c r="B907" s="408" t="s">
        <v>72</v>
      </c>
      <c r="C907" s="409">
        <f>Return!L907</f>
        <v>3.2687018229362653E-3</v>
      </c>
    </row>
    <row r="908" spans="1:3">
      <c r="A908" s="406">
        <f>Return!A908</f>
        <v>44748</v>
      </c>
      <c r="B908" s="408" t="s">
        <v>72</v>
      </c>
      <c r="C908" s="409">
        <f>Return!L908</f>
        <v>1.3691939558637001E-3</v>
      </c>
    </row>
    <row r="909" spans="1:3">
      <c r="A909" s="406">
        <f>Return!A909</f>
        <v>44747</v>
      </c>
      <c r="B909" s="408" t="s">
        <v>72</v>
      </c>
      <c r="C909" s="409">
        <f>Return!L909</f>
        <v>1.080840698632725E-3</v>
      </c>
    </row>
    <row r="910" spans="1:3">
      <c r="A910" s="406">
        <f>Return!A910</f>
        <v>44746</v>
      </c>
      <c r="B910" s="408" t="s">
        <v>72</v>
      </c>
      <c r="C910" s="409">
        <f>Return!L910</f>
        <v>6.3690793113517739E-3</v>
      </c>
    </row>
    <row r="911" spans="1:3">
      <c r="A911" s="406">
        <f>Return!A911</f>
        <v>44743</v>
      </c>
      <c r="B911" s="408" t="s">
        <v>72</v>
      </c>
      <c r="C911" s="409">
        <f>Return!L911</f>
        <v>-1.8830064750536689E-3</v>
      </c>
    </row>
    <row r="912" spans="1:3">
      <c r="A912" s="406">
        <f>Return!A912</f>
        <v>44742</v>
      </c>
      <c r="B912" s="408" t="s">
        <v>72</v>
      </c>
      <c r="C912" s="409">
        <f>Return!L912</f>
        <v>9.3396712318106288E-3</v>
      </c>
    </row>
    <row r="913" spans="1:3">
      <c r="A913" s="406">
        <f>Return!A913</f>
        <v>44741</v>
      </c>
      <c r="B913" s="408" t="s">
        <v>72</v>
      </c>
      <c r="C913" s="409">
        <f>Return!L913</f>
        <v>-4.7459175240812439E-2</v>
      </c>
    </row>
    <row r="914" spans="1:3">
      <c r="A914" s="406">
        <f>Return!A914</f>
        <v>44740</v>
      </c>
      <c r="B914" s="408" t="s">
        <v>72</v>
      </c>
      <c r="C914" s="409">
        <f>Return!L914</f>
        <v>6.8974608684183201E-3</v>
      </c>
    </row>
    <row r="915" spans="1:3">
      <c r="A915" s="406">
        <f>Return!A915</f>
        <v>44739</v>
      </c>
      <c r="B915" s="408" t="s">
        <v>72</v>
      </c>
      <c r="C915" s="409">
        <f>Return!L915</f>
        <v>4.7724259049782359E-3</v>
      </c>
    </row>
    <row r="916" spans="1:3">
      <c r="A916" s="406">
        <f>Return!A916</f>
        <v>44736</v>
      </c>
      <c r="B916" s="408" t="s">
        <v>72</v>
      </c>
      <c r="C916" s="409">
        <f>Return!L916</f>
        <v>2.2519664976936478E-3</v>
      </c>
    </row>
    <row r="917" spans="1:3">
      <c r="A917" s="406">
        <f>Return!A917</f>
        <v>44735</v>
      </c>
      <c r="B917" s="408" t="s">
        <v>72</v>
      </c>
      <c r="C917" s="409">
        <f>Return!L917</f>
        <v>3.1155592484436358E-3</v>
      </c>
    </row>
    <row r="918" spans="1:3">
      <c r="A918" s="406">
        <f>Return!A918</f>
        <v>44734</v>
      </c>
      <c r="B918" s="408" t="s">
        <v>72</v>
      </c>
      <c r="C918" s="409">
        <f>Return!L918</f>
        <v>3.4806272267951252E-3</v>
      </c>
    </row>
    <row r="919" spans="1:3">
      <c r="A919" s="406">
        <f>Return!A919</f>
        <v>44733</v>
      </c>
      <c r="B919" s="408" t="s">
        <v>72</v>
      </c>
      <c r="C919" s="409">
        <f>Return!L919</f>
        <v>5.9689203047005217E-3</v>
      </c>
    </row>
    <row r="920" spans="1:3">
      <c r="A920" s="406">
        <f>Return!A920</f>
        <v>44732</v>
      </c>
      <c r="B920" s="408" t="s">
        <v>72</v>
      </c>
      <c r="C920" s="409">
        <f>Return!L920</f>
        <v>-2.2455747807510269E-3</v>
      </c>
    </row>
    <row r="921" spans="1:3">
      <c r="A921" s="406">
        <f>Return!A921</f>
        <v>44729</v>
      </c>
      <c r="B921" s="408" t="s">
        <v>72</v>
      </c>
      <c r="C921" s="409">
        <f>Return!L921</f>
        <v>1.6225762624609143E-3</v>
      </c>
    </row>
    <row r="922" spans="1:3">
      <c r="A922" s="406">
        <f>Return!A922</f>
        <v>44728</v>
      </c>
      <c r="B922" s="408" t="s">
        <v>72</v>
      </c>
      <c r="C922" s="409">
        <f>Return!L922</f>
        <v>-7.1165506536346318E-3</v>
      </c>
    </row>
    <row r="923" spans="1:3">
      <c r="A923" s="406">
        <f>Return!A923</f>
        <v>44727</v>
      </c>
      <c r="B923" s="408" t="s">
        <v>72</v>
      </c>
      <c r="C923" s="409">
        <f>Return!L923</f>
        <v>1.2938927713458757E-3</v>
      </c>
    </row>
    <row r="924" spans="1:3">
      <c r="A924" s="406">
        <f>Return!A924</f>
        <v>44726</v>
      </c>
      <c r="B924" s="408" t="s">
        <v>72</v>
      </c>
      <c r="C924" s="409">
        <f>Return!L924</f>
        <v>2.4988785100053409E-3</v>
      </c>
    </row>
    <row r="925" spans="1:3">
      <c r="A925" s="406">
        <f>Return!A925</f>
        <v>44725</v>
      </c>
      <c r="B925" s="408" t="s">
        <v>72</v>
      </c>
      <c r="C925" s="409">
        <f>Return!L925</f>
        <v>-6.3153507510048642E-3</v>
      </c>
    </row>
    <row r="926" spans="1:3">
      <c r="A926" s="406">
        <f>Return!A926</f>
        <v>44722</v>
      </c>
      <c r="B926" s="408" t="s">
        <v>72</v>
      </c>
      <c r="C926" s="409">
        <f>Return!L926</f>
        <v>1.4169306952155914E-2</v>
      </c>
    </row>
    <row r="927" spans="1:3">
      <c r="A927" s="406">
        <f>Return!A927</f>
        <v>44721</v>
      </c>
      <c r="B927" s="408" t="s">
        <v>72</v>
      </c>
      <c r="C927" s="409">
        <f>Return!L927</f>
        <v>1.8167583201082449E-3</v>
      </c>
    </row>
    <row r="928" spans="1:3">
      <c r="A928" s="406">
        <f>Return!A928</f>
        <v>44720</v>
      </c>
      <c r="B928" s="408" t="s">
        <v>72</v>
      </c>
      <c r="C928" s="409">
        <f>Return!L928</f>
        <v>-2.2026987646980379E-3</v>
      </c>
    </row>
    <row r="929" spans="1:3">
      <c r="A929" s="406">
        <f>Return!A929</f>
        <v>44719</v>
      </c>
      <c r="B929" s="408" t="s">
        <v>72</v>
      </c>
      <c r="C929" s="409">
        <f>Return!L929</f>
        <v>-5.2227707632268279E-3</v>
      </c>
    </row>
    <row r="930" spans="1:3">
      <c r="A930" s="406">
        <f>Return!A930</f>
        <v>44718</v>
      </c>
      <c r="B930" s="408" t="s">
        <v>72</v>
      </c>
      <c r="C930" s="409">
        <f>Return!L930</f>
        <v>-5.4844315611583486E-3</v>
      </c>
    </row>
    <row r="931" spans="1:3">
      <c r="A931" s="406">
        <f>Return!A931</f>
        <v>44715</v>
      </c>
      <c r="B931" s="408" t="s">
        <v>72</v>
      </c>
      <c r="C931" s="409">
        <f>Return!L931</f>
        <v>-1.6641742180513654E-3</v>
      </c>
    </row>
    <row r="932" spans="1:3">
      <c r="A932" s="406">
        <f>Return!A932</f>
        <v>44714</v>
      </c>
      <c r="B932" s="408" t="s">
        <v>72</v>
      </c>
      <c r="C932" s="409">
        <f>Return!L932</f>
        <v>-6.0477919286948813E-4</v>
      </c>
    </row>
    <row r="933" spans="1:3">
      <c r="A933" s="406">
        <f>Return!A933</f>
        <v>44713</v>
      </c>
      <c r="B933" s="408" t="s">
        <v>72</v>
      </c>
      <c r="C933" s="409">
        <f>Return!L933</f>
        <v>8.8478130443163969E-4</v>
      </c>
    </row>
    <row r="934" spans="1:3">
      <c r="A934" s="406">
        <f>Return!A934</f>
        <v>44712</v>
      </c>
      <c r="B934" s="408" t="s">
        <v>72</v>
      </c>
      <c r="C934" s="409">
        <f>Return!L934</f>
        <v>3.7889725231730854E-3</v>
      </c>
    </row>
    <row r="935" spans="1:3">
      <c r="A935" s="406">
        <f>Return!A935</f>
        <v>44711</v>
      </c>
      <c r="B935" s="408" t="s">
        <v>72</v>
      </c>
      <c r="C935" s="409">
        <f>Return!L935</f>
        <v>5.5137751857604785E-3</v>
      </c>
    </row>
    <row r="936" spans="1:3">
      <c r="A936" s="406">
        <f>Return!A936</f>
        <v>44708</v>
      </c>
      <c r="B936" s="408" t="s">
        <v>72</v>
      </c>
      <c r="C936" s="409">
        <f>Return!L936</f>
        <v>-2.4146829022688087E-3</v>
      </c>
    </row>
    <row r="937" spans="1:3">
      <c r="A937" s="406">
        <f>Return!A937</f>
        <v>44707</v>
      </c>
      <c r="B937" s="408" t="s">
        <v>72</v>
      </c>
      <c r="C937" s="409">
        <f>Return!L937</f>
        <v>-7.0243489036055703E-3</v>
      </c>
    </row>
    <row r="938" spans="1:3">
      <c r="A938" s="406">
        <f>Return!A938</f>
        <v>44706</v>
      </c>
      <c r="B938" s="408" t="s">
        <v>72</v>
      </c>
      <c r="C938" s="409">
        <f>Return!L938</f>
        <v>-2.9295197416080031E-3</v>
      </c>
    </row>
    <row r="939" spans="1:3">
      <c r="A939" s="406">
        <f>Return!A939</f>
        <v>44705</v>
      </c>
      <c r="B939" s="408" t="s">
        <v>72</v>
      </c>
      <c r="C939" s="409">
        <f>Return!L939</f>
        <v>8.751836601679398E-3</v>
      </c>
    </row>
    <row r="940" spans="1:3">
      <c r="A940" s="406">
        <f>Return!A940</f>
        <v>44704</v>
      </c>
      <c r="B940" s="408" t="s">
        <v>72</v>
      </c>
      <c r="C940" s="409">
        <f>Return!L940</f>
        <v>-5.0910253793060205E-3</v>
      </c>
    </row>
    <row r="941" spans="1:3">
      <c r="A941" s="406">
        <f>Return!A941</f>
        <v>44701</v>
      </c>
      <c r="B941" s="408" t="s">
        <v>72</v>
      </c>
      <c r="C941" s="409">
        <f>Return!L941</f>
        <v>4.4581495540988473E-3</v>
      </c>
    </row>
    <row r="942" spans="1:3">
      <c r="A942" s="406">
        <f>Return!A942</f>
        <v>44700</v>
      </c>
      <c r="B942" s="408" t="s">
        <v>72</v>
      </c>
      <c r="C942" s="409">
        <f>Return!L942</f>
        <v>-4.468573567058055E-3</v>
      </c>
    </row>
    <row r="943" spans="1:3">
      <c r="A943" s="406">
        <f>Return!A943</f>
        <v>44699</v>
      </c>
      <c r="B943" s="408" t="s">
        <v>72</v>
      </c>
      <c r="C943" s="409">
        <f>Return!L943</f>
        <v>3.2282611888801854E-3</v>
      </c>
    </row>
    <row r="944" spans="1:3">
      <c r="A944" s="406">
        <f>Return!A944</f>
        <v>44698</v>
      </c>
      <c r="B944" s="408" t="s">
        <v>72</v>
      </c>
      <c r="C944" s="409">
        <f>Return!L944</f>
        <v>2.7522384454569008E-2</v>
      </c>
    </row>
    <row r="945" spans="1:3">
      <c r="A945" s="406">
        <f>Return!A945</f>
        <v>44697</v>
      </c>
      <c r="B945" s="408" t="s">
        <v>72</v>
      </c>
      <c r="C945" s="409">
        <f>Return!L945</f>
        <v>-5.2189821924298859E-4</v>
      </c>
    </row>
    <row r="946" spans="1:3">
      <c r="A946" s="406">
        <f>Return!A946</f>
        <v>44694</v>
      </c>
      <c r="B946" s="408" t="s">
        <v>72</v>
      </c>
      <c r="C946" s="409">
        <f>Return!L946</f>
        <v>-1.1791479503167753E-2</v>
      </c>
    </row>
    <row r="947" spans="1:3">
      <c r="A947" s="406">
        <f>Return!A947</f>
        <v>44693</v>
      </c>
      <c r="B947" s="408" t="s">
        <v>72</v>
      </c>
      <c r="C947" s="409">
        <f>Return!L947</f>
        <v>-6.9087477585010465E-3</v>
      </c>
    </row>
    <row r="948" spans="1:3">
      <c r="A948" s="406">
        <f>Return!A948</f>
        <v>44692</v>
      </c>
      <c r="B948" s="408" t="s">
        <v>72</v>
      </c>
      <c r="C948" s="409">
        <f>Return!L948</f>
        <v>1.2292256743843332E-2</v>
      </c>
    </row>
    <row r="949" spans="1:3">
      <c r="A949" s="406">
        <f>Return!A949</f>
        <v>44691</v>
      </c>
      <c r="B949" s="408" t="s">
        <v>72</v>
      </c>
      <c r="C949" s="409">
        <f>Return!L949</f>
        <v>-2.1217938771550857E-2</v>
      </c>
    </row>
    <row r="950" spans="1:3">
      <c r="A950" s="406">
        <f>Return!A950</f>
        <v>44690</v>
      </c>
      <c r="B950" s="408" t="s">
        <v>72</v>
      </c>
      <c r="C950" s="409">
        <f>Return!L950</f>
        <v>7.0531406002862906E-3</v>
      </c>
    </row>
    <row r="951" spans="1:3">
      <c r="A951" s="406">
        <f>Return!A951</f>
        <v>44687</v>
      </c>
      <c r="B951" s="408" t="s">
        <v>72</v>
      </c>
      <c r="C951" s="409">
        <f>Return!L951</f>
        <v>-6.0512610911827285E-3</v>
      </c>
    </row>
    <row r="952" spans="1:3">
      <c r="A952" s="406">
        <f>Return!A952</f>
        <v>44686</v>
      </c>
      <c r="B952" s="408" t="s">
        <v>72</v>
      </c>
      <c r="C952" s="409">
        <f>Return!L952</f>
        <v>-1.4888344229586957E-3</v>
      </c>
    </row>
    <row r="953" spans="1:3">
      <c r="A953" s="406">
        <f>Return!A953</f>
        <v>44685</v>
      </c>
      <c r="B953" s="408" t="s">
        <v>72</v>
      </c>
      <c r="C953" s="409">
        <f>Return!L953</f>
        <v>-9.2225144142925189E-4</v>
      </c>
    </row>
    <row r="954" spans="1:3">
      <c r="A954" s="406">
        <f>Return!A954</f>
        <v>44683</v>
      </c>
      <c r="B954" s="408" t="s">
        <v>72</v>
      </c>
      <c r="C954" s="409">
        <f>Return!L954</f>
        <v>-1.1100135342687483E-2</v>
      </c>
    </row>
    <row r="955" spans="1:3">
      <c r="A955" s="406">
        <f>Return!A955</f>
        <v>44680</v>
      </c>
      <c r="B955" s="408" t="s">
        <v>72</v>
      </c>
      <c r="C955" s="409">
        <f>Return!L955</f>
        <v>-5.73606251082348E-3</v>
      </c>
    </row>
    <row r="956" spans="1:3">
      <c r="A956" s="406">
        <f>Return!A956</f>
        <v>44679</v>
      </c>
      <c r="B956" s="408" t="s">
        <v>72</v>
      </c>
      <c r="C956" s="409">
        <f>Return!L956</f>
        <v>-6.3596023739523411E-3</v>
      </c>
    </row>
    <row r="957" spans="1:3">
      <c r="A957" s="406">
        <f>Return!A957</f>
        <v>44678</v>
      </c>
      <c r="B957" s="408" t="s">
        <v>72</v>
      </c>
      <c r="C957" s="409">
        <f>Return!L957</f>
        <v>-4.0852621155290699E-3</v>
      </c>
    </row>
    <row r="958" spans="1:3">
      <c r="A958" s="406">
        <f>Return!A958</f>
        <v>44677</v>
      </c>
      <c r="B958" s="408" t="s">
        <v>72</v>
      </c>
      <c r="C958" s="409">
        <f>Return!L958</f>
        <v>3.2738176044966238E-3</v>
      </c>
    </row>
    <row r="959" spans="1:3">
      <c r="A959" s="406">
        <f>Return!A959</f>
        <v>44676</v>
      </c>
      <c r="B959" s="408" t="s">
        <v>72</v>
      </c>
      <c r="C959" s="409">
        <f>Return!L959</f>
        <v>-4.7428354593122271E-3</v>
      </c>
    </row>
    <row r="960" spans="1:3">
      <c r="A960" s="406">
        <f>Return!A960</f>
        <v>44673</v>
      </c>
      <c r="B960" s="408" t="s">
        <v>72</v>
      </c>
      <c r="C960" s="409">
        <f>Return!L960</f>
        <v>-2.0379467477888477E-2</v>
      </c>
    </row>
    <row r="961" spans="1:3">
      <c r="A961" s="406">
        <f>Return!A961</f>
        <v>44672</v>
      </c>
      <c r="B961" s="408" t="s">
        <v>72</v>
      </c>
      <c r="C961" s="409">
        <f>Return!L961</f>
        <v>1.7903751255678552E-3</v>
      </c>
    </row>
    <row r="962" spans="1:3">
      <c r="A962" s="406">
        <f>Return!A962</f>
        <v>44671</v>
      </c>
      <c r="B962" s="408" t="s">
        <v>72</v>
      </c>
      <c r="C962" s="409">
        <f>Return!L962</f>
        <v>-4.9607952486593297E-3</v>
      </c>
    </row>
    <row r="963" spans="1:3">
      <c r="A963" s="406">
        <f>Return!A963</f>
        <v>44670</v>
      </c>
      <c r="B963" s="408" t="s">
        <v>72</v>
      </c>
      <c r="C963" s="409">
        <f>Return!L963</f>
        <v>-1.6026587410318282E-3</v>
      </c>
    </row>
    <row r="964" spans="1:3">
      <c r="A964" s="406">
        <f>Return!A964</f>
        <v>44669</v>
      </c>
      <c r="B964" s="408" t="s">
        <v>72</v>
      </c>
      <c r="C964" s="409">
        <f>Return!L964</f>
        <v>-1.3360612500761038E-2</v>
      </c>
    </row>
    <row r="965" spans="1:3">
      <c r="A965" s="406">
        <f>Return!A965</f>
        <v>44664</v>
      </c>
      <c r="B965" s="408" t="s">
        <v>72</v>
      </c>
      <c r="C965" s="409">
        <f>Return!L965</f>
        <v>3.1991131175065127E-3</v>
      </c>
    </row>
    <row r="966" spans="1:3">
      <c r="A966" s="406">
        <f>Return!A966</f>
        <v>44663</v>
      </c>
      <c r="B966" s="408" t="s">
        <v>72</v>
      </c>
      <c r="C966" s="409">
        <f>Return!L966</f>
        <v>-1.2374860389921997E-2</v>
      </c>
    </row>
    <row r="967" spans="1:3">
      <c r="A967" s="406">
        <f>Return!A967</f>
        <v>44662</v>
      </c>
      <c r="B967" s="408" t="s">
        <v>72</v>
      </c>
      <c r="C967" s="409">
        <f>Return!L967</f>
        <v>-5.0534213964770446E-3</v>
      </c>
    </row>
    <row r="968" spans="1:3">
      <c r="A968" s="406">
        <f>Return!A968</f>
        <v>44659</v>
      </c>
      <c r="B968" s="408" t="s">
        <v>72</v>
      </c>
      <c r="C968" s="409">
        <f>Return!L968</f>
        <v>-2.1648367478981998E-3</v>
      </c>
    </row>
    <row r="969" spans="1:3">
      <c r="A969" s="406">
        <f>Return!A969</f>
        <v>44658</v>
      </c>
      <c r="B969" s="408" t="s">
        <v>72</v>
      </c>
      <c r="C969" s="409">
        <f>Return!L969</f>
        <v>1.3708868723477262E-3</v>
      </c>
    </row>
    <row r="970" spans="1:3">
      <c r="A970" s="406">
        <f>Return!A970</f>
        <v>44657</v>
      </c>
      <c r="B970" s="408" t="s">
        <v>72</v>
      </c>
      <c r="C970" s="409">
        <f>Return!L970</f>
        <v>-1.6816577373292762E-3</v>
      </c>
    </row>
    <row r="971" spans="1:3">
      <c r="A971" s="406">
        <f>Return!A971</f>
        <v>44656</v>
      </c>
      <c r="B971" s="408" t="s">
        <v>72</v>
      </c>
      <c r="C971" s="409">
        <f>Return!L971</f>
        <v>-1.6331278630676508E-3</v>
      </c>
    </row>
    <row r="972" spans="1:3">
      <c r="A972" s="406">
        <f>Return!A972</f>
        <v>44655</v>
      </c>
      <c r="B972" s="408" t="s">
        <v>72</v>
      </c>
      <c r="C972" s="409">
        <f>Return!L972</f>
        <v>-5.6358886523243312E-3</v>
      </c>
    </row>
    <row r="973" spans="1:3">
      <c r="A973" s="406">
        <f>Return!A973</f>
        <v>44652</v>
      </c>
      <c r="B973" s="408" t="s">
        <v>72</v>
      </c>
      <c r="C973" s="409">
        <f>Return!L973</f>
        <v>1.126738093927453E-3</v>
      </c>
    </row>
    <row r="974" spans="1:3">
      <c r="A974" s="406">
        <f>Return!A974</f>
        <v>44651</v>
      </c>
      <c r="B974" s="408" t="s">
        <v>72</v>
      </c>
      <c r="C974" s="409">
        <f>Return!L974</f>
        <v>-1.5053348325996573E-3</v>
      </c>
    </row>
    <row r="975" spans="1:3">
      <c r="A975" s="406">
        <f>Return!A975</f>
        <v>44650</v>
      </c>
      <c r="B975" s="408" t="s">
        <v>72</v>
      </c>
      <c r="C975" s="409">
        <f>Return!L975</f>
        <v>5.0384690579624077E-3</v>
      </c>
    </row>
    <row r="976" spans="1:3">
      <c r="A976" s="406">
        <f>Return!A976</f>
        <v>44649</v>
      </c>
      <c r="B976" s="408" t="s">
        <v>72</v>
      </c>
      <c r="C976" s="409">
        <f>Return!L976</f>
        <v>6.8948247982942249E-3</v>
      </c>
    </row>
    <row r="977" spans="1:3">
      <c r="A977" s="406">
        <f>Return!A977</f>
        <v>44648</v>
      </c>
      <c r="B977" s="408" t="s">
        <v>72</v>
      </c>
      <c r="C977" s="409">
        <f>Return!L977</f>
        <v>-6.8201031842755463E-3</v>
      </c>
    </row>
    <row r="978" spans="1:3">
      <c r="A978" s="406">
        <f>Return!A978</f>
        <v>44645</v>
      </c>
      <c r="B978" s="408" t="s">
        <v>72</v>
      </c>
      <c r="C978" s="409">
        <f>Return!L978</f>
        <v>-6.16285694863326E-3</v>
      </c>
    </row>
    <row r="979" spans="1:3">
      <c r="A979" s="406">
        <f>Return!A979</f>
        <v>44644</v>
      </c>
      <c r="B979" s="408" t="s">
        <v>72</v>
      </c>
      <c r="C979" s="409">
        <f>Return!L979</f>
        <v>4.8649751588761125E-3</v>
      </c>
    </row>
    <row r="980" spans="1:3">
      <c r="A980" s="406">
        <f>Return!A980</f>
        <v>44643</v>
      </c>
      <c r="B980" s="408" t="s">
        <v>72</v>
      </c>
      <c r="C980" s="409">
        <f>Return!L980</f>
        <v>5.5838967730361625E-3</v>
      </c>
    </row>
    <row r="981" spans="1:3">
      <c r="A981" s="406">
        <f>Return!A981</f>
        <v>44642</v>
      </c>
      <c r="B981" s="408" t="s">
        <v>72</v>
      </c>
      <c r="C981" s="409">
        <f>Return!L981</f>
        <v>-5.6494237715477395E-3</v>
      </c>
    </row>
    <row r="982" spans="1:3">
      <c r="A982" s="406">
        <f>Return!A982</f>
        <v>44641</v>
      </c>
      <c r="B982" s="408" t="s">
        <v>72</v>
      </c>
      <c r="C982" s="409">
        <f>Return!L982</f>
        <v>-5.5447210181781888E-3</v>
      </c>
    </row>
    <row r="983" spans="1:3">
      <c r="A983" s="406">
        <f>Return!A983</f>
        <v>44637</v>
      </c>
      <c r="B983" s="408" t="s">
        <v>72</v>
      </c>
      <c r="C983" s="409">
        <f>Return!L983</f>
        <v>-2.768686150277375E-3</v>
      </c>
    </row>
    <row r="984" spans="1:3">
      <c r="A984" s="406">
        <f>Return!A984</f>
        <v>44636</v>
      </c>
      <c r="B984" s="408" t="s">
        <v>72</v>
      </c>
      <c r="C984" s="409">
        <f>Return!L984</f>
        <v>1.4157369009161636E-3</v>
      </c>
    </row>
    <row r="985" spans="1:3">
      <c r="A985" s="406">
        <f>Return!A985</f>
        <v>44635</v>
      </c>
      <c r="B985" s="408" t="s">
        <v>72</v>
      </c>
      <c r="C985" s="409">
        <f>Return!L985</f>
        <v>2.7951163506105482E-3</v>
      </c>
    </row>
    <row r="986" spans="1:3">
      <c r="A986" s="406">
        <f>Return!A986</f>
        <v>44634</v>
      </c>
      <c r="B986" s="408" t="s">
        <v>72</v>
      </c>
      <c r="C986" s="409">
        <f>Return!L986</f>
        <v>1.0698998535227015E-2</v>
      </c>
    </row>
    <row r="987" spans="1:3">
      <c r="A987" s="406">
        <f>Return!A987</f>
        <v>44631</v>
      </c>
      <c r="B987" s="408" t="s">
        <v>72</v>
      </c>
      <c r="C987" s="409">
        <f>Return!L987</f>
        <v>2.2457165968122871E-3</v>
      </c>
    </row>
    <row r="988" spans="1:3">
      <c r="A988" s="406">
        <f>Return!A988</f>
        <v>44630</v>
      </c>
      <c r="B988" s="408" t="s">
        <v>72</v>
      </c>
      <c r="C988" s="409">
        <f>Return!L988</f>
        <v>4.3674838892756515E-3</v>
      </c>
    </row>
    <row r="989" spans="1:3">
      <c r="A989" s="406">
        <f>Return!A989</f>
        <v>44629</v>
      </c>
      <c r="B989" s="408" t="s">
        <v>72</v>
      </c>
      <c r="C989" s="409">
        <f>Return!L989</f>
        <v>5.6337627622228669E-3</v>
      </c>
    </row>
    <row r="990" spans="1:3">
      <c r="A990" s="406">
        <f>Return!A990</f>
        <v>44628</v>
      </c>
      <c r="B990" s="408" t="s">
        <v>72</v>
      </c>
      <c r="C990" s="409">
        <f>Return!L990</f>
        <v>5.5074249409596101E-3</v>
      </c>
    </row>
    <row r="991" spans="1:3">
      <c r="A991" s="406">
        <f>Return!A991</f>
        <v>44627</v>
      </c>
      <c r="B991" s="408" t="s">
        <v>72</v>
      </c>
      <c r="C991" s="409">
        <f>Return!L991</f>
        <v>4.8423408582335204E-3</v>
      </c>
    </row>
    <row r="992" spans="1:3">
      <c r="A992" s="406">
        <f>Return!A992</f>
        <v>44624</v>
      </c>
      <c r="B992" s="408" t="s">
        <v>72</v>
      </c>
      <c r="C992" s="409">
        <f>Return!L992</f>
        <v>-3.2627768708676391E-3</v>
      </c>
    </row>
    <row r="993" spans="1:3">
      <c r="A993" s="406">
        <f>Return!A993</f>
        <v>44623</v>
      </c>
      <c r="B993" s="408" t="s">
        <v>72</v>
      </c>
      <c r="C993" s="409">
        <f>Return!L993</f>
        <v>-3.2876332553425877E-3</v>
      </c>
    </row>
    <row r="994" spans="1:3">
      <c r="A994" s="406">
        <f>Return!A994</f>
        <v>44622</v>
      </c>
      <c r="B994" s="408" t="s">
        <v>72</v>
      </c>
      <c r="C994" s="409">
        <f>Return!L994</f>
        <v>5.8382144113435317E-3</v>
      </c>
    </row>
    <row r="995" spans="1:3">
      <c r="A995" s="406">
        <f>Return!A995</f>
        <v>44620</v>
      </c>
      <c r="B995" s="408" t="s">
        <v>72</v>
      </c>
      <c r="C995" s="409">
        <f>Return!L995</f>
        <v>7.3729114013378755E-3</v>
      </c>
    </row>
    <row r="996" spans="1:3">
      <c r="A996" s="406">
        <f>Return!A996</f>
        <v>44617</v>
      </c>
      <c r="B996" s="408" t="s">
        <v>72</v>
      </c>
      <c r="C996" s="409">
        <f>Return!L996</f>
        <v>1.5771773330267753E-2</v>
      </c>
    </row>
    <row r="997" spans="1:3">
      <c r="A997" s="406">
        <f>Return!A997</f>
        <v>44616</v>
      </c>
      <c r="B997" s="408" t="s">
        <v>72</v>
      </c>
      <c r="C997" s="409">
        <f>Return!L997</f>
        <v>5.0344440417154695E-5</v>
      </c>
    </row>
    <row r="998" spans="1:3">
      <c r="A998" s="406">
        <f>Return!A998</f>
        <v>44615</v>
      </c>
      <c r="B998" s="408" t="s">
        <v>72</v>
      </c>
      <c r="C998" s="409">
        <f>Return!L998</f>
        <v>4.7512606592050918E-3</v>
      </c>
    </row>
    <row r="999" spans="1:3">
      <c r="A999" s="406">
        <f>Return!A999</f>
        <v>44614</v>
      </c>
      <c r="B999" s="408" t="s">
        <v>72</v>
      </c>
      <c r="C999" s="409">
        <f>Return!L999</f>
        <v>8.8565644297015113E-3</v>
      </c>
    </row>
    <row r="1000" spans="1:3">
      <c r="A1000" s="406">
        <f>Return!A1000</f>
        <v>44613</v>
      </c>
      <c r="B1000" s="408" t="s">
        <v>72</v>
      </c>
      <c r="C1000" s="409">
        <f>Return!L1000</f>
        <v>-3.7733138337526545E-3</v>
      </c>
    </row>
    <row r="1001" spans="1:3">
      <c r="A1001" s="406">
        <f>Return!A1001</f>
        <v>44610</v>
      </c>
      <c r="B1001" s="408" t="s">
        <v>72</v>
      </c>
      <c r="C1001" s="409">
        <f>Return!L1001</f>
        <v>-1.3613293576884036E-2</v>
      </c>
    </row>
    <row r="1002" spans="1:3">
      <c r="A1002" s="406">
        <f>Return!A1002</f>
        <v>44609</v>
      </c>
      <c r="B1002" s="408" t="s">
        <v>72</v>
      </c>
      <c r="C1002" s="409">
        <f>Return!L1002</f>
        <v>2.533028192214082E-3</v>
      </c>
    </row>
    <row r="1003" spans="1:3">
      <c r="A1003" s="406">
        <f>Return!A1003</f>
        <v>44608</v>
      </c>
      <c r="B1003" s="408" t="s">
        <v>72</v>
      </c>
      <c r="C1003" s="409">
        <f>Return!L1003</f>
        <v>4.9495370159117003E-3</v>
      </c>
    </row>
    <row r="1004" spans="1:3">
      <c r="A1004" s="406">
        <f>Return!A1004</f>
        <v>44607</v>
      </c>
      <c r="B1004" s="408" t="s">
        <v>72</v>
      </c>
      <c r="C1004" s="409">
        <f>Return!L1004</f>
        <v>1.8653904405145016E-3</v>
      </c>
    </row>
    <row r="1005" spans="1:3">
      <c r="A1005" s="406">
        <f>Return!A1005</f>
        <v>44606</v>
      </c>
      <c r="B1005" s="408" t="s">
        <v>72</v>
      </c>
      <c r="C1005" s="409">
        <f>Return!L1005</f>
        <v>-2.0873613835058376E-3</v>
      </c>
    </row>
    <row r="1006" spans="1:3">
      <c r="A1006" s="406">
        <f>Return!A1006</f>
        <v>44603</v>
      </c>
      <c r="B1006" s="408" t="s">
        <v>72</v>
      </c>
      <c r="C1006" s="409">
        <f>Return!L1006</f>
        <v>-1.2824068114676344E-2</v>
      </c>
    </row>
    <row r="1007" spans="1:3">
      <c r="A1007" s="406">
        <f>Return!A1007</f>
        <v>44602</v>
      </c>
      <c r="B1007" s="408" t="s">
        <v>72</v>
      </c>
      <c r="C1007" s="409">
        <f>Return!L1007</f>
        <v>-2.6086996867839621E-3</v>
      </c>
    </row>
    <row r="1008" spans="1:3">
      <c r="A1008" s="406">
        <f>Return!A1008</f>
        <v>44601</v>
      </c>
      <c r="B1008" s="408" t="s">
        <v>72</v>
      </c>
      <c r="C1008" s="409">
        <f>Return!L1008</f>
        <v>1.0134091009025547E-2</v>
      </c>
    </row>
    <row r="1009" spans="1:3">
      <c r="A1009" s="406">
        <f>Return!A1009</f>
        <v>44600</v>
      </c>
      <c r="B1009" s="408" t="s">
        <v>72</v>
      </c>
      <c r="C1009" s="409">
        <f>Return!L1009</f>
        <v>-1.3378053525249277E-2</v>
      </c>
    </row>
    <row r="1010" spans="1:3">
      <c r="A1010" s="406">
        <f>Return!A1010</f>
        <v>44599</v>
      </c>
      <c r="B1010" s="408" t="s">
        <v>72</v>
      </c>
      <c r="C1010" s="409">
        <f>Return!L1010</f>
        <v>-9.9198782458777036E-3</v>
      </c>
    </row>
    <row r="1011" spans="1:3">
      <c r="A1011" s="406">
        <f>Return!A1011</f>
        <v>44596</v>
      </c>
      <c r="B1011" s="408" t="s">
        <v>72</v>
      </c>
      <c r="C1011" s="409">
        <f>Return!L1011</f>
        <v>5.4511866538726041E-4</v>
      </c>
    </row>
    <row r="1012" spans="1:3">
      <c r="A1012" s="406">
        <f>Return!A1012</f>
        <v>44595</v>
      </c>
      <c r="B1012" s="408" t="s">
        <v>72</v>
      </c>
      <c r="C1012" s="409">
        <f>Return!L1012</f>
        <v>-5.4824918278970729E-3</v>
      </c>
    </row>
    <row r="1013" spans="1:3">
      <c r="A1013" s="406">
        <f>Return!A1013</f>
        <v>44594</v>
      </c>
      <c r="B1013" s="408" t="s">
        <v>72</v>
      </c>
      <c r="C1013" s="409">
        <f>Return!L1013</f>
        <v>-4.8838753530289899E-3</v>
      </c>
    </row>
    <row r="1014" spans="1:3">
      <c r="A1014" s="406">
        <f>Return!A1014</f>
        <v>44593</v>
      </c>
      <c r="B1014" s="408" t="s">
        <v>72</v>
      </c>
      <c r="C1014" s="409">
        <f>Return!L1014</f>
        <v>1.4240648753510135E-4</v>
      </c>
    </row>
    <row r="1015" spans="1:3">
      <c r="A1015" s="406">
        <f>Return!A1015</f>
        <v>44592</v>
      </c>
      <c r="B1015" s="408" t="s">
        <v>72</v>
      </c>
      <c r="C1015" s="409">
        <f>Return!L1015</f>
        <v>4.8877765168852741E-3</v>
      </c>
    </row>
    <row r="1016" spans="1:3">
      <c r="A1016" s="406">
        <f>Return!A1016</f>
        <v>44589</v>
      </c>
      <c r="B1016" s="408" t="s">
        <v>72</v>
      </c>
      <c r="C1016" s="409">
        <f>Return!L1016</f>
        <v>2.0967506304906498E-3</v>
      </c>
    </row>
    <row r="1017" spans="1:3">
      <c r="A1017" s="406">
        <f>Return!A1017</f>
        <v>44588</v>
      </c>
      <c r="B1017" s="408" t="s">
        <v>72</v>
      </c>
      <c r="C1017" s="409">
        <f>Return!L1017</f>
        <v>-1.3376053072291588E-2</v>
      </c>
    </row>
    <row r="1018" spans="1:3">
      <c r="A1018" s="406">
        <f>Return!A1018</f>
        <v>44586</v>
      </c>
      <c r="B1018" s="408" t="s">
        <v>72</v>
      </c>
      <c r="C1018" s="409">
        <f>Return!L1018</f>
        <v>-1.6041488815279716E-3</v>
      </c>
    </row>
    <row r="1019" spans="1:3">
      <c r="A1019" s="406">
        <f>Return!A1019</f>
        <v>44585</v>
      </c>
      <c r="B1019" s="408" t="s">
        <v>72</v>
      </c>
      <c r="C1019" s="409">
        <f>Return!L1019</f>
        <v>-1.0236913348005919E-2</v>
      </c>
    </row>
    <row r="1020" spans="1:3">
      <c r="A1020" s="406">
        <f>Return!A1020</f>
        <v>44582</v>
      </c>
      <c r="B1020" s="408" t="s">
        <v>72</v>
      </c>
      <c r="C1020" s="409">
        <f>Return!L1020</f>
        <v>3.7692197681926578E-3</v>
      </c>
    </row>
    <row r="1021" spans="1:3">
      <c r="A1021" s="406">
        <f>Return!A1021</f>
        <v>44581</v>
      </c>
      <c r="B1021" s="408" t="s">
        <v>72</v>
      </c>
      <c r="C1021" s="409">
        <f>Return!L1021</f>
        <v>-1.6704209534855686E-3</v>
      </c>
    </row>
    <row r="1022" spans="1:3">
      <c r="A1022" s="406">
        <f>Return!A1022</f>
        <v>44580</v>
      </c>
      <c r="B1022" s="408" t="s">
        <v>72</v>
      </c>
      <c r="C1022" s="409">
        <f>Return!L1022</f>
        <v>7.6322030209059165E-3</v>
      </c>
    </row>
    <row r="1023" spans="1:3">
      <c r="A1023" s="406">
        <f>Return!A1023</f>
        <v>44579</v>
      </c>
      <c r="B1023" s="408" t="s">
        <v>72</v>
      </c>
      <c r="C1023" s="409">
        <f>Return!L1023</f>
        <v>-3.3008236807086232E-3</v>
      </c>
    </row>
    <row r="1024" spans="1:3">
      <c r="A1024" s="406">
        <f>Return!A1024</f>
        <v>44578</v>
      </c>
      <c r="B1024" s="408" t="s">
        <v>72</v>
      </c>
      <c r="C1024" s="409">
        <f>Return!L1024</f>
        <v>-1.6971834308238905E-2</v>
      </c>
    </row>
    <row r="1025" spans="1:3">
      <c r="A1025" s="406">
        <f>Return!A1025</f>
        <v>44575</v>
      </c>
      <c r="B1025" s="408" t="s">
        <v>72</v>
      </c>
      <c r="C1025" s="409">
        <f>Return!L1025</f>
        <v>8.9740386428315E-4</v>
      </c>
    </row>
    <row r="1026" spans="1:3">
      <c r="A1026" s="406">
        <f>Return!A1026</f>
        <v>44574</v>
      </c>
      <c r="B1026" s="408" t="s">
        <v>72</v>
      </c>
      <c r="C1026" s="409">
        <f>Return!L1026</f>
        <v>6.6059652724155971E-3</v>
      </c>
    </row>
    <row r="1027" spans="1:3">
      <c r="A1027" s="406">
        <f>Return!A1027</f>
        <v>44573</v>
      </c>
      <c r="B1027" s="408" t="s">
        <v>72</v>
      </c>
      <c r="C1027" s="409">
        <f>Return!L1027</f>
        <v>-1.6306545645796925E-2</v>
      </c>
    </row>
    <row r="1028" spans="1:3">
      <c r="A1028" s="406">
        <f>Return!A1028</f>
        <v>44572</v>
      </c>
      <c r="B1028" s="408" t="s">
        <v>72</v>
      </c>
      <c r="C1028" s="409">
        <f>Return!L1028</f>
        <v>-6.8470908349753563E-3</v>
      </c>
    </row>
    <row r="1029" spans="1:3">
      <c r="A1029" s="406">
        <f>Return!A1029</f>
        <v>44571</v>
      </c>
      <c r="B1029" s="408" t="s">
        <v>72</v>
      </c>
      <c r="C1029" s="409">
        <f>Return!L1029</f>
        <v>-5.8062457059219873E-3</v>
      </c>
    </row>
    <row r="1030" spans="1:3">
      <c r="A1030" s="406">
        <f>Return!A1030</f>
        <v>44568</v>
      </c>
      <c r="B1030" s="408" t="s">
        <v>72</v>
      </c>
      <c r="C1030" s="409">
        <f>Return!L1030</f>
        <v>-6.4947153260296693E-3</v>
      </c>
    </row>
    <row r="1031" spans="1:3">
      <c r="A1031" s="406">
        <f>Return!A1031</f>
        <v>44567</v>
      </c>
      <c r="B1031" s="408" t="s">
        <v>72</v>
      </c>
      <c r="C1031" s="409">
        <f>Return!L1031</f>
        <v>-7.9958557512977233E-3</v>
      </c>
    </row>
    <row r="1032" spans="1:3">
      <c r="A1032" s="406">
        <f>Return!A1032</f>
        <v>44566</v>
      </c>
      <c r="B1032" s="408" t="s">
        <v>72</v>
      </c>
      <c r="C1032" s="409">
        <f>Return!L1032</f>
        <v>-9.9197457764852691E-3</v>
      </c>
    </row>
    <row r="1033" spans="1:3">
      <c r="A1033" s="406">
        <f>Return!A1033</f>
        <v>44565</v>
      </c>
      <c r="B1033" s="408" t="s">
        <v>72</v>
      </c>
      <c r="C1033" s="409">
        <f>Return!L1033</f>
        <v>-6.8733757212909733E-3</v>
      </c>
    </row>
    <row r="1034" spans="1:3">
      <c r="A1034" s="406">
        <f>Return!A1034</f>
        <v>44564</v>
      </c>
      <c r="B1034" s="408" t="s">
        <v>72</v>
      </c>
      <c r="C1034" s="409">
        <f>Return!L1034</f>
        <v>-7.4723370149332028E-4</v>
      </c>
    </row>
    <row r="1035" spans="1:3">
      <c r="A1035" s="406">
        <f>Return!A1035</f>
        <v>44561</v>
      </c>
      <c r="B1035" s="408" t="s">
        <v>72</v>
      </c>
      <c r="C1035" s="409">
        <f>Return!L1035</f>
        <v>5.7608023745861284E-3</v>
      </c>
    </row>
    <row r="1036" spans="1:3">
      <c r="A1036" s="406">
        <f>Return!A1036</f>
        <v>44560</v>
      </c>
      <c r="B1036" s="408" t="s">
        <v>72</v>
      </c>
      <c r="C1036" s="409">
        <f>Return!L1036</f>
        <v>-2.8073238552450317E-4</v>
      </c>
    </row>
    <row r="1037" spans="1:3">
      <c r="A1037" s="406">
        <f>Return!A1037</f>
        <v>44559</v>
      </c>
      <c r="B1037" s="408" t="s">
        <v>72</v>
      </c>
      <c r="C1037" s="409">
        <f>Return!L1037</f>
        <v>4.6156327804779138E-3</v>
      </c>
    </row>
    <row r="1038" spans="1:3">
      <c r="A1038" s="406">
        <f>Return!A1038</f>
        <v>44558</v>
      </c>
      <c r="B1038" s="408" t="s">
        <v>72</v>
      </c>
      <c r="C1038" s="409">
        <f>Return!L1038</f>
        <v>-5.0212249556415896E-5</v>
      </c>
    </row>
    <row r="1039" spans="1:3">
      <c r="A1039" s="406">
        <f>Return!A1039</f>
        <v>44557</v>
      </c>
      <c r="B1039" s="408" t="s">
        <v>72</v>
      </c>
      <c r="C1039" s="409">
        <f>Return!L1039</f>
        <v>1.5047928099667326E-3</v>
      </c>
    </row>
    <row r="1040" spans="1:3">
      <c r="A1040" s="406">
        <f>Return!A1040</f>
        <v>44554</v>
      </c>
      <c r="B1040" s="408" t="s">
        <v>72</v>
      </c>
      <c r="C1040" s="409">
        <f>Return!L1040</f>
        <v>-5.7880535197203566E-3</v>
      </c>
    </row>
    <row r="1041" spans="1:3">
      <c r="A1041" s="406">
        <f>Return!A1041</f>
        <v>44553</v>
      </c>
      <c r="B1041" s="408" t="s">
        <v>72</v>
      </c>
      <c r="C1041" s="409">
        <f>Return!L1041</f>
        <v>-1.7536301522875441E-3</v>
      </c>
    </row>
    <row r="1042" spans="1:3">
      <c r="A1042" s="406">
        <f>Return!A1042</f>
        <v>44552</v>
      </c>
      <c r="B1042" s="408" t="s">
        <v>72</v>
      </c>
      <c r="C1042" s="409">
        <f>Return!L1042</f>
        <v>6.7303712507542426E-3</v>
      </c>
    </row>
    <row r="1043" spans="1:3">
      <c r="A1043" s="406">
        <f>Return!A1043</f>
        <v>44551</v>
      </c>
      <c r="B1043" s="408" t="s">
        <v>72</v>
      </c>
      <c r="C1043" s="409">
        <f>Return!L1043</f>
        <v>4.4413287754152195E-3</v>
      </c>
    </row>
    <row r="1044" spans="1:3">
      <c r="A1044" s="406">
        <f>Return!A1044</f>
        <v>44550</v>
      </c>
      <c r="B1044" s="408" t="s">
        <v>72</v>
      </c>
      <c r="C1044" s="409">
        <f>Return!L1044</f>
        <v>9.4358860240099322E-5</v>
      </c>
    </row>
    <row r="1045" spans="1:3">
      <c r="A1045" s="406">
        <f>Return!A1045</f>
        <v>44547</v>
      </c>
      <c r="B1045" s="408" t="s">
        <v>72</v>
      </c>
      <c r="C1045" s="409">
        <f>Return!L1045</f>
        <v>-1.916069965973397E-3</v>
      </c>
    </row>
    <row r="1046" spans="1:3">
      <c r="A1046" s="406">
        <f>Return!A1046</f>
        <v>44546</v>
      </c>
      <c r="B1046" s="408" t="s">
        <v>72</v>
      </c>
      <c r="C1046" s="409">
        <f>Return!L1046</f>
        <v>9.2628729828536684E-3</v>
      </c>
    </row>
    <row r="1047" spans="1:3">
      <c r="A1047" s="406">
        <f>Return!A1047</f>
        <v>44545</v>
      </c>
      <c r="B1047" s="408" t="s">
        <v>72</v>
      </c>
      <c r="C1047" s="409">
        <f>Return!L1047</f>
        <v>1.14697877017254E-3</v>
      </c>
    </row>
    <row r="1048" spans="1:3">
      <c r="A1048" s="406">
        <f>Return!A1048</f>
        <v>44544</v>
      </c>
      <c r="B1048" s="408" t="s">
        <v>72</v>
      </c>
      <c r="C1048" s="409">
        <f>Return!L1048</f>
        <v>3.792586869937263E-3</v>
      </c>
    </row>
    <row r="1049" spans="1:3">
      <c r="A1049" s="406">
        <f>Return!A1049</f>
        <v>44543</v>
      </c>
      <c r="B1049" s="408" t="s">
        <v>72</v>
      </c>
      <c r="C1049" s="409">
        <f>Return!L1049</f>
        <v>3.8778749830099342E-3</v>
      </c>
    </row>
    <row r="1050" spans="1:3">
      <c r="A1050" s="406">
        <f>Return!A1050</f>
        <v>44540</v>
      </c>
      <c r="B1050" s="408" t="s">
        <v>72</v>
      </c>
      <c r="C1050" s="409">
        <f>Return!L1050</f>
        <v>7.2781001739743618E-3</v>
      </c>
    </row>
    <row r="1051" spans="1:3">
      <c r="A1051" s="406">
        <f>Return!A1051</f>
        <v>44539</v>
      </c>
      <c r="B1051" s="408" t="s">
        <v>72</v>
      </c>
      <c r="C1051" s="409">
        <f>Return!L1051</f>
        <v>5.6270500822545484E-3</v>
      </c>
    </row>
    <row r="1052" spans="1:3">
      <c r="A1052" s="406">
        <f>Return!A1052</f>
        <v>44538</v>
      </c>
      <c r="B1052" s="408" t="s">
        <v>72</v>
      </c>
      <c r="C1052" s="409">
        <f>Return!L1052</f>
        <v>-1.5547368130657698E-3</v>
      </c>
    </row>
    <row r="1053" spans="1:3">
      <c r="A1053" s="406">
        <f>Return!A1053</f>
        <v>44537</v>
      </c>
      <c r="B1053" s="408" t="s">
        <v>72</v>
      </c>
      <c r="C1053" s="409">
        <f>Return!L1053</f>
        <v>-2.3390746973420227E-3</v>
      </c>
    </row>
    <row r="1054" spans="1:3">
      <c r="A1054" s="406">
        <f>Return!A1054</f>
        <v>44536</v>
      </c>
      <c r="B1054" s="408" t="s">
        <v>72</v>
      </c>
      <c r="C1054" s="409">
        <f>Return!L1054</f>
        <v>-1.164270511079046E-2</v>
      </c>
    </row>
    <row r="1055" spans="1:3">
      <c r="A1055" s="406">
        <f>Return!A1055</f>
        <v>44533</v>
      </c>
      <c r="B1055" s="408" t="s">
        <v>72</v>
      </c>
      <c r="C1055" s="409">
        <f>Return!L1055</f>
        <v>7.454659677833873E-3</v>
      </c>
    </row>
    <row r="1056" spans="1:3">
      <c r="A1056" s="406">
        <f>Return!A1056</f>
        <v>44532</v>
      </c>
      <c r="B1056" s="408" t="s">
        <v>72</v>
      </c>
      <c r="C1056" s="409">
        <f>Return!L1056</f>
        <v>9.7572467489797634E-4</v>
      </c>
    </row>
    <row r="1057" spans="1:3">
      <c r="A1057" s="406">
        <f>Return!A1057</f>
        <v>44531</v>
      </c>
      <c r="B1057" s="408" t="s">
        <v>72</v>
      </c>
      <c r="C1057" s="409">
        <f>Return!L1057</f>
        <v>-1.3059958221599789E-3</v>
      </c>
    </row>
    <row r="1058" spans="1:3">
      <c r="A1058" s="406">
        <f>Return!A1058</f>
        <v>44530</v>
      </c>
      <c r="B1058" s="408" t="s">
        <v>72</v>
      </c>
      <c r="C1058" s="409">
        <f>Return!L1058</f>
        <v>-1.8894047415456703E-3</v>
      </c>
    </row>
    <row r="1059" spans="1:3">
      <c r="A1059" s="406">
        <f>Return!A1059</f>
        <v>44529</v>
      </c>
      <c r="B1059" s="408" t="s">
        <v>72</v>
      </c>
      <c r="C1059" s="409">
        <f>Return!L1059</f>
        <v>-1.8321829292724189E-4</v>
      </c>
    </row>
    <row r="1060" spans="1:3">
      <c r="A1060" s="406">
        <f>Return!A1060</f>
        <v>44526</v>
      </c>
      <c r="B1060" s="408" t="s">
        <v>72</v>
      </c>
      <c r="C1060" s="409">
        <f>Return!L1060</f>
        <v>1.2544916561064628E-2</v>
      </c>
    </row>
    <row r="1061" spans="1:3">
      <c r="A1061" s="406">
        <f>Return!A1061</f>
        <v>44525</v>
      </c>
      <c r="B1061" s="408" t="s">
        <v>72</v>
      </c>
      <c r="C1061" s="409">
        <f>Return!L1061</f>
        <v>-6.4958157072063189E-3</v>
      </c>
    </row>
    <row r="1062" spans="1:3">
      <c r="A1062" s="406">
        <f>Return!A1062</f>
        <v>44524</v>
      </c>
      <c r="B1062" s="408" t="s">
        <v>72</v>
      </c>
      <c r="C1062" s="409">
        <f>Return!L1062</f>
        <v>-5.6419139081548787E-3</v>
      </c>
    </row>
    <row r="1063" spans="1:3">
      <c r="A1063" s="406">
        <f>Return!A1063</f>
        <v>44523</v>
      </c>
      <c r="B1063" s="408" t="s">
        <v>72</v>
      </c>
      <c r="C1063" s="409">
        <f>Return!L1063</f>
        <v>-1.8732657865555681E-3</v>
      </c>
    </row>
    <row r="1064" spans="1:3">
      <c r="A1064" s="406">
        <f>Return!A1064</f>
        <v>44522</v>
      </c>
      <c r="B1064" s="408" t="s">
        <v>72</v>
      </c>
      <c r="C1064" s="409">
        <f>Return!L1064</f>
        <v>1.34852756767562E-3</v>
      </c>
    </row>
    <row r="1065" spans="1:3">
      <c r="A1065" s="406">
        <f>Return!A1065</f>
        <v>44518</v>
      </c>
      <c r="B1065" s="408" t="s">
        <v>72</v>
      </c>
      <c r="C1065" s="409">
        <f>Return!L1065</f>
        <v>-2.5915462991516489E-3</v>
      </c>
    </row>
    <row r="1066" spans="1:3">
      <c r="A1066" s="406">
        <f>Return!A1066</f>
        <v>44517</v>
      </c>
      <c r="B1066" s="408" t="s">
        <v>72</v>
      </c>
      <c r="C1066" s="409">
        <f>Return!L1066</f>
        <v>-1.6116262575188226E-2</v>
      </c>
    </row>
    <row r="1067" spans="1:3">
      <c r="A1067" s="406">
        <f>Return!A1067</f>
        <v>44516</v>
      </c>
      <c r="B1067" s="408" t="s">
        <v>72</v>
      </c>
      <c r="C1067" s="409">
        <f>Return!L1067</f>
        <v>4.0020761537222396E-4</v>
      </c>
    </row>
    <row r="1068" spans="1:3">
      <c r="A1068" s="406">
        <f>Return!A1068</f>
        <v>44515</v>
      </c>
      <c r="B1068" s="408" t="s">
        <v>72</v>
      </c>
      <c r="C1068" s="409">
        <f>Return!L1068</f>
        <v>5.4420863272295677E-3</v>
      </c>
    </row>
    <row r="1069" spans="1:3">
      <c r="A1069" s="406">
        <f>Return!A1069</f>
        <v>44512</v>
      </c>
      <c r="B1069" s="408" t="s">
        <v>72</v>
      </c>
      <c r="C1069" s="409">
        <f>Return!L1069</f>
        <v>9.4946921433819824E-3</v>
      </c>
    </row>
    <row r="1070" spans="1:3">
      <c r="A1070" s="406">
        <f>Return!A1070</f>
        <v>44511</v>
      </c>
      <c r="B1070" s="408" t="s">
        <v>72</v>
      </c>
      <c r="C1070" s="409">
        <f>Return!L1070</f>
        <v>4.9828701013943976E-3</v>
      </c>
    </row>
    <row r="1071" spans="1:3">
      <c r="A1071" s="406">
        <f>Return!A1071</f>
        <v>44510</v>
      </c>
      <c r="B1071" s="408" t="s">
        <v>72</v>
      </c>
      <c r="C1071" s="409">
        <f>Return!L1071</f>
        <v>-8.5797792634480386E-3</v>
      </c>
    </row>
    <row r="1072" spans="1:3">
      <c r="A1072" s="406">
        <f>Return!A1072</f>
        <v>44509</v>
      </c>
      <c r="B1072" s="408" t="s">
        <v>72</v>
      </c>
      <c r="C1072" s="409">
        <f>Return!L1072</f>
        <v>-2.7132367956790391E-3</v>
      </c>
    </row>
    <row r="1073" spans="1:3">
      <c r="A1073" s="406">
        <f>Return!A1073</f>
        <v>44508</v>
      </c>
      <c r="B1073" s="408" t="s">
        <v>72</v>
      </c>
      <c r="C1073" s="409">
        <f>Return!L1073</f>
        <v>-7.3141427273812135E-3</v>
      </c>
    </row>
    <row r="1074" spans="1:3">
      <c r="A1074" s="406">
        <f>Return!A1074</f>
        <v>44504</v>
      </c>
      <c r="B1074" s="408" t="s">
        <v>72</v>
      </c>
      <c r="C1074" s="409">
        <f>Return!L1074</f>
        <v>-8.5187632350335728E-3</v>
      </c>
    </row>
    <row r="1075" spans="1:3">
      <c r="A1075" s="406">
        <f>Return!A1075</f>
        <v>44503</v>
      </c>
      <c r="B1075" s="408" t="s">
        <v>72</v>
      </c>
      <c r="C1075" s="409">
        <f>Return!L1075</f>
        <v>-3.989170643762233E-3</v>
      </c>
    </row>
    <row r="1076" spans="1:3">
      <c r="A1076" s="406">
        <f>Return!A1076</f>
        <v>44502</v>
      </c>
      <c r="B1076" s="408" t="s">
        <v>72</v>
      </c>
      <c r="C1076" s="409">
        <f>Return!L1076</f>
        <v>-4.2957772472223708E-3</v>
      </c>
    </row>
    <row r="1077" spans="1:3">
      <c r="A1077" s="406">
        <f>Return!A1077</f>
        <v>44501</v>
      </c>
      <c r="B1077" s="408" t="s">
        <v>72</v>
      </c>
      <c r="C1077" s="409">
        <f>Return!L1077</f>
        <v>1.1265136403700187E-3</v>
      </c>
    </row>
    <row r="1078" spans="1:3">
      <c r="A1078" s="406">
        <f>Return!A1078</f>
        <v>44498</v>
      </c>
      <c r="B1078" s="408" t="s">
        <v>72</v>
      </c>
      <c r="C1078" s="409">
        <f>Return!L1078</f>
        <v>1.4516789110915447E-3</v>
      </c>
    </row>
    <row r="1079" spans="1:3">
      <c r="A1079" s="406">
        <f>Return!A1079</f>
        <v>44497</v>
      </c>
      <c r="B1079" s="408" t="s">
        <v>72</v>
      </c>
      <c r="C1079" s="409">
        <f>Return!L1079</f>
        <v>-9.4119536099797445E-3</v>
      </c>
    </row>
    <row r="1080" spans="1:3">
      <c r="A1080" s="406">
        <f>Return!A1080</f>
        <v>44496</v>
      </c>
      <c r="B1080" s="408" t="s">
        <v>72</v>
      </c>
      <c r="C1080" s="409">
        <f>Return!L1080</f>
        <v>3.4305844512847019E-3</v>
      </c>
    </row>
    <row r="1081" spans="1:3">
      <c r="A1081" s="406">
        <f>Return!A1081</f>
        <v>44495</v>
      </c>
      <c r="B1081" s="408" t="s">
        <v>72</v>
      </c>
      <c r="C1081" s="409">
        <f>Return!L1081</f>
        <v>6.7552446880478475E-3</v>
      </c>
    </row>
    <row r="1082" spans="1:3">
      <c r="A1082" s="406">
        <f>Return!A1082</f>
        <v>44494</v>
      </c>
      <c r="B1082" s="408" t="s">
        <v>72</v>
      </c>
      <c r="C1082" s="409">
        <f>Return!L1082</f>
        <v>-1.159539382715526E-2</v>
      </c>
    </row>
    <row r="1083" spans="1:3">
      <c r="A1083" s="406">
        <f>Return!A1083</f>
        <v>44491</v>
      </c>
      <c r="B1083" s="408" t="s">
        <v>72</v>
      </c>
      <c r="C1083" s="409">
        <f>Return!L1083</f>
        <v>-8.9733923094116111E-3</v>
      </c>
    </row>
    <row r="1084" spans="1:3">
      <c r="A1084" s="406">
        <f>Return!A1084</f>
        <v>44490</v>
      </c>
      <c r="B1084" s="408" t="s">
        <v>72</v>
      </c>
      <c r="C1084" s="409">
        <f>Return!L1084</f>
        <v>5.8706176889087476E-3</v>
      </c>
    </row>
    <row r="1085" spans="1:3">
      <c r="A1085" s="406">
        <f>Return!A1085</f>
        <v>44489</v>
      </c>
      <c r="B1085" s="408" t="s">
        <v>72</v>
      </c>
      <c r="C1085" s="409">
        <f>Return!L1085</f>
        <v>6.7652165109175653E-3</v>
      </c>
    </row>
    <row r="1086" spans="1:3">
      <c r="A1086" s="406">
        <f>Return!A1086</f>
        <v>44488</v>
      </c>
      <c r="B1086" s="408" t="s">
        <v>72</v>
      </c>
      <c r="C1086" s="409">
        <f>Return!L1086</f>
        <v>-7.5499471488368226E-3</v>
      </c>
    </row>
    <row r="1087" spans="1:3">
      <c r="A1087" s="406">
        <f>Return!A1087</f>
        <v>44487</v>
      </c>
      <c r="B1087" s="408" t="s">
        <v>72</v>
      </c>
      <c r="C1087" s="409">
        <f>Return!L1087</f>
        <v>-1.2786620512421238E-2</v>
      </c>
    </row>
    <row r="1088" spans="1:3">
      <c r="A1088" s="406">
        <f>Return!A1088</f>
        <v>44483</v>
      </c>
      <c r="B1088" s="408" t="s">
        <v>72</v>
      </c>
      <c r="C1088" s="409">
        <f>Return!L1088</f>
        <v>-9.0914174752081793E-3</v>
      </c>
    </row>
    <row r="1089" spans="1:3">
      <c r="A1089" s="406">
        <f>Return!A1089</f>
        <v>44482</v>
      </c>
      <c r="B1089" s="408" t="s">
        <v>72</v>
      </c>
      <c r="C1089" s="409">
        <f>Return!L1089</f>
        <v>1.4308645797142578E-2</v>
      </c>
    </row>
    <row r="1090" spans="1:3">
      <c r="A1090" s="406">
        <f>Return!A1090</f>
        <v>44481</v>
      </c>
      <c r="B1090" s="408" t="s">
        <v>72</v>
      </c>
      <c r="C1090" s="409">
        <f>Return!L1090</f>
        <v>-7.3798964171289862E-3</v>
      </c>
    </row>
    <row r="1091" spans="1:3">
      <c r="A1091" s="406">
        <f>Return!A1091</f>
        <v>44480</v>
      </c>
      <c r="B1091" s="408" t="s">
        <v>72</v>
      </c>
      <c r="C1091" s="409">
        <f>Return!L1091</f>
        <v>-7.1680261128684707E-3</v>
      </c>
    </row>
    <row r="1092" spans="1:3">
      <c r="A1092" s="406">
        <f>Return!A1092</f>
        <v>44477</v>
      </c>
      <c r="B1092" s="408" t="s">
        <v>72</v>
      </c>
      <c r="C1092" s="409">
        <f>Return!L1092</f>
        <v>-7.7194168914570633E-3</v>
      </c>
    </row>
    <row r="1093" spans="1:3">
      <c r="A1093" s="406">
        <f>Return!A1093</f>
        <v>44476</v>
      </c>
      <c r="B1093" s="408" t="s">
        <v>72</v>
      </c>
      <c r="C1093" s="409">
        <f>Return!L1093</f>
        <v>-4.2919640426289651E-3</v>
      </c>
    </row>
    <row r="1094" spans="1:3">
      <c r="A1094" s="406">
        <f>Return!A1094</f>
        <v>44475</v>
      </c>
      <c r="B1094" s="408" t="s">
        <v>72</v>
      </c>
      <c r="C1094" s="409">
        <f>Return!L1094</f>
        <v>-1.1638844867265857E-2</v>
      </c>
    </row>
    <row r="1095" spans="1:3">
      <c r="A1095" s="406">
        <f>Return!A1095</f>
        <v>44474</v>
      </c>
      <c r="B1095" s="408" t="s">
        <v>72</v>
      </c>
      <c r="C1095" s="409">
        <f>Return!L1095</f>
        <v>-4.9120973414032779E-3</v>
      </c>
    </row>
    <row r="1096" spans="1:3">
      <c r="A1096" s="406">
        <f>Return!A1096</f>
        <v>44473</v>
      </c>
      <c r="B1096" s="408" t="s">
        <v>72</v>
      </c>
      <c r="C1096" s="409">
        <f>Return!L1096</f>
        <v>5.9704130535427544E-3</v>
      </c>
    </row>
    <row r="1097" spans="1:3">
      <c r="A1097" s="406">
        <f>Return!A1097</f>
        <v>44470</v>
      </c>
      <c r="B1097" s="408" t="s">
        <v>72</v>
      </c>
      <c r="C1097" s="409">
        <f>Return!L1097</f>
        <v>7.0333730650485333E-3</v>
      </c>
    </row>
    <row r="1098" spans="1:3">
      <c r="A1098" s="406">
        <f>Return!A1098</f>
        <v>44469</v>
      </c>
      <c r="B1098" s="408" t="s">
        <v>72</v>
      </c>
      <c r="C1098" s="409">
        <f>Return!L1098</f>
        <v>9.8662785055033276E-3</v>
      </c>
    </row>
    <row r="1099" spans="1:3">
      <c r="A1099" s="406">
        <f>Return!A1099</f>
        <v>44468</v>
      </c>
      <c r="B1099" s="408" t="s">
        <v>72</v>
      </c>
      <c r="C1099" s="409">
        <f>Return!L1099</f>
        <v>-6.4445795723459248E-3</v>
      </c>
    </row>
    <row r="1100" spans="1:3">
      <c r="A1100" s="406">
        <f>Return!A1100</f>
        <v>44467</v>
      </c>
      <c r="B1100" s="408" t="s">
        <v>72</v>
      </c>
      <c r="C1100" s="409">
        <f>Return!L1100</f>
        <v>-4.8755921964076417E-3</v>
      </c>
    </row>
    <row r="1101" spans="1:3">
      <c r="A1101" s="406">
        <f>Return!A1101</f>
        <v>44466</v>
      </c>
      <c r="B1101" s="408" t="s">
        <v>72</v>
      </c>
      <c r="C1101" s="409">
        <f>Return!L1101</f>
        <v>-4.7975875742555293E-3</v>
      </c>
    </row>
    <row r="1102" spans="1:3">
      <c r="A1102" s="406">
        <f>Return!A1102</f>
        <v>44463</v>
      </c>
      <c r="B1102" s="408" t="s">
        <v>72</v>
      </c>
      <c r="C1102" s="409">
        <f>Return!L1102</f>
        <v>-1.2879007845526739E-4</v>
      </c>
    </row>
    <row r="1103" spans="1:3">
      <c r="A1103" s="406">
        <f>Return!A1103</f>
        <v>44462</v>
      </c>
      <c r="B1103" s="408" t="s">
        <v>72</v>
      </c>
      <c r="C1103" s="409">
        <f>Return!L1103</f>
        <v>-3.0816970521114033E-3</v>
      </c>
    </row>
    <row r="1104" spans="1:3">
      <c r="A1104" s="406">
        <f>Return!A1104</f>
        <v>44461</v>
      </c>
      <c r="B1104" s="408" t="s">
        <v>72</v>
      </c>
      <c r="C1104" s="409">
        <f>Return!L1104</f>
        <v>1.3032351491853908E-3</v>
      </c>
    </row>
    <row r="1105" spans="1:3">
      <c r="A1105" s="406">
        <f>Return!A1105</f>
        <v>44460</v>
      </c>
      <c r="B1105" s="408" t="s">
        <v>72</v>
      </c>
      <c r="C1105" s="409">
        <f>Return!L1105</f>
        <v>1.5463803119224163E-2</v>
      </c>
    </row>
    <row r="1106" spans="1:3">
      <c r="A1106" s="406">
        <f>Return!A1106</f>
        <v>44459</v>
      </c>
      <c r="B1106" s="408" t="s">
        <v>72</v>
      </c>
      <c r="C1106" s="409">
        <f>Return!L1106</f>
        <v>-4.8896012955483301E-3</v>
      </c>
    </row>
    <row r="1107" spans="1:3">
      <c r="A1107" s="406">
        <f>Return!A1107</f>
        <v>44456</v>
      </c>
      <c r="B1107" s="408" t="s">
        <v>72</v>
      </c>
      <c r="C1107" s="409">
        <f>Return!L1107</f>
        <v>-2.0054554878442738E-3</v>
      </c>
    </row>
    <row r="1108" spans="1:3">
      <c r="A1108" s="406">
        <f>Return!A1108</f>
        <v>44455</v>
      </c>
      <c r="B1108" s="408" t="s">
        <v>72</v>
      </c>
      <c r="C1108" s="409">
        <f>Return!L1108</f>
        <v>2.3133574635756122E-3</v>
      </c>
    </row>
    <row r="1109" spans="1:3">
      <c r="A1109" s="406">
        <f>Return!A1109</f>
        <v>44454</v>
      </c>
      <c r="B1109" s="408" t="s">
        <v>72</v>
      </c>
      <c r="C1109" s="409">
        <f>Return!L1109</f>
        <v>1.6273728172158312E-3</v>
      </c>
    </row>
    <row r="1110" spans="1:3">
      <c r="A1110" s="406">
        <f>Return!A1110</f>
        <v>44453</v>
      </c>
      <c r="B1110" s="408" t="s">
        <v>72</v>
      </c>
      <c r="C1110" s="409">
        <f>Return!L1110</f>
        <v>-3.1275771808564681E-3</v>
      </c>
    </row>
    <row r="1111" spans="1:3">
      <c r="A1111" s="406">
        <f>Return!A1111</f>
        <v>44452</v>
      </c>
      <c r="B1111" s="408" t="s">
        <v>72</v>
      </c>
      <c r="C1111" s="409">
        <f>Return!L1111</f>
        <v>-3.0609890675112931E-3</v>
      </c>
    </row>
    <row r="1112" spans="1:3">
      <c r="A1112" s="406">
        <f>Return!A1112</f>
        <v>44448</v>
      </c>
      <c r="B1112" s="408" t="s">
        <v>72</v>
      </c>
      <c r="C1112" s="409">
        <f>Return!L1112</f>
        <v>1.3261370255490183E-2</v>
      </c>
    </row>
    <row r="1113" spans="1:3">
      <c r="A1113" s="406">
        <f>Return!A1113</f>
        <v>44447</v>
      </c>
      <c r="B1113" s="408" t="s">
        <v>72</v>
      </c>
      <c r="C1113" s="409">
        <f>Return!L1113</f>
        <v>6.0486310995591323E-3</v>
      </c>
    </row>
    <row r="1114" spans="1:3">
      <c r="A1114" s="406">
        <f>Return!A1114</f>
        <v>44446</v>
      </c>
      <c r="B1114" s="408" t="s">
        <v>72</v>
      </c>
      <c r="C1114" s="409">
        <f>Return!L1114</f>
        <v>4.7885627283334332E-4</v>
      </c>
    </row>
    <row r="1115" spans="1:3">
      <c r="A1115" s="406">
        <f>Return!A1115</f>
        <v>44445</v>
      </c>
      <c r="B1115" s="408" t="s">
        <v>72</v>
      </c>
      <c r="C1115" s="409">
        <f>Return!L1115</f>
        <v>-6.2498106752863327E-3</v>
      </c>
    </row>
    <row r="1116" spans="1:3">
      <c r="A1116" s="406">
        <f>Return!A1116</f>
        <v>44442</v>
      </c>
      <c r="B1116" s="408" t="s">
        <v>72</v>
      </c>
      <c r="C1116" s="409">
        <f>Return!L1116</f>
        <v>-4.6733961749295299E-3</v>
      </c>
    </row>
    <row r="1117" spans="1:3">
      <c r="A1117" s="406">
        <f>Return!A1117</f>
        <v>44441</v>
      </c>
      <c r="B1117" s="408" t="s">
        <v>72</v>
      </c>
      <c r="C1117" s="409">
        <f>Return!L1117</f>
        <v>-3.5564666709708682E-4</v>
      </c>
    </row>
    <row r="1118" spans="1:3">
      <c r="A1118" s="406">
        <f>Return!A1118</f>
        <v>44440</v>
      </c>
      <c r="B1118" s="408" t="s">
        <v>72</v>
      </c>
      <c r="C1118" s="409">
        <f>Return!L1118</f>
        <v>6.532569978153731E-3</v>
      </c>
    </row>
    <row r="1119" spans="1:3">
      <c r="A1119" s="406">
        <f>Return!A1119</f>
        <v>44439</v>
      </c>
      <c r="B1119" s="408" t="s">
        <v>72</v>
      </c>
      <c r="C1119" s="409">
        <f>Return!L1119</f>
        <v>1.564478193053334E-3</v>
      </c>
    </row>
    <row r="1120" spans="1:3">
      <c r="A1120" s="406">
        <f>Return!A1120</f>
        <v>44438</v>
      </c>
      <c r="B1120" s="408" t="s">
        <v>72</v>
      </c>
      <c r="C1120" s="409">
        <f>Return!L1120</f>
        <v>-1.3668009718621654E-3</v>
      </c>
    </row>
    <row r="1121" spans="1:3">
      <c r="A1121" s="406">
        <f>Return!A1121</f>
        <v>44435</v>
      </c>
      <c r="B1121" s="408" t="s">
        <v>72</v>
      </c>
      <c r="C1121" s="409">
        <f>Return!L1121</f>
        <v>2.9302945206089838E-3</v>
      </c>
    </row>
    <row r="1122" spans="1:3">
      <c r="A1122" s="406">
        <f>Return!A1122</f>
        <v>44434</v>
      </c>
      <c r="B1122" s="408" t="s">
        <v>72</v>
      </c>
      <c r="C1122" s="409">
        <f>Return!L1122</f>
        <v>-5.3144270680184295E-3</v>
      </c>
    </row>
    <row r="1123" spans="1:3">
      <c r="A1123" s="406">
        <f>Return!A1123</f>
        <v>44433</v>
      </c>
      <c r="B1123" s="408" t="s">
        <v>72</v>
      </c>
      <c r="C1123" s="409">
        <f>Return!L1123</f>
        <v>-3.3414775210786518E-3</v>
      </c>
    </row>
    <row r="1124" spans="1:3">
      <c r="A1124" s="406">
        <f>Return!A1124</f>
        <v>44432</v>
      </c>
      <c r="B1124" s="408" t="s">
        <v>72</v>
      </c>
      <c r="C1124" s="409">
        <f>Return!L1124</f>
        <v>2.5765947635713075E-3</v>
      </c>
    </row>
    <row r="1125" spans="1:3">
      <c r="A1125" s="406">
        <f>Return!A1125</f>
        <v>44431</v>
      </c>
      <c r="B1125" s="408" t="s">
        <v>72</v>
      </c>
      <c r="C1125" s="409">
        <f>Return!L1125</f>
        <v>7.0367065032732575E-3</v>
      </c>
    </row>
    <row r="1126" spans="1:3">
      <c r="A1126" s="406">
        <f>Return!A1126</f>
        <v>44428</v>
      </c>
      <c r="B1126" s="408" t="s">
        <v>72</v>
      </c>
      <c r="C1126" s="409">
        <f>Return!L1126</f>
        <v>5.208502471174133E-3</v>
      </c>
    </row>
    <row r="1127" spans="1:3">
      <c r="A1127" s="406">
        <f>Return!A1127</f>
        <v>44426</v>
      </c>
      <c r="B1127" s="408" t="s">
        <v>72</v>
      </c>
      <c r="C1127" s="409">
        <f>Return!L1127</f>
        <v>4.9822351901435205E-3</v>
      </c>
    </row>
    <row r="1128" spans="1:3">
      <c r="A1128" s="406">
        <f>Return!A1128</f>
        <v>44425</v>
      </c>
      <c r="B1128" s="408" t="s">
        <v>72</v>
      </c>
      <c r="C1128" s="409">
        <f>Return!L1128</f>
        <v>5.1330893692094412E-3</v>
      </c>
    </row>
    <row r="1129" spans="1:3">
      <c r="A1129" s="406">
        <f>Return!A1129</f>
        <v>44424</v>
      </c>
      <c r="B1129" s="408" t="s">
        <v>72</v>
      </c>
      <c r="C1129" s="409">
        <f>Return!L1129</f>
        <v>3.1377852509713606E-3</v>
      </c>
    </row>
    <row r="1130" spans="1:3">
      <c r="A1130" s="406">
        <f>Return!A1130</f>
        <v>44421</v>
      </c>
      <c r="B1130" s="408" t="s">
        <v>72</v>
      </c>
      <c r="C1130" s="409">
        <f>Return!L1130</f>
        <v>7.3466674326474069E-3</v>
      </c>
    </row>
    <row r="1131" spans="1:3">
      <c r="A1131" s="406">
        <f>Return!A1131</f>
        <v>44420</v>
      </c>
      <c r="B1131" s="408" t="s">
        <v>72</v>
      </c>
      <c r="C1131" s="409">
        <f>Return!L1131</f>
        <v>4.3361919502634294E-4</v>
      </c>
    </row>
    <row r="1132" spans="1:3">
      <c r="A1132" s="406">
        <f>Return!A1132</f>
        <v>44419</v>
      </c>
      <c r="B1132" s="408" t="s">
        <v>72</v>
      </c>
      <c r="C1132" s="409">
        <f>Return!L1132</f>
        <v>1.4034606754159641E-3</v>
      </c>
    </row>
    <row r="1133" spans="1:3">
      <c r="A1133" s="406">
        <f>Return!A1133</f>
        <v>44418</v>
      </c>
      <c r="B1133" s="408" t="s">
        <v>72</v>
      </c>
      <c r="C1133" s="409">
        <f>Return!L1133</f>
        <v>5.429818251733355E-3</v>
      </c>
    </row>
    <row r="1134" spans="1:3">
      <c r="A1134" s="406">
        <f>Return!A1134</f>
        <v>44417</v>
      </c>
      <c r="B1134" s="408" t="s">
        <v>72</v>
      </c>
      <c r="C1134" s="409">
        <f>Return!L1134</f>
        <v>-1.7918172978109599E-3</v>
      </c>
    </row>
    <row r="1135" spans="1:3">
      <c r="A1135" s="406">
        <f>Return!A1135</f>
        <v>44414</v>
      </c>
      <c r="B1135" s="408" t="s">
        <v>72</v>
      </c>
      <c r="C1135" s="409">
        <f>Return!L1135</f>
        <v>-1.0440439702589776E-2</v>
      </c>
    </row>
    <row r="1136" spans="1:3">
      <c r="A1136" s="406">
        <f>Return!A1136</f>
        <v>44413</v>
      </c>
      <c r="B1136" s="408" t="s">
        <v>72</v>
      </c>
      <c r="C1136" s="409">
        <f>Return!L1136</f>
        <v>1.4590614892453187E-3</v>
      </c>
    </row>
    <row r="1137" spans="1:3">
      <c r="A1137" s="406">
        <f>Return!A1137</f>
        <v>44412</v>
      </c>
      <c r="B1137" s="408" t="s">
        <v>72</v>
      </c>
      <c r="C1137" s="409">
        <f>Return!L1137</f>
        <v>-5.633011890257336E-3</v>
      </c>
    </row>
    <row r="1138" spans="1:3">
      <c r="A1138" s="406">
        <f>Return!A1138</f>
        <v>44411</v>
      </c>
      <c r="B1138" s="408" t="s">
        <v>72</v>
      </c>
      <c r="C1138" s="409">
        <f>Return!L1138</f>
        <v>-4.3634569885536087E-3</v>
      </c>
    </row>
    <row r="1139" spans="1:3">
      <c r="A1139" s="406">
        <f>Return!A1139</f>
        <v>44410</v>
      </c>
      <c r="B1139" s="408" t="s">
        <v>72</v>
      </c>
      <c r="C1139" s="409">
        <f>Return!L1139</f>
        <v>-9.0299010874597234E-3</v>
      </c>
    </row>
    <row r="1140" spans="1:3">
      <c r="A1140" s="406">
        <f>Return!A1140</f>
        <v>44407</v>
      </c>
      <c r="B1140" s="408" t="s">
        <v>72</v>
      </c>
      <c r="C1140" s="409">
        <f>Return!L1140</f>
        <v>-5.4533835044291469E-3</v>
      </c>
    </row>
    <row r="1141" spans="1:3">
      <c r="A1141" s="406">
        <f>Return!A1141</f>
        <v>44406</v>
      </c>
      <c r="B1141" s="408" t="s">
        <v>72</v>
      </c>
      <c r="C1141" s="409">
        <f>Return!L1141</f>
        <v>-1.0201142303891155E-2</v>
      </c>
    </row>
    <row r="1142" spans="1:3">
      <c r="A1142" s="406">
        <f>Return!A1142</f>
        <v>44405</v>
      </c>
      <c r="B1142" s="408" t="s">
        <v>72</v>
      </c>
      <c r="C1142" s="409">
        <f>Return!L1142</f>
        <v>-3.8967117193368095E-3</v>
      </c>
    </row>
    <row r="1143" spans="1:3">
      <c r="A1143" s="406">
        <f>Return!A1143</f>
        <v>44404</v>
      </c>
      <c r="B1143" s="408" t="s">
        <v>72</v>
      </c>
      <c r="C1143" s="409">
        <f>Return!L1143</f>
        <v>-1.3191841429018455E-3</v>
      </c>
    </row>
    <row r="1144" spans="1:3">
      <c r="A1144" s="406">
        <f>Return!A1144</f>
        <v>44403</v>
      </c>
      <c r="B1144" s="408" t="s">
        <v>72</v>
      </c>
      <c r="C1144" s="409">
        <f>Return!L1144</f>
        <v>1.2504570584999932E-3</v>
      </c>
    </row>
    <row r="1145" spans="1:3">
      <c r="A1145" s="406">
        <f>Return!A1145</f>
        <v>44400</v>
      </c>
      <c r="B1145" s="408" t="s">
        <v>72</v>
      </c>
      <c r="C1145" s="409">
        <f>Return!L1145</f>
        <v>-6.4555191063989104E-3</v>
      </c>
    </row>
    <row r="1146" spans="1:3">
      <c r="A1146" s="406">
        <f>Return!A1146</f>
        <v>44399</v>
      </c>
      <c r="B1146" s="408" t="s">
        <v>72</v>
      </c>
      <c r="C1146" s="409">
        <f>Return!L1146</f>
        <v>1.1092512964697445E-3</v>
      </c>
    </row>
    <row r="1147" spans="1:3">
      <c r="A1147" s="406">
        <f>Return!A1147</f>
        <v>44397</v>
      </c>
      <c r="B1147" s="408" t="s">
        <v>72</v>
      </c>
      <c r="C1147" s="409">
        <f>Return!L1147</f>
        <v>7.3649198709511954E-4</v>
      </c>
    </row>
    <row r="1148" spans="1:3">
      <c r="A1148" s="406">
        <f>Return!A1148</f>
        <v>44396</v>
      </c>
      <c r="B1148" s="408" t="s">
        <v>72</v>
      </c>
      <c r="C1148" s="409">
        <f>Return!L1148</f>
        <v>4.3193902787755332E-3</v>
      </c>
    </row>
    <row r="1149" spans="1:3">
      <c r="A1149" s="406">
        <f>Return!A1149</f>
        <v>44393</v>
      </c>
      <c r="B1149" s="408" t="s">
        <v>72</v>
      </c>
      <c r="C1149" s="409">
        <f>Return!L1149</f>
        <v>1.9614433380594066E-4</v>
      </c>
    </row>
    <row r="1150" spans="1:3">
      <c r="A1150" s="406">
        <f>Return!A1150</f>
        <v>44392</v>
      </c>
      <c r="B1150" s="408" t="s">
        <v>72</v>
      </c>
      <c r="C1150" s="409">
        <f>Return!L1150</f>
        <v>-6.2514138531723175E-4</v>
      </c>
    </row>
    <row r="1151" spans="1:3">
      <c r="A1151" s="406">
        <f>Return!A1151</f>
        <v>44391</v>
      </c>
      <c r="B1151" s="408" t="s">
        <v>72</v>
      </c>
      <c r="C1151" s="409">
        <f>Return!L1151</f>
        <v>-1.4940488206261452E-2</v>
      </c>
    </row>
    <row r="1152" spans="1:3">
      <c r="A1152" s="406">
        <f>Return!A1152</f>
        <v>44390</v>
      </c>
      <c r="B1152" s="408" t="s">
        <v>72</v>
      </c>
      <c r="C1152" s="409">
        <f>Return!L1152</f>
        <v>-6.1071309310601679E-3</v>
      </c>
    </row>
    <row r="1153" spans="1:3">
      <c r="A1153" s="406">
        <f>Return!A1153</f>
        <v>44389</v>
      </c>
      <c r="B1153" s="408" t="s">
        <v>72</v>
      </c>
      <c r="C1153" s="409">
        <f>Return!L1153</f>
        <v>1.0554213363855418E-2</v>
      </c>
    </row>
    <row r="1154" spans="1:3">
      <c r="A1154" s="406">
        <f>Return!A1154</f>
        <v>44386</v>
      </c>
      <c r="B1154" s="408" t="s">
        <v>72</v>
      </c>
      <c r="C1154" s="409">
        <f>Return!L1154</f>
        <v>5.5644991017382338E-3</v>
      </c>
    </row>
    <row r="1155" spans="1:3">
      <c r="A1155" s="406">
        <f>Return!A1155</f>
        <v>44385</v>
      </c>
      <c r="B1155" s="408" t="s">
        <v>72</v>
      </c>
      <c r="C1155" s="409">
        <f>Return!L1155</f>
        <v>-5.5605138367387178E-3</v>
      </c>
    </row>
    <row r="1156" spans="1:3">
      <c r="A1156" s="406">
        <f>Return!A1156</f>
        <v>44384</v>
      </c>
      <c r="B1156" s="408" t="s">
        <v>72</v>
      </c>
      <c r="C1156" s="409">
        <f>Return!L1156</f>
        <v>1.8872320586934353E-3</v>
      </c>
    </row>
    <row r="1157" spans="1:3">
      <c r="A1157" s="406">
        <f>Return!A1157</f>
        <v>44383</v>
      </c>
      <c r="B1157" s="408" t="s">
        <v>72</v>
      </c>
      <c r="C1157" s="409">
        <f>Return!L1157</f>
        <v>-1.1141256711018311E-3</v>
      </c>
    </row>
    <row r="1158" spans="1:3">
      <c r="A1158" s="406">
        <f>Return!A1158</f>
        <v>44382</v>
      </c>
      <c r="B1158" s="408" t="s">
        <v>72</v>
      </c>
      <c r="C1158" s="409">
        <f>Return!L1158</f>
        <v>7.6062360752510612E-3</v>
      </c>
    </row>
    <row r="1159" spans="1:3">
      <c r="A1159" s="406">
        <f>Return!A1159</f>
        <v>44379</v>
      </c>
      <c r="B1159" s="408" t="s">
        <v>72</v>
      </c>
      <c r="C1159" s="409">
        <f>Return!L1159</f>
        <v>-1.7343408815771405E-3</v>
      </c>
    </row>
    <row r="1160" spans="1:3">
      <c r="A1160" s="406">
        <f>Return!A1160</f>
        <v>44378</v>
      </c>
      <c r="B1160" s="408" t="s">
        <v>72</v>
      </c>
      <c r="C1160" s="409">
        <f>Return!L1160</f>
        <v>2.1752096235413726E-5</v>
      </c>
    </row>
    <row r="1161" spans="1:3">
      <c r="A1161" s="406">
        <f>Return!A1161</f>
        <v>44377</v>
      </c>
      <c r="B1161" s="408" t="s">
        <v>72</v>
      </c>
      <c r="C1161" s="409">
        <f>Return!L1161</f>
        <v>8.5551524767155697E-3</v>
      </c>
    </row>
    <row r="1162" spans="1:3">
      <c r="A1162" s="406">
        <f>Return!A1162</f>
        <v>44376</v>
      </c>
      <c r="B1162" s="408" t="s">
        <v>72</v>
      </c>
      <c r="C1162" s="409">
        <f>Return!L1162</f>
        <v>3.6494714166313558E-3</v>
      </c>
    </row>
    <row r="1163" spans="1:3">
      <c r="A1163" s="406">
        <f>Return!A1163</f>
        <v>44375</v>
      </c>
      <c r="B1163" s="408" t="s">
        <v>72</v>
      </c>
      <c r="C1163" s="409">
        <f>Return!L1163</f>
        <v>1.4508997137233164E-3</v>
      </c>
    </row>
    <row r="1164" spans="1:3">
      <c r="A1164" s="406">
        <f>Return!A1164</f>
        <v>44372</v>
      </c>
      <c r="B1164" s="408" t="s">
        <v>72</v>
      </c>
      <c r="C1164" s="409">
        <f>Return!L1164</f>
        <v>2.5293153001990278E-3</v>
      </c>
    </row>
    <row r="1165" spans="1:3">
      <c r="A1165" s="406">
        <f>Return!A1165</f>
        <v>44371</v>
      </c>
      <c r="B1165" s="408" t="s">
        <v>72</v>
      </c>
      <c r="C1165" s="409">
        <f>Return!L1165</f>
        <v>-4.0282183663483493E-3</v>
      </c>
    </row>
    <row r="1166" spans="1:3">
      <c r="A1166" s="406">
        <f>Return!A1166</f>
        <v>44370</v>
      </c>
      <c r="B1166" s="408" t="s">
        <v>72</v>
      </c>
      <c r="C1166" s="409">
        <f>Return!L1166</f>
        <v>-5.8127516610914053E-3</v>
      </c>
    </row>
    <row r="1167" spans="1:3">
      <c r="A1167" s="406">
        <f>Return!A1167</f>
        <v>44369</v>
      </c>
      <c r="B1167" s="408" t="s">
        <v>72</v>
      </c>
      <c r="C1167" s="409">
        <f>Return!L1167</f>
        <v>3.8287391810874604E-3</v>
      </c>
    </row>
    <row r="1168" spans="1:3">
      <c r="A1168" s="406">
        <f>Return!A1168</f>
        <v>44368</v>
      </c>
      <c r="B1168" s="408" t="s">
        <v>72</v>
      </c>
      <c r="C1168" s="409">
        <f>Return!L1168</f>
        <v>1.2661512917147719E-2</v>
      </c>
    </row>
    <row r="1169" spans="1:3">
      <c r="A1169" s="406">
        <f>Return!A1169</f>
        <v>44365</v>
      </c>
      <c r="B1169" s="408" t="s">
        <v>72</v>
      </c>
      <c r="C1169" s="409">
        <f>Return!L1169</f>
        <v>-1.1219484180751702E-3</v>
      </c>
    </row>
    <row r="1170" spans="1:3">
      <c r="A1170" s="406">
        <f>Return!A1170</f>
        <v>44364</v>
      </c>
      <c r="B1170" s="408" t="s">
        <v>72</v>
      </c>
      <c r="C1170" s="409">
        <f>Return!L1170</f>
        <v>-6.1860628820243442E-5</v>
      </c>
    </row>
    <row r="1171" spans="1:3">
      <c r="A1171" s="406">
        <f>Return!A1171</f>
        <v>44363</v>
      </c>
      <c r="B1171" s="408" t="s">
        <v>72</v>
      </c>
      <c r="C1171" s="409">
        <f>Return!L1171</f>
        <v>4.187866728687659E-4</v>
      </c>
    </row>
    <row r="1172" spans="1:3">
      <c r="A1172" s="406">
        <f>Return!A1172</f>
        <v>44362</v>
      </c>
      <c r="B1172" s="408" t="s">
        <v>72</v>
      </c>
      <c r="C1172" s="409">
        <f>Return!L1172</f>
        <v>6.2179690377109622E-3</v>
      </c>
    </row>
    <row r="1173" spans="1:3">
      <c r="A1173" s="406">
        <f>Return!A1173</f>
        <v>44361</v>
      </c>
      <c r="B1173" s="408" t="s">
        <v>72</v>
      </c>
      <c r="C1173" s="409">
        <f>Return!L1173</f>
        <v>-3.9125293505101483E-3</v>
      </c>
    </row>
    <row r="1174" spans="1:3">
      <c r="A1174" s="406">
        <f>Return!A1174</f>
        <v>44358</v>
      </c>
      <c r="B1174" s="408" t="s">
        <v>72</v>
      </c>
      <c r="C1174" s="409">
        <f>Return!L1174</f>
        <v>2.0404103309449883E-3</v>
      </c>
    </row>
    <row r="1175" spans="1:3">
      <c r="A1175" s="406">
        <f>Return!A1175</f>
        <v>44357</v>
      </c>
      <c r="B1175" s="408" t="s">
        <v>72</v>
      </c>
      <c r="C1175" s="409">
        <f>Return!L1175</f>
        <v>-7.3466695375451452E-4</v>
      </c>
    </row>
    <row r="1176" spans="1:3">
      <c r="A1176" s="406">
        <f>Return!A1176</f>
        <v>44356</v>
      </c>
      <c r="B1176" s="408" t="s">
        <v>72</v>
      </c>
      <c r="C1176" s="409">
        <f>Return!L1176</f>
        <v>3.9479591272968146E-3</v>
      </c>
    </row>
    <row r="1177" spans="1:3">
      <c r="A1177" s="406">
        <f>Return!A1177</f>
        <v>44355</v>
      </c>
      <c r="B1177" s="408" t="s">
        <v>72</v>
      </c>
      <c r="C1177" s="409">
        <f>Return!L1177</f>
        <v>-1.6917345379863983E-3</v>
      </c>
    </row>
    <row r="1178" spans="1:3">
      <c r="A1178" s="406">
        <f>Return!A1178</f>
        <v>44354</v>
      </c>
      <c r="B1178" s="408" t="s">
        <v>72</v>
      </c>
      <c r="C1178" s="409">
        <f>Return!L1178</f>
        <v>-2.2198764754142604E-3</v>
      </c>
    </row>
    <row r="1179" spans="1:3">
      <c r="A1179" s="406">
        <f>Return!A1179</f>
        <v>44351</v>
      </c>
      <c r="B1179" s="408" t="s">
        <v>72</v>
      </c>
      <c r="C1179" s="409">
        <f>Return!L1179</f>
        <v>-2.2524612586584691E-3</v>
      </c>
    </row>
    <row r="1180" spans="1:3">
      <c r="A1180" s="406">
        <f>Return!A1180</f>
        <v>44350</v>
      </c>
      <c r="B1180" s="408" t="s">
        <v>72</v>
      </c>
      <c r="C1180" s="409">
        <f>Return!L1180</f>
        <v>-4.9734973424601977E-3</v>
      </c>
    </row>
    <row r="1181" spans="1:3">
      <c r="A1181" s="406">
        <f>Return!A1181</f>
        <v>44349</v>
      </c>
      <c r="B1181" s="408" t="s">
        <v>72</v>
      </c>
      <c r="C1181" s="409">
        <f>Return!L1181</f>
        <v>3.2798663351880945E-3</v>
      </c>
    </row>
    <row r="1182" spans="1:3">
      <c r="A1182" s="406">
        <f>Return!A1182</f>
        <v>44348</v>
      </c>
      <c r="B1182" s="408" t="s">
        <v>72</v>
      </c>
      <c r="C1182" s="409">
        <f>Return!L1182</f>
        <v>1.5478606692048195E-3</v>
      </c>
    </row>
    <row r="1183" spans="1:3">
      <c r="A1183" s="406">
        <f>Return!A1183</f>
        <v>44347</v>
      </c>
      <c r="B1183" s="408" t="s">
        <v>72</v>
      </c>
      <c r="C1183" s="409">
        <f>Return!L1183</f>
        <v>6.8529730941002207E-3</v>
      </c>
    </row>
    <row r="1184" spans="1:3">
      <c r="A1184" s="406">
        <f>Return!A1184</f>
        <v>44344</v>
      </c>
      <c r="B1184" s="408" t="s">
        <v>72</v>
      </c>
      <c r="C1184" s="409">
        <f>Return!L1184</f>
        <v>-3.5412456184558561E-4</v>
      </c>
    </row>
    <row r="1185" spans="1:3">
      <c r="A1185" s="406">
        <f>Return!A1185</f>
        <v>44343</v>
      </c>
      <c r="B1185" s="408" t="s">
        <v>72</v>
      </c>
      <c r="C1185" s="409">
        <f>Return!L1185</f>
        <v>4.1239859916910714E-3</v>
      </c>
    </row>
    <row r="1186" spans="1:3">
      <c r="A1186" s="406">
        <f>Return!A1186</f>
        <v>44342</v>
      </c>
      <c r="B1186" s="408" t="s">
        <v>72</v>
      </c>
      <c r="C1186" s="409">
        <f>Return!L1186</f>
        <v>5.6361154274166669E-3</v>
      </c>
    </row>
    <row r="1187" spans="1:3">
      <c r="A1187" s="406">
        <f>Return!A1187</f>
        <v>44341</v>
      </c>
      <c r="B1187" s="408" t="s">
        <v>72</v>
      </c>
      <c r="C1187" s="409">
        <f>Return!L1187</f>
        <v>9.9909941624457183E-4</v>
      </c>
    </row>
    <row r="1188" spans="1:3">
      <c r="A1188" s="406">
        <f>Return!A1188</f>
        <v>44340</v>
      </c>
      <c r="B1188" s="408" t="s">
        <v>72</v>
      </c>
      <c r="C1188" s="409">
        <f>Return!L1188</f>
        <v>-1.6448428004026397E-3</v>
      </c>
    </row>
    <row r="1189" spans="1:3">
      <c r="A1189" s="406">
        <f>Return!A1189</f>
        <v>44337</v>
      </c>
      <c r="B1189" s="408" t="s">
        <v>72</v>
      </c>
      <c r="C1189" s="409">
        <f>Return!L1189</f>
        <v>2.5786942267173596E-3</v>
      </c>
    </row>
    <row r="1190" spans="1:3">
      <c r="A1190" s="406">
        <f>Return!A1190</f>
        <v>44336</v>
      </c>
      <c r="B1190" s="408" t="s">
        <v>72</v>
      </c>
      <c r="C1190" s="409">
        <f>Return!L1190</f>
        <v>1.5074385914045638E-3</v>
      </c>
    </row>
    <row r="1191" spans="1:3">
      <c r="A1191" s="406">
        <f>Return!A1191</f>
        <v>44335</v>
      </c>
      <c r="B1191" s="408" t="s">
        <v>72</v>
      </c>
      <c r="C1191" s="409">
        <f>Return!L1191</f>
        <v>1.8762354179745161E-3</v>
      </c>
    </row>
    <row r="1192" spans="1:3">
      <c r="A1192" s="406">
        <f>Return!A1192</f>
        <v>44334</v>
      </c>
      <c r="B1192" s="408" t="s">
        <v>72</v>
      </c>
      <c r="C1192" s="409">
        <f>Return!L1192</f>
        <v>-5.2971432595917359E-3</v>
      </c>
    </row>
    <row r="1193" spans="1:3">
      <c r="A1193" s="406">
        <f>Return!A1193</f>
        <v>44333</v>
      </c>
      <c r="B1193" s="408" t="s">
        <v>72</v>
      </c>
      <c r="C1193" s="409">
        <f>Return!L1193</f>
        <v>2.3505706076485692E-3</v>
      </c>
    </row>
    <row r="1194" spans="1:3">
      <c r="A1194" s="406">
        <f>Return!A1194</f>
        <v>44330</v>
      </c>
      <c r="B1194" s="408" t="s">
        <v>72</v>
      </c>
      <c r="C1194" s="409">
        <f>Return!L1194</f>
        <v>-7.497786238541259E-3</v>
      </c>
    </row>
    <row r="1195" spans="1:3">
      <c r="A1195" s="406">
        <f>Return!A1195</f>
        <v>44328</v>
      </c>
      <c r="B1195" s="408" t="s">
        <v>72</v>
      </c>
      <c r="C1195" s="409">
        <f>Return!L1195</f>
        <v>3.8681786730105313E-3</v>
      </c>
    </row>
    <row r="1196" spans="1:3">
      <c r="A1196" s="406">
        <f>Return!A1196</f>
        <v>44327</v>
      </c>
      <c r="B1196" s="408" t="s">
        <v>72</v>
      </c>
      <c r="C1196" s="409">
        <f>Return!L1196</f>
        <v>1.9177756024363298E-3</v>
      </c>
    </row>
    <row r="1197" spans="1:3">
      <c r="A1197" s="406">
        <f>Return!A1197</f>
        <v>44326</v>
      </c>
      <c r="B1197" s="408" t="s">
        <v>72</v>
      </c>
      <c r="C1197" s="409">
        <f>Return!L1197</f>
        <v>6.2868072672824767E-3</v>
      </c>
    </row>
    <row r="1198" spans="1:3">
      <c r="A1198" s="406">
        <f>Return!A1198</f>
        <v>44323</v>
      </c>
      <c r="B1198" s="408" t="s">
        <v>72</v>
      </c>
      <c r="C1198" s="409">
        <f>Return!L1198</f>
        <v>1.0477805644326767E-3</v>
      </c>
    </row>
    <row r="1199" spans="1:3">
      <c r="A1199" s="406">
        <f>Return!A1199</f>
        <v>44322</v>
      </c>
      <c r="B1199" s="408" t="s">
        <v>72</v>
      </c>
      <c r="C1199" s="409">
        <f>Return!L1199</f>
        <v>2.8652377690585604E-3</v>
      </c>
    </row>
    <row r="1200" spans="1:3">
      <c r="A1200" s="406">
        <f>Return!A1200</f>
        <v>44321</v>
      </c>
      <c r="B1200" s="408" t="s">
        <v>72</v>
      </c>
      <c r="C1200" s="409">
        <f>Return!L1200</f>
        <v>3.3032610470670439E-3</v>
      </c>
    </row>
    <row r="1201" spans="1:3">
      <c r="A1201" s="406">
        <f>Return!A1201</f>
        <v>44320</v>
      </c>
      <c r="B1201" s="408" t="s">
        <v>72</v>
      </c>
      <c r="C1201" s="409">
        <f>Return!L1201</f>
        <v>6.7239040671526144E-3</v>
      </c>
    </row>
    <row r="1202" spans="1:3">
      <c r="A1202" s="406">
        <f>Return!A1202</f>
        <v>44319</v>
      </c>
      <c r="B1202" s="408" t="s">
        <v>72</v>
      </c>
      <c r="C1202" s="409">
        <f>Return!L1202</f>
        <v>2.9091762268281451E-4</v>
      </c>
    </row>
    <row r="1203" spans="1:3">
      <c r="A1203" s="406">
        <f>Return!A1203</f>
        <v>44316</v>
      </c>
      <c r="B1203" s="408" t="s">
        <v>72</v>
      </c>
      <c r="C1203" s="409">
        <f>Return!L1203</f>
        <v>-1.656567975692094E-3</v>
      </c>
    </row>
    <row r="1204" spans="1:3">
      <c r="A1204" s="406">
        <f>Return!A1204</f>
        <v>44315</v>
      </c>
      <c r="B1204" s="408" t="s">
        <v>72</v>
      </c>
      <c r="C1204" s="409">
        <f>Return!L1204</f>
        <v>-3.3290212194793975E-3</v>
      </c>
    </row>
    <row r="1205" spans="1:3">
      <c r="A1205" s="406">
        <f>Return!A1205</f>
        <v>44314</v>
      </c>
      <c r="B1205" s="408" t="s">
        <v>72</v>
      </c>
      <c r="C1205" s="409">
        <f>Return!L1205</f>
        <v>7.5810872562582024E-3</v>
      </c>
    </row>
    <row r="1206" spans="1:3">
      <c r="A1206" s="406">
        <f>Return!A1206</f>
        <v>44313</v>
      </c>
      <c r="B1206" s="408" t="s">
        <v>72</v>
      </c>
      <c r="C1206" s="409">
        <f>Return!L1206</f>
        <v>3.3046048637141675E-3</v>
      </c>
    </row>
    <row r="1207" spans="1:3">
      <c r="A1207" s="406">
        <f>Return!A1207</f>
        <v>44312</v>
      </c>
      <c r="B1207" s="408" t="s">
        <v>72</v>
      </c>
      <c r="C1207" s="409">
        <f>Return!L1207</f>
        <v>1.3865002690601771E-3</v>
      </c>
    </row>
    <row r="1208" spans="1:3">
      <c r="A1208" s="406">
        <f>Return!A1208</f>
        <v>44309</v>
      </c>
      <c r="B1208" s="408" t="s">
        <v>72</v>
      </c>
      <c r="C1208" s="409">
        <f>Return!L1208</f>
        <v>2.0727854229530281E-2</v>
      </c>
    </row>
    <row r="1209" spans="1:3">
      <c r="A1209" s="406">
        <f>Return!A1209</f>
        <v>44308</v>
      </c>
      <c r="B1209" s="408" t="s">
        <v>72</v>
      </c>
      <c r="C1209" s="409">
        <f>Return!L1209</f>
        <v>2.9710910629532654E-3</v>
      </c>
    </row>
    <row r="1210" spans="1:3">
      <c r="A1210" s="406">
        <f>Return!A1210</f>
        <v>44306</v>
      </c>
      <c r="B1210" s="408" t="s">
        <v>72</v>
      </c>
      <c r="C1210" s="409">
        <f>Return!L1210</f>
        <v>2.9734482784727562E-3</v>
      </c>
    </row>
    <row r="1211" spans="1:3">
      <c r="A1211" s="406">
        <f>Return!A1211</f>
        <v>44305</v>
      </c>
      <c r="B1211" s="408" t="s">
        <v>72</v>
      </c>
      <c r="C1211" s="409">
        <f>Return!L1211</f>
        <v>-2.1794365474805404E-3</v>
      </c>
    </row>
    <row r="1212" spans="1:3">
      <c r="A1212" s="406">
        <f>Return!A2</f>
        <v>46080</v>
      </c>
      <c r="B1212" s="408" t="s">
        <v>73</v>
      </c>
      <c r="C1212" s="409">
        <f>Return!Q2</f>
        <v>-1.3299704691976711E-2</v>
      </c>
    </row>
    <row r="1213" spans="1:3">
      <c r="A1213" s="406">
        <f>Return!A3</f>
        <v>46079</v>
      </c>
      <c r="B1213" s="408" t="s">
        <v>73</v>
      </c>
      <c r="C1213" s="409">
        <f>Return!Q3</f>
        <v>1.0822137017192174E-2</v>
      </c>
    </row>
    <row r="1214" spans="1:3">
      <c r="A1214" s="406">
        <f>Return!A4</f>
        <v>46078</v>
      </c>
      <c r="B1214" s="408" t="s">
        <v>73</v>
      </c>
      <c r="C1214" s="409">
        <f>Return!Q4</f>
        <v>1.692596579457575E-2</v>
      </c>
    </row>
    <row r="1215" spans="1:3">
      <c r="A1215" s="406">
        <f>Return!A5</f>
        <v>46077</v>
      </c>
      <c r="B1215" s="408" t="s">
        <v>73</v>
      </c>
      <c r="C1215" s="409">
        <f>Return!Q5</f>
        <v>6.4536415613028963E-4</v>
      </c>
    </row>
    <row r="1216" spans="1:3">
      <c r="A1216" s="406">
        <f>Return!A6</f>
        <v>46076</v>
      </c>
      <c r="B1216" s="408" t="s">
        <v>73</v>
      </c>
      <c r="C1216" s="409">
        <f>Return!Q6</f>
        <v>5.9338120353463735E-3</v>
      </c>
    </row>
    <row r="1217" spans="1:3">
      <c r="A1217" s="406">
        <f>Return!A7</f>
        <v>46073</v>
      </c>
      <c r="B1217" s="408" t="s">
        <v>73</v>
      </c>
      <c r="C1217" s="409">
        <f>Return!Q7</f>
        <v>1.9418118296227795E-4</v>
      </c>
    </row>
    <row r="1218" spans="1:3">
      <c r="A1218" s="406">
        <f>Return!A8</f>
        <v>46072</v>
      </c>
      <c r="B1218" s="408" t="s">
        <v>73</v>
      </c>
      <c r="C1218" s="409">
        <f>Return!Q8</f>
        <v>-3.5525102593193551E-3</v>
      </c>
    </row>
    <row r="1219" spans="1:3">
      <c r="A1219" s="406">
        <f>Return!A9</f>
        <v>46071</v>
      </c>
      <c r="B1219" s="408" t="s">
        <v>73</v>
      </c>
      <c r="C1219" s="409">
        <f>Return!Q9</f>
        <v>-2.7990656395874072E-3</v>
      </c>
    </row>
    <row r="1220" spans="1:3">
      <c r="A1220" s="406">
        <f>Return!A10</f>
        <v>46070</v>
      </c>
      <c r="B1220" s="408" t="s">
        <v>73</v>
      </c>
      <c r="C1220" s="409">
        <f>Return!Q10</f>
        <v>2.5484426906383761E-3</v>
      </c>
    </row>
    <row r="1221" spans="1:3">
      <c r="A1221" s="406">
        <f>Return!A11</f>
        <v>46069</v>
      </c>
      <c r="B1221" s="408" t="s">
        <v>73</v>
      </c>
      <c r="C1221" s="409">
        <f>Return!Q11</f>
        <v>1.1488835893894043E-2</v>
      </c>
    </row>
    <row r="1222" spans="1:3">
      <c r="A1222" s="406">
        <f>Return!A12</f>
        <v>46066</v>
      </c>
      <c r="B1222" s="408" t="s">
        <v>73</v>
      </c>
      <c r="C1222" s="409">
        <f>Return!Q12</f>
        <v>-1.3585930987975087E-2</v>
      </c>
    </row>
    <row r="1223" spans="1:3">
      <c r="A1223" s="406">
        <f>Return!A13</f>
        <v>46065</v>
      </c>
      <c r="B1223" s="408" t="s">
        <v>73</v>
      </c>
      <c r="C1223" s="409">
        <f>Return!Q13</f>
        <v>-8.4215547202432395E-4</v>
      </c>
    </row>
    <row r="1224" spans="1:3">
      <c r="A1224" s="406">
        <f>Return!A14</f>
        <v>46064</v>
      </c>
      <c r="B1224" s="408" t="s">
        <v>73</v>
      </c>
      <c r="C1224" s="409">
        <f>Return!Q14</f>
        <v>9.3939503822468989E-3</v>
      </c>
    </row>
    <row r="1225" spans="1:3">
      <c r="A1225" s="406">
        <f>Return!A15</f>
        <v>46063</v>
      </c>
      <c r="B1225" s="408" t="s">
        <v>73</v>
      </c>
      <c r="C1225" s="409">
        <f>Return!Q15</f>
        <v>-1.305597444281948E-2</v>
      </c>
    </row>
    <row r="1226" spans="1:3">
      <c r="A1226" s="406">
        <f>Return!A16</f>
        <v>46062</v>
      </c>
      <c r="B1226" s="408" t="s">
        <v>73</v>
      </c>
      <c r="C1226" s="409">
        <f>Return!Q16</f>
        <v>1.5494813512964847E-2</v>
      </c>
    </row>
    <row r="1227" spans="1:3">
      <c r="A1227" s="406">
        <f>Return!A17</f>
        <v>46059</v>
      </c>
      <c r="B1227" s="408" t="s">
        <v>73</v>
      </c>
      <c r="C1227" s="409">
        <f>Return!Q17</f>
        <v>-4.6804844734833874E-3</v>
      </c>
    </row>
    <row r="1228" spans="1:3">
      <c r="A1228" s="406">
        <f>Return!A18</f>
        <v>46058</v>
      </c>
      <c r="B1228" s="408" t="s">
        <v>73</v>
      </c>
      <c r="C1228" s="409">
        <f>Return!Q18</f>
        <v>-7.8715990704683733E-4</v>
      </c>
    </row>
    <row r="1229" spans="1:3">
      <c r="A1229" s="406">
        <f>Return!A19</f>
        <v>46057</v>
      </c>
      <c r="B1229" s="408" t="s">
        <v>73</v>
      </c>
      <c r="C1229" s="409">
        <f>Return!Q19</f>
        <v>-2.5911446678400464E-3</v>
      </c>
    </row>
    <row r="1230" spans="1:3">
      <c r="A1230" s="406">
        <f>Return!A20</f>
        <v>46056</v>
      </c>
      <c r="B1230" s="408" t="s">
        <v>73</v>
      </c>
      <c r="C1230" s="409">
        <f>Return!Q20</f>
        <v>2.6435150186529859E-2</v>
      </c>
    </row>
    <row r="1231" spans="1:3">
      <c r="A1231" s="406">
        <f>Return!A21</f>
        <v>46055</v>
      </c>
      <c r="B1231" s="408" t="s">
        <v>73</v>
      </c>
      <c r="C1231" s="409">
        <f>Return!Q21</f>
        <v>-2.6182693661695503E-3</v>
      </c>
    </row>
    <row r="1232" spans="1:3">
      <c r="A1232" s="406">
        <f>Return!A22</f>
        <v>46054</v>
      </c>
      <c r="B1232" s="408" t="s">
        <v>73</v>
      </c>
      <c r="C1232" s="409">
        <f>Return!Q22</f>
        <v>-1.1466928867725004E-2</v>
      </c>
    </row>
    <row r="1233" spans="1:3">
      <c r="A1233" s="406">
        <f>Return!A23</f>
        <v>46052</v>
      </c>
      <c r="B1233" s="408" t="s">
        <v>73</v>
      </c>
      <c r="C1233" s="409">
        <f>Return!Q23</f>
        <v>1.0957992370112692E-2</v>
      </c>
    </row>
    <row r="1234" spans="1:3">
      <c r="A1234" s="406">
        <f>Return!A24</f>
        <v>46051</v>
      </c>
      <c r="B1234" s="408" t="s">
        <v>73</v>
      </c>
      <c r="C1234" s="409">
        <f>Return!Q24</f>
        <v>-7.7680671660677941E-3</v>
      </c>
    </row>
    <row r="1235" spans="1:3">
      <c r="A1235" s="406">
        <f>Return!A25</f>
        <v>46050</v>
      </c>
      <c r="B1235" s="408" t="s">
        <v>73</v>
      </c>
      <c r="C1235" s="409">
        <f>Return!Q25</f>
        <v>-8.0827317859560269E-4</v>
      </c>
    </row>
    <row r="1236" spans="1:3">
      <c r="A1236" s="406">
        <f>Return!A26</f>
        <v>46049</v>
      </c>
      <c r="B1236" s="408" t="s">
        <v>73</v>
      </c>
      <c r="C1236" s="409">
        <f>Return!Q26</f>
        <v>3.3547833509855992E-3</v>
      </c>
    </row>
    <row r="1237" spans="1:3">
      <c r="A1237" s="406">
        <f>Return!A27</f>
        <v>46045</v>
      </c>
      <c r="B1237" s="408" t="s">
        <v>73</v>
      </c>
      <c r="C1237" s="409">
        <f>Return!Q27</f>
        <v>-8.4125877408761929E-3</v>
      </c>
    </row>
    <row r="1238" spans="1:3">
      <c r="A1238" s="406">
        <f>Return!A28</f>
        <v>46044</v>
      </c>
      <c r="B1238" s="408" t="s">
        <v>73</v>
      </c>
      <c r="C1238" s="409">
        <f>Return!Q28</f>
        <v>1.7520833826046581E-2</v>
      </c>
    </row>
    <row r="1239" spans="1:3">
      <c r="A1239" s="406">
        <f>Return!A29</f>
        <v>46043</v>
      </c>
      <c r="B1239" s="408" t="s">
        <v>73</v>
      </c>
      <c r="C1239" s="409">
        <f>Return!Q29</f>
        <v>-5.3959553779734494E-3</v>
      </c>
    </row>
    <row r="1240" spans="1:3">
      <c r="A1240" s="406">
        <f>Return!A30</f>
        <v>46042</v>
      </c>
      <c r="B1240" s="408" t="s">
        <v>73</v>
      </c>
      <c r="C1240" s="409">
        <f>Return!Q30</f>
        <v>-1.3652859964606705E-2</v>
      </c>
    </row>
    <row r="1241" spans="1:3">
      <c r="A1241" s="406">
        <f>Return!A31</f>
        <v>46041</v>
      </c>
      <c r="B1241" s="408" t="s">
        <v>73</v>
      </c>
      <c r="C1241" s="409">
        <f>Return!Q31</f>
        <v>-1.4250416016045831E-3</v>
      </c>
    </row>
    <row r="1242" spans="1:3">
      <c r="A1242" s="406">
        <f>Return!A32</f>
        <v>46038</v>
      </c>
      <c r="B1242" s="408" t="s">
        <v>73</v>
      </c>
      <c r="C1242" s="409">
        <f>Return!Q32</f>
        <v>-1.1893798132783606E-2</v>
      </c>
    </row>
    <row r="1243" spans="1:3">
      <c r="A1243" s="406">
        <f>Return!A33</f>
        <v>46036</v>
      </c>
      <c r="B1243" s="408" t="s">
        <v>73</v>
      </c>
      <c r="C1243" s="409">
        <f>Return!Q33</f>
        <v>-4.1727414079848514E-3</v>
      </c>
    </row>
    <row r="1244" spans="1:3">
      <c r="A1244" s="406">
        <f>Return!A34</f>
        <v>46035</v>
      </c>
      <c r="B1244" s="408" t="s">
        <v>73</v>
      </c>
      <c r="C1244" s="409">
        <f>Return!Q34</f>
        <v>-7.07566102339959E-3</v>
      </c>
    </row>
    <row r="1245" spans="1:3">
      <c r="A1245" s="406">
        <f>Return!A35</f>
        <v>46034</v>
      </c>
      <c r="B1245" s="408" t="s">
        <v>73</v>
      </c>
      <c r="C1245" s="409">
        <f>Return!Q35</f>
        <v>-1.3279311344973782E-3</v>
      </c>
    </row>
    <row r="1246" spans="1:3">
      <c r="A1246" s="406">
        <f>Return!A36</f>
        <v>46031</v>
      </c>
      <c r="B1246" s="408" t="s">
        <v>73</v>
      </c>
      <c r="C1246" s="409">
        <f>Return!Q36</f>
        <v>-4.2244018409341739E-3</v>
      </c>
    </row>
    <row r="1247" spans="1:3">
      <c r="A1247" s="406">
        <f>Return!A37</f>
        <v>46030</v>
      </c>
      <c r="B1247" s="408" t="s">
        <v>73</v>
      </c>
      <c r="C1247" s="409">
        <f>Return!Q37</f>
        <v>-1.4799672280779972E-2</v>
      </c>
    </row>
    <row r="1248" spans="1:3">
      <c r="A1248" s="406">
        <f>Return!A38</f>
        <v>46029</v>
      </c>
      <c r="B1248" s="408" t="s">
        <v>73</v>
      </c>
      <c r="C1248" s="409">
        <f>Return!Q38</f>
        <v>5.652465093992573E-5</v>
      </c>
    </row>
    <row r="1249" spans="1:3">
      <c r="A1249" s="406">
        <f>Return!A39</f>
        <v>46028</v>
      </c>
      <c r="B1249" s="408" t="s">
        <v>73</v>
      </c>
      <c r="C1249" s="409">
        <f>Return!Q39</f>
        <v>1.6234517233136396E-2</v>
      </c>
    </row>
    <row r="1250" spans="1:3">
      <c r="A1250" s="406">
        <f>Return!A40</f>
        <v>46027</v>
      </c>
      <c r="B1250" s="408" t="s">
        <v>73</v>
      </c>
      <c r="C1250" s="409">
        <f>Return!Q40</f>
        <v>-2.2130411003104138E-3</v>
      </c>
    </row>
    <row r="1251" spans="1:3">
      <c r="A1251" s="406">
        <f>Return!A41</f>
        <v>46024</v>
      </c>
      <c r="B1251" s="408" t="s">
        <v>73</v>
      </c>
      <c r="C1251" s="409">
        <f>Return!Q41</f>
        <v>7.0955920163527425E-3</v>
      </c>
    </row>
    <row r="1252" spans="1:3">
      <c r="A1252" s="406">
        <f>Return!A42</f>
        <v>46023</v>
      </c>
      <c r="B1252" s="408" t="s">
        <v>73</v>
      </c>
      <c r="C1252" s="409">
        <f>Return!Q42</f>
        <v>-5.0457357532759572E-3</v>
      </c>
    </row>
    <row r="1253" spans="1:3">
      <c r="A1253" s="406">
        <f>Return!A43</f>
        <v>46022</v>
      </c>
      <c r="B1253" s="408" t="s">
        <v>73</v>
      </c>
      <c r="C1253" s="409">
        <f>Return!Q43</f>
        <v>6.3976863913544199E-3</v>
      </c>
    </row>
    <row r="1254" spans="1:3">
      <c r="A1254" s="406">
        <f>Return!A44</f>
        <v>46021</v>
      </c>
      <c r="B1254" s="408" t="s">
        <v>73</v>
      </c>
      <c r="C1254" s="409">
        <f>Return!Q44</f>
        <v>-3.7593512354869144E-3</v>
      </c>
    </row>
    <row r="1255" spans="1:3">
      <c r="A1255" s="406">
        <f>Return!A45</f>
        <v>46020</v>
      </c>
      <c r="B1255" s="408" t="s">
        <v>73</v>
      </c>
      <c r="C1255" s="409">
        <f>Return!Q45</f>
        <v>-5.1718844034358679E-3</v>
      </c>
    </row>
    <row r="1256" spans="1:3">
      <c r="A1256" s="406">
        <f>Return!A46</f>
        <v>46017</v>
      </c>
      <c r="B1256" s="408" t="s">
        <v>73</v>
      </c>
      <c r="C1256" s="409">
        <f>Return!Q46</f>
        <v>-1.2691071468144191E-3</v>
      </c>
    </row>
    <row r="1257" spans="1:3">
      <c r="A1257" s="406">
        <f>Return!A47</f>
        <v>46015</v>
      </c>
      <c r="B1257" s="408" t="s">
        <v>73</v>
      </c>
      <c r="C1257" s="409">
        <f>Return!Q47</f>
        <v>-5.1036392566395482E-3</v>
      </c>
    </row>
    <row r="1258" spans="1:3">
      <c r="A1258" s="406">
        <f>Return!A48</f>
        <v>46014</v>
      </c>
      <c r="B1258" s="408" t="s">
        <v>73</v>
      </c>
      <c r="C1258" s="409">
        <f>Return!Q48</f>
        <v>-2.2315833744627899E-3</v>
      </c>
    </row>
    <row r="1259" spans="1:3">
      <c r="A1259" s="406">
        <f>Return!A49</f>
        <v>46013</v>
      </c>
      <c r="B1259" s="408" t="s">
        <v>73</v>
      </c>
      <c r="C1259" s="409">
        <f>Return!Q49</f>
        <v>2.9288997857121551E-3</v>
      </c>
    </row>
    <row r="1260" spans="1:3">
      <c r="A1260" s="406">
        <f>Return!A50</f>
        <v>46010</v>
      </c>
      <c r="B1260" s="408" t="s">
        <v>73</v>
      </c>
      <c r="C1260" s="409">
        <f>Return!Q50</f>
        <v>6.4073621245513577E-3</v>
      </c>
    </row>
    <row r="1261" spans="1:3">
      <c r="A1261" s="406">
        <f>Return!A51</f>
        <v>46009</v>
      </c>
      <c r="B1261" s="408" t="s">
        <v>73</v>
      </c>
      <c r="C1261" s="409">
        <f>Return!Q51</f>
        <v>3.4526181914260815E-4</v>
      </c>
    </row>
    <row r="1262" spans="1:3">
      <c r="A1262" s="406">
        <f>Return!A52</f>
        <v>46008</v>
      </c>
      <c r="B1262" s="408" t="s">
        <v>73</v>
      </c>
      <c r="C1262" s="409">
        <f>Return!Q52</f>
        <v>7.2892833678188254E-4</v>
      </c>
    </row>
    <row r="1263" spans="1:3">
      <c r="A1263" s="406">
        <f>Return!A53</f>
        <v>46007</v>
      </c>
      <c r="B1263" s="408" t="s">
        <v>73</v>
      </c>
      <c r="C1263" s="409">
        <f>Return!Q53</f>
        <v>-3.8913952231342326E-3</v>
      </c>
    </row>
    <row r="1264" spans="1:3">
      <c r="A1264" s="406">
        <f>Return!A54</f>
        <v>46006</v>
      </c>
      <c r="B1264" s="408" t="s">
        <v>73</v>
      </c>
      <c r="C1264" s="409">
        <f>Return!Q54</f>
        <v>-4.8963107179159819E-3</v>
      </c>
    </row>
    <row r="1265" spans="1:3">
      <c r="A1265" s="406">
        <f>Return!A55</f>
        <v>46003</v>
      </c>
      <c r="B1265" s="408" t="s">
        <v>73</v>
      </c>
      <c r="C1265" s="409">
        <f>Return!Q55</f>
        <v>4.488598221696157E-3</v>
      </c>
    </row>
    <row r="1266" spans="1:3">
      <c r="A1266" s="406">
        <f>Return!A56</f>
        <v>46002</v>
      </c>
      <c r="B1266" s="408" t="s">
        <v>73</v>
      </c>
      <c r="C1266" s="409">
        <f>Return!Q56</f>
        <v>9.3894803781239978E-3</v>
      </c>
    </row>
    <row r="1267" spans="1:3">
      <c r="A1267" s="406">
        <f>Return!A57</f>
        <v>46001</v>
      </c>
      <c r="B1267" s="408" t="s">
        <v>73</v>
      </c>
      <c r="C1267" s="409">
        <f>Return!Q57</f>
        <v>1.213303501807965E-3</v>
      </c>
    </row>
    <row r="1268" spans="1:3">
      <c r="A1268" s="406">
        <f>Return!A58</f>
        <v>46000</v>
      </c>
      <c r="B1268" s="408" t="s">
        <v>73</v>
      </c>
      <c r="C1268" s="409">
        <f>Return!Q58</f>
        <v>-7.6369260673241502E-3</v>
      </c>
    </row>
    <row r="1269" spans="1:3">
      <c r="A1269" s="406">
        <f>Return!A59</f>
        <v>45999</v>
      </c>
      <c r="B1269" s="408" t="s">
        <v>73</v>
      </c>
      <c r="C1269" s="409">
        <f>Return!Q59</f>
        <v>-1.3608291227673231E-2</v>
      </c>
    </row>
    <row r="1270" spans="1:3">
      <c r="A1270" s="406">
        <f>Return!A60</f>
        <v>45996</v>
      </c>
      <c r="B1270" s="408" t="s">
        <v>73</v>
      </c>
      <c r="C1270" s="409">
        <f>Return!Q60</f>
        <v>-1.457817330003385E-3</v>
      </c>
    </row>
    <row r="1271" spans="1:3">
      <c r="A1271" s="406">
        <f>Return!A61</f>
        <v>45995</v>
      </c>
      <c r="B1271" s="408" t="s">
        <v>73</v>
      </c>
      <c r="C1271" s="409">
        <f>Return!Q61</f>
        <v>4.6095287183371718E-3</v>
      </c>
    </row>
    <row r="1272" spans="1:3">
      <c r="A1272" s="406">
        <f>Return!A62</f>
        <v>45994</v>
      </c>
      <c r="B1272" s="408" t="s">
        <v>73</v>
      </c>
      <c r="C1272" s="409">
        <f>Return!Q62</f>
        <v>-1.6974372396410691E-3</v>
      </c>
    </row>
    <row r="1273" spans="1:3">
      <c r="A1273" s="406">
        <f>Return!A63</f>
        <v>45993</v>
      </c>
      <c r="B1273" s="408" t="s">
        <v>73</v>
      </c>
      <c r="C1273" s="409">
        <f>Return!Q63</f>
        <v>3.3310749046401567E-4</v>
      </c>
    </row>
    <row r="1274" spans="1:3">
      <c r="A1274" s="406">
        <f>Return!A64</f>
        <v>45992</v>
      </c>
      <c r="B1274" s="408" t="s">
        <v>73</v>
      </c>
      <c r="C1274" s="409">
        <f>Return!Q64</f>
        <v>-6.2837039484110466E-3</v>
      </c>
    </row>
    <row r="1275" spans="1:3">
      <c r="A1275" s="406">
        <f>Return!A65</f>
        <v>45989</v>
      </c>
      <c r="B1275" s="408" t="s">
        <v>73</v>
      </c>
      <c r="C1275" s="409">
        <f>Return!Q65</f>
        <v>3.8142298050525296E-3</v>
      </c>
    </row>
    <row r="1276" spans="1:3">
      <c r="A1276" s="406">
        <f>Return!A66</f>
        <v>45988</v>
      </c>
      <c r="B1276" s="408" t="s">
        <v>73</v>
      </c>
      <c r="C1276" s="409">
        <f>Return!Q66</f>
        <v>-2.4517898870152167E-3</v>
      </c>
    </row>
    <row r="1277" spans="1:3">
      <c r="A1277" s="406">
        <f>Return!A67</f>
        <v>45987</v>
      </c>
      <c r="B1277" s="408" t="s">
        <v>73</v>
      </c>
      <c r="C1277" s="409">
        <f>Return!Q67</f>
        <v>1.119521505635168E-2</v>
      </c>
    </row>
    <row r="1278" spans="1:3">
      <c r="A1278" s="406">
        <f>Return!A68</f>
        <v>45986</v>
      </c>
      <c r="B1278" s="408" t="s">
        <v>73</v>
      </c>
      <c r="C1278" s="409">
        <f>Return!Q68</f>
        <v>7.8976104709676531E-3</v>
      </c>
    </row>
    <row r="1279" spans="1:3">
      <c r="A1279" s="406">
        <f>Return!A69</f>
        <v>45985</v>
      </c>
      <c r="B1279" s="408" t="s">
        <v>73</v>
      </c>
      <c r="C1279" s="409">
        <f>Return!Q69</f>
        <v>-5.2320638931726907E-3</v>
      </c>
    </row>
    <row r="1280" spans="1:3">
      <c r="A1280" s="406">
        <f>Return!A70</f>
        <v>45982</v>
      </c>
      <c r="B1280" s="408" t="s">
        <v>73</v>
      </c>
      <c r="C1280" s="409">
        <f>Return!Q70</f>
        <v>-4.5112340719233035E-3</v>
      </c>
    </row>
    <row r="1281" spans="1:3">
      <c r="A1281" s="406">
        <f>Return!A71</f>
        <v>45981</v>
      </c>
      <c r="B1281" s="408" t="s">
        <v>73</v>
      </c>
      <c r="C1281" s="409">
        <f>Return!Q71</f>
        <v>-4.0470159018622682E-3</v>
      </c>
    </row>
    <row r="1282" spans="1:3">
      <c r="A1282" s="406">
        <f>Return!A72</f>
        <v>45980</v>
      </c>
      <c r="B1282" s="408" t="s">
        <v>73</v>
      </c>
      <c r="C1282" s="409">
        <f>Return!Q72</f>
        <v>8.07769295130776E-4</v>
      </c>
    </row>
    <row r="1283" spans="1:3">
      <c r="A1283" s="406">
        <f>Return!A73</f>
        <v>45979</v>
      </c>
      <c r="B1283" s="408" t="s">
        <v>73</v>
      </c>
      <c r="C1283" s="409">
        <f>Return!Q73</f>
        <v>-4.2305634451213145E-3</v>
      </c>
    </row>
    <row r="1284" spans="1:3">
      <c r="A1284" s="406">
        <f>Return!A74</f>
        <v>45978</v>
      </c>
      <c r="B1284" s="408" t="s">
        <v>73</v>
      </c>
      <c r="C1284" s="409">
        <f>Return!Q74</f>
        <v>2.5191796547695158E-4</v>
      </c>
    </row>
    <row r="1285" spans="1:3">
      <c r="A1285" s="406">
        <f>Return!A75</f>
        <v>45975</v>
      </c>
      <c r="B1285" s="408" t="s">
        <v>73</v>
      </c>
      <c r="C1285" s="409">
        <f>Return!Q75</f>
        <v>2.3677486666324001E-3</v>
      </c>
    </row>
    <row r="1286" spans="1:3">
      <c r="A1286" s="406">
        <f>Return!A76</f>
        <v>45974</v>
      </c>
      <c r="B1286" s="408" t="s">
        <v>73</v>
      </c>
      <c r="C1286" s="409">
        <f>Return!Q76</f>
        <v>4.7503205485931888E-3</v>
      </c>
    </row>
    <row r="1287" spans="1:3">
      <c r="A1287" s="406">
        <f>Return!A77</f>
        <v>45973</v>
      </c>
      <c r="B1287" s="408" t="s">
        <v>73</v>
      </c>
      <c r="C1287" s="409">
        <f>Return!Q77</f>
        <v>9.1183686089677963E-3</v>
      </c>
    </row>
    <row r="1288" spans="1:3">
      <c r="A1288" s="406">
        <f>Return!A78</f>
        <v>45972</v>
      </c>
      <c r="B1288" s="408" t="s">
        <v>73</v>
      </c>
      <c r="C1288" s="409">
        <f>Return!Q78</f>
        <v>1.2955259530007281E-3</v>
      </c>
    </row>
    <row r="1289" spans="1:3">
      <c r="A1289" s="406">
        <f>Return!A79</f>
        <v>45971</v>
      </c>
      <c r="B1289" s="408" t="s">
        <v>73</v>
      </c>
      <c r="C1289" s="409">
        <f>Return!Q79</f>
        <v>1.0971169958164859E-2</v>
      </c>
    </row>
    <row r="1290" spans="1:3">
      <c r="A1290" s="406">
        <f>Return!A80</f>
        <v>45968</v>
      </c>
      <c r="B1290" s="408" t="s">
        <v>73</v>
      </c>
      <c r="C1290" s="409">
        <f>Return!Q80</f>
        <v>-4.1158037613435623E-3</v>
      </c>
    </row>
    <row r="1291" spans="1:3">
      <c r="A1291" s="406">
        <f>Return!A81</f>
        <v>45967</v>
      </c>
      <c r="B1291" s="408" t="s">
        <v>73</v>
      </c>
      <c r="C1291" s="409">
        <f>Return!Q81</f>
        <v>-5.4417363764899408E-3</v>
      </c>
    </row>
    <row r="1292" spans="1:3">
      <c r="A1292" s="406">
        <f>Return!A82</f>
        <v>45965</v>
      </c>
      <c r="B1292" s="408" t="s">
        <v>73</v>
      </c>
      <c r="C1292" s="409">
        <f>Return!Q82</f>
        <v>-1.5499155209172449E-3</v>
      </c>
    </row>
    <row r="1293" spans="1:3">
      <c r="A1293" s="406">
        <f>Return!A83</f>
        <v>45964</v>
      </c>
      <c r="B1293" s="408" t="s">
        <v>73</v>
      </c>
      <c r="C1293" s="409">
        <f>Return!Q83</f>
        <v>7.6378017718827171E-3</v>
      </c>
    </row>
    <row r="1294" spans="1:3">
      <c r="A1294" s="406">
        <f>Return!A84</f>
        <v>45961</v>
      </c>
      <c r="B1294" s="408" t="s">
        <v>73</v>
      </c>
      <c r="C1294" s="409">
        <f>Return!Q84</f>
        <v>-1.0080367160841522E-3</v>
      </c>
    </row>
    <row r="1295" spans="1:3">
      <c r="A1295" s="406">
        <f>Return!A85</f>
        <v>45960</v>
      </c>
      <c r="B1295" s="408" t="s">
        <v>73</v>
      </c>
      <c r="C1295" s="409">
        <f>Return!Q85</f>
        <v>-1.2609616733165029E-2</v>
      </c>
    </row>
    <row r="1296" spans="1:3">
      <c r="A1296" s="406">
        <f>Return!A86</f>
        <v>45959</v>
      </c>
      <c r="B1296" s="408" t="s">
        <v>73</v>
      </c>
      <c r="C1296" s="409">
        <f>Return!Q86</f>
        <v>1.7126418936150895E-3</v>
      </c>
    </row>
    <row r="1297" spans="1:3">
      <c r="A1297" s="406">
        <f>Return!A87</f>
        <v>45958</v>
      </c>
      <c r="B1297" s="408" t="s">
        <v>73</v>
      </c>
      <c r="C1297" s="409">
        <f>Return!Q87</f>
        <v>-1.6595519169924338E-3</v>
      </c>
    </row>
    <row r="1298" spans="1:3">
      <c r="A1298" s="406">
        <f>Return!A88</f>
        <v>45957</v>
      </c>
      <c r="B1298" s="408" t="s">
        <v>73</v>
      </c>
      <c r="C1298" s="409">
        <f>Return!Q88</f>
        <v>-1.3062032404413657E-3</v>
      </c>
    </row>
    <row r="1299" spans="1:3">
      <c r="A1299" s="406">
        <f>Return!A89</f>
        <v>45954</v>
      </c>
      <c r="B1299" s="408" t="s">
        <v>73</v>
      </c>
      <c r="C1299" s="409">
        <f>Return!Q89</f>
        <v>-8.0067025188408115E-3</v>
      </c>
    </row>
    <row r="1300" spans="1:3">
      <c r="A1300" s="406">
        <f>Return!A90</f>
        <v>45953</v>
      </c>
      <c r="B1300" s="408" t="s">
        <v>73</v>
      </c>
      <c r="C1300" s="409">
        <f>Return!Q90</f>
        <v>-3.0905306093919455E-3</v>
      </c>
    </row>
    <row r="1301" spans="1:3">
      <c r="A1301" s="406">
        <f>Return!A91</f>
        <v>45951</v>
      </c>
      <c r="B1301" s="408" t="s">
        <v>73</v>
      </c>
      <c r="C1301" s="409">
        <f>Return!Q91</f>
        <v>3.0382131866046711E-3</v>
      </c>
    </row>
    <row r="1302" spans="1:3">
      <c r="A1302" s="406">
        <f>Return!A92</f>
        <v>45950</v>
      </c>
      <c r="B1302" s="408" t="s">
        <v>73</v>
      </c>
      <c r="C1302" s="409">
        <f>Return!Q92</f>
        <v>9.5611184480744339E-3</v>
      </c>
    </row>
    <row r="1303" spans="1:3">
      <c r="A1303" s="406">
        <f>Return!A93</f>
        <v>45947</v>
      </c>
      <c r="B1303" s="408" t="s">
        <v>73</v>
      </c>
      <c r="C1303" s="409">
        <f>Return!Q93</f>
        <v>4.2229893136596997E-3</v>
      </c>
    </row>
    <row r="1304" spans="1:3">
      <c r="A1304" s="406">
        <f>Return!A94</f>
        <v>45946</v>
      </c>
      <c r="B1304" s="408" t="s">
        <v>73</v>
      </c>
      <c r="C1304" s="409">
        <f>Return!Q94</f>
        <v>2.6348531750649685E-3</v>
      </c>
    </row>
    <row r="1305" spans="1:3">
      <c r="A1305" s="406">
        <f>Return!A95</f>
        <v>45945</v>
      </c>
      <c r="B1305" s="408" t="s">
        <v>73</v>
      </c>
      <c r="C1305" s="409">
        <f>Return!Q95</f>
        <v>4.7347965671291599E-4</v>
      </c>
    </row>
    <row r="1306" spans="1:3">
      <c r="A1306" s="406">
        <f>Return!A96</f>
        <v>45944</v>
      </c>
      <c r="B1306" s="408" t="s">
        <v>73</v>
      </c>
      <c r="C1306" s="409">
        <f>Return!Q96</f>
        <v>-6.7041243965108516E-3</v>
      </c>
    </row>
    <row r="1307" spans="1:3">
      <c r="A1307" s="406">
        <f>Return!A97</f>
        <v>45943</v>
      </c>
      <c r="B1307" s="408" t="s">
        <v>73</v>
      </c>
      <c r="C1307" s="409">
        <f>Return!Q97</f>
        <v>-2.0749544826909909E-3</v>
      </c>
    </row>
    <row r="1308" spans="1:3">
      <c r="A1308" s="406">
        <f>Return!A98</f>
        <v>45940</v>
      </c>
      <c r="B1308" s="408" t="s">
        <v>73</v>
      </c>
      <c r="C1308" s="409">
        <f>Return!Q98</f>
        <v>8.5943483126934214E-3</v>
      </c>
    </row>
    <row r="1309" spans="1:3">
      <c r="A1309" s="406">
        <f>Return!A99</f>
        <v>45939</v>
      </c>
      <c r="B1309" s="408" t="s">
        <v>73</v>
      </c>
      <c r="C1309" s="409">
        <f>Return!Q99</f>
        <v>8.0891352869832938E-3</v>
      </c>
    </row>
    <row r="1310" spans="1:3">
      <c r="A1310" s="406">
        <f>Return!A100</f>
        <v>45938</v>
      </c>
      <c r="B1310" s="408" t="s">
        <v>73</v>
      </c>
      <c r="C1310" s="409">
        <f>Return!Q100</f>
        <v>8.0862827722545157E-3</v>
      </c>
    </row>
    <row r="1311" spans="1:3">
      <c r="A1311" s="406">
        <f>Return!A101</f>
        <v>45937</v>
      </c>
      <c r="B1311" s="408" t="s">
        <v>73</v>
      </c>
      <c r="C1311" s="409">
        <f>Return!Q101</f>
        <v>-4.0380303769029955E-3</v>
      </c>
    </row>
    <row r="1312" spans="1:3">
      <c r="A1312" s="406">
        <f>Return!A102</f>
        <v>45936</v>
      </c>
      <c r="B1312" s="408" t="s">
        <v>73</v>
      </c>
      <c r="C1312" s="409">
        <f>Return!Q102</f>
        <v>2.8265213492374664E-3</v>
      </c>
    </row>
    <row r="1313" spans="1:3">
      <c r="A1313" s="406">
        <f>Return!A103</f>
        <v>45933</v>
      </c>
      <c r="B1313" s="408" t="s">
        <v>73</v>
      </c>
      <c r="C1313" s="409">
        <f>Return!Q103</f>
        <v>-2.2498780547808538E-3</v>
      </c>
    </row>
    <row r="1314" spans="1:3">
      <c r="A1314" s="406">
        <f>Return!A104</f>
        <v>45931</v>
      </c>
      <c r="B1314" s="408" t="s">
        <v>73</v>
      </c>
      <c r="C1314" s="409">
        <f>Return!Q104</f>
        <v>9.4651711382713784E-3</v>
      </c>
    </row>
    <row r="1315" spans="1:3">
      <c r="A1315" s="406">
        <f>Return!A105</f>
        <v>45930</v>
      </c>
      <c r="B1315" s="408" t="s">
        <v>73</v>
      </c>
      <c r="C1315" s="409">
        <f>Return!Q105</f>
        <v>-1.9788618857770985E-3</v>
      </c>
    </row>
    <row r="1316" spans="1:3">
      <c r="A1316" s="406">
        <f>Return!A106</f>
        <v>45929</v>
      </c>
      <c r="B1316" s="408" t="s">
        <v>73</v>
      </c>
      <c r="C1316" s="409">
        <f>Return!Q106</f>
        <v>4.5418248301514206E-3</v>
      </c>
    </row>
    <row r="1317" spans="1:3">
      <c r="A1317" s="406">
        <f>Return!A107</f>
        <v>45926</v>
      </c>
      <c r="B1317" s="408" t="s">
        <v>73</v>
      </c>
      <c r="C1317" s="409">
        <f>Return!Q107</f>
        <v>-1.108394880322267E-2</v>
      </c>
    </row>
    <row r="1318" spans="1:3">
      <c r="A1318" s="406">
        <f>Return!A108</f>
        <v>45925</v>
      </c>
      <c r="B1318" s="408" t="s">
        <v>73</v>
      </c>
      <c r="C1318" s="409">
        <f>Return!Q108</f>
        <v>-1.117678703009297E-2</v>
      </c>
    </row>
    <row r="1319" spans="1:3">
      <c r="A1319" s="406">
        <f>Return!A109</f>
        <v>45924</v>
      </c>
      <c r="B1319" s="408" t="s">
        <v>73</v>
      </c>
      <c r="C1319" s="409">
        <f>Return!Q109</f>
        <v>-7.8290758466752468E-3</v>
      </c>
    </row>
    <row r="1320" spans="1:3">
      <c r="A1320" s="406">
        <f>Return!A110</f>
        <v>45923</v>
      </c>
      <c r="B1320" s="408" t="s">
        <v>73</v>
      </c>
      <c r="C1320" s="409">
        <f>Return!Q110</f>
        <v>-1.4702519477480438E-3</v>
      </c>
    </row>
    <row r="1321" spans="1:3">
      <c r="A1321" s="406">
        <f>Return!A111</f>
        <v>45922</v>
      </c>
      <c r="B1321" s="408" t="s">
        <v>73</v>
      </c>
      <c r="C1321" s="409">
        <f>Return!Q111</f>
        <v>-7.0062749759614634E-3</v>
      </c>
    </row>
    <row r="1322" spans="1:3">
      <c r="A1322" s="406">
        <f>Return!A112</f>
        <v>45919</v>
      </c>
      <c r="B1322" s="408" t="s">
        <v>73</v>
      </c>
      <c r="C1322" s="409">
        <f>Return!Q112</f>
        <v>-5.955579668080118E-3</v>
      </c>
    </row>
    <row r="1323" spans="1:3">
      <c r="A1323" s="406">
        <f>Return!A113</f>
        <v>45918</v>
      </c>
      <c r="B1323" s="408" t="s">
        <v>73</v>
      </c>
      <c r="C1323" s="409">
        <f>Return!Q113</f>
        <v>7.35256364662695E-4</v>
      </c>
    </row>
    <row r="1324" spans="1:3">
      <c r="A1324" s="406">
        <f>Return!A114</f>
        <v>45917</v>
      </c>
      <c r="B1324" s="408" t="s">
        <v>73</v>
      </c>
      <c r="C1324" s="409">
        <f>Return!Q114</f>
        <v>6.8724132134692214E-3</v>
      </c>
    </row>
    <row r="1325" spans="1:3">
      <c r="A1325" s="406">
        <f>Return!A115</f>
        <v>45916</v>
      </c>
      <c r="B1325" s="408" t="s">
        <v>73</v>
      </c>
      <c r="C1325" s="409">
        <f>Return!Q115</f>
        <v>2.7047931230937861E-3</v>
      </c>
    </row>
    <row r="1326" spans="1:3">
      <c r="A1326" s="406">
        <f>Return!A116</f>
        <v>45915</v>
      </c>
      <c r="B1326" s="408" t="s">
        <v>73</v>
      </c>
      <c r="C1326" s="409">
        <f>Return!Q116</f>
        <v>-1.4164721489107858E-3</v>
      </c>
    </row>
    <row r="1327" spans="1:3">
      <c r="A1327" s="406">
        <f>Return!A117</f>
        <v>45912</v>
      </c>
      <c r="B1327" s="408" t="s">
        <v>73</v>
      </c>
      <c r="C1327" s="409">
        <f>Return!Q117</f>
        <v>2.1203293683520743E-3</v>
      </c>
    </row>
    <row r="1328" spans="1:3">
      <c r="A1328" s="406">
        <f>Return!A118</f>
        <v>45911</v>
      </c>
      <c r="B1328" s="408" t="s">
        <v>73</v>
      </c>
      <c r="C1328" s="409">
        <f>Return!Q118</f>
        <v>-1.4244648132762976E-4</v>
      </c>
    </row>
    <row r="1329" spans="1:3">
      <c r="A1329" s="406">
        <f>Return!A119</f>
        <v>45910</v>
      </c>
      <c r="B1329" s="408" t="s">
        <v>73</v>
      </c>
      <c r="C1329" s="409">
        <f>Return!Q119</f>
        <v>1.0460809649243088E-2</v>
      </c>
    </row>
    <row r="1330" spans="1:3">
      <c r="A1330" s="406">
        <f>Return!A120</f>
        <v>45909</v>
      </c>
      <c r="B1330" s="408" t="s">
        <v>73</v>
      </c>
      <c r="C1330" s="409">
        <f>Return!Q120</f>
        <v>1.119715876248231E-2</v>
      </c>
    </row>
    <row r="1331" spans="1:3">
      <c r="A1331" s="406">
        <f>Return!A121</f>
        <v>45908</v>
      </c>
      <c r="B1331" s="408" t="s">
        <v>73</v>
      </c>
      <c r="C1331" s="409">
        <f>Return!Q121</f>
        <v>1.3004109135907832E-3</v>
      </c>
    </row>
    <row r="1332" spans="1:3">
      <c r="A1332" s="406">
        <f>Return!A122</f>
        <v>45905</v>
      </c>
      <c r="B1332" s="408" t="s">
        <v>73</v>
      </c>
      <c r="C1332" s="409">
        <f>Return!Q122</f>
        <v>-3.9772838575614896E-3</v>
      </c>
    </row>
    <row r="1333" spans="1:3">
      <c r="A1333" s="406">
        <f>Return!A123</f>
        <v>45904</v>
      </c>
      <c r="B1333" s="408" t="s">
        <v>73</v>
      </c>
      <c r="C1333" s="409">
        <f>Return!Q123</f>
        <v>-1.4214902516695097E-3</v>
      </c>
    </row>
    <row r="1334" spans="1:3">
      <c r="A1334" s="406">
        <f>Return!A124</f>
        <v>45903</v>
      </c>
      <c r="B1334" s="408" t="s">
        <v>73</v>
      </c>
      <c r="C1334" s="409">
        <f>Return!Q124</f>
        <v>1.8062178424625075E-3</v>
      </c>
    </row>
    <row r="1335" spans="1:3">
      <c r="A1335" s="406">
        <f>Return!A125</f>
        <v>45902</v>
      </c>
      <c r="B1335" s="408" t="s">
        <v>73</v>
      </c>
      <c r="C1335" s="409">
        <f>Return!Q125</f>
        <v>3.8393012570193323E-3</v>
      </c>
    </row>
    <row r="1336" spans="1:3">
      <c r="A1336" s="406">
        <f>Return!A126</f>
        <v>45901</v>
      </c>
      <c r="B1336" s="408" t="s">
        <v>73</v>
      </c>
      <c r="C1336" s="409">
        <f>Return!Q126</f>
        <v>4.6367031253577277E-4</v>
      </c>
    </row>
    <row r="1337" spans="1:3">
      <c r="A1337" s="406">
        <f>Return!A127</f>
        <v>45898</v>
      </c>
      <c r="B1337" s="408" t="s">
        <v>73</v>
      </c>
      <c r="C1337" s="409">
        <f>Return!Q127</f>
        <v>-3.9253211412651793E-4</v>
      </c>
    </row>
    <row r="1338" spans="1:3">
      <c r="A1338" s="406">
        <f>Return!A128</f>
        <v>45897</v>
      </c>
      <c r="B1338" s="408" t="s">
        <v>73</v>
      </c>
      <c r="C1338" s="409">
        <f>Return!Q128</f>
        <v>-3.2314969900604229E-3</v>
      </c>
    </row>
    <row r="1339" spans="1:3">
      <c r="A1339" s="406">
        <f>Return!A129</f>
        <v>45895</v>
      </c>
      <c r="B1339" s="408" t="s">
        <v>73</v>
      </c>
      <c r="C1339" s="409">
        <f>Return!Q129</f>
        <v>-7.1153298705651964E-3</v>
      </c>
    </row>
    <row r="1340" spans="1:3">
      <c r="A1340" s="406">
        <f>Return!A130</f>
        <v>45894</v>
      </c>
      <c r="B1340" s="408" t="s">
        <v>73</v>
      </c>
      <c r="C1340" s="409">
        <f>Return!Q130</f>
        <v>-7.3591368864342087E-3</v>
      </c>
    </row>
    <row r="1341" spans="1:3">
      <c r="A1341" s="406">
        <f>Return!A131</f>
        <v>45891</v>
      </c>
      <c r="B1341" s="408" t="s">
        <v>73</v>
      </c>
      <c r="C1341" s="409">
        <f>Return!Q131</f>
        <v>5.8074251221627892E-5</v>
      </c>
    </row>
    <row r="1342" spans="1:3">
      <c r="A1342" s="406">
        <f>Return!A132</f>
        <v>45890</v>
      </c>
      <c r="B1342" s="408" t="s">
        <v>73</v>
      </c>
      <c r="C1342" s="409">
        <f>Return!Q132</f>
        <v>3.6868749641460275E-3</v>
      </c>
    </row>
    <row r="1343" spans="1:3">
      <c r="A1343" s="406">
        <f>Return!A133</f>
        <v>45889</v>
      </c>
      <c r="B1343" s="408" t="s">
        <v>73</v>
      </c>
      <c r="C1343" s="409">
        <f>Return!Q133</f>
        <v>6.9763524968859108E-3</v>
      </c>
    </row>
    <row r="1344" spans="1:3">
      <c r="A1344" s="406">
        <f>Return!A134</f>
        <v>45888</v>
      </c>
      <c r="B1344" s="408" t="s">
        <v>73</v>
      </c>
      <c r="C1344" s="409">
        <f>Return!Q134</f>
        <v>-3.1240064499145413E-3</v>
      </c>
    </row>
    <row r="1345" spans="1:3">
      <c r="A1345" s="406">
        <f>Return!A135</f>
        <v>45887</v>
      </c>
      <c r="B1345" s="408" t="s">
        <v>73</v>
      </c>
      <c r="C1345" s="409">
        <f>Return!Q135</f>
        <v>-6.8460032982434974E-3</v>
      </c>
    </row>
    <row r="1346" spans="1:3">
      <c r="A1346" s="406">
        <f>Return!A136</f>
        <v>45883</v>
      </c>
      <c r="B1346" s="408" t="s">
        <v>73</v>
      </c>
      <c r="C1346" s="409">
        <f>Return!Q136</f>
        <v>1.1020215995165348E-3</v>
      </c>
    </row>
    <row r="1347" spans="1:3">
      <c r="A1347" s="406">
        <f>Return!A137</f>
        <v>45882</v>
      </c>
      <c r="B1347" s="408" t="s">
        <v>73</v>
      </c>
      <c r="C1347" s="409">
        <f>Return!Q137</f>
        <v>1.0296188147347729E-2</v>
      </c>
    </row>
    <row r="1348" spans="1:3">
      <c r="A1348" s="406">
        <f>Return!A138</f>
        <v>45881</v>
      </c>
      <c r="B1348" s="408" t="s">
        <v>73</v>
      </c>
      <c r="C1348" s="409">
        <f>Return!Q138</f>
        <v>1.7041820031156688E-2</v>
      </c>
    </row>
    <row r="1349" spans="1:3">
      <c r="A1349" s="406">
        <f>Return!A139</f>
        <v>45880</v>
      </c>
      <c r="B1349" s="408" t="s">
        <v>73</v>
      </c>
      <c r="C1349" s="409">
        <f>Return!Q139</f>
        <v>9.3196338599672197E-3</v>
      </c>
    </row>
    <row r="1350" spans="1:3">
      <c r="A1350" s="406">
        <f>Return!A140</f>
        <v>45877</v>
      </c>
      <c r="B1350" s="408" t="s">
        <v>73</v>
      </c>
      <c r="C1350" s="409">
        <f>Return!Q140</f>
        <v>3.1710427628805406E-3</v>
      </c>
    </row>
    <row r="1351" spans="1:3">
      <c r="A1351" s="406">
        <f>Return!A141</f>
        <v>45876</v>
      </c>
      <c r="B1351" s="408" t="s">
        <v>73</v>
      </c>
      <c r="C1351" s="409">
        <f>Return!Q141</f>
        <v>-4.387959915081157E-4</v>
      </c>
    </row>
    <row r="1352" spans="1:3">
      <c r="A1352" s="406">
        <f>Return!A142</f>
        <v>45875</v>
      </c>
      <c r="B1352" s="408" t="s">
        <v>73</v>
      </c>
      <c r="C1352" s="409">
        <f>Return!Q142</f>
        <v>-6.7854890091656218E-3</v>
      </c>
    </row>
    <row r="1353" spans="1:3">
      <c r="A1353" s="406">
        <f>Return!A143</f>
        <v>45874</v>
      </c>
      <c r="B1353" s="408" t="s">
        <v>73</v>
      </c>
      <c r="C1353" s="409">
        <f>Return!Q143</f>
        <v>-5.6228663610734557E-3</v>
      </c>
    </row>
    <row r="1354" spans="1:3">
      <c r="A1354" s="406">
        <f>Return!A144</f>
        <v>45873</v>
      </c>
      <c r="B1354" s="408" t="s">
        <v>73</v>
      </c>
      <c r="C1354" s="409">
        <f>Return!Q144</f>
        <v>-8.2694869989292895E-3</v>
      </c>
    </row>
    <row r="1355" spans="1:3">
      <c r="A1355" s="406">
        <f>Return!A145</f>
        <v>45870</v>
      </c>
      <c r="B1355" s="408" t="s">
        <v>73</v>
      </c>
      <c r="C1355" s="409">
        <f>Return!Q145</f>
        <v>-4.0055104544369433E-3</v>
      </c>
    </row>
    <row r="1356" spans="1:3">
      <c r="A1356" s="406">
        <f>Return!A146</f>
        <v>45869</v>
      </c>
      <c r="B1356" s="408" t="s">
        <v>73</v>
      </c>
      <c r="C1356" s="409">
        <f>Return!Q146</f>
        <v>-2.5763988045367725E-2</v>
      </c>
    </row>
    <row r="1357" spans="1:3">
      <c r="A1357" s="406">
        <f>Return!A147</f>
        <v>45868</v>
      </c>
      <c r="B1357" s="408" t="s">
        <v>73</v>
      </c>
      <c r="C1357" s="409">
        <f>Return!Q147</f>
        <v>-1.120291510841662E-2</v>
      </c>
    </row>
    <row r="1358" spans="1:3">
      <c r="A1358" s="406">
        <f>Return!A148</f>
        <v>45867</v>
      </c>
      <c r="B1358" s="408" t="s">
        <v>73</v>
      </c>
      <c r="C1358" s="409">
        <f>Return!Q148</f>
        <v>3.6734368909570755E-3</v>
      </c>
    </row>
    <row r="1359" spans="1:3">
      <c r="A1359" s="406">
        <f>Return!A149</f>
        <v>45866</v>
      </c>
      <c r="B1359" s="408" t="s">
        <v>73</v>
      </c>
      <c r="C1359" s="409">
        <f>Return!Q149</f>
        <v>7.272038335436143E-3</v>
      </c>
    </row>
    <row r="1360" spans="1:3">
      <c r="A1360" s="406">
        <f>Return!A150</f>
        <v>45863</v>
      </c>
      <c r="B1360" s="408" t="s">
        <v>73</v>
      </c>
      <c r="C1360" s="409">
        <f>Return!Q150</f>
        <v>7.1602240924853238E-3</v>
      </c>
    </row>
    <row r="1361" spans="1:3">
      <c r="A1361" s="406">
        <f>Return!A151</f>
        <v>45862</v>
      </c>
      <c r="B1361" s="408" t="s">
        <v>73</v>
      </c>
      <c r="C1361" s="409">
        <f>Return!Q151</f>
        <v>8.0923011245547759E-3</v>
      </c>
    </row>
    <row r="1362" spans="1:3">
      <c r="A1362" s="406">
        <f>Return!A152</f>
        <v>45861</v>
      </c>
      <c r="B1362" s="408" t="s">
        <v>73</v>
      </c>
      <c r="C1362" s="409">
        <f>Return!Q152</f>
        <v>6.6453663611741641E-3</v>
      </c>
    </row>
    <row r="1363" spans="1:3">
      <c r="A1363" s="406">
        <f>Return!A153</f>
        <v>45860</v>
      </c>
      <c r="B1363" s="408" t="s">
        <v>73</v>
      </c>
      <c r="C1363" s="409">
        <f>Return!Q153</f>
        <v>3.3473136745399662E-3</v>
      </c>
    </row>
    <row r="1364" spans="1:3">
      <c r="A1364" s="406">
        <f>Return!A154</f>
        <v>45859</v>
      </c>
      <c r="B1364" s="408" t="s">
        <v>73</v>
      </c>
      <c r="C1364" s="409">
        <f>Return!Q154</f>
        <v>-8.3938535989788975E-3</v>
      </c>
    </row>
    <row r="1365" spans="1:3">
      <c r="A1365" s="406">
        <f>Return!A155</f>
        <v>45856</v>
      </c>
      <c r="B1365" s="408" t="s">
        <v>73</v>
      </c>
      <c r="C1365" s="409">
        <f>Return!Q155</f>
        <v>-3.9699113232969574E-3</v>
      </c>
    </row>
    <row r="1366" spans="1:3">
      <c r="A1366" s="406">
        <f>Return!A156</f>
        <v>45855</v>
      </c>
      <c r="B1366" s="408" t="s">
        <v>73</v>
      </c>
      <c r="C1366" s="409">
        <f>Return!Q156</f>
        <v>-1.1322630756771452E-3</v>
      </c>
    </row>
    <row r="1367" spans="1:3">
      <c r="A1367" s="406">
        <f>Return!A157</f>
        <v>45854</v>
      </c>
      <c r="B1367" s="408" t="s">
        <v>73</v>
      </c>
      <c r="C1367" s="409">
        <f>Return!Q157</f>
        <v>1.4928635201721422E-3</v>
      </c>
    </row>
    <row r="1368" spans="1:3">
      <c r="A1368" s="406">
        <f>Return!A158</f>
        <v>45853</v>
      </c>
      <c r="B1368" s="408" t="s">
        <v>73</v>
      </c>
      <c r="C1368" s="409">
        <f>Return!Q158</f>
        <v>1.979529770757276E-3</v>
      </c>
    </row>
    <row r="1369" spans="1:3">
      <c r="A1369" s="406">
        <f>Return!A159</f>
        <v>45852</v>
      </c>
      <c r="B1369" s="408" t="s">
        <v>73</v>
      </c>
      <c r="C1369" s="409">
        <f>Return!Q159</f>
        <v>2.4486886195865358E-3</v>
      </c>
    </row>
    <row r="1370" spans="1:3">
      <c r="A1370" s="406">
        <f>Return!A160</f>
        <v>45849</v>
      </c>
      <c r="B1370" s="408" t="s">
        <v>73</v>
      </c>
      <c r="C1370" s="409">
        <f>Return!Q160</f>
        <v>4.9956472054360082E-3</v>
      </c>
    </row>
    <row r="1371" spans="1:3">
      <c r="A1371" s="406">
        <f>Return!A161</f>
        <v>45848</v>
      </c>
      <c r="B1371" s="408" t="s">
        <v>73</v>
      </c>
      <c r="C1371" s="409">
        <f>Return!Q161</f>
        <v>-9.0685508142702206E-4</v>
      </c>
    </row>
    <row r="1372" spans="1:3">
      <c r="A1372" s="406">
        <f>Return!A162</f>
        <v>45847</v>
      </c>
      <c r="B1372" s="408" t="s">
        <v>73</v>
      </c>
      <c r="C1372" s="409">
        <f>Return!Q162</f>
        <v>-1.3645135314039735E-3</v>
      </c>
    </row>
    <row r="1373" spans="1:3">
      <c r="A1373" s="406">
        <f>Return!A163</f>
        <v>45846</v>
      </c>
      <c r="B1373" s="408" t="s">
        <v>73</v>
      </c>
      <c r="C1373" s="409">
        <f>Return!Q163</f>
        <v>-9.0996883272315421E-3</v>
      </c>
    </row>
    <row r="1374" spans="1:3">
      <c r="A1374" s="406">
        <f>Return!A164</f>
        <v>45845</v>
      </c>
      <c r="B1374" s="408" t="s">
        <v>73</v>
      </c>
      <c r="C1374" s="409">
        <f>Return!Q164</f>
        <v>-7.4064673475576406E-3</v>
      </c>
    </row>
    <row r="1375" spans="1:3">
      <c r="A1375" s="406">
        <f>Return!A165</f>
        <v>45842</v>
      </c>
      <c r="B1375" s="408" t="s">
        <v>73</v>
      </c>
      <c r="C1375" s="409">
        <f>Return!Q165</f>
        <v>-6.9783934098373804E-3</v>
      </c>
    </row>
    <row r="1376" spans="1:3">
      <c r="A1376" s="406">
        <f>Return!A166</f>
        <v>45841</v>
      </c>
      <c r="B1376" s="408" t="s">
        <v>73</v>
      </c>
      <c r="C1376" s="409">
        <f>Return!Q166</f>
        <v>2.4064466713681928E-3</v>
      </c>
    </row>
    <row r="1377" spans="1:3">
      <c r="A1377" s="406">
        <f>Return!A167</f>
        <v>45840</v>
      </c>
      <c r="B1377" s="408" t="s">
        <v>73</v>
      </c>
      <c r="C1377" s="409">
        <f>Return!Q167</f>
        <v>3.7355306080354678E-3</v>
      </c>
    </row>
    <row r="1378" spans="1:3">
      <c r="A1378" s="406">
        <f>Return!A168</f>
        <v>45839</v>
      </c>
      <c r="B1378" s="408" t="s">
        <v>73</v>
      </c>
      <c r="C1378" s="409">
        <f>Return!Q168</f>
        <v>4.0304131781199199E-3</v>
      </c>
    </row>
    <row r="1379" spans="1:3">
      <c r="A1379" s="406">
        <f>Return!A169</f>
        <v>45838</v>
      </c>
      <c r="B1379" s="408" t="s">
        <v>73</v>
      </c>
      <c r="C1379" s="409">
        <f>Return!Q169</f>
        <v>1.1080253420113013E-3</v>
      </c>
    </row>
    <row r="1380" spans="1:3">
      <c r="A1380" s="406">
        <f>Return!A170</f>
        <v>45835</v>
      </c>
      <c r="B1380" s="408" t="s">
        <v>73</v>
      </c>
      <c r="C1380" s="409">
        <f>Return!Q170</f>
        <v>1.0380346019524582E-2</v>
      </c>
    </row>
    <row r="1381" spans="1:3">
      <c r="A1381" s="406">
        <f>Return!A171</f>
        <v>45834</v>
      </c>
      <c r="B1381" s="408" t="s">
        <v>73</v>
      </c>
      <c r="C1381" s="409">
        <f>Return!Q171</f>
        <v>2.5185797322305405E-3</v>
      </c>
    </row>
    <row r="1382" spans="1:3">
      <c r="A1382" s="406">
        <f>Return!A172</f>
        <v>45833</v>
      </c>
      <c r="B1382" s="408" t="s">
        <v>73</v>
      </c>
      <c r="C1382" s="409">
        <f>Return!Q172</f>
        <v>-3.302407974456079E-4</v>
      </c>
    </row>
    <row r="1383" spans="1:3">
      <c r="A1383" s="406">
        <f>Return!A173</f>
        <v>45832</v>
      </c>
      <c r="B1383" s="408" t="s">
        <v>73</v>
      </c>
      <c r="C1383" s="409">
        <f>Return!Q173</f>
        <v>4.3721149970528533E-3</v>
      </c>
    </row>
    <row r="1384" spans="1:3">
      <c r="A1384" s="406">
        <f>Return!A174</f>
        <v>45831</v>
      </c>
      <c r="B1384" s="408" t="s">
        <v>73</v>
      </c>
      <c r="C1384" s="409">
        <f>Return!Q174</f>
        <v>-1.4803312489136992E-4</v>
      </c>
    </row>
    <row r="1385" spans="1:3">
      <c r="A1385" s="406">
        <f>Return!A175</f>
        <v>45828</v>
      </c>
      <c r="B1385" s="408" t="s">
        <v>73</v>
      </c>
      <c r="C1385" s="409">
        <f>Return!Q175</f>
        <v>4.1306151294255716E-3</v>
      </c>
    </row>
    <row r="1386" spans="1:3">
      <c r="A1386" s="406">
        <f>Return!A176</f>
        <v>45827</v>
      </c>
      <c r="B1386" s="408" t="s">
        <v>73</v>
      </c>
      <c r="C1386" s="409">
        <f>Return!Q176</f>
        <v>-2.1396190563585885E-3</v>
      </c>
    </row>
    <row r="1387" spans="1:3">
      <c r="A1387" s="406">
        <f>Return!A177</f>
        <v>45826</v>
      </c>
      <c r="B1387" s="408" t="s">
        <v>73</v>
      </c>
      <c r="C1387" s="409">
        <f>Return!Q177</f>
        <v>-5.4771039590662115E-4</v>
      </c>
    </row>
    <row r="1388" spans="1:3">
      <c r="A1388" s="406">
        <f>Return!A178</f>
        <v>45825</v>
      </c>
      <c r="B1388" s="408" t="s">
        <v>73</v>
      </c>
      <c r="C1388" s="409">
        <f>Return!Q178</f>
        <v>-3.8478471043956533E-3</v>
      </c>
    </row>
    <row r="1389" spans="1:3">
      <c r="A1389" s="406">
        <f>Return!A179</f>
        <v>45824</v>
      </c>
      <c r="B1389" s="408" t="s">
        <v>73</v>
      </c>
      <c r="C1389" s="409">
        <f>Return!Q179</f>
        <v>-3.7921181180050039E-3</v>
      </c>
    </row>
    <row r="1390" spans="1:3">
      <c r="A1390" s="406">
        <f>Return!A180</f>
        <v>45821</v>
      </c>
      <c r="B1390" s="408" t="s">
        <v>73</v>
      </c>
      <c r="C1390" s="409">
        <f>Return!Q180</f>
        <v>-1.1108356739805291E-2</v>
      </c>
    </row>
    <row r="1391" spans="1:3">
      <c r="A1391" s="406">
        <f>Return!A181</f>
        <v>45820</v>
      </c>
      <c r="B1391" s="408" t="s">
        <v>73</v>
      </c>
      <c r="C1391" s="409">
        <f>Return!Q181</f>
        <v>-1.4690005373116399E-3</v>
      </c>
    </row>
    <row r="1392" spans="1:3">
      <c r="A1392" s="406">
        <f>Return!A182</f>
        <v>45819</v>
      </c>
      <c r="B1392" s="408" t="s">
        <v>73</v>
      </c>
      <c r="C1392" s="409">
        <f>Return!Q182</f>
        <v>-3.2342836913720439E-3</v>
      </c>
    </row>
    <row r="1393" spans="1:3">
      <c r="A1393" s="406">
        <f>Return!A183</f>
        <v>45818</v>
      </c>
      <c r="B1393" s="408" t="s">
        <v>73</v>
      </c>
      <c r="C1393" s="409">
        <f>Return!Q183</f>
        <v>1.1546250154512421E-3</v>
      </c>
    </row>
    <row r="1394" spans="1:3">
      <c r="A1394" s="406">
        <f>Return!A184</f>
        <v>45817</v>
      </c>
      <c r="B1394" s="408" t="s">
        <v>73</v>
      </c>
      <c r="C1394" s="409">
        <f>Return!Q184</f>
        <v>5.824246019718894E-3</v>
      </c>
    </row>
    <row r="1395" spans="1:3">
      <c r="A1395" s="406">
        <f>Return!A185</f>
        <v>45814</v>
      </c>
      <c r="B1395" s="408" t="s">
        <v>73</v>
      </c>
      <c r="C1395" s="409">
        <f>Return!Q185</f>
        <v>5.9777819021049495E-3</v>
      </c>
    </row>
    <row r="1396" spans="1:3">
      <c r="A1396" s="406">
        <f>Return!A186</f>
        <v>45813</v>
      </c>
      <c r="B1396" s="408" t="s">
        <v>73</v>
      </c>
      <c r="C1396" s="409">
        <f>Return!Q186</f>
        <v>3.5330504299014337E-3</v>
      </c>
    </row>
    <row r="1397" spans="1:3">
      <c r="A1397" s="406">
        <f>Return!A187</f>
        <v>45812</v>
      </c>
      <c r="B1397" s="408" t="s">
        <v>73</v>
      </c>
      <c r="C1397" s="409">
        <f>Return!Q187</f>
        <v>5.7167524891937301E-3</v>
      </c>
    </row>
    <row r="1398" spans="1:3">
      <c r="A1398" s="406">
        <f>Return!A188</f>
        <v>45811</v>
      </c>
      <c r="B1398" s="408" t="s">
        <v>73</v>
      </c>
      <c r="C1398" s="409">
        <f>Return!Q188</f>
        <v>6.8929484275620624E-3</v>
      </c>
    </row>
    <row r="1399" spans="1:3">
      <c r="A1399" s="406">
        <f>Return!A189</f>
        <v>45810</v>
      </c>
      <c r="B1399" s="408" t="s">
        <v>73</v>
      </c>
      <c r="C1399" s="409">
        <f>Return!Q189</f>
        <v>2.0427648443177727E-3</v>
      </c>
    </row>
    <row r="1400" spans="1:3">
      <c r="A1400" s="406">
        <f>Return!A190</f>
        <v>45807</v>
      </c>
      <c r="B1400" s="408" t="s">
        <v>73</v>
      </c>
      <c r="C1400" s="409">
        <f>Return!Q190</f>
        <v>-4.2704396572378787E-3</v>
      </c>
    </row>
    <row r="1401" spans="1:3">
      <c r="A1401" s="406">
        <f>Return!A191</f>
        <v>45806</v>
      </c>
      <c r="B1401" s="408" t="s">
        <v>73</v>
      </c>
      <c r="C1401" s="409">
        <f>Return!Q191</f>
        <v>-2.9481574117650273E-3</v>
      </c>
    </row>
    <row r="1402" spans="1:3">
      <c r="A1402" s="406">
        <f>Return!A192</f>
        <v>45805</v>
      </c>
      <c r="B1402" s="408" t="s">
        <v>73</v>
      </c>
      <c r="C1402" s="409">
        <f>Return!Q192</f>
        <v>1.367789557203417E-3</v>
      </c>
    </row>
    <row r="1403" spans="1:3">
      <c r="A1403" s="406">
        <f>Return!A193</f>
        <v>45804</v>
      </c>
      <c r="B1403" s="408" t="s">
        <v>73</v>
      </c>
      <c r="C1403" s="409">
        <f>Return!Q193</f>
        <v>-2.9356859505534718E-3</v>
      </c>
    </row>
    <row r="1404" spans="1:3">
      <c r="A1404" s="406">
        <f>Return!A194</f>
        <v>45803</v>
      </c>
      <c r="B1404" s="408" t="s">
        <v>73</v>
      </c>
      <c r="C1404" s="409">
        <f>Return!Q194</f>
        <v>-1.4886268821254064E-3</v>
      </c>
    </row>
    <row r="1405" spans="1:3">
      <c r="A1405" s="406">
        <f>Return!A195</f>
        <v>45800</v>
      </c>
      <c r="B1405" s="408" t="s">
        <v>73</v>
      </c>
      <c r="C1405" s="409">
        <f>Return!Q195</f>
        <v>-4.8506896808277701E-3</v>
      </c>
    </row>
    <row r="1406" spans="1:3">
      <c r="A1406" s="406">
        <f>Return!A196</f>
        <v>45799</v>
      </c>
      <c r="B1406" s="408" t="s">
        <v>73</v>
      </c>
      <c r="C1406" s="409">
        <f>Return!Q196</f>
        <v>4.3670755225003475E-3</v>
      </c>
    </row>
    <row r="1407" spans="1:3">
      <c r="A1407" s="406">
        <f>Return!A197</f>
        <v>45798</v>
      </c>
      <c r="B1407" s="408" t="s">
        <v>73</v>
      </c>
      <c r="C1407" s="409">
        <f>Return!Q197</f>
        <v>4.7785891365560162E-3</v>
      </c>
    </row>
    <row r="1408" spans="1:3">
      <c r="A1408" s="406">
        <f>Return!A198</f>
        <v>45797</v>
      </c>
      <c r="B1408" s="408" t="s">
        <v>73</v>
      </c>
      <c r="C1408" s="409">
        <f>Return!Q198</f>
        <v>-8.2167551014455213E-3</v>
      </c>
    </row>
    <row r="1409" spans="1:3">
      <c r="A1409" s="406">
        <f>Return!A199</f>
        <v>45796</v>
      </c>
      <c r="B1409" s="408" t="s">
        <v>73</v>
      </c>
      <c r="C1409" s="409">
        <f>Return!Q199</f>
        <v>6.454709296958747E-3</v>
      </c>
    </row>
    <row r="1410" spans="1:3">
      <c r="A1410" s="406">
        <f>Return!A200</f>
        <v>45793</v>
      </c>
      <c r="B1410" s="408" t="s">
        <v>73</v>
      </c>
      <c r="C1410" s="409">
        <f>Return!Q200</f>
        <v>-5.9858395384348078E-3</v>
      </c>
    </row>
    <row r="1411" spans="1:3">
      <c r="A1411" s="406">
        <f>Return!A201</f>
        <v>45792</v>
      </c>
      <c r="B1411" s="408" t="s">
        <v>73</v>
      </c>
      <c r="C1411" s="409">
        <f>Return!Q201</f>
        <v>4.2450191867533663E-4</v>
      </c>
    </row>
    <row r="1412" spans="1:3">
      <c r="A1412" s="406">
        <f>Return!A202</f>
        <v>45791</v>
      </c>
      <c r="B1412" s="408" t="s">
        <v>73</v>
      </c>
      <c r="C1412" s="409">
        <f>Return!Q202</f>
        <v>-1.0452549059664913E-3</v>
      </c>
    </row>
    <row r="1413" spans="1:3">
      <c r="A1413" s="406">
        <f>Return!A203</f>
        <v>45790</v>
      </c>
      <c r="B1413" s="408" t="s">
        <v>73</v>
      </c>
      <c r="C1413" s="409">
        <f>Return!Q203</f>
        <v>6.006108852829351E-3</v>
      </c>
    </row>
    <row r="1414" spans="1:3">
      <c r="A1414" s="406">
        <f>Return!A204</f>
        <v>45789</v>
      </c>
      <c r="B1414" s="408" t="s">
        <v>73</v>
      </c>
      <c r="C1414" s="409">
        <f>Return!Q204</f>
        <v>8.5104302855942126E-3</v>
      </c>
    </row>
    <row r="1415" spans="1:3">
      <c r="A1415" s="406">
        <f>Return!A205</f>
        <v>45786</v>
      </c>
      <c r="B1415" s="408" t="s">
        <v>73</v>
      </c>
      <c r="C1415" s="409">
        <f>Return!Q205</f>
        <v>1.0108583451528996E-2</v>
      </c>
    </row>
    <row r="1416" spans="1:3">
      <c r="A1416" s="406">
        <f>Return!A206</f>
        <v>45785</v>
      </c>
      <c r="B1416" s="408" t="s">
        <v>73</v>
      </c>
      <c r="C1416" s="409">
        <f>Return!Q206</f>
        <v>4.8922543589696712E-3</v>
      </c>
    </row>
    <row r="1417" spans="1:3">
      <c r="A1417" s="406">
        <f>Return!A207</f>
        <v>45784</v>
      </c>
      <c r="B1417" s="408" t="s">
        <v>73</v>
      </c>
      <c r="C1417" s="409">
        <f>Return!Q207</f>
        <v>-2.1272138504147475E-3</v>
      </c>
    </row>
    <row r="1418" spans="1:3">
      <c r="A1418" s="406">
        <f>Return!A208</f>
        <v>45783</v>
      </c>
      <c r="B1418" s="408" t="s">
        <v>73</v>
      </c>
      <c r="C1418" s="409">
        <f>Return!Q208</f>
        <v>-1.5088900267846398E-2</v>
      </c>
    </row>
    <row r="1419" spans="1:3">
      <c r="A1419" s="406">
        <f>Return!A209</f>
        <v>45782</v>
      </c>
      <c r="B1419" s="408" t="s">
        <v>73</v>
      </c>
      <c r="C1419" s="409">
        <f>Return!Q209</f>
        <v>-1.3209040142165929E-3</v>
      </c>
    </row>
    <row r="1420" spans="1:3">
      <c r="A1420" s="406">
        <f>Return!A210</f>
        <v>45779</v>
      </c>
      <c r="B1420" s="408" t="s">
        <v>73</v>
      </c>
      <c r="C1420" s="409">
        <f>Return!Q210</f>
        <v>-3.202418677276715E-3</v>
      </c>
    </row>
    <row r="1421" spans="1:3">
      <c r="A1421" s="406">
        <f>Return!A211</f>
        <v>45777</v>
      </c>
      <c r="B1421" s="408" t="s">
        <v>73</v>
      </c>
      <c r="C1421" s="409">
        <f>Return!Q211</f>
        <v>-4.2691354489233054E-4</v>
      </c>
    </row>
    <row r="1422" spans="1:3">
      <c r="A1422" s="406">
        <f>Return!A212</f>
        <v>45776</v>
      </c>
      <c r="B1422" s="408" t="s">
        <v>73</v>
      </c>
      <c r="C1422" s="409">
        <f>Return!Q212</f>
        <v>7.035832514261809E-6</v>
      </c>
    </row>
    <row r="1423" spans="1:3">
      <c r="A1423" s="406">
        <f>Return!A213</f>
        <v>45775</v>
      </c>
      <c r="B1423" s="408" t="s">
        <v>73</v>
      </c>
      <c r="C1423" s="409">
        <f>Return!Q213</f>
        <v>3.2106290154338131E-3</v>
      </c>
    </row>
    <row r="1424" spans="1:3">
      <c r="A1424" s="406">
        <f>Return!A214</f>
        <v>45772</v>
      </c>
      <c r="B1424" s="408" t="s">
        <v>73</v>
      </c>
      <c r="C1424" s="409">
        <f>Return!Q214</f>
        <v>-8.2235631534467637E-3</v>
      </c>
    </row>
    <row r="1425" spans="1:3">
      <c r="A1425" s="406">
        <f>Return!A215</f>
        <v>45771</v>
      </c>
      <c r="B1425" s="408" t="s">
        <v>73</v>
      </c>
      <c r="C1425" s="409">
        <f>Return!Q215</f>
        <v>3.5710261883910269E-3</v>
      </c>
    </row>
    <row r="1426" spans="1:3">
      <c r="A1426" s="406">
        <f>Return!A216</f>
        <v>45770</v>
      </c>
      <c r="B1426" s="408" t="s">
        <v>73</v>
      </c>
      <c r="C1426" s="409">
        <f>Return!Q216</f>
        <v>-1.5243054409282324E-3</v>
      </c>
    </row>
    <row r="1427" spans="1:3">
      <c r="A1427" s="406">
        <f>Return!A217</f>
        <v>45769</v>
      </c>
      <c r="B1427" s="408" t="s">
        <v>73</v>
      </c>
      <c r="C1427" s="409">
        <f>Return!Q217</f>
        <v>1.5168621125250579E-2</v>
      </c>
    </row>
    <row r="1428" spans="1:3">
      <c r="A1428" s="406">
        <f>Return!A218</f>
        <v>45768</v>
      </c>
      <c r="B1428" s="408" t="s">
        <v>73</v>
      </c>
      <c r="C1428" s="409">
        <f>Return!Q218</f>
        <v>5.8903586752046275E-3</v>
      </c>
    </row>
    <row r="1429" spans="1:3">
      <c r="A1429" s="406">
        <f>Return!A219</f>
        <v>45764</v>
      </c>
      <c r="B1429" s="408" t="s">
        <v>73</v>
      </c>
      <c r="C1429" s="409">
        <f>Return!Q219</f>
        <v>1.0142550398899405E-2</v>
      </c>
    </row>
    <row r="1430" spans="1:3">
      <c r="A1430" s="406">
        <f>Return!A220</f>
        <v>45763</v>
      </c>
      <c r="B1430" s="408" t="s">
        <v>73</v>
      </c>
      <c r="C1430" s="409">
        <f>Return!Q220</f>
        <v>4.8205762081136383E-3</v>
      </c>
    </row>
    <row r="1431" spans="1:3">
      <c r="A1431" s="406">
        <f>Return!A221</f>
        <v>45762</v>
      </c>
      <c r="B1431" s="408" t="s">
        <v>73</v>
      </c>
      <c r="C1431" s="409">
        <f>Return!Q221</f>
        <v>7.5332165621293341E-3</v>
      </c>
    </row>
    <row r="1432" spans="1:3">
      <c r="A1432" s="406">
        <f>Return!A222</f>
        <v>45758</v>
      </c>
      <c r="B1432" s="408" t="s">
        <v>73</v>
      </c>
      <c r="C1432" s="409">
        <f>Return!Q222</f>
        <v>1.4095268202372151E-2</v>
      </c>
    </row>
    <row r="1433" spans="1:3">
      <c r="A1433" s="406">
        <f>Return!A223</f>
        <v>45756</v>
      </c>
      <c r="B1433" s="408" t="s">
        <v>73</v>
      </c>
      <c r="C1433" s="409">
        <f>Return!Q223</f>
        <v>8.0782477983118786E-3</v>
      </c>
    </row>
    <row r="1434" spans="1:3">
      <c r="A1434" s="406">
        <f>Return!A224</f>
        <v>45755</v>
      </c>
      <c r="B1434" s="408" t="s">
        <v>73</v>
      </c>
      <c r="C1434" s="409">
        <f>Return!Q224</f>
        <v>1.1481574270719823E-2</v>
      </c>
    </row>
    <row r="1435" spans="1:3">
      <c r="A1435" s="406">
        <f>Return!A225</f>
        <v>45754</v>
      </c>
      <c r="B1435" s="408" t="s">
        <v>73</v>
      </c>
      <c r="C1435" s="409">
        <f>Return!Q225</f>
        <v>-9.380053269416367E-3</v>
      </c>
    </row>
    <row r="1436" spans="1:3">
      <c r="A1436" s="406">
        <f>Return!A226</f>
        <v>45751</v>
      </c>
      <c r="B1436" s="408" t="s">
        <v>73</v>
      </c>
      <c r="C1436" s="409">
        <f>Return!Q226</f>
        <v>7.4011681009876549E-4</v>
      </c>
    </row>
    <row r="1437" spans="1:3">
      <c r="A1437" s="406">
        <f>Return!A227</f>
        <v>45750</v>
      </c>
      <c r="B1437" s="408" t="s">
        <v>73</v>
      </c>
      <c r="C1437" s="409">
        <f>Return!Q227</f>
        <v>-6.9253897841811095E-3</v>
      </c>
    </row>
    <row r="1438" spans="1:3">
      <c r="A1438" s="406">
        <f>Return!A228</f>
        <v>45749</v>
      </c>
      <c r="B1438" s="408" t="s">
        <v>73</v>
      </c>
      <c r="C1438" s="409">
        <f>Return!Q228</f>
        <v>-2.0353591552522816E-2</v>
      </c>
    </row>
    <row r="1439" spans="1:3">
      <c r="A1439" s="406">
        <f>Return!A229</f>
        <v>45748</v>
      </c>
      <c r="B1439" s="408" t="s">
        <v>73</v>
      </c>
      <c r="C1439" s="409">
        <f>Return!Q229</f>
        <v>2.0575651810045611E-3</v>
      </c>
    </row>
    <row r="1440" spans="1:3">
      <c r="A1440" s="406">
        <f>Return!A230</f>
        <v>45744</v>
      </c>
      <c r="B1440" s="408" t="s">
        <v>73</v>
      </c>
      <c r="C1440" s="409">
        <f>Return!Q230</f>
        <v>1.9985624595046255E-3</v>
      </c>
    </row>
    <row r="1441" spans="1:3">
      <c r="A1441" s="406">
        <f>Return!A231</f>
        <v>45743</v>
      </c>
      <c r="B1441" s="408" t="s">
        <v>73</v>
      </c>
      <c r="C1441" s="409">
        <f>Return!Q231</f>
        <v>-6.1821392447922998E-3</v>
      </c>
    </row>
    <row r="1442" spans="1:3">
      <c r="A1442" s="406">
        <f>Return!A232</f>
        <v>45742</v>
      </c>
      <c r="B1442" s="408" t="s">
        <v>73</v>
      </c>
      <c r="C1442" s="409">
        <f>Return!Q232</f>
        <v>-1.1516432590843454E-2</v>
      </c>
    </row>
    <row r="1443" spans="1:3">
      <c r="A1443" s="406">
        <f>Return!A233</f>
        <v>45741</v>
      </c>
      <c r="B1443" s="408" t="s">
        <v>73</v>
      </c>
      <c r="C1443" s="409">
        <f>Return!Q233</f>
        <v>-6.5312902964547396E-3</v>
      </c>
    </row>
    <row r="1444" spans="1:3">
      <c r="A1444" s="406">
        <f>Return!A234</f>
        <v>45740</v>
      </c>
      <c r="B1444" s="408" t="s">
        <v>73</v>
      </c>
      <c r="C1444" s="409">
        <f>Return!Q234</f>
        <v>-4.3416285869896072E-3</v>
      </c>
    </row>
    <row r="1445" spans="1:3">
      <c r="A1445" s="406">
        <f>Return!A235</f>
        <v>45737</v>
      </c>
      <c r="B1445" s="408" t="s">
        <v>73</v>
      </c>
      <c r="C1445" s="409">
        <f>Return!Q235</f>
        <v>-5.846996515421545E-3</v>
      </c>
    </row>
    <row r="1446" spans="1:3">
      <c r="A1446" s="406">
        <f>Return!A236</f>
        <v>45736</v>
      </c>
      <c r="B1446" s="408" t="s">
        <v>73</v>
      </c>
      <c r="C1446" s="409">
        <f>Return!Q236</f>
        <v>6.8768749350859052E-3</v>
      </c>
    </row>
    <row r="1447" spans="1:3">
      <c r="A1447" s="406">
        <f>Return!A237</f>
        <v>45735</v>
      </c>
      <c r="B1447" s="408" t="s">
        <v>73</v>
      </c>
      <c r="C1447" s="409">
        <f>Return!Q237</f>
        <v>8.749129968100431E-3</v>
      </c>
    </row>
    <row r="1448" spans="1:3">
      <c r="A1448" s="406">
        <f>Return!A238</f>
        <v>45734</v>
      </c>
      <c r="B1448" s="408" t="s">
        <v>73</v>
      </c>
      <c r="C1448" s="409">
        <f>Return!Q238</f>
        <v>9.7846444813648962E-3</v>
      </c>
    </row>
    <row r="1449" spans="1:3">
      <c r="A1449" s="406">
        <f>Return!A239</f>
        <v>45733</v>
      </c>
      <c r="B1449" s="408" t="s">
        <v>73</v>
      </c>
      <c r="C1449" s="409">
        <f>Return!Q239</f>
        <v>1.0372510515306783E-2</v>
      </c>
    </row>
    <row r="1450" spans="1:3">
      <c r="A1450" s="406">
        <f>Return!A240</f>
        <v>45729</v>
      </c>
      <c r="B1450" s="408" t="s">
        <v>73</v>
      </c>
      <c r="C1450" s="409">
        <f>Return!Q240</f>
        <v>5.0423714276640573E-3</v>
      </c>
    </row>
    <row r="1451" spans="1:3">
      <c r="A1451" s="406">
        <f>Return!A241</f>
        <v>45728</v>
      </c>
      <c r="B1451" s="408" t="s">
        <v>73</v>
      </c>
      <c r="C1451" s="409">
        <f>Return!Q241</f>
        <v>8.8840137714115888E-3</v>
      </c>
    </row>
    <row r="1452" spans="1:3">
      <c r="A1452" s="406">
        <f>Return!A242</f>
        <v>45727</v>
      </c>
      <c r="B1452" s="408" t="s">
        <v>73</v>
      </c>
      <c r="C1452" s="409">
        <f>Return!Q242</f>
        <v>6.5631237718971067E-3</v>
      </c>
    </row>
    <row r="1453" spans="1:3">
      <c r="A1453" s="406">
        <f>Return!A243</f>
        <v>45726</v>
      </c>
      <c r="B1453" s="408" t="s">
        <v>73</v>
      </c>
      <c r="C1453" s="409">
        <f>Return!Q243</f>
        <v>-2.750999615992292E-3</v>
      </c>
    </row>
    <row r="1454" spans="1:3">
      <c r="A1454" s="406">
        <f>Return!A244</f>
        <v>45723</v>
      </c>
      <c r="B1454" s="408" t="s">
        <v>73</v>
      </c>
      <c r="C1454" s="409">
        <f>Return!Q244</f>
        <v>-3.417865419692068E-3</v>
      </c>
    </row>
    <row r="1455" spans="1:3">
      <c r="A1455" s="406">
        <f>Return!A245</f>
        <v>45722</v>
      </c>
      <c r="B1455" s="408" t="s">
        <v>73</v>
      </c>
      <c r="C1455" s="409">
        <f>Return!Q245</f>
        <v>3.2127062451118194E-4</v>
      </c>
    </row>
    <row r="1456" spans="1:3">
      <c r="A1456" s="406">
        <f>Return!A246</f>
        <v>45721</v>
      </c>
      <c r="B1456" s="408" t="s">
        <v>73</v>
      </c>
      <c r="C1456" s="409">
        <f>Return!Q246</f>
        <v>6.225455906192748E-3</v>
      </c>
    </row>
    <row r="1457" spans="1:3">
      <c r="A1457" s="406">
        <f>Return!A247</f>
        <v>45720</v>
      </c>
      <c r="B1457" s="408" t="s">
        <v>73</v>
      </c>
      <c r="C1457" s="409">
        <f>Return!Q247</f>
        <v>1.2586146816184111E-2</v>
      </c>
    </row>
    <row r="1458" spans="1:3">
      <c r="A1458" s="406">
        <f>Return!A248</f>
        <v>45719</v>
      </c>
      <c r="B1458" s="408" t="s">
        <v>73</v>
      </c>
      <c r="C1458" s="409">
        <f>Return!Q248</f>
        <v>5.9404475718400768E-3</v>
      </c>
    </row>
    <row r="1459" spans="1:3">
      <c r="A1459" s="406">
        <f>Return!A249</f>
        <v>45716</v>
      </c>
      <c r="B1459" s="408" t="s">
        <v>73</v>
      </c>
      <c r="C1459" s="409">
        <f>Return!Q249</f>
        <v>8.6640844590160095E-4</v>
      </c>
    </row>
    <row r="1460" spans="1:3">
      <c r="A1460" s="406">
        <f>Return!A250</f>
        <v>45715</v>
      </c>
      <c r="B1460" s="408" t="s">
        <v>73</v>
      </c>
      <c r="C1460" s="409">
        <f>Return!Q250</f>
        <v>-4.2807037211458363E-4</v>
      </c>
    </row>
    <row r="1461" spans="1:3">
      <c r="A1461" s="406">
        <f>Return!A251</f>
        <v>45713</v>
      </c>
      <c r="B1461" s="408" t="s">
        <v>73</v>
      </c>
      <c r="C1461" s="409">
        <f>Return!Q251</f>
        <v>-8.5924659338469586E-3</v>
      </c>
    </row>
    <row r="1462" spans="1:3">
      <c r="A1462" s="406">
        <f>Return!A252</f>
        <v>45712</v>
      </c>
      <c r="B1462" s="408" t="s">
        <v>73</v>
      </c>
      <c r="C1462" s="409">
        <f>Return!Q252</f>
        <v>-7.2103218445789879E-3</v>
      </c>
    </row>
    <row r="1463" spans="1:3">
      <c r="A1463" s="406">
        <f>Return!A253</f>
        <v>45709</v>
      </c>
      <c r="B1463" s="408" t="s">
        <v>73</v>
      </c>
      <c r="C1463" s="409">
        <f>Return!Q253</f>
        <v>-1.1891929983960945E-2</v>
      </c>
    </row>
    <row r="1464" spans="1:3">
      <c r="A1464" s="406">
        <f>Return!A254</f>
        <v>45708</v>
      </c>
      <c r="B1464" s="408" t="s">
        <v>73</v>
      </c>
      <c r="C1464" s="409">
        <f>Return!Q254</f>
        <v>-1.9565103840162379E-3</v>
      </c>
    </row>
    <row r="1465" spans="1:3">
      <c r="A1465" s="406">
        <f>Return!A255</f>
        <v>45707</v>
      </c>
      <c r="B1465" s="408" t="s">
        <v>73</v>
      </c>
      <c r="C1465" s="409">
        <f>Return!Q255</f>
        <v>-1.1435754457110566E-2</v>
      </c>
    </row>
    <row r="1466" spans="1:3">
      <c r="A1466" s="406">
        <f>Return!A256</f>
        <v>45706</v>
      </c>
      <c r="B1466" s="408" t="s">
        <v>73</v>
      </c>
      <c r="C1466" s="409">
        <f>Return!Q256</f>
        <v>-1.2876662140312485E-3</v>
      </c>
    </row>
    <row r="1467" spans="1:3">
      <c r="A1467" s="406">
        <f>Return!A257</f>
        <v>45705</v>
      </c>
      <c r="B1467" s="408" t="s">
        <v>73</v>
      </c>
      <c r="C1467" s="409">
        <f>Return!Q257</f>
        <v>-8.4951103735603434E-4</v>
      </c>
    </row>
    <row r="1468" spans="1:3">
      <c r="A1468" s="406">
        <f>Return!A258</f>
        <v>45702</v>
      </c>
      <c r="B1468" s="408" t="s">
        <v>73</v>
      </c>
      <c r="C1468" s="409">
        <f>Return!Q258</f>
        <v>-1.0417649151352225E-3</v>
      </c>
    </row>
    <row r="1469" spans="1:3">
      <c r="A1469" s="406">
        <f>Return!A259</f>
        <v>45701</v>
      </c>
      <c r="B1469" s="408" t="s">
        <v>73</v>
      </c>
      <c r="C1469" s="409">
        <f>Return!Q259</f>
        <v>-1.7708773336266559E-3</v>
      </c>
    </row>
    <row r="1470" spans="1:3">
      <c r="A1470" s="406">
        <f>Return!A260</f>
        <v>45700</v>
      </c>
      <c r="B1470" s="408" t="s">
        <v>73</v>
      </c>
      <c r="C1470" s="409">
        <f>Return!Q260</f>
        <v>-7.8295023118325913E-3</v>
      </c>
    </row>
    <row r="1471" spans="1:3">
      <c r="A1471" s="406">
        <f>Return!A261</f>
        <v>45699</v>
      </c>
      <c r="B1471" s="408" t="s">
        <v>73</v>
      </c>
      <c r="C1471" s="409">
        <f>Return!Q261</f>
        <v>-3.575157701832159E-3</v>
      </c>
    </row>
    <row r="1472" spans="1:3">
      <c r="A1472" s="406">
        <f>Return!A262</f>
        <v>45698</v>
      </c>
      <c r="B1472" s="408" t="s">
        <v>73</v>
      </c>
      <c r="C1472" s="409">
        <f>Return!Q262</f>
        <v>-8.2424448709198343E-3</v>
      </c>
    </row>
    <row r="1473" spans="1:3">
      <c r="A1473" s="406">
        <f>Return!A263</f>
        <v>45695</v>
      </c>
      <c r="B1473" s="408" t="s">
        <v>73</v>
      </c>
      <c r="C1473" s="409">
        <f>Return!Q263</f>
        <v>-1.229239110944157E-2</v>
      </c>
    </row>
    <row r="1474" spans="1:3">
      <c r="A1474" s="406">
        <f>Return!A264</f>
        <v>45694</v>
      </c>
      <c r="B1474" s="408" t="s">
        <v>73</v>
      </c>
      <c r="C1474" s="409">
        <f>Return!Q264</f>
        <v>-3.9009288139412908E-3</v>
      </c>
    </row>
    <row r="1475" spans="1:3">
      <c r="A1475" s="406">
        <f>Return!A265</f>
        <v>45693</v>
      </c>
      <c r="B1475" s="408" t="s">
        <v>73</v>
      </c>
      <c r="C1475" s="409">
        <f>Return!Q265</f>
        <v>7.7081027665976505E-3</v>
      </c>
    </row>
    <row r="1476" spans="1:3">
      <c r="A1476" s="406">
        <f>Return!A266</f>
        <v>45692</v>
      </c>
      <c r="B1476" s="408" t="s">
        <v>73</v>
      </c>
      <c r="C1476" s="409">
        <f>Return!Q266</f>
        <v>7.6026672320955724E-3</v>
      </c>
    </row>
    <row r="1477" spans="1:3">
      <c r="A1477" s="406">
        <f>Return!A267</f>
        <v>45691</v>
      </c>
      <c r="B1477" s="408" t="s">
        <v>73</v>
      </c>
      <c r="C1477" s="409">
        <f>Return!Q267</f>
        <v>6.7145867318517405E-3</v>
      </c>
    </row>
    <row r="1478" spans="1:3">
      <c r="A1478" s="406">
        <f>Return!A268</f>
        <v>45689</v>
      </c>
      <c r="B1478" s="408" t="s">
        <v>73</v>
      </c>
      <c r="C1478" s="409">
        <f>Return!Q268</f>
        <v>6.7768936702325127E-3</v>
      </c>
    </row>
    <row r="1479" spans="1:3">
      <c r="A1479" s="406">
        <f>Return!A269</f>
        <v>45688</v>
      </c>
      <c r="B1479" s="408" t="s">
        <v>73</v>
      </c>
      <c r="C1479" s="409">
        <f>Return!Q269</f>
        <v>-1.481064176467197E-3</v>
      </c>
    </row>
    <row r="1480" spans="1:3">
      <c r="A1480" s="406">
        <f>Return!A270</f>
        <v>45687</v>
      </c>
      <c r="B1480" s="408" t="s">
        <v>73</v>
      </c>
      <c r="C1480" s="409">
        <f>Return!Q270</f>
        <v>-2.9883713412764443E-3</v>
      </c>
    </row>
    <row r="1481" spans="1:3">
      <c r="A1481" s="406">
        <f>Return!A271</f>
        <v>45686</v>
      </c>
      <c r="B1481" s="408" t="s">
        <v>73</v>
      </c>
      <c r="C1481" s="409">
        <f>Return!Q271</f>
        <v>1.0125599554683028E-2</v>
      </c>
    </row>
    <row r="1482" spans="1:3">
      <c r="A1482" s="406">
        <f>Return!A272</f>
        <v>45685</v>
      </c>
      <c r="B1482" s="408" t="s">
        <v>73</v>
      </c>
      <c r="C1482" s="409">
        <f>Return!Q272</f>
        <v>7.0843714241470481E-3</v>
      </c>
    </row>
    <row r="1483" spans="1:3">
      <c r="A1483" s="406">
        <f>Return!A273</f>
        <v>45684</v>
      </c>
      <c r="B1483" s="408" t="s">
        <v>73</v>
      </c>
      <c r="C1483" s="409">
        <f>Return!Q273</f>
        <v>-3.5996193199214336E-3</v>
      </c>
    </row>
    <row r="1484" spans="1:3">
      <c r="A1484" s="406">
        <f>Return!A274</f>
        <v>45681</v>
      </c>
      <c r="B1484" s="408" t="s">
        <v>73</v>
      </c>
      <c r="C1484" s="409">
        <f>Return!Q274</f>
        <v>-1.2042882912601357E-2</v>
      </c>
    </row>
    <row r="1485" spans="1:3">
      <c r="A1485" s="406">
        <f>Return!A275</f>
        <v>45680</v>
      </c>
      <c r="B1485" s="408" t="s">
        <v>73</v>
      </c>
      <c r="C1485" s="409">
        <f>Return!Q275</f>
        <v>-1.7983205869009259E-2</v>
      </c>
    </row>
    <row r="1486" spans="1:3">
      <c r="A1486" s="406">
        <f>Return!A276</f>
        <v>45679</v>
      </c>
      <c r="B1486" s="408" t="s">
        <v>73</v>
      </c>
      <c r="C1486" s="409">
        <f>Return!Q276</f>
        <v>-7.8280529076221426E-3</v>
      </c>
    </row>
    <row r="1487" spans="1:3">
      <c r="A1487" s="406">
        <f>Return!A277</f>
        <v>45678</v>
      </c>
      <c r="B1487" s="408" t="s">
        <v>73</v>
      </c>
      <c r="C1487" s="409">
        <f>Return!Q277</f>
        <v>-3.1471462426738899E-4</v>
      </c>
    </row>
    <row r="1488" spans="1:3">
      <c r="A1488" s="406">
        <f>Return!A278</f>
        <v>45677</v>
      </c>
      <c r="B1488" s="408" t="s">
        <v>73</v>
      </c>
      <c r="C1488" s="409">
        <f>Return!Q278</f>
        <v>1.4994509382592715E-3</v>
      </c>
    </row>
    <row r="1489" spans="1:3">
      <c r="A1489" s="406">
        <f>Return!A279</f>
        <v>45674</v>
      </c>
      <c r="B1489" s="408" t="s">
        <v>73</v>
      </c>
      <c r="C1489" s="409">
        <f>Return!Q279</f>
        <v>-8.7370241960828721E-4</v>
      </c>
    </row>
    <row r="1490" spans="1:3">
      <c r="A1490" s="406">
        <f>Return!A280</f>
        <v>45673</v>
      </c>
      <c r="B1490" s="408" t="s">
        <v>73</v>
      </c>
      <c r="C1490" s="409">
        <f>Return!Q280</f>
        <v>3.3462134638455156E-3</v>
      </c>
    </row>
    <row r="1491" spans="1:3">
      <c r="A1491" s="406">
        <f>Return!A281</f>
        <v>45672</v>
      </c>
      <c r="B1491" s="408" t="s">
        <v>73</v>
      </c>
      <c r="C1491" s="409">
        <f>Return!Q281</f>
        <v>-1.8793049217234086E-3</v>
      </c>
    </row>
    <row r="1492" spans="1:3">
      <c r="A1492" s="406">
        <f>Return!A282</f>
        <v>45671</v>
      </c>
      <c r="B1492" s="408" t="s">
        <v>73</v>
      </c>
      <c r="C1492" s="409">
        <f>Return!Q282</f>
        <v>-7.2483485069147766E-3</v>
      </c>
    </row>
    <row r="1493" spans="1:3">
      <c r="A1493" s="406">
        <f>Return!A283</f>
        <v>45670</v>
      </c>
      <c r="B1493" s="408" t="s">
        <v>73</v>
      </c>
      <c r="C1493" s="409">
        <f>Return!Q283</f>
        <v>-3.5842216303296707E-3</v>
      </c>
    </row>
    <row r="1494" spans="1:3">
      <c r="A1494" s="406">
        <f>Return!A284</f>
        <v>45667</v>
      </c>
      <c r="B1494" s="408" t="s">
        <v>73</v>
      </c>
      <c r="C1494" s="409">
        <f>Return!Q284</f>
        <v>-6.3043654720819405E-3</v>
      </c>
    </row>
    <row r="1495" spans="1:3">
      <c r="A1495" s="406">
        <f>Return!A285</f>
        <v>45666</v>
      </c>
      <c r="B1495" s="408" t="s">
        <v>73</v>
      </c>
      <c r="C1495" s="409">
        <f>Return!Q285</f>
        <v>-8.7831914223527475E-3</v>
      </c>
    </row>
    <row r="1496" spans="1:3">
      <c r="A1496" s="406">
        <f>Return!A286</f>
        <v>45665</v>
      </c>
      <c r="B1496" s="408" t="s">
        <v>73</v>
      </c>
      <c r="C1496" s="409">
        <f>Return!Q286</f>
        <v>-1.666665983688426E-2</v>
      </c>
    </row>
    <row r="1497" spans="1:3">
      <c r="A1497" s="406">
        <f>Return!A287</f>
        <v>45664</v>
      </c>
      <c r="B1497" s="408" t="s">
        <v>73</v>
      </c>
      <c r="C1497" s="409">
        <f>Return!Q287</f>
        <v>-2.580924883419771E-3</v>
      </c>
    </row>
    <row r="1498" spans="1:3">
      <c r="A1498" s="406">
        <f>Return!A288</f>
        <v>45663</v>
      </c>
      <c r="B1498" s="408" t="s">
        <v>73</v>
      </c>
      <c r="C1498" s="409">
        <f>Return!Q288</f>
        <v>-3.1133170331468156E-3</v>
      </c>
    </row>
    <row r="1499" spans="1:3">
      <c r="A1499" s="406">
        <f>Return!A289</f>
        <v>45660</v>
      </c>
      <c r="B1499" s="408" t="s">
        <v>73</v>
      </c>
      <c r="C1499" s="409">
        <f>Return!Q289</f>
        <v>-3.3143415673516832E-3</v>
      </c>
    </row>
    <row r="1500" spans="1:3">
      <c r="A1500" s="406">
        <f>Return!A290</f>
        <v>45659</v>
      </c>
      <c r="B1500" s="408" t="s">
        <v>73</v>
      </c>
      <c r="C1500" s="409">
        <f>Return!Q290</f>
        <v>-7.4525028494318041E-3</v>
      </c>
    </row>
    <row r="1501" spans="1:3">
      <c r="A1501" s="406">
        <f>Return!A291</f>
        <v>45658</v>
      </c>
      <c r="B1501" s="408" t="s">
        <v>73</v>
      </c>
      <c r="C1501" s="409">
        <f>Return!Q291</f>
        <v>-6.2046990034979391E-3</v>
      </c>
    </row>
    <row r="1502" spans="1:3">
      <c r="A1502" s="406">
        <f>Return!A292</f>
        <v>45657</v>
      </c>
      <c r="B1502" s="408" t="s">
        <v>73</v>
      </c>
      <c r="C1502" s="409">
        <f>Return!Q292</f>
        <v>5.3550609820003751E-3</v>
      </c>
    </row>
    <row r="1503" spans="1:3">
      <c r="A1503" s="406">
        <f>Return!A293</f>
        <v>45656</v>
      </c>
      <c r="B1503" s="408" t="s">
        <v>73</v>
      </c>
      <c r="C1503" s="409">
        <f>Return!Q293</f>
        <v>1.4583871410122702E-3</v>
      </c>
    </row>
    <row r="1504" spans="1:3">
      <c r="A1504" s="406">
        <f>Return!A294</f>
        <v>45653</v>
      </c>
      <c r="B1504" s="408" t="s">
        <v>73</v>
      </c>
      <c r="C1504" s="409">
        <f>Return!Q294</f>
        <v>1.1476102858485953E-2</v>
      </c>
    </row>
    <row r="1505" spans="1:3">
      <c r="A1505" s="406">
        <f>Return!A295</f>
        <v>45652</v>
      </c>
      <c r="B1505" s="408" t="s">
        <v>73</v>
      </c>
      <c r="C1505" s="409">
        <f>Return!Q295</f>
        <v>6.9381924655302126E-3</v>
      </c>
    </row>
    <row r="1506" spans="1:3">
      <c r="A1506" s="406">
        <f>Return!A296</f>
        <v>45650</v>
      </c>
      <c r="B1506" s="408" t="s">
        <v>73</v>
      </c>
      <c r="C1506" s="409">
        <f>Return!Q296</f>
        <v>6.4434920430255461E-3</v>
      </c>
    </row>
    <row r="1507" spans="1:3">
      <c r="A1507" s="406">
        <f>Return!A297</f>
        <v>45649</v>
      </c>
      <c r="B1507" s="408" t="s">
        <v>73</v>
      </c>
      <c r="C1507" s="409">
        <f>Return!Q297</f>
        <v>3.6144846438117355E-3</v>
      </c>
    </row>
    <row r="1508" spans="1:3">
      <c r="A1508" s="406">
        <f>Return!A298</f>
        <v>45646</v>
      </c>
      <c r="B1508" s="408" t="s">
        <v>73</v>
      </c>
      <c r="C1508" s="409">
        <f>Return!Q298</f>
        <v>9.9353854399987637E-4</v>
      </c>
    </row>
    <row r="1509" spans="1:3">
      <c r="A1509" s="406">
        <f>Return!A299</f>
        <v>45645</v>
      </c>
      <c r="B1509" s="408" t="s">
        <v>73</v>
      </c>
      <c r="C1509" s="409">
        <f>Return!Q299</f>
        <v>3.5109463444463841E-4</v>
      </c>
    </row>
    <row r="1510" spans="1:3">
      <c r="A1510" s="406">
        <f>Return!A300</f>
        <v>45644</v>
      </c>
      <c r="B1510" s="408" t="s">
        <v>73</v>
      </c>
      <c r="C1510" s="409">
        <f>Return!Q300</f>
        <v>2.525631518491674E-3</v>
      </c>
    </row>
    <row r="1511" spans="1:3">
      <c r="A1511" s="406">
        <f>Return!A301</f>
        <v>45643</v>
      </c>
      <c r="B1511" s="408" t="s">
        <v>73</v>
      </c>
      <c r="C1511" s="409">
        <f>Return!Q301</f>
        <v>1.4442327863833686E-2</v>
      </c>
    </row>
    <row r="1512" spans="1:3">
      <c r="A1512" s="406">
        <f>Return!A302</f>
        <v>45642</v>
      </c>
      <c r="B1512" s="408" t="s">
        <v>73</v>
      </c>
      <c r="C1512" s="409">
        <f>Return!Q302</f>
        <v>5.1185937120128188E-3</v>
      </c>
    </row>
    <row r="1513" spans="1:3">
      <c r="A1513" s="406">
        <f>Return!A303</f>
        <v>45639</v>
      </c>
      <c r="B1513" s="408" t="s">
        <v>73</v>
      </c>
      <c r="C1513" s="409">
        <f>Return!Q303</f>
        <v>2.6470863036595288E-3</v>
      </c>
    </row>
    <row r="1514" spans="1:3">
      <c r="A1514" s="406">
        <f>Return!A304</f>
        <v>45638</v>
      </c>
      <c r="B1514" s="408" t="s">
        <v>73</v>
      </c>
      <c r="C1514" s="409">
        <f>Return!Q304</f>
        <v>-1.7825110973028757E-3</v>
      </c>
    </row>
    <row r="1515" spans="1:3">
      <c r="A1515" s="406">
        <f>Return!A305</f>
        <v>45637</v>
      </c>
      <c r="B1515" s="408" t="s">
        <v>73</v>
      </c>
      <c r="C1515" s="409">
        <f>Return!Q305</f>
        <v>-3.6549453415595065E-3</v>
      </c>
    </row>
    <row r="1516" spans="1:3">
      <c r="A1516" s="406">
        <f>Return!A306</f>
        <v>45636</v>
      </c>
      <c r="B1516" s="408" t="s">
        <v>73</v>
      </c>
      <c r="C1516" s="409">
        <f>Return!Q306</f>
        <v>-1.9989121240748175E-3</v>
      </c>
    </row>
    <row r="1517" spans="1:3">
      <c r="A1517" s="406">
        <f>Return!A307</f>
        <v>45635</v>
      </c>
      <c r="B1517" s="408" t="s">
        <v>73</v>
      </c>
      <c r="C1517" s="409">
        <f>Return!Q307</f>
        <v>-1.8865077276575581E-3</v>
      </c>
    </row>
    <row r="1518" spans="1:3">
      <c r="A1518" s="406">
        <f>Return!A308</f>
        <v>45632</v>
      </c>
      <c r="B1518" s="408" t="s">
        <v>73</v>
      </c>
      <c r="C1518" s="409">
        <f>Return!Q308</f>
        <v>-1.9158425167116134E-3</v>
      </c>
    </row>
    <row r="1519" spans="1:3">
      <c r="A1519" s="406">
        <f>Return!A309</f>
        <v>45631</v>
      </c>
      <c r="B1519" s="408" t="s">
        <v>73</v>
      </c>
      <c r="C1519" s="409">
        <f>Return!Q309</f>
        <v>-5.0724370513825084E-3</v>
      </c>
    </row>
    <row r="1520" spans="1:3">
      <c r="A1520" s="406">
        <f>Return!A310</f>
        <v>45630</v>
      </c>
      <c r="B1520" s="408" t="s">
        <v>73</v>
      </c>
      <c r="C1520" s="409">
        <f>Return!Q310</f>
        <v>-1.9854283663989997E-3</v>
      </c>
    </row>
    <row r="1521" spans="1:3">
      <c r="A1521" s="406">
        <f>Return!A311</f>
        <v>45629</v>
      </c>
      <c r="B1521" s="408" t="s">
        <v>73</v>
      </c>
      <c r="C1521" s="409">
        <f>Return!Q311</f>
        <v>2.5909796150980005E-3</v>
      </c>
    </row>
    <row r="1522" spans="1:3">
      <c r="A1522" s="406">
        <f>Return!A312</f>
        <v>45628</v>
      </c>
      <c r="B1522" s="408" t="s">
        <v>73</v>
      </c>
      <c r="C1522" s="409">
        <f>Return!Q312</f>
        <v>-3.6708510633599856E-4</v>
      </c>
    </row>
    <row r="1523" spans="1:3">
      <c r="A1523" s="406">
        <f>Return!A313</f>
        <v>45625</v>
      </c>
      <c r="B1523" s="408" t="s">
        <v>73</v>
      </c>
      <c r="C1523" s="409">
        <f>Return!Q313</f>
        <v>5.1605445039594458E-3</v>
      </c>
    </row>
    <row r="1524" spans="1:3">
      <c r="A1524" s="406">
        <f>Return!A314</f>
        <v>45624</v>
      </c>
      <c r="B1524" s="408" t="s">
        <v>73</v>
      </c>
      <c r="C1524" s="409">
        <f>Return!Q314</f>
        <v>1.0388922538647066E-2</v>
      </c>
    </row>
    <row r="1525" spans="1:3">
      <c r="A1525" s="406">
        <f>Return!A315</f>
        <v>45623</v>
      </c>
      <c r="B1525" s="408" t="s">
        <v>73</v>
      </c>
      <c r="C1525" s="409">
        <f>Return!Q315</f>
        <v>7.1713485303191264E-3</v>
      </c>
    </row>
    <row r="1526" spans="1:3">
      <c r="A1526" s="406">
        <f>Return!A316</f>
        <v>45622</v>
      </c>
      <c r="B1526" s="408" t="s">
        <v>73</v>
      </c>
      <c r="C1526" s="409">
        <f>Return!Q316</f>
        <v>1.4179801514556003E-3</v>
      </c>
    </row>
    <row r="1527" spans="1:3">
      <c r="A1527" s="406">
        <f>Return!A317</f>
        <v>45621</v>
      </c>
      <c r="B1527" s="408" t="s">
        <v>73</v>
      </c>
      <c r="C1527" s="409">
        <f>Return!Q317</f>
        <v>-4.15542387835787E-3</v>
      </c>
    </row>
    <row r="1528" spans="1:3">
      <c r="A1528" s="406">
        <f>Return!A318</f>
        <v>45618</v>
      </c>
      <c r="B1528" s="408" t="s">
        <v>73</v>
      </c>
      <c r="C1528" s="409">
        <f>Return!Q318</f>
        <v>-2.3481483072471077E-4</v>
      </c>
    </row>
    <row r="1529" spans="1:3">
      <c r="A1529" s="406">
        <f>Return!A319</f>
        <v>45617</v>
      </c>
      <c r="B1529" s="408" t="s">
        <v>73</v>
      </c>
      <c r="C1529" s="409">
        <f>Return!Q319</f>
        <v>-3.9521007891018547E-4</v>
      </c>
    </row>
    <row r="1530" spans="1:3">
      <c r="A1530" s="406">
        <f>Return!A320</f>
        <v>45615</v>
      </c>
      <c r="B1530" s="408" t="s">
        <v>73</v>
      </c>
      <c r="C1530" s="409">
        <f>Return!Q320</f>
        <v>4.4310977457014825E-3</v>
      </c>
    </row>
    <row r="1531" spans="1:3">
      <c r="A1531" s="406">
        <f>Return!A321</f>
        <v>45614</v>
      </c>
      <c r="B1531" s="408" t="s">
        <v>73</v>
      </c>
      <c r="C1531" s="409">
        <f>Return!Q321</f>
        <v>1.94420588888668E-3</v>
      </c>
    </row>
    <row r="1532" spans="1:3">
      <c r="A1532" s="406">
        <f>Return!A322</f>
        <v>45610</v>
      </c>
      <c r="B1532" s="408" t="s">
        <v>73</v>
      </c>
      <c r="C1532" s="409">
        <f>Return!Q322</f>
        <v>1.0153594625265834E-3</v>
      </c>
    </row>
    <row r="1533" spans="1:3">
      <c r="A1533" s="406">
        <f>Return!A323</f>
        <v>45609</v>
      </c>
      <c r="B1533" s="408" t="s">
        <v>73</v>
      </c>
      <c r="C1533" s="409">
        <f>Return!Q323</f>
        <v>-2.9572895112027152E-3</v>
      </c>
    </row>
    <row r="1534" spans="1:3">
      <c r="A1534" s="406">
        <f>Return!A324</f>
        <v>45608</v>
      </c>
      <c r="B1534" s="408" t="s">
        <v>73</v>
      </c>
      <c r="C1534" s="409">
        <f>Return!Q324</f>
        <v>-1.1330889881237701E-2</v>
      </c>
    </row>
    <row r="1535" spans="1:3">
      <c r="A1535" s="406">
        <f>Return!A325</f>
        <v>45607</v>
      </c>
      <c r="B1535" s="408" t="s">
        <v>73</v>
      </c>
      <c r="C1535" s="409">
        <f>Return!Q325</f>
        <v>-1.0002608646618593E-2</v>
      </c>
    </row>
    <row r="1536" spans="1:3">
      <c r="A1536" s="406">
        <f>Return!A326</f>
        <v>45604</v>
      </c>
      <c r="B1536" s="408" t="s">
        <v>73</v>
      </c>
      <c r="C1536" s="409">
        <f>Return!Q326</f>
        <v>-1.2802678679622115E-2</v>
      </c>
    </row>
    <row r="1537" spans="1:3">
      <c r="A1537" s="406">
        <f>Return!A327</f>
        <v>45603</v>
      </c>
      <c r="B1537" s="408" t="s">
        <v>73</v>
      </c>
      <c r="C1537" s="409">
        <f>Return!Q327</f>
        <v>-1.0380839214327614E-2</v>
      </c>
    </row>
    <row r="1538" spans="1:3">
      <c r="A1538" s="406">
        <f>Return!A328</f>
        <v>45602</v>
      </c>
      <c r="B1538" s="408" t="s">
        <v>73</v>
      </c>
      <c r="C1538" s="409">
        <f>Return!Q328</f>
        <v>-1.3216674208423242E-2</v>
      </c>
    </row>
    <row r="1539" spans="1:3">
      <c r="A1539" s="406">
        <f>Return!A329</f>
        <v>45601</v>
      </c>
      <c r="B1539" s="408" t="s">
        <v>73</v>
      </c>
      <c r="C1539" s="409">
        <f>Return!Q329</f>
        <v>-6.181393300782954E-4</v>
      </c>
    </row>
    <row r="1540" spans="1:3">
      <c r="A1540" s="406">
        <f>Return!A330</f>
        <v>45600</v>
      </c>
      <c r="B1540" s="408" t="s">
        <v>73</v>
      </c>
      <c r="C1540" s="409">
        <f>Return!Q330</f>
        <v>-3.0422738773887041E-3</v>
      </c>
    </row>
    <row r="1541" spans="1:3">
      <c r="A1541" s="406">
        <f>Return!A331</f>
        <v>45597</v>
      </c>
      <c r="B1541" s="408" t="s">
        <v>73</v>
      </c>
      <c r="C1541" s="409">
        <f>Return!Q331</f>
        <v>3.7743562008463192E-3</v>
      </c>
    </row>
    <row r="1542" spans="1:3">
      <c r="A1542" s="406">
        <f>Return!A332</f>
        <v>45596</v>
      </c>
      <c r="B1542" s="408" t="s">
        <v>73</v>
      </c>
      <c r="C1542" s="409">
        <f>Return!Q332</f>
        <v>4.2785056693225142E-3</v>
      </c>
    </row>
    <row r="1543" spans="1:3">
      <c r="A1543" s="406">
        <f>Return!A333</f>
        <v>45595</v>
      </c>
      <c r="B1543" s="408" t="s">
        <v>73</v>
      </c>
      <c r="C1543" s="409">
        <f>Return!Q333</f>
        <v>-3.8963821387022128E-3</v>
      </c>
    </row>
    <row r="1544" spans="1:3">
      <c r="A1544" s="406">
        <f>Return!A334</f>
        <v>45594</v>
      </c>
      <c r="B1544" s="408" t="s">
        <v>73</v>
      </c>
      <c r="C1544" s="409">
        <f>Return!Q334</f>
        <v>6.3070022899461785E-4</v>
      </c>
    </row>
    <row r="1545" spans="1:3">
      <c r="A1545" s="406">
        <f>Return!A335</f>
        <v>45593</v>
      </c>
      <c r="B1545" s="408" t="s">
        <v>73</v>
      </c>
      <c r="C1545" s="409">
        <f>Return!Q335</f>
        <v>5.1031523968633509E-3</v>
      </c>
    </row>
    <row r="1546" spans="1:3">
      <c r="A1546" s="406">
        <f>Return!A336</f>
        <v>45590</v>
      </c>
      <c r="B1546" s="408" t="s">
        <v>73</v>
      </c>
      <c r="C1546" s="409">
        <f>Return!Q336</f>
        <v>-1.194776807784461E-2</v>
      </c>
    </row>
    <row r="1547" spans="1:3">
      <c r="A1547" s="406">
        <f>Return!A337</f>
        <v>45589</v>
      </c>
      <c r="B1547" s="408" t="s">
        <v>73</v>
      </c>
      <c r="C1547" s="409">
        <f>Return!Q337</f>
        <v>-2.235225956051693E-4</v>
      </c>
    </row>
    <row r="1548" spans="1:3">
      <c r="A1548" s="406">
        <f>Return!A338</f>
        <v>45588</v>
      </c>
      <c r="B1548" s="408" t="s">
        <v>73</v>
      </c>
      <c r="C1548" s="409">
        <f>Return!Q338</f>
        <v>5.3261776311290324E-3</v>
      </c>
    </row>
    <row r="1549" spans="1:3">
      <c r="A1549" s="406">
        <f>Return!A339</f>
        <v>45587</v>
      </c>
      <c r="B1549" s="408" t="s">
        <v>73</v>
      </c>
      <c r="C1549" s="409">
        <f>Return!Q339</f>
        <v>-5.43467693857128E-3</v>
      </c>
    </row>
    <row r="1550" spans="1:3">
      <c r="A1550" s="406">
        <f>Return!A340</f>
        <v>45586</v>
      </c>
      <c r="B1550" s="408" t="s">
        <v>73</v>
      </c>
      <c r="C1550" s="409">
        <f>Return!Q340</f>
        <v>-6.2199639649633031E-3</v>
      </c>
    </row>
    <row r="1551" spans="1:3">
      <c r="A1551" s="406">
        <f>Return!A341</f>
        <v>45583</v>
      </c>
      <c r="B1551" s="408" t="s">
        <v>73</v>
      </c>
      <c r="C1551" s="409">
        <f>Return!Q341</f>
        <v>-6.8670233413969028E-3</v>
      </c>
    </row>
    <row r="1552" spans="1:3">
      <c r="A1552" s="406">
        <f>Return!A342</f>
        <v>45582</v>
      </c>
      <c r="B1552" s="408" t="s">
        <v>73</v>
      </c>
      <c r="C1552" s="409">
        <f>Return!Q342</f>
        <v>-3.3795001750706833E-3</v>
      </c>
    </row>
    <row r="1553" spans="1:3">
      <c r="A1553" s="406">
        <f>Return!A343</f>
        <v>45581</v>
      </c>
      <c r="B1553" s="408" t="s">
        <v>73</v>
      </c>
      <c r="C1553" s="409">
        <f>Return!Q343</f>
        <v>-1.1666261198000905E-2</v>
      </c>
    </row>
    <row r="1554" spans="1:3">
      <c r="A1554" s="406">
        <f>Return!A344</f>
        <v>45580</v>
      </c>
      <c r="B1554" s="408" t="s">
        <v>73</v>
      </c>
      <c r="C1554" s="409">
        <f>Return!Q344</f>
        <v>-3.7794861641390208E-3</v>
      </c>
    </row>
    <row r="1555" spans="1:3">
      <c r="A1555" s="406">
        <f>Return!A345</f>
        <v>45579</v>
      </c>
      <c r="B1555" s="408" t="s">
        <v>73</v>
      </c>
      <c r="C1555" s="409">
        <f>Return!Q345</f>
        <v>-1.2005361063493407E-3</v>
      </c>
    </row>
    <row r="1556" spans="1:3">
      <c r="A1556" s="406">
        <f>Return!A346</f>
        <v>45576</v>
      </c>
      <c r="B1556" s="408" t="s">
        <v>73</v>
      </c>
      <c r="C1556" s="409">
        <f>Return!Q346</f>
        <v>4.4639508843005883E-4</v>
      </c>
    </row>
    <row r="1557" spans="1:3">
      <c r="A1557" s="406">
        <f>Return!A347</f>
        <v>45575</v>
      </c>
      <c r="B1557" s="408" t="s">
        <v>73</v>
      </c>
      <c r="C1557" s="409">
        <f>Return!Q347</f>
        <v>1.0903134422300615E-3</v>
      </c>
    </row>
    <row r="1558" spans="1:3">
      <c r="A1558" s="406">
        <f>Return!A348</f>
        <v>45574</v>
      </c>
      <c r="B1558" s="408" t="s">
        <v>73</v>
      </c>
      <c r="C1558" s="409">
        <f>Return!Q348</f>
        <v>-2.9920280504586662E-3</v>
      </c>
    </row>
    <row r="1559" spans="1:3">
      <c r="A1559" s="406">
        <f>Return!A349</f>
        <v>45573</v>
      </c>
      <c r="B1559" s="408" t="s">
        <v>73</v>
      </c>
      <c r="C1559" s="409">
        <f>Return!Q349</f>
        <v>-8.7117428066936986E-4</v>
      </c>
    </row>
    <row r="1560" spans="1:3">
      <c r="A1560" s="406">
        <f>Return!A350</f>
        <v>45572</v>
      </c>
      <c r="B1560" s="408" t="s">
        <v>73</v>
      </c>
      <c r="C1560" s="409">
        <f>Return!Q350</f>
        <v>-1.1197852946863446E-3</v>
      </c>
    </row>
    <row r="1561" spans="1:3">
      <c r="A1561" s="406">
        <f>Return!A351</f>
        <v>45569</v>
      </c>
      <c r="B1561" s="408" t="s">
        <v>73</v>
      </c>
      <c r="C1561" s="409">
        <f>Return!Q351</f>
        <v>1.0247474736925543E-2</v>
      </c>
    </row>
    <row r="1562" spans="1:3">
      <c r="A1562" s="406">
        <f>Return!A352</f>
        <v>45568</v>
      </c>
      <c r="B1562" s="408" t="s">
        <v>73</v>
      </c>
      <c r="C1562" s="409">
        <f>Return!Q352</f>
        <v>2.4398224067946712E-3</v>
      </c>
    </row>
    <row r="1563" spans="1:3">
      <c r="A1563" s="406">
        <f>Return!A353</f>
        <v>45566</v>
      </c>
      <c r="B1563" s="408" t="s">
        <v>73</v>
      </c>
      <c r="C1563" s="409">
        <f>Return!Q353</f>
        <v>1.220643310576826E-3</v>
      </c>
    </row>
    <row r="1564" spans="1:3">
      <c r="A1564" s="406">
        <f>Return!A354</f>
        <v>45565</v>
      </c>
      <c r="B1564" s="408" t="s">
        <v>73</v>
      </c>
      <c r="C1564" s="409">
        <f>Return!Q354</f>
        <v>-5.087205375300395E-3</v>
      </c>
    </row>
    <row r="1565" spans="1:3">
      <c r="A1565" s="406">
        <f>Return!A355</f>
        <v>45562</v>
      </c>
      <c r="B1565" s="408" t="s">
        <v>73</v>
      </c>
      <c r="C1565" s="409">
        <f>Return!Q355</f>
        <v>-7.9299412396473343E-3</v>
      </c>
    </row>
    <row r="1566" spans="1:3">
      <c r="A1566" s="406">
        <f>Return!A356</f>
        <v>45561</v>
      </c>
      <c r="B1566" s="408" t="s">
        <v>73</v>
      </c>
      <c r="C1566" s="409">
        <f>Return!Q356</f>
        <v>3.0233977191603859E-3</v>
      </c>
    </row>
    <row r="1567" spans="1:3">
      <c r="A1567" s="406">
        <f>Return!A357</f>
        <v>45560</v>
      </c>
      <c r="B1567" s="408" t="s">
        <v>73</v>
      </c>
      <c r="C1567" s="409">
        <f>Return!Q357</f>
        <v>-6.9993600831989823E-4</v>
      </c>
    </row>
    <row r="1568" spans="1:3">
      <c r="A1568" s="406">
        <f>Return!A358</f>
        <v>45559</v>
      </c>
      <c r="B1568" s="408" t="s">
        <v>73</v>
      </c>
      <c r="C1568" s="409">
        <f>Return!Q358</f>
        <v>1.1723611486734349E-2</v>
      </c>
    </row>
    <row r="1569" spans="1:3">
      <c r="A1569" s="406">
        <f>Return!A359</f>
        <v>45558</v>
      </c>
      <c r="B1569" s="408" t="s">
        <v>73</v>
      </c>
      <c r="C1569" s="409">
        <f>Return!Q359</f>
        <v>3.6251051158868804E-3</v>
      </c>
    </row>
    <row r="1570" spans="1:3">
      <c r="A1570" s="406">
        <f>Return!A360</f>
        <v>45555</v>
      </c>
      <c r="B1570" s="408" t="s">
        <v>73</v>
      </c>
      <c r="C1570" s="409">
        <f>Return!Q360</f>
        <v>-8.2284509974419413E-4</v>
      </c>
    </row>
    <row r="1571" spans="1:3">
      <c r="A1571" s="406">
        <f>Return!A361</f>
        <v>45554</v>
      </c>
      <c r="B1571" s="408" t="s">
        <v>73</v>
      </c>
      <c r="C1571" s="409">
        <f>Return!Q361</f>
        <v>-1.9382013209641399E-3</v>
      </c>
    </row>
    <row r="1572" spans="1:3">
      <c r="A1572" s="406">
        <f>Return!A362</f>
        <v>45553</v>
      </c>
      <c r="B1572" s="408" t="s">
        <v>73</v>
      </c>
      <c r="C1572" s="409">
        <f>Return!Q362</f>
        <v>-4.2927649057719983E-3</v>
      </c>
    </row>
    <row r="1573" spans="1:3">
      <c r="A1573" s="406">
        <f>Return!A363</f>
        <v>45552</v>
      </c>
      <c r="B1573" s="408" t="s">
        <v>73</v>
      </c>
      <c r="C1573" s="409">
        <f>Return!Q363</f>
        <v>-7.7150040621269955E-3</v>
      </c>
    </row>
    <row r="1574" spans="1:3">
      <c r="A1574" s="406">
        <f>Return!A364</f>
        <v>45551</v>
      </c>
      <c r="B1574" s="408" t="s">
        <v>73</v>
      </c>
      <c r="C1574" s="409">
        <f>Return!Q364</f>
        <v>-8.8076327900983801E-3</v>
      </c>
    </row>
    <row r="1575" spans="1:3">
      <c r="A1575" s="406">
        <f>Return!A365</f>
        <v>45548</v>
      </c>
      <c r="B1575" s="408" t="s">
        <v>73</v>
      </c>
      <c r="C1575" s="409">
        <f>Return!Q365</f>
        <v>-3.7335365358229858E-3</v>
      </c>
    </row>
    <row r="1576" spans="1:3">
      <c r="A1576" s="406">
        <f>Return!A366</f>
        <v>45547</v>
      </c>
      <c r="B1576" s="408" t="s">
        <v>73</v>
      </c>
      <c r="C1576" s="409">
        <f>Return!Q366</f>
        <v>1.6266228106383961E-3</v>
      </c>
    </row>
    <row r="1577" spans="1:3">
      <c r="A1577" s="406">
        <f>Return!A367</f>
        <v>45546</v>
      </c>
      <c r="B1577" s="408" t="s">
        <v>73</v>
      </c>
      <c r="C1577" s="409">
        <f>Return!Q367</f>
        <v>4.9016513291714782E-3</v>
      </c>
    </row>
    <row r="1578" spans="1:3">
      <c r="A1578" s="406">
        <f>Return!A368</f>
        <v>45545</v>
      </c>
      <c r="B1578" s="408" t="s">
        <v>73</v>
      </c>
      <c r="C1578" s="409">
        <f>Return!Q368</f>
        <v>1.6152961649570949E-3</v>
      </c>
    </row>
    <row r="1579" spans="1:3">
      <c r="A1579" s="406">
        <f>Return!A369</f>
        <v>45544</v>
      </c>
      <c r="B1579" s="408" t="s">
        <v>73</v>
      </c>
      <c r="C1579" s="409">
        <f>Return!Q369</f>
        <v>3.6082898832785881E-3</v>
      </c>
    </row>
    <row r="1580" spans="1:3">
      <c r="A1580" s="406">
        <f>Return!A370</f>
        <v>45541</v>
      </c>
      <c r="B1580" s="408" t="s">
        <v>73</v>
      </c>
      <c r="C1580" s="409">
        <f>Return!Q370</f>
        <v>-2.9202790927325699E-3</v>
      </c>
    </row>
    <row r="1581" spans="1:3">
      <c r="A1581" s="406">
        <f>Return!A371</f>
        <v>45540</v>
      </c>
      <c r="B1581" s="408" t="s">
        <v>73</v>
      </c>
      <c r="C1581" s="409">
        <f>Return!Q371</f>
        <v>4.2638234035402046E-3</v>
      </c>
    </row>
    <row r="1582" spans="1:3">
      <c r="A1582" s="406">
        <f>Return!A372</f>
        <v>45539</v>
      </c>
      <c r="B1582" s="408" t="s">
        <v>73</v>
      </c>
      <c r="C1582" s="409">
        <f>Return!Q372</f>
        <v>4.716653832286499E-4</v>
      </c>
    </row>
    <row r="1583" spans="1:3">
      <c r="A1583" s="406">
        <f>Return!A373</f>
        <v>45538</v>
      </c>
      <c r="B1583" s="408" t="s">
        <v>73</v>
      </c>
      <c r="C1583" s="409">
        <f>Return!Q373</f>
        <v>-1.5528459538215412E-3</v>
      </c>
    </row>
    <row r="1584" spans="1:3">
      <c r="A1584" s="406">
        <f>Return!A374</f>
        <v>45537</v>
      </c>
      <c r="B1584" s="408" t="s">
        <v>73</v>
      </c>
      <c r="C1584" s="409">
        <f>Return!Q374</f>
        <v>-3.7900074379666987E-3</v>
      </c>
    </row>
    <row r="1585" spans="1:3">
      <c r="A1585" s="406">
        <f>Return!A375</f>
        <v>45534</v>
      </c>
      <c r="B1585" s="408" t="s">
        <v>73</v>
      </c>
      <c r="C1585" s="409">
        <f>Return!Q375</f>
        <v>-2.5070202392370169E-3</v>
      </c>
    </row>
    <row r="1586" spans="1:3">
      <c r="A1586" s="406">
        <f>Return!A376</f>
        <v>45533</v>
      </c>
      <c r="B1586" s="408" t="s">
        <v>73</v>
      </c>
      <c r="C1586" s="409">
        <f>Return!Q376</f>
        <v>-6.3645728618202913E-5</v>
      </c>
    </row>
    <row r="1587" spans="1:3">
      <c r="A1587" s="406">
        <f>Return!A377</f>
        <v>45532</v>
      </c>
      <c r="B1587" s="408" t="s">
        <v>73</v>
      </c>
      <c r="C1587" s="409">
        <f>Return!Q377</f>
        <v>3.5873368851521655E-3</v>
      </c>
    </row>
    <row r="1588" spans="1:3">
      <c r="A1588" s="406">
        <f>Return!A378</f>
        <v>45531</v>
      </c>
      <c r="B1588" s="408" t="s">
        <v>73</v>
      </c>
      <c r="C1588" s="409">
        <f>Return!Q378</f>
        <v>9.7212163451278182E-3</v>
      </c>
    </row>
    <row r="1589" spans="1:3">
      <c r="A1589" s="406">
        <f>Return!A379</f>
        <v>45530</v>
      </c>
      <c r="B1589" s="408" t="s">
        <v>73</v>
      </c>
      <c r="C1589" s="409">
        <f>Return!Q379</f>
        <v>-4.2054649475169814E-3</v>
      </c>
    </row>
    <row r="1590" spans="1:3">
      <c r="A1590" s="406">
        <f>Return!A380</f>
        <v>45527</v>
      </c>
      <c r="B1590" s="408" t="s">
        <v>73</v>
      </c>
      <c r="C1590" s="409">
        <f>Return!Q380</f>
        <v>6.0958737165378012E-3</v>
      </c>
    </row>
    <row r="1591" spans="1:3">
      <c r="A1591" s="406">
        <f>Return!A381</f>
        <v>45526</v>
      </c>
      <c r="B1591" s="408" t="s">
        <v>73</v>
      </c>
      <c r="C1591" s="409">
        <f>Return!Q381</f>
        <v>3.4825398647881393E-3</v>
      </c>
    </row>
    <row r="1592" spans="1:3">
      <c r="A1592" s="406">
        <f>Return!A382</f>
        <v>45525</v>
      </c>
      <c r="B1592" s="408" t="s">
        <v>73</v>
      </c>
      <c r="C1592" s="409">
        <f>Return!Q382</f>
        <v>6.1103701050526154E-3</v>
      </c>
    </row>
    <row r="1593" spans="1:3">
      <c r="A1593" s="406">
        <f>Return!A383</f>
        <v>45524</v>
      </c>
      <c r="B1593" s="408" t="s">
        <v>73</v>
      </c>
      <c r="C1593" s="409">
        <f>Return!Q383</f>
        <v>-6.2039084034136473E-3</v>
      </c>
    </row>
    <row r="1594" spans="1:3">
      <c r="A1594" s="406">
        <f>Return!A384</f>
        <v>45523</v>
      </c>
      <c r="B1594" s="408" t="s">
        <v>73</v>
      </c>
      <c r="C1594" s="409">
        <f>Return!Q384</f>
        <v>4.6630937038076737E-3</v>
      </c>
    </row>
    <row r="1595" spans="1:3">
      <c r="A1595" s="406">
        <f>Return!A385</f>
        <v>45520</v>
      </c>
      <c r="B1595" s="408" t="s">
        <v>73</v>
      </c>
      <c r="C1595" s="409">
        <f>Return!Q385</f>
        <v>1.2531649005092059E-2</v>
      </c>
    </row>
    <row r="1596" spans="1:3">
      <c r="A1596" s="406">
        <f>Return!A386</f>
        <v>45518</v>
      </c>
      <c r="B1596" s="408" t="s">
        <v>73</v>
      </c>
      <c r="C1596" s="409">
        <f>Return!Q386</f>
        <v>1.0034598483798646E-3</v>
      </c>
    </row>
    <row r="1597" spans="1:3">
      <c r="A1597" s="406">
        <f>Return!A387</f>
        <v>45517</v>
      </c>
      <c r="B1597" s="408" t="s">
        <v>73</v>
      </c>
      <c r="C1597" s="409">
        <f>Return!Q387</f>
        <v>-3.972205675216273E-3</v>
      </c>
    </row>
    <row r="1598" spans="1:3">
      <c r="A1598" s="406">
        <f>Return!A388</f>
        <v>45516</v>
      </c>
      <c r="B1598" s="408" t="s">
        <v>73</v>
      </c>
      <c r="C1598" s="409">
        <f>Return!Q388</f>
        <v>-4.1964059914439255E-3</v>
      </c>
    </row>
    <row r="1599" spans="1:3">
      <c r="A1599" s="406">
        <f>Return!A389</f>
        <v>45513</v>
      </c>
      <c r="B1599" s="408" t="s">
        <v>73</v>
      </c>
      <c r="C1599" s="409">
        <f>Return!Q389</f>
        <v>-1.1053701884645283E-3</v>
      </c>
    </row>
    <row r="1600" spans="1:3">
      <c r="A1600" s="406">
        <f>Return!A390</f>
        <v>45512</v>
      </c>
      <c r="B1600" s="408" t="s">
        <v>73</v>
      </c>
      <c r="C1600" s="409">
        <f>Return!Q390</f>
        <v>-9.2743604509864797E-3</v>
      </c>
    </row>
    <row r="1601" spans="1:3">
      <c r="A1601" s="406">
        <f>Return!A391</f>
        <v>45511</v>
      </c>
      <c r="B1601" s="408" t="s">
        <v>73</v>
      </c>
      <c r="C1601" s="409">
        <f>Return!Q391</f>
        <v>1.3870908244847697E-2</v>
      </c>
    </row>
    <row r="1602" spans="1:3">
      <c r="A1602" s="406">
        <f>Return!A392</f>
        <v>45510</v>
      </c>
      <c r="B1602" s="408" t="s">
        <v>73</v>
      </c>
      <c r="C1602" s="409">
        <f>Return!Q392</f>
        <v>1.2117208669223134E-2</v>
      </c>
    </row>
    <row r="1603" spans="1:3">
      <c r="A1603" s="406">
        <f>Return!A393</f>
        <v>45509</v>
      </c>
      <c r="B1603" s="408" t="s">
        <v>73</v>
      </c>
      <c r="C1603" s="409">
        <f>Return!Q393</f>
        <v>1.9381935373673986E-3</v>
      </c>
    </row>
    <row r="1604" spans="1:3">
      <c r="A1604" s="406">
        <f>Return!A394</f>
        <v>45506</v>
      </c>
      <c r="B1604" s="408" t="s">
        <v>73</v>
      </c>
      <c r="C1604" s="409">
        <f>Return!Q394</f>
        <v>4.6789127957931847E-4</v>
      </c>
    </row>
    <row r="1605" spans="1:3">
      <c r="A1605" s="406">
        <f>Return!A395</f>
        <v>45505</v>
      </c>
      <c r="B1605" s="408" t="s">
        <v>73</v>
      </c>
      <c r="C1605" s="409">
        <f>Return!Q395</f>
        <v>4.9832753179163483E-4</v>
      </c>
    </row>
    <row r="1606" spans="1:3">
      <c r="A1606" s="406">
        <f>Return!A396</f>
        <v>45504</v>
      </c>
      <c r="B1606" s="408" t="s">
        <v>73</v>
      </c>
      <c r="C1606" s="409">
        <f>Return!Q396</f>
        <v>1.5658206925344051E-3</v>
      </c>
    </row>
    <row r="1607" spans="1:3">
      <c r="A1607" s="406">
        <f>Return!A397</f>
        <v>45503</v>
      </c>
      <c r="B1607" s="408" t="s">
        <v>73</v>
      </c>
      <c r="C1607" s="409">
        <f>Return!Q397</f>
        <v>7.8175273933425247E-3</v>
      </c>
    </row>
    <row r="1608" spans="1:3">
      <c r="A1608" s="406">
        <f>Return!A398</f>
        <v>45502</v>
      </c>
      <c r="B1608" s="408" t="s">
        <v>73</v>
      </c>
      <c r="C1608" s="409">
        <f>Return!Q398</f>
        <v>1.4102190632373601E-3</v>
      </c>
    </row>
    <row r="1609" spans="1:3">
      <c r="A1609" s="406">
        <f>Return!A399</f>
        <v>45499</v>
      </c>
      <c r="B1609" s="408" t="s">
        <v>73</v>
      </c>
      <c r="C1609" s="409">
        <f>Return!Q399</f>
        <v>5.4275914877844316E-3</v>
      </c>
    </row>
    <row r="1610" spans="1:3">
      <c r="A1610" s="406">
        <f>Return!A400</f>
        <v>45498</v>
      </c>
      <c r="B1610" s="408" t="s">
        <v>73</v>
      </c>
      <c r="C1610" s="409">
        <f>Return!Q400</f>
        <v>1.5051786120558594E-3</v>
      </c>
    </row>
    <row r="1611" spans="1:3">
      <c r="A1611" s="406">
        <f>Return!A401</f>
        <v>45497</v>
      </c>
      <c r="B1611" s="408" t="s">
        <v>73</v>
      </c>
      <c r="C1611" s="409">
        <f>Return!Q401</f>
        <v>7.4831272210565541E-3</v>
      </c>
    </row>
    <row r="1612" spans="1:3">
      <c r="A1612" s="406">
        <f>Return!A402</f>
        <v>45496</v>
      </c>
      <c r="B1612" s="408" t="s">
        <v>73</v>
      </c>
      <c r="C1612" s="409">
        <f>Return!Q402</f>
        <v>1.2865515231415971E-2</v>
      </c>
    </row>
    <row r="1613" spans="1:3">
      <c r="A1613" s="406">
        <f>Return!A403</f>
        <v>45495</v>
      </c>
      <c r="B1613" s="408" t="s">
        <v>73</v>
      </c>
      <c r="C1613" s="409">
        <f>Return!Q403</f>
        <v>7.4676995974169678E-3</v>
      </c>
    </row>
    <row r="1614" spans="1:3">
      <c r="A1614" s="406">
        <f>Return!A404</f>
        <v>45492</v>
      </c>
      <c r="B1614" s="408" t="s">
        <v>73</v>
      </c>
      <c r="C1614" s="409">
        <f>Return!Q404</f>
        <v>-1.0367591625520456E-3</v>
      </c>
    </row>
    <row r="1615" spans="1:3">
      <c r="A1615" s="406">
        <f>Return!A405</f>
        <v>45491</v>
      </c>
      <c r="B1615" s="408" t="s">
        <v>73</v>
      </c>
      <c r="C1615" s="409">
        <f>Return!Q405</f>
        <v>5.0977000224601381E-3</v>
      </c>
    </row>
    <row r="1616" spans="1:3">
      <c r="A1616" s="406">
        <f>Return!A406</f>
        <v>45489</v>
      </c>
      <c r="B1616" s="408" t="s">
        <v>73</v>
      </c>
      <c r="C1616" s="409">
        <f>Return!Q406</f>
        <v>-5.0167052022198561E-3</v>
      </c>
    </row>
    <row r="1617" spans="1:3">
      <c r="A1617" s="406">
        <f>Return!A407</f>
        <v>45488</v>
      </c>
      <c r="B1617" s="408" t="s">
        <v>73</v>
      </c>
      <c r="C1617" s="409">
        <f>Return!Q407</f>
        <v>-8.6355190455465703E-4</v>
      </c>
    </row>
    <row r="1618" spans="1:3">
      <c r="A1618" s="406">
        <f>Return!A408</f>
        <v>45485</v>
      </c>
      <c r="B1618" s="408" t="s">
        <v>73</v>
      </c>
      <c r="C1618" s="409">
        <f>Return!Q408</f>
        <v>9.8159279971666083E-4</v>
      </c>
    </row>
    <row r="1619" spans="1:3">
      <c r="A1619" s="406">
        <f>Return!A409</f>
        <v>45484</v>
      </c>
      <c r="B1619" s="408" t="s">
        <v>73</v>
      </c>
      <c r="C1619" s="409">
        <f>Return!Q409</f>
        <v>3.3565933911393273E-3</v>
      </c>
    </row>
    <row r="1620" spans="1:3">
      <c r="A1620" s="406">
        <f>Return!A410</f>
        <v>45483</v>
      </c>
      <c r="B1620" s="408" t="s">
        <v>73</v>
      </c>
      <c r="C1620" s="409">
        <f>Return!Q410</f>
        <v>2.8085282808429728E-3</v>
      </c>
    </row>
    <row r="1621" spans="1:3">
      <c r="A1621" s="406">
        <f>Return!A411</f>
        <v>45482</v>
      </c>
      <c r="B1621" s="408" t="s">
        <v>73</v>
      </c>
      <c r="C1621" s="409">
        <f>Return!Q411</f>
        <v>1.2939993065234057E-3</v>
      </c>
    </row>
    <row r="1622" spans="1:3">
      <c r="A1622" s="406">
        <f>Return!A412</f>
        <v>45481</v>
      </c>
      <c r="B1622" s="408" t="s">
        <v>73</v>
      </c>
      <c r="C1622" s="409">
        <f>Return!Q412</f>
        <v>-7.7179780749682088E-4</v>
      </c>
    </row>
    <row r="1623" spans="1:3">
      <c r="A1623" s="406">
        <f>Return!A413</f>
        <v>45478</v>
      </c>
      <c r="B1623" s="408" t="s">
        <v>73</v>
      </c>
      <c r="C1623" s="409">
        <f>Return!Q413</f>
        <v>8.8882379168055727E-3</v>
      </c>
    </row>
    <row r="1624" spans="1:3">
      <c r="A1624" s="406">
        <f>Return!A414</f>
        <v>45477</v>
      </c>
      <c r="B1624" s="408" t="s">
        <v>73</v>
      </c>
      <c r="C1624" s="409">
        <f>Return!Q414</f>
        <v>1.9576153629719963E-2</v>
      </c>
    </row>
    <row r="1625" spans="1:3">
      <c r="A1625" s="406">
        <f>Return!A415</f>
        <v>45476</v>
      </c>
      <c r="B1625" s="408" t="s">
        <v>73</v>
      </c>
      <c r="C1625" s="409">
        <f>Return!Q415</f>
        <v>1.4900514627439196E-3</v>
      </c>
    </row>
    <row r="1626" spans="1:3">
      <c r="A1626" s="406">
        <f>Return!A416</f>
        <v>45475</v>
      </c>
      <c r="B1626" s="408" t="s">
        <v>73</v>
      </c>
      <c r="C1626" s="409">
        <f>Return!Q416</f>
        <v>1.5105534765890377E-2</v>
      </c>
    </row>
    <row r="1627" spans="1:3">
      <c r="A1627" s="406">
        <f>Return!A417</f>
        <v>45474</v>
      </c>
      <c r="B1627" s="408" t="s">
        <v>73</v>
      </c>
      <c r="C1627" s="409">
        <f>Return!Q417</f>
        <v>3.041385463946643E-3</v>
      </c>
    </row>
    <row r="1628" spans="1:3">
      <c r="A1628" s="406">
        <f>Return!A418</f>
        <v>45471</v>
      </c>
      <c r="B1628" s="408" t="s">
        <v>73</v>
      </c>
      <c r="C1628" s="409">
        <f>Return!Q418</f>
        <v>2.4439904122812821E-3</v>
      </c>
    </row>
    <row r="1629" spans="1:3">
      <c r="A1629" s="406">
        <f>Return!A419</f>
        <v>45470</v>
      </c>
      <c r="B1629" s="408" t="s">
        <v>73</v>
      </c>
      <c r="C1629" s="409">
        <f>Return!Q419</f>
        <v>-1.2674594070204983E-4</v>
      </c>
    </row>
    <row r="1630" spans="1:3">
      <c r="A1630" s="406">
        <f>Return!A420</f>
        <v>45469</v>
      </c>
      <c r="B1630" s="408" t="s">
        <v>73</v>
      </c>
      <c r="C1630" s="409">
        <f>Return!Q420</f>
        <v>7.2600395589407733E-3</v>
      </c>
    </row>
    <row r="1631" spans="1:3">
      <c r="A1631" s="406">
        <f>Return!A421</f>
        <v>45468</v>
      </c>
      <c r="B1631" s="408" t="s">
        <v>73</v>
      </c>
      <c r="C1631" s="409">
        <f>Return!Q421</f>
        <v>1.2796644974362873E-3</v>
      </c>
    </row>
    <row r="1632" spans="1:3">
      <c r="A1632" s="406">
        <f>Return!A422</f>
        <v>45467</v>
      </c>
      <c r="B1632" s="408" t="s">
        <v>73</v>
      </c>
      <c r="C1632" s="409">
        <f>Return!Q422</f>
        <v>-2.5853590454187887E-3</v>
      </c>
    </row>
    <row r="1633" spans="1:3">
      <c r="A1633" s="406">
        <f>Return!A423</f>
        <v>45464</v>
      </c>
      <c r="B1633" s="408" t="s">
        <v>73</v>
      </c>
      <c r="C1633" s="409">
        <f>Return!Q423</f>
        <v>-8.1152072297386625E-4</v>
      </c>
    </row>
    <row r="1634" spans="1:3">
      <c r="A1634" s="406">
        <f>Return!A424</f>
        <v>45463</v>
      </c>
      <c r="B1634" s="408" t="s">
        <v>73</v>
      </c>
      <c r="C1634" s="409">
        <f>Return!Q424</f>
        <v>1.4529987629457661E-3</v>
      </c>
    </row>
    <row r="1635" spans="1:3">
      <c r="A1635" s="406">
        <f>Return!A425</f>
        <v>45462</v>
      </c>
      <c r="B1635" s="408" t="s">
        <v>73</v>
      </c>
      <c r="C1635" s="409">
        <f>Return!Q425</f>
        <v>-2.1684756047203498E-3</v>
      </c>
    </row>
    <row r="1636" spans="1:3">
      <c r="A1636" s="406">
        <f>Return!A426</f>
        <v>45461</v>
      </c>
      <c r="B1636" s="408" t="s">
        <v>73</v>
      </c>
      <c r="C1636" s="409">
        <f>Return!Q426</f>
        <v>-7.0043409398210738E-3</v>
      </c>
    </row>
    <row r="1637" spans="1:3">
      <c r="A1637" s="406">
        <f>Return!A427</f>
        <v>45457</v>
      </c>
      <c r="B1637" s="408" t="s">
        <v>73</v>
      </c>
      <c r="C1637" s="409">
        <f>Return!Q427</f>
        <v>-5.3563734812427655E-3</v>
      </c>
    </row>
    <row r="1638" spans="1:3">
      <c r="A1638" s="406">
        <f>Return!A428</f>
        <v>45456</v>
      </c>
      <c r="B1638" s="408" t="s">
        <v>73</v>
      </c>
      <c r="C1638" s="409">
        <f>Return!Q428</f>
        <v>-8.0493016782538958E-3</v>
      </c>
    </row>
    <row r="1639" spans="1:3">
      <c r="A1639" s="406">
        <f>Return!A429</f>
        <v>45455</v>
      </c>
      <c r="B1639" s="408" t="s">
        <v>73</v>
      </c>
      <c r="C1639" s="409">
        <f>Return!Q429</f>
        <v>2.6807795624785085E-3</v>
      </c>
    </row>
    <row r="1640" spans="1:3">
      <c r="A1640" s="406">
        <f>Return!A430</f>
        <v>45454</v>
      </c>
      <c r="B1640" s="408" t="s">
        <v>73</v>
      </c>
      <c r="C1640" s="409">
        <f>Return!Q430</f>
        <v>3.1925960868807949E-3</v>
      </c>
    </row>
    <row r="1641" spans="1:3">
      <c r="A1641" s="406">
        <f>Return!A431</f>
        <v>45453</v>
      </c>
      <c r="B1641" s="408" t="s">
        <v>73</v>
      </c>
      <c r="C1641" s="409">
        <f>Return!Q431</f>
        <v>7.5790522713164669E-3</v>
      </c>
    </row>
    <row r="1642" spans="1:3">
      <c r="A1642" s="406">
        <f>Return!A432</f>
        <v>45450</v>
      </c>
      <c r="B1642" s="408" t="s">
        <v>73</v>
      </c>
      <c r="C1642" s="409">
        <f>Return!Q432</f>
        <v>-7.4118534902451556E-4</v>
      </c>
    </row>
    <row r="1643" spans="1:3">
      <c r="A1643" s="406">
        <f>Return!A433</f>
        <v>45449</v>
      </c>
      <c r="B1643" s="408" t="s">
        <v>73</v>
      </c>
      <c r="C1643" s="409">
        <f>Return!Q433</f>
        <v>4.7749747597313472E-4</v>
      </c>
    </row>
    <row r="1644" spans="1:3">
      <c r="A1644" s="406">
        <f>Return!A434</f>
        <v>45448</v>
      </c>
      <c r="B1644" s="408" t="s">
        <v>73</v>
      </c>
      <c r="C1644" s="409">
        <f>Return!Q434</f>
        <v>1.6535326167283204E-2</v>
      </c>
    </row>
    <row r="1645" spans="1:3">
      <c r="A1645" s="406">
        <f>Return!A435</f>
        <v>45447</v>
      </c>
      <c r="B1645" s="408" t="s">
        <v>73</v>
      </c>
      <c r="C1645" s="409">
        <f>Return!Q435</f>
        <v>1.5006735891248596E-2</v>
      </c>
    </row>
    <row r="1646" spans="1:3">
      <c r="A1646" s="406">
        <f>Return!A436</f>
        <v>45446</v>
      </c>
      <c r="B1646" s="408" t="s">
        <v>73</v>
      </c>
      <c r="C1646" s="409">
        <f>Return!Q436</f>
        <v>2.0262637883938324E-3</v>
      </c>
    </row>
    <row r="1647" spans="1:3">
      <c r="A1647" s="406">
        <f>Return!A437</f>
        <v>45443</v>
      </c>
      <c r="B1647" s="408" t="s">
        <v>73</v>
      </c>
      <c r="C1647" s="409">
        <f>Return!Q437</f>
        <v>1.1731460355403598E-2</v>
      </c>
    </row>
    <row r="1648" spans="1:3">
      <c r="A1648" s="406">
        <f>Return!A438</f>
        <v>45442</v>
      </c>
      <c r="B1648" s="408" t="s">
        <v>73</v>
      </c>
      <c r="C1648" s="409">
        <f>Return!Q438</f>
        <v>-7.5789766292768462E-3</v>
      </c>
    </row>
    <row r="1649" spans="1:3">
      <c r="A1649" s="406">
        <f>Return!A439</f>
        <v>45441</v>
      </c>
      <c r="B1649" s="408" t="s">
        <v>73</v>
      </c>
      <c r="C1649" s="409">
        <f>Return!Q439</f>
        <v>-4.8694773639554228E-3</v>
      </c>
    </row>
    <row r="1650" spans="1:3">
      <c r="A1650" s="406">
        <f>Return!A440</f>
        <v>45440</v>
      </c>
      <c r="B1650" s="408" t="s">
        <v>73</v>
      </c>
      <c r="C1650" s="409">
        <f>Return!Q440</f>
        <v>-1.1586977922205784E-2</v>
      </c>
    </row>
    <row r="1651" spans="1:3">
      <c r="A1651" s="406">
        <f>Return!A441</f>
        <v>45439</v>
      </c>
      <c r="B1651" s="408" t="s">
        <v>73</v>
      </c>
      <c r="C1651" s="409">
        <f>Return!Q441</f>
        <v>-7.7864073725507797E-3</v>
      </c>
    </row>
    <row r="1652" spans="1:3">
      <c r="A1652" s="406">
        <f>Return!A442</f>
        <v>45436</v>
      </c>
      <c r="B1652" s="408" t="s">
        <v>73</v>
      </c>
      <c r="C1652" s="409">
        <f>Return!Q442</f>
        <v>-1.3713879379490999E-4</v>
      </c>
    </row>
    <row r="1653" spans="1:3">
      <c r="A1653" s="406">
        <f>Return!A443</f>
        <v>45435</v>
      </c>
      <c r="B1653" s="408" t="s">
        <v>73</v>
      </c>
      <c r="C1653" s="409">
        <f>Return!Q443</f>
        <v>9.9362668764693273E-4</v>
      </c>
    </row>
    <row r="1654" spans="1:3">
      <c r="A1654" s="406">
        <f>Return!A444</f>
        <v>45434</v>
      </c>
      <c r="B1654" s="408" t="s">
        <v>73</v>
      </c>
      <c r="C1654" s="409">
        <f>Return!Q444</f>
        <v>-3.241248556221956E-3</v>
      </c>
    </row>
    <row r="1655" spans="1:3">
      <c r="A1655" s="406">
        <f>Return!A445</f>
        <v>45433</v>
      </c>
      <c r="B1655" s="408" t="s">
        <v>73</v>
      </c>
      <c r="C1655" s="409">
        <f>Return!Q445</f>
        <v>-4.703564772592205E-3</v>
      </c>
    </row>
    <row r="1656" spans="1:3">
      <c r="A1656" s="406">
        <f>Return!A446</f>
        <v>45430</v>
      </c>
      <c r="B1656" s="408" t="s">
        <v>73</v>
      </c>
      <c r="C1656" s="409">
        <f>Return!Q446</f>
        <v>1.2580805274725406E-2</v>
      </c>
    </row>
    <row r="1657" spans="1:3">
      <c r="A1657" s="406">
        <f>Return!A447</f>
        <v>45429</v>
      </c>
      <c r="B1657" s="408" t="s">
        <v>73</v>
      </c>
      <c r="C1657" s="409">
        <f>Return!Q447</f>
        <v>1.4285761497554124E-2</v>
      </c>
    </row>
    <row r="1658" spans="1:3">
      <c r="A1658" s="406">
        <f>Return!A448</f>
        <v>45428</v>
      </c>
      <c r="B1658" s="408" t="s">
        <v>73</v>
      </c>
      <c r="C1658" s="409">
        <f>Return!Q448</f>
        <v>7.1796643364610549E-3</v>
      </c>
    </row>
    <row r="1659" spans="1:3">
      <c r="A1659" s="406">
        <f>Return!A449</f>
        <v>45427</v>
      </c>
      <c r="B1659" s="408" t="s">
        <v>73</v>
      </c>
      <c r="C1659" s="409">
        <f>Return!Q449</f>
        <v>3.4734211201598546E-4</v>
      </c>
    </row>
    <row r="1660" spans="1:3">
      <c r="A1660" s="406">
        <f>Return!A450</f>
        <v>45426</v>
      </c>
      <c r="B1660" s="408" t="s">
        <v>73</v>
      </c>
      <c r="C1660" s="409">
        <f>Return!Q450</f>
        <v>-3.4276284399580108E-3</v>
      </c>
    </row>
    <row r="1661" spans="1:3">
      <c r="A1661" s="406">
        <f>Return!A451</f>
        <v>45425</v>
      </c>
      <c r="B1661" s="408" t="s">
        <v>73</v>
      </c>
      <c r="C1661" s="409">
        <f>Return!Q451</f>
        <v>1.3404521740951404E-2</v>
      </c>
    </row>
    <row r="1662" spans="1:3">
      <c r="A1662" s="406">
        <f>Return!A452</f>
        <v>45422</v>
      </c>
      <c r="B1662" s="408" t="s">
        <v>73</v>
      </c>
      <c r="C1662" s="409">
        <f>Return!Q452</f>
        <v>8.2473116616003266E-4</v>
      </c>
    </row>
    <row r="1663" spans="1:3">
      <c r="A1663" s="406">
        <f>Return!A453</f>
        <v>45421</v>
      </c>
      <c r="B1663" s="408" t="s">
        <v>73</v>
      </c>
      <c r="C1663" s="409">
        <f>Return!Q453</f>
        <v>6.8749983920364322E-3</v>
      </c>
    </row>
    <row r="1664" spans="1:3">
      <c r="A1664" s="406">
        <f>Return!A454</f>
        <v>45420</v>
      </c>
      <c r="B1664" s="408" t="s">
        <v>73</v>
      </c>
      <c r="C1664" s="409">
        <f>Return!Q454</f>
        <v>8.3409450209410031E-4</v>
      </c>
    </row>
    <row r="1665" spans="1:3">
      <c r="A1665" s="406">
        <f>Return!A455</f>
        <v>45419</v>
      </c>
      <c r="B1665" s="408" t="s">
        <v>73</v>
      </c>
      <c r="C1665" s="409">
        <f>Return!Q455</f>
        <v>3.6230921137857068E-4</v>
      </c>
    </row>
    <row r="1666" spans="1:3">
      <c r="A1666" s="406">
        <f>Return!A456</f>
        <v>45418</v>
      </c>
      <c r="B1666" s="408" t="s">
        <v>73</v>
      </c>
      <c r="C1666" s="409">
        <f>Return!Q456</f>
        <v>-1.8125202670469062E-2</v>
      </c>
    </row>
    <row r="1667" spans="1:3">
      <c r="A1667" s="406">
        <f>Return!A457</f>
        <v>45415</v>
      </c>
      <c r="B1667" s="408" t="s">
        <v>73</v>
      </c>
      <c r="C1667" s="409">
        <f>Return!Q457</f>
        <v>-4.5494552683892865E-3</v>
      </c>
    </row>
    <row r="1668" spans="1:3">
      <c r="A1668" s="406">
        <f>Return!A458</f>
        <v>45414</v>
      </c>
      <c r="B1668" s="408" t="s">
        <v>73</v>
      </c>
      <c r="C1668" s="409">
        <f>Return!Q458</f>
        <v>1.4360519967553888E-3</v>
      </c>
    </row>
    <row r="1669" spans="1:3">
      <c r="A1669" s="406">
        <f>Return!A459</f>
        <v>45412</v>
      </c>
      <c r="B1669" s="408" t="s">
        <v>73</v>
      </c>
      <c r="C1669" s="409">
        <f>Return!Q459</f>
        <v>4.3173119557558407E-3</v>
      </c>
    </row>
    <row r="1670" spans="1:3">
      <c r="A1670" s="406">
        <f>Return!A460</f>
        <v>45411</v>
      </c>
      <c r="B1670" s="408" t="s">
        <v>73</v>
      </c>
      <c r="C1670" s="409">
        <f>Return!Q460</f>
        <v>5.6523783906317401E-3</v>
      </c>
    </row>
    <row r="1671" spans="1:3">
      <c r="A1671" s="406">
        <f>Return!A461</f>
        <v>45408</v>
      </c>
      <c r="B1671" s="408" t="s">
        <v>73</v>
      </c>
      <c r="C1671" s="409">
        <f>Return!Q461</f>
        <v>-2.3871106064464497E-4</v>
      </c>
    </row>
    <row r="1672" spans="1:3">
      <c r="A1672" s="406">
        <f>Return!A462</f>
        <v>45407</v>
      </c>
      <c r="B1672" s="408" t="s">
        <v>73</v>
      </c>
      <c r="C1672" s="409">
        <f>Return!Q462</f>
        <v>7.8322250297184846E-3</v>
      </c>
    </row>
    <row r="1673" spans="1:3">
      <c r="A1673" s="406">
        <f>Return!A463</f>
        <v>45406</v>
      </c>
      <c r="B1673" s="408" t="s">
        <v>73</v>
      </c>
      <c r="C1673" s="409">
        <f>Return!Q463</f>
        <v>6.8843534024962778E-5</v>
      </c>
    </row>
    <row r="1674" spans="1:3">
      <c r="A1674" s="406">
        <f>Return!A464</f>
        <v>45405</v>
      </c>
      <c r="B1674" s="408" t="s">
        <v>73</v>
      </c>
      <c r="C1674" s="409">
        <f>Return!Q464</f>
        <v>9.8698118430486717E-3</v>
      </c>
    </row>
    <row r="1675" spans="1:3">
      <c r="A1675" s="406">
        <f>Return!A465</f>
        <v>45404</v>
      </c>
      <c r="B1675" s="408" t="s">
        <v>73</v>
      </c>
      <c r="C1675" s="409">
        <f>Return!Q465</f>
        <v>1.306195018342318E-2</v>
      </c>
    </row>
    <row r="1676" spans="1:3">
      <c r="A1676" s="406">
        <f>Return!A466</f>
        <v>45401</v>
      </c>
      <c r="B1676" s="408" t="s">
        <v>73</v>
      </c>
      <c r="C1676" s="409">
        <f>Return!Q466</f>
        <v>-2.2268679146960494E-3</v>
      </c>
    </row>
    <row r="1677" spans="1:3">
      <c r="A1677" s="406">
        <f>Return!A467</f>
        <v>45400</v>
      </c>
      <c r="B1677" s="408" t="s">
        <v>73</v>
      </c>
      <c r="C1677" s="409">
        <f>Return!Q467</f>
        <v>6.333237546305129E-4</v>
      </c>
    </row>
    <row r="1678" spans="1:3">
      <c r="A1678" s="406">
        <f>Return!A468</f>
        <v>45398</v>
      </c>
      <c r="B1678" s="408" t="s">
        <v>73</v>
      </c>
      <c r="C1678" s="409">
        <f>Return!Q468</f>
        <v>4.0397533038665483E-3</v>
      </c>
    </row>
    <row r="1679" spans="1:3">
      <c r="A1679" s="406">
        <f>Return!A469</f>
        <v>45397</v>
      </c>
      <c r="B1679" s="408" t="s">
        <v>73</v>
      </c>
      <c r="C1679" s="409">
        <f>Return!Q469</f>
        <v>-3.9693442218997283E-3</v>
      </c>
    </row>
    <row r="1680" spans="1:3">
      <c r="A1680" s="406">
        <f>Return!A470</f>
        <v>45394</v>
      </c>
      <c r="B1680" s="408" t="s">
        <v>73</v>
      </c>
      <c r="C1680" s="409">
        <f>Return!Q470</f>
        <v>-9.2373975133903247E-3</v>
      </c>
    </row>
    <row r="1681" spans="1:3">
      <c r="A1681" s="406">
        <f>Return!A471</f>
        <v>45392</v>
      </c>
      <c r="B1681" s="408" t="s">
        <v>73</v>
      </c>
      <c r="C1681" s="409">
        <f>Return!Q471</f>
        <v>-4.4574326802148739E-3</v>
      </c>
    </row>
    <row r="1682" spans="1:3">
      <c r="A1682" s="406">
        <f>Return!A472</f>
        <v>45391</v>
      </c>
      <c r="B1682" s="408" t="s">
        <v>73</v>
      </c>
      <c r="C1682" s="409">
        <f>Return!Q472</f>
        <v>-7.8652942552942511E-3</v>
      </c>
    </row>
    <row r="1683" spans="1:3">
      <c r="A1683" s="406">
        <f>Return!A473</f>
        <v>45390</v>
      </c>
      <c r="B1683" s="408" t="s">
        <v>73</v>
      </c>
      <c r="C1683" s="409">
        <f>Return!Q473</f>
        <v>-7.4312038193801227E-3</v>
      </c>
    </row>
    <row r="1684" spans="1:3">
      <c r="A1684" s="406">
        <f>Return!A474</f>
        <v>45387</v>
      </c>
      <c r="B1684" s="408" t="s">
        <v>73</v>
      </c>
      <c r="C1684" s="409">
        <f>Return!Q474</f>
        <v>-3.3897952377165922E-3</v>
      </c>
    </row>
    <row r="1685" spans="1:3">
      <c r="A1685" s="406">
        <f>Return!A475</f>
        <v>45386</v>
      </c>
      <c r="B1685" s="408" t="s">
        <v>73</v>
      </c>
      <c r="C1685" s="409">
        <f>Return!Q475</f>
        <v>-2.8341803938187115E-3</v>
      </c>
    </row>
    <row r="1686" spans="1:3">
      <c r="A1686" s="406">
        <f>Return!A476</f>
        <v>45385</v>
      </c>
      <c r="B1686" s="408" t="s">
        <v>73</v>
      </c>
      <c r="C1686" s="409">
        <f>Return!Q476</f>
        <v>-4.2973215084305761E-3</v>
      </c>
    </row>
    <row r="1687" spans="1:3">
      <c r="A1687" s="406">
        <f>Return!A477</f>
        <v>45384</v>
      </c>
      <c r="B1687" s="408" t="s">
        <v>73</v>
      </c>
      <c r="C1687" s="409">
        <f>Return!Q477</f>
        <v>2.9526641855736713E-3</v>
      </c>
    </row>
    <row r="1688" spans="1:3">
      <c r="A1688" s="406">
        <f>Return!A478</f>
        <v>45383</v>
      </c>
      <c r="B1688" s="408" t="s">
        <v>73</v>
      </c>
      <c r="C1688" s="409">
        <f>Return!Q478</f>
        <v>-5.1643718861221549E-3</v>
      </c>
    </row>
    <row r="1689" spans="1:3">
      <c r="A1689" s="406">
        <f>Return!A479</f>
        <v>45379</v>
      </c>
      <c r="B1689" s="408" t="s">
        <v>73</v>
      </c>
      <c r="C1689" s="409">
        <f>Return!Q479</f>
        <v>4.6821736842553724E-3</v>
      </c>
    </row>
    <row r="1690" spans="1:3">
      <c r="A1690" s="406">
        <f>Return!A480</f>
        <v>45378</v>
      </c>
      <c r="B1690" s="408" t="s">
        <v>73</v>
      </c>
      <c r="C1690" s="409">
        <f>Return!Q480</f>
        <v>5.1106725633395496E-4</v>
      </c>
    </row>
    <row r="1691" spans="1:3">
      <c r="A1691" s="406">
        <f>Return!A481</f>
        <v>45377</v>
      </c>
      <c r="B1691" s="408" t="s">
        <v>73</v>
      </c>
      <c r="C1691" s="409">
        <f>Return!Q481</f>
        <v>1.0134606960439366E-2</v>
      </c>
    </row>
    <row r="1692" spans="1:3">
      <c r="A1692" s="406">
        <f>Return!A482</f>
        <v>45373</v>
      </c>
      <c r="B1692" s="408" t="s">
        <v>73</v>
      </c>
      <c r="C1692" s="409">
        <f>Return!Q482</f>
        <v>3.7739675277299195E-4</v>
      </c>
    </row>
    <row r="1693" spans="1:3">
      <c r="A1693" s="406">
        <f>Return!A483</f>
        <v>45372</v>
      </c>
      <c r="B1693" s="408" t="s">
        <v>73</v>
      </c>
      <c r="C1693" s="409">
        <f>Return!Q483</f>
        <v>5.1581873679119638E-3</v>
      </c>
    </row>
    <row r="1694" spans="1:3">
      <c r="A1694" s="406">
        <f>Return!A484</f>
        <v>45371</v>
      </c>
      <c r="B1694" s="408" t="s">
        <v>73</v>
      </c>
      <c r="C1694" s="409">
        <f>Return!Q484</f>
        <v>5.1457523407699088E-3</v>
      </c>
    </row>
    <row r="1695" spans="1:3">
      <c r="A1695" s="406">
        <f>Return!A485</f>
        <v>45370</v>
      </c>
      <c r="B1695" s="408" t="s">
        <v>73</v>
      </c>
      <c r="C1695" s="409">
        <f>Return!Q485</f>
        <v>4.0221551372076891E-3</v>
      </c>
    </row>
    <row r="1696" spans="1:3">
      <c r="A1696" s="406">
        <f>Return!A486</f>
        <v>45369</v>
      </c>
      <c r="B1696" s="408" t="s">
        <v>73</v>
      </c>
      <c r="C1696" s="409">
        <f>Return!Q486</f>
        <v>-1.3495724456391224E-3</v>
      </c>
    </row>
    <row r="1697" spans="1:3">
      <c r="A1697" s="406">
        <f>Return!A487</f>
        <v>45366</v>
      </c>
      <c r="B1697" s="408" t="s">
        <v>73</v>
      </c>
      <c r="C1697" s="409">
        <f>Return!Q487</f>
        <v>-4.3009924322936557E-3</v>
      </c>
    </row>
    <row r="1698" spans="1:3">
      <c r="A1698" s="406">
        <f>Return!A488</f>
        <v>45365</v>
      </c>
      <c r="B1698" s="408" t="s">
        <v>73</v>
      </c>
      <c r="C1698" s="409">
        <f>Return!Q488</f>
        <v>-2.7237133678667848E-3</v>
      </c>
    </row>
    <row r="1699" spans="1:3">
      <c r="A1699" s="406">
        <f>Return!A489</f>
        <v>45364</v>
      </c>
      <c r="B1699" s="408" t="s">
        <v>73</v>
      </c>
      <c r="C1699" s="409">
        <f>Return!Q489</f>
        <v>-6.8645271642605058E-3</v>
      </c>
    </row>
    <row r="1700" spans="1:3">
      <c r="A1700" s="406">
        <f>Return!A490</f>
        <v>45363</v>
      </c>
      <c r="B1700" s="408" t="s">
        <v>73</v>
      </c>
      <c r="C1700" s="409">
        <f>Return!Q490</f>
        <v>-3.5351152834915463E-3</v>
      </c>
    </row>
    <row r="1701" spans="1:3">
      <c r="A1701" s="406">
        <f>Return!A491</f>
        <v>45362</v>
      </c>
      <c r="B1701" s="408" t="s">
        <v>73</v>
      </c>
      <c r="C1701" s="409">
        <f>Return!Q491</f>
        <v>-3.8681890581375332E-3</v>
      </c>
    </row>
    <row r="1702" spans="1:3">
      <c r="A1702" s="406">
        <f>Return!A492</f>
        <v>45358</v>
      </c>
      <c r="B1702" s="408" t="s">
        <v>73</v>
      </c>
      <c r="C1702" s="409">
        <f>Return!Q492</f>
        <v>-1.6418647877220209E-4</v>
      </c>
    </row>
    <row r="1703" spans="1:3">
      <c r="A1703" s="406">
        <f>Return!A493</f>
        <v>45357</v>
      </c>
      <c r="B1703" s="408" t="s">
        <v>73</v>
      </c>
      <c r="C1703" s="409">
        <f>Return!Q493</f>
        <v>-2.4932523661417016E-3</v>
      </c>
    </row>
    <row r="1704" spans="1:3">
      <c r="A1704" s="406">
        <f>Return!A494</f>
        <v>45356</v>
      </c>
      <c r="B1704" s="408" t="s">
        <v>73</v>
      </c>
      <c r="C1704" s="409">
        <f>Return!Q494</f>
        <v>-7.2702196180800477E-3</v>
      </c>
    </row>
    <row r="1705" spans="1:3">
      <c r="A1705" s="406">
        <f>Return!A495</f>
        <v>45355</v>
      </c>
      <c r="B1705" s="408" t="s">
        <v>73</v>
      </c>
      <c r="C1705" s="409">
        <f>Return!Q495</f>
        <v>1.9883882626479201E-3</v>
      </c>
    </row>
    <row r="1706" spans="1:3">
      <c r="A1706" s="406">
        <f>Return!A496</f>
        <v>45353</v>
      </c>
      <c r="B1706" s="408" t="s">
        <v>73</v>
      </c>
      <c r="C1706" s="409">
        <f>Return!Q496</f>
        <v>5.018789353465886E-3</v>
      </c>
    </row>
    <row r="1707" spans="1:3">
      <c r="A1707" s="406">
        <f>Return!A497</f>
        <v>45352</v>
      </c>
      <c r="B1707" s="408" t="s">
        <v>73</v>
      </c>
      <c r="C1707" s="409">
        <f>Return!Q497</f>
        <v>1.1439382470469151E-2</v>
      </c>
    </row>
    <row r="1708" spans="1:3">
      <c r="A1708" s="406">
        <f>Return!A498</f>
        <v>45351</v>
      </c>
      <c r="B1708" s="408" t="s">
        <v>73</v>
      </c>
      <c r="C1708" s="409">
        <f>Return!Q498</f>
        <v>2.9343498071276721E-3</v>
      </c>
    </row>
    <row r="1709" spans="1:3">
      <c r="A1709" s="406">
        <f>Return!A499</f>
        <v>45350</v>
      </c>
      <c r="B1709" s="408" t="s">
        <v>73</v>
      </c>
      <c r="C1709" s="409">
        <f>Return!Q499</f>
        <v>-9.2252642678314779E-3</v>
      </c>
    </row>
    <row r="1710" spans="1:3">
      <c r="A1710" s="406">
        <f>Return!A500</f>
        <v>45349</v>
      </c>
      <c r="B1710" s="408" t="s">
        <v>73</v>
      </c>
      <c r="C1710" s="409">
        <f>Return!Q500</f>
        <v>2.9944460424382246E-4</v>
      </c>
    </row>
    <row r="1711" spans="1:3">
      <c r="A1711" s="406">
        <f>Return!A501</f>
        <v>45348</v>
      </c>
      <c r="B1711" s="408" t="s">
        <v>73</v>
      </c>
      <c r="C1711" s="409">
        <f>Return!Q501</f>
        <v>2.8747813862979236E-3</v>
      </c>
    </row>
    <row r="1712" spans="1:3">
      <c r="A1712" s="406">
        <f>Return!A502</f>
        <v>45345</v>
      </c>
      <c r="B1712" s="408" t="s">
        <v>73</v>
      </c>
      <c r="C1712" s="409">
        <f>Return!Q502</f>
        <v>8.4224767411952329E-4</v>
      </c>
    </row>
    <row r="1713" spans="1:3">
      <c r="A1713" s="406">
        <f>Return!A503</f>
        <v>45344</v>
      </c>
      <c r="B1713" s="408" t="s">
        <v>73</v>
      </c>
      <c r="C1713" s="409">
        <f>Return!Q503</f>
        <v>-8.2133776946451283E-4</v>
      </c>
    </row>
    <row r="1714" spans="1:3">
      <c r="A1714" s="406">
        <f>Return!A504</f>
        <v>45343</v>
      </c>
      <c r="B1714" s="408" t="s">
        <v>73</v>
      </c>
      <c r="C1714" s="409">
        <f>Return!Q504</f>
        <v>-2.086924778504559E-3</v>
      </c>
    </row>
    <row r="1715" spans="1:3">
      <c r="A1715" s="406">
        <f>Return!A505</f>
        <v>45342</v>
      </c>
      <c r="B1715" s="408" t="s">
        <v>73</v>
      </c>
      <c r="C1715" s="409">
        <f>Return!Q505</f>
        <v>-4.7755734924532778E-3</v>
      </c>
    </row>
    <row r="1716" spans="1:3">
      <c r="A1716" s="406">
        <f>Return!A506</f>
        <v>45341</v>
      </c>
      <c r="B1716" s="408" t="s">
        <v>73</v>
      </c>
      <c r="C1716" s="409">
        <f>Return!Q506</f>
        <v>4.0370765067464578E-3</v>
      </c>
    </row>
    <row r="1717" spans="1:3">
      <c r="A1717" s="406">
        <f>Return!A507</f>
        <v>45338</v>
      </c>
      <c r="B1717" s="408" t="s">
        <v>73</v>
      </c>
      <c r="C1717" s="409">
        <f>Return!Q507</f>
        <v>3.6615913743316382E-3</v>
      </c>
    </row>
    <row r="1718" spans="1:3">
      <c r="A1718" s="406">
        <f>Return!A508</f>
        <v>45337</v>
      </c>
      <c r="B1718" s="408" t="s">
        <v>73</v>
      </c>
      <c r="C1718" s="409">
        <f>Return!Q508</f>
        <v>6.0692489318611188E-4</v>
      </c>
    </row>
    <row r="1719" spans="1:3">
      <c r="A1719" s="406">
        <f>Return!A509</f>
        <v>45336</v>
      </c>
      <c r="B1719" s="408" t="s">
        <v>73</v>
      </c>
      <c r="C1719" s="409">
        <f>Return!Q509</f>
        <v>8.1522373190614141E-3</v>
      </c>
    </row>
    <row r="1720" spans="1:3">
      <c r="A1720" s="406">
        <f>Return!A510</f>
        <v>45335</v>
      </c>
      <c r="B1720" s="408" t="s">
        <v>73</v>
      </c>
      <c r="C1720" s="409">
        <f>Return!Q510</f>
        <v>1.1070387080150763E-3</v>
      </c>
    </row>
    <row r="1721" spans="1:3">
      <c r="A1721" s="406">
        <f>Return!A511</f>
        <v>45334</v>
      </c>
      <c r="B1721" s="408" t="s">
        <v>73</v>
      </c>
      <c r="C1721" s="409">
        <f>Return!Q511</f>
        <v>9.3948518596277987E-3</v>
      </c>
    </row>
    <row r="1722" spans="1:3">
      <c r="A1722" s="406">
        <f>Return!A512</f>
        <v>45331</v>
      </c>
      <c r="B1722" s="408" t="s">
        <v>73</v>
      </c>
      <c r="C1722" s="409">
        <f>Return!Q512</f>
        <v>-1.9362885131466836E-4</v>
      </c>
    </row>
    <row r="1723" spans="1:3">
      <c r="A1723" s="406">
        <f>Return!A513</f>
        <v>45330</v>
      </c>
      <c r="B1723" s="408" t="s">
        <v>73</v>
      </c>
      <c r="C1723" s="409">
        <f>Return!Q513</f>
        <v>4.3157044985516922E-3</v>
      </c>
    </row>
    <row r="1724" spans="1:3">
      <c r="A1724" s="406">
        <f>Return!A514</f>
        <v>45329</v>
      </c>
      <c r="B1724" s="408" t="s">
        <v>73</v>
      </c>
      <c r="C1724" s="409">
        <f>Return!Q514</f>
        <v>-9.2924769068533555E-7</v>
      </c>
    </row>
    <row r="1725" spans="1:3">
      <c r="A1725" s="406">
        <f>Return!A515</f>
        <v>45328</v>
      </c>
      <c r="B1725" s="408" t="s">
        <v>73</v>
      </c>
      <c r="C1725" s="409">
        <f>Return!Q515</f>
        <v>1.9775132414879167E-3</v>
      </c>
    </row>
    <row r="1726" spans="1:3">
      <c r="A1726" s="406">
        <f>Return!A516</f>
        <v>45327</v>
      </c>
      <c r="B1726" s="408" t="s">
        <v>73</v>
      </c>
      <c r="C1726" s="409">
        <f>Return!Q516</f>
        <v>5.3467887498648966E-3</v>
      </c>
    </row>
    <row r="1727" spans="1:3">
      <c r="A1727" s="406">
        <f>Return!A517</f>
        <v>45324</v>
      </c>
      <c r="B1727" s="408" t="s">
        <v>73</v>
      </c>
      <c r="C1727" s="409">
        <f>Return!Q517</f>
        <v>5.167733771127966E-4</v>
      </c>
    </row>
    <row r="1728" spans="1:3">
      <c r="A1728" s="406">
        <f>Return!A518</f>
        <v>45323</v>
      </c>
      <c r="B1728" s="408" t="s">
        <v>73</v>
      </c>
      <c r="C1728" s="409">
        <f>Return!Q518</f>
        <v>1.1622557595840402E-2</v>
      </c>
    </row>
    <row r="1729" spans="1:3">
      <c r="A1729" s="406">
        <f>Return!A519</f>
        <v>45322</v>
      </c>
      <c r="B1729" s="408" t="s">
        <v>73</v>
      </c>
      <c r="C1729" s="409">
        <f>Return!Q519</f>
        <v>-4.0067380462141151E-3</v>
      </c>
    </row>
    <row r="1730" spans="1:3">
      <c r="A1730" s="406">
        <f>Return!A520</f>
        <v>45321</v>
      </c>
      <c r="B1730" s="408" t="s">
        <v>73</v>
      </c>
      <c r="C1730" s="409">
        <f>Return!Q520</f>
        <v>2.4685645826806732E-3</v>
      </c>
    </row>
    <row r="1731" spans="1:3">
      <c r="A1731" s="406">
        <f>Return!A521</f>
        <v>45320</v>
      </c>
      <c r="B1731" s="408" t="s">
        <v>73</v>
      </c>
      <c r="C1731" s="409">
        <f>Return!Q521</f>
        <v>1.3197718503419211E-2</v>
      </c>
    </row>
    <row r="1732" spans="1:3">
      <c r="A1732" s="406">
        <f>Return!A522</f>
        <v>45316</v>
      </c>
      <c r="B1732" s="408" t="s">
        <v>73</v>
      </c>
      <c r="C1732" s="409">
        <f>Return!Q522</f>
        <v>4.9946975945131221E-3</v>
      </c>
    </row>
    <row r="1733" spans="1:3">
      <c r="A1733" s="406">
        <f>Return!A523</f>
        <v>45315</v>
      </c>
      <c r="B1733" s="408" t="s">
        <v>73</v>
      </c>
      <c r="C1733" s="409">
        <f>Return!Q523</f>
        <v>6.9320340883881303E-3</v>
      </c>
    </row>
    <row r="1734" spans="1:3">
      <c r="A1734" s="406">
        <f>Return!A524</f>
        <v>45314</v>
      </c>
      <c r="B1734" s="408" t="s">
        <v>73</v>
      </c>
      <c r="C1734" s="409">
        <f>Return!Q524</f>
        <v>2.4720127985653566E-3</v>
      </c>
    </row>
    <row r="1735" spans="1:3">
      <c r="A1735" s="406">
        <f>Return!A525</f>
        <v>45311</v>
      </c>
      <c r="B1735" s="408" t="s">
        <v>73</v>
      </c>
      <c r="C1735" s="409">
        <f>Return!Q525</f>
        <v>9.3124025149952873E-4</v>
      </c>
    </row>
    <row r="1736" spans="1:3">
      <c r="A1736" s="406">
        <f>Return!A526</f>
        <v>45310</v>
      </c>
      <c r="B1736" s="408" t="s">
        <v>73</v>
      </c>
      <c r="C1736" s="409">
        <f>Return!Q526</f>
        <v>-4.1953369117243584E-3</v>
      </c>
    </row>
    <row r="1737" spans="1:3">
      <c r="A1737" s="406">
        <f>Return!A527</f>
        <v>45309</v>
      </c>
      <c r="B1737" s="408" t="s">
        <v>73</v>
      </c>
      <c r="C1737" s="409">
        <f>Return!Q527</f>
        <v>4.0677620456678019E-3</v>
      </c>
    </row>
    <row r="1738" spans="1:3">
      <c r="A1738" s="406">
        <f>Return!A528</f>
        <v>45308</v>
      </c>
      <c r="B1738" s="408" t="s">
        <v>73</v>
      </c>
      <c r="C1738" s="409">
        <f>Return!Q528</f>
        <v>1.4717952904288206E-2</v>
      </c>
    </row>
    <row r="1739" spans="1:3">
      <c r="A1739" s="406">
        <f>Return!A529</f>
        <v>45307</v>
      </c>
      <c r="B1739" s="408" t="s">
        <v>73</v>
      </c>
      <c r="C1739" s="409">
        <f>Return!Q529</f>
        <v>-1.414761221447799E-3</v>
      </c>
    </row>
    <row r="1740" spans="1:3">
      <c r="A1740" s="406">
        <f>Return!A530</f>
        <v>45306</v>
      </c>
      <c r="B1740" s="408" t="s">
        <v>73</v>
      </c>
      <c r="C1740" s="409">
        <f>Return!Q530</f>
        <v>-1.293382465336522E-3</v>
      </c>
    </row>
    <row r="1741" spans="1:3">
      <c r="A1741" s="406">
        <f>Return!A531</f>
        <v>45303</v>
      </c>
      <c r="B1741" s="408" t="s">
        <v>73</v>
      </c>
      <c r="C1741" s="409">
        <f>Return!Q531</f>
        <v>-2.1022556526060785E-3</v>
      </c>
    </row>
    <row r="1742" spans="1:3">
      <c r="A1742" s="406">
        <f>Return!A532</f>
        <v>45302</v>
      </c>
      <c r="B1742" s="408" t="s">
        <v>73</v>
      </c>
      <c r="C1742" s="409">
        <f>Return!Q532</f>
        <v>7.044216129414636E-3</v>
      </c>
    </row>
    <row r="1743" spans="1:3">
      <c r="A1743" s="406">
        <f>Return!A533</f>
        <v>45301</v>
      </c>
      <c r="B1743" s="408" t="s">
        <v>73</v>
      </c>
      <c r="C1743" s="409">
        <f>Return!Q533</f>
        <v>-5.3570687825297194E-3</v>
      </c>
    </row>
    <row r="1744" spans="1:3">
      <c r="A1744" s="406">
        <f>Return!A534</f>
        <v>45300</v>
      </c>
      <c r="B1744" s="408" t="s">
        <v>73</v>
      </c>
      <c r="C1744" s="409">
        <f>Return!Q534</f>
        <v>9.9379668826355913E-4</v>
      </c>
    </row>
    <row r="1745" spans="1:3">
      <c r="A1745" s="406">
        <f>Return!A535</f>
        <v>45299</v>
      </c>
      <c r="B1745" s="408" t="s">
        <v>73</v>
      </c>
      <c r="C1745" s="409">
        <f>Return!Q535</f>
        <v>-1.689908082857319E-3</v>
      </c>
    </row>
    <row r="1746" spans="1:3">
      <c r="A1746" s="406">
        <f>Return!A536</f>
        <v>45296</v>
      </c>
      <c r="B1746" s="408" t="s">
        <v>73</v>
      </c>
      <c r="C1746" s="409">
        <f>Return!Q536</f>
        <v>4.0049637404081944E-4</v>
      </c>
    </row>
    <row r="1747" spans="1:3">
      <c r="A1747" s="406">
        <f>Return!A537</f>
        <v>45295</v>
      </c>
      <c r="B1747" s="408" t="s">
        <v>73</v>
      </c>
      <c r="C1747" s="409">
        <f>Return!Q537</f>
        <v>-3.1800235247569091E-3</v>
      </c>
    </row>
    <row r="1748" spans="1:3">
      <c r="A1748" s="406">
        <f>Return!A538</f>
        <v>45294</v>
      </c>
      <c r="B1748" s="408" t="s">
        <v>73</v>
      </c>
      <c r="C1748" s="409">
        <f>Return!Q538</f>
        <v>2.4672796566168873E-3</v>
      </c>
    </row>
    <row r="1749" spans="1:3">
      <c r="A1749" s="406">
        <f>Return!A539</f>
        <v>45293</v>
      </c>
      <c r="B1749" s="408" t="s">
        <v>73</v>
      </c>
      <c r="C1749" s="409">
        <f>Return!Q539</f>
        <v>8.8817556301367577E-4</v>
      </c>
    </row>
    <row r="1750" spans="1:3">
      <c r="A1750" s="406">
        <f>Return!A540</f>
        <v>45292</v>
      </c>
      <c r="B1750" s="408" t="s">
        <v>73</v>
      </c>
      <c r="C1750" s="409">
        <f>Return!Q540</f>
        <v>-2.396134952336365E-4</v>
      </c>
    </row>
    <row r="1751" spans="1:3">
      <c r="A1751" s="406">
        <f>Return!A541</f>
        <v>45289</v>
      </c>
      <c r="B1751" s="408" t="s">
        <v>73</v>
      </c>
      <c r="C1751" s="409">
        <f>Return!Q541</f>
        <v>1.0378331061820421E-2</v>
      </c>
    </row>
    <row r="1752" spans="1:3">
      <c r="A1752" s="406">
        <f>Return!A542</f>
        <v>45288</v>
      </c>
      <c r="B1752" s="408" t="s">
        <v>73</v>
      </c>
      <c r="C1752" s="409">
        <f>Return!Q542</f>
        <v>2.4878939073443465E-3</v>
      </c>
    </row>
    <row r="1753" spans="1:3">
      <c r="A1753" s="406">
        <f>Return!A543</f>
        <v>45287</v>
      </c>
      <c r="B1753" s="408" t="s">
        <v>73</v>
      </c>
      <c r="C1753" s="409">
        <f>Return!Q543</f>
        <v>9.2873111474797588E-3</v>
      </c>
    </row>
    <row r="1754" spans="1:3">
      <c r="A1754" s="406">
        <f>Return!A544</f>
        <v>45286</v>
      </c>
      <c r="B1754" s="408" t="s">
        <v>73</v>
      </c>
      <c r="C1754" s="409">
        <f>Return!Q544</f>
        <v>7.1846745835325845E-3</v>
      </c>
    </row>
    <row r="1755" spans="1:3">
      <c r="A1755" s="406">
        <f>Return!A545</f>
        <v>45282</v>
      </c>
      <c r="B1755" s="408" t="s">
        <v>73</v>
      </c>
      <c r="C1755" s="409">
        <f>Return!Q545</f>
        <v>3.549786379933027E-3</v>
      </c>
    </row>
    <row r="1756" spans="1:3">
      <c r="A1756" s="406">
        <f>Return!A546</f>
        <v>45281</v>
      </c>
      <c r="B1756" s="408" t="s">
        <v>73</v>
      </c>
      <c r="C1756" s="409">
        <f>Return!Q546</f>
        <v>9.1346312940689955E-3</v>
      </c>
    </row>
    <row r="1757" spans="1:3">
      <c r="A1757" s="406">
        <f>Return!A547</f>
        <v>45280</v>
      </c>
      <c r="B1757" s="408" t="s">
        <v>73</v>
      </c>
      <c r="C1757" s="409">
        <f>Return!Q547</f>
        <v>-3.4425328767900276E-3</v>
      </c>
    </row>
    <row r="1758" spans="1:3">
      <c r="A1758" s="406">
        <f>Return!A548</f>
        <v>45279</v>
      </c>
      <c r="B1758" s="408" t="s">
        <v>73</v>
      </c>
      <c r="C1758" s="409">
        <f>Return!Q548</f>
        <v>1.7793169530783949E-2</v>
      </c>
    </row>
    <row r="1759" spans="1:3">
      <c r="A1759" s="406">
        <f>Return!A549</f>
        <v>45278</v>
      </c>
      <c r="B1759" s="408" t="s">
        <v>73</v>
      </c>
      <c r="C1759" s="409">
        <f>Return!Q549</f>
        <v>4.5750719283386984E-3</v>
      </c>
    </row>
    <row r="1760" spans="1:3">
      <c r="A1760" s="406">
        <f>Return!A550</f>
        <v>45275</v>
      </c>
      <c r="B1760" s="408" t="s">
        <v>73</v>
      </c>
      <c r="C1760" s="409">
        <f>Return!Q550</f>
        <v>3.3162081888835231E-3</v>
      </c>
    </row>
    <row r="1761" spans="1:3">
      <c r="A1761" s="406">
        <f>Return!A551</f>
        <v>45274</v>
      </c>
      <c r="B1761" s="408" t="s">
        <v>73</v>
      </c>
      <c r="C1761" s="409">
        <f>Return!Q551</f>
        <v>-3.8270591863876473E-3</v>
      </c>
    </row>
    <row r="1762" spans="1:3">
      <c r="A1762" s="406">
        <f>Return!A552</f>
        <v>45273</v>
      </c>
      <c r="B1762" s="408" t="s">
        <v>73</v>
      </c>
      <c r="C1762" s="409">
        <f>Return!Q552</f>
        <v>7.9034545229611237E-4</v>
      </c>
    </row>
    <row r="1763" spans="1:3">
      <c r="A1763" s="406">
        <f>Return!A553</f>
        <v>45272</v>
      </c>
      <c r="B1763" s="408" t="s">
        <v>73</v>
      </c>
      <c r="C1763" s="409">
        <f>Return!Q553</f>
        <v>3.3856439269530848E-3</v>
      </c>
    </row>
    <row r="1764" spans="1:3">
      <c r="A1764" s="406">
        <f>Return!A554</f>
        <v>45271</v>
      </c>
      <c r="B1764" s="408" t="s">
        <v>73</v>
      </c>
      <c r="C1764" s="409">
        <f>Return!Q554</f>
        <v>8.0977368429344491E-3</v>
      </c>
    </row>
    <row r="1765" spans="1:3">
      <c r="A1765" s="406">
        <f>Return!A555</f>
        <v>45268</v>
      </c>
      <c r="B1765" s="408" t="s">
        <v>73</v>
      </c>
      <c r="C1765" s="409">
        <f>Return!Q555</f>
        <v>-2.7362688798401951E-3</v>
      </c>
    </row>
    <row r="1766" spans="1:3">
      <c r="A1766" s="406">
        <f>Return!A556</f>
        <v>45267</v>
      </c>
      <c r="B1766" s="408" t="s">
        <v>73</v>
      </c>
      <c r="C1766" s="409">
        <f>Return!Q556</f>
        <v>-1.0011141188524841E-3</v>
      </c>
    </row>
    <row r="1767" spans="1:3">
      <c r="A1767" s="406">
        <f>Return!A557</f>
        <v>45266</v>
      </c>
      <c r="B1767" s="408" t="s">
        <v>73</v>
      </c>
      <c r="C1767" s="409">
        <f>Return!Q557</f>
        <v>-4.3272003634920687E-3</v>
      </c>
    </row>
    <row r="1768" spans="1:3">
      <c r="A1768" s="406">
        <f>Return!A558</f>
        <v>45265</v>
      </c>
      <c r="B1768" s="408" t="s">
        <v>73</v>
      </c>
      <c r="C1768" s="409">
        <f>Return!Q558</f>
        <v>-7.7304121051410227E-4</v>
      </c>
    </row>
    <row r="1769" spans="1:3">
      <c r="A1769" s="406">
        <f>Return!A559</f>
        <v>45264</v>
      </c>
      <c r="B1769" s="408" t="s">
        <v>73</v>
      </c>
      <c r="C1769" s="409">
        <f>Return!Q559</f>
        <v>-9.3356469196912793E-3</v>
      </c>
    </row>
    <row r="1770" spans="1:3">
      <c r="A1770" s="406">
        <f>Return!A560</f>
        <v>45261</v>
      </c>
      <c r="B1770" s="408" t="s">
        <v>73</v>
      </c>
      <c r="C1770" s="409">
        <f>Return!Q560</f>
        <v>2.5479213956996409E-3</v>
      </c>
    </row>
    <row r="1771" spans="1:3">
      <c r="A1771" s="406">
        <f>Return!A561</f>
        <v>45260</v>
      </c>
      <c r="B1771" s="408" t="s">
        <v>73</v>
      </c>
      <c r="C1771" s="409">
        <f>Return!Q561</f>
        <v>-1.4883407614731518E-3</v>
      </c>
    </row>
    <row r="1772" spans="1:3">
      <c r="A1772" s="406">
        <f>Return!A562</f>
        <v>45259</v>
      </c>
      <c r="B1772" s="408" t="s">
        <v>73</v>
      </c>
      <c r="C1772" s="409">
        <f>Return!Q562</f>
        <v>1.0288863920006935E-3</v>
      </c>
    </row>
    <row r="1773" spans="1:3">
      <c r="A1773" s="406">
        <f>Return!A563</f>
        <v>45258</v>
      </c>
      <c r="B1773" s="408" t="s">
        <v>73</v>
      </c>
      <c r="C1773" s="409">
        <f>Return!Q563</f>
        <v>5.3817428621768474E-3</v>
      </c>
    </row>
    <row r="1774" spans="1:3">
      <c r="A1774" s="406">
        <f>Return!A564</f>
        <v>45254</v>
      </c>
      <c r="B1774" s="408" t="s">
        <v>73</v>
      </c>
      <c r="C1774" s="409">
        <f>Return!Q564</f>
        <v>1.8854797009484319E-3</v>
      </c>
    </row>
    <row r="1775" spans="1:3">
      <c r="A1775" s="406">
        <f>Return!A565</f>
        <v>45253</v>
      </c>
      <c r="B1775" s="408" t="s">
        <v>73</v>
      </c>
      <c r="C1775" s="409">
        <f>Return!Q565</f>
        <v>4.3093853422785456E-3</v>
      </c>
    </row>
    <row r="1776" spans="1:3">
      <c r="A1776" s="406">
        <f>Return!A566</f>
        <v>45252</v>
      </c>
      <c r="B1776" s="408" t="s">
        <v>73</v>
      </c>
      <c r="C1776" s="409">
        <f>Return!Q566</f>
        <v>3.4429303261861301E-3</v>
      </c>
    </row>
    <row r="1777" spans="1:3">
      <c r="A1777" s="406">
        <f>Return!A567</f>
        <v>45251</v>
      </c>
      <c r="B1777" s="408" t="s">
        <v>73</v>
      </c>
      <c r="C1777" s="409">
        <f>Return!Q567</f>
        <v>-6.4064558294373592E-3</v>
      </c>
    </row>
    <row r="1778" spans="1:3">
      <c r="A1778" s="406">
        <f>Return!A568</f>
        <v>45250</v>
      </c>
      <c r="B1778" s="408" t="s">
        <v>73</v>
      </c>
      <c r="C1778" s="409">
        <f>Return!Q568</f>
        <v>1.0096560251717691E-2</v>
      </c>
    </row>
    <row r="1779" spans="1:3">
      <c r="A1779" s="406">
        <f>Return!A569</f>
        <v>45247</v>
      </c>
      <c r="B1779" s="408" t="s">
        <v>73</v>
      </c>
      <c r="C1779" s="409">
        <f>Return!Q569</f>
        <v>-4.3170054344967125E-3</v>
      </c>
    </row>
    <row r="1780" spans="1:3">
      <c r="A1780" s="406">
        <f>Return!A570</f>
        <v>45246</v>
      </c>
      <c r="B1780" s="408" t="s">
        <v>73</v>
      </c>
      <c r="C1780" s="409">
        <f>Return!Q570</f>
        <v>5.0880653391148362E-3</v>
      </c>
    </row>
    <row r="1781" spans="1:3">
      <c r="A1781" s="406">
        <f>Return!A571</f>
        <v>45245</v>
      </c>
      <c r="B1781" s="408" t="s">
        <v>73</v>
      </c>
      <c r="C1781" s="409">
        <f>Return!Q571</f>
        <v>1.163652633416843E-2</v>
      </c>
    </row>
    <row r="1782" spans="1:3">
      <c r="A1782" s="406">
        <f>Return!A572</f>
        <v>45243</v>
      </c>
      <c r="B1782" s="408" t="s">
        <v>73</v>
      </c>
      <c r="C1782" s="409">
        <f>Return!Q572</f>
        <v>2.9633313669705065E-3</v>
      </c>
    </row>
    <row r="1783" spans="1:3">
      <c r="A1783" s="406">
        <f>Return!A573</f>
        <v>45242</v>
      </c>
      <c r="B1783" s="408" t="s">
        <v>73</v>
      </c>
      <c r="C1783" s="409">
        <f>Return!Q573</f>
        <v>2.9538088368706835E-3</v>
      </c>
    </row>
    <row r="1784" spans="1:3">
      <c r="A1784" s="406">
        <f>Return!A574</f>
        <v>45240</v>
      </c>
      <c r="B1784" s="408" t="s">
        <v>73</v>
      </c>
      <c r="C1784" s="409">
        <f>Return!Q574</f>
        <v>2.2777526223861932E-5</v>
      </c>
    </row>
    <row r="1785" spans="1:3">
      <c r="A1785" s="406">
        <f>Return!A575</f>
        <v>45239</v>
      </c>
      <c r="B1785" s="408" t="s">
        <v>73</v>
      </c>
      <c r="C1785" s="409">
        <f>Return!Q575</f>
        <v>-6.917096676806293E-4</v>
      </c>
    </row>
    <row r="1786" spans="1:3">
      <c r="A1786" s="406">
        <f>Return!A576</f>
        <v>45238</v>
      </c>
      <c r="B1786" s="408" t="s">
        <v>73</v>
      </c>
      <c r="C1786" s="409">
        <f>Return!Q576</f>
        <v>6.6980561237690965E-3</v>
      </c>
    </row>
    <row r="1787" spans="1:3">
      <c r="A1787" s="406">
        <f>Return!A577</f>
        <v>45237</v>
      </c>
      <c r="B1787" s="408" t="s">
        <v>73</v>
      </c>
      <c r="C1787" s="409">
        <f>Return!Q577</f>
        <v>6.5830564299932115E-3</v>
      </c>
    </row>
    <row r="1788" spans="1:3">
      <c r="A1788" s="406">
        <f>Return!A578</f>
        <v>45236</v>
      </c>
      <c r="B1788" s="408" t="s">
        <v>73</v>
      </c>
      <c r="C1788" s="409">
        <f>Return!Q578</f>
        <v>1.0208494700003623E-2</v>
      </c>
    </row>
    <row r="1789" spans="1:3">
      <c r="A1789" s="406">
        <f>Return!A579</f>
        <v>45233</v>
      </c>
      <c r="B1789" s="408" t="s">
        <v>73</v>
      </c>
      <c r="C1789" s="409">
        <f>Return!Q579</f>
        <v>1.0116013674780787E-2</v>
      </c>
    </row>
    <row r="1790" spans="1:3">
      <c r="A1790" s="406">
        <f>Return!A580</f>
        <v>45232</v>
      </c>
      <c r="B1790" s="408" t="s">
        <v>73</v>
      </c>
      <c r="C1790" s="409">
        <f>Return!Q580</f>
        <v>1.5250760434879149E-2</v>
      </c>
    </row>
    <row r="1791" spans="1:3">
      <c r="A1791" s="406">
        <f>Return!A581</f>
        <v>45231</v>
      </c>
      <c r="B1791" s="408" t="s">
        <v>73</v>
      </c>
      <c r="C1791" s="409">
        <f>Return!Q581</f>
        <v>6.4717797817664003E-3</v>
      </c>
    </row>
    <row r="1792" spans="1:3">
      <c r="A1792" s="406">
        <f>Return!A582</f>
        <v>45230</v>
      </c>
      <c r="B1792" s="408" t="s">
        <v>73</v>
      </c>
      <c r="C1792" s="409">
        <f>Return!Q582</f>
        <v>4.4194493804014228E-3</v>
      </c>
    </row>
    <row r="1793" spans="1:3">
      <c r="A1793" s="406">
        <f>Return!A583</f>
        <v>45229</v>
      </c>
      <c r="B1793" s="408" t="s">
        <v>73</v>
      </c>
      <c r="C1793" s="409">
        <f>Return!Q583</f>
        <v>1.8146852422181766E-3</v>
      </c>
    </row>
    <row r="1794" spans="1:3">
      <c r="A1794" s="406">
        <f>Return!A584</f>
        <v>45226</v>
      </c>
      <c r="B1794" s="408" t="s">
        <v>73</v>
      </c>
      <c r="C1794" s="409">
        <f>Return!Q584</f>
        <v>3.7382534720951958E-3</v>
      </c>
    </row>
    <row r="1795" spans="1:3">
      <c r="A1795" s="406">
        <f>Return!A585</f>
        <v>45225</v>
      </c>
      <c r="B1795" s="408" t="s">
        <v>73</v>
      </c>
      <c r="C1795" s="409">
        <f>Return!Q585</f>
        <v>-2.3250645488702155E-4</v>
      </c>
    </row>
    <row r="1796" spans="1:3">
      <c r="A1796" s="406">
        <f>Return!A586</f>
        <v>45224</v>
      </c>
      <c r="B1796" s="408" t="s">
        <v>73</v>
      </c>
      <c r="C1796" s="409">
        <f>Return!Q586</f>
        <v>-1.0183596185441893E-3</v>
      </c>
    </row>
    <row r="1797" spans="1:3">
      <c r="A1797" s="406">
        <f>Return!A587</f>
        <v>45222</v>
      </c>
      <c r="B1797" s="408" t="s">
        <v>73</v>
      </c>
      <c r="C1797" s="409">
        <f>Return!Q587</f>
        <v>-3.2178129669985021E-3</v>
      </c>
    </row>
    <row r="1798" spans="1:3">
      <c r="A1798" s="406">
        <f>Return!A588</f>
        <v>45219</v>
      </c>
      <c r="B1798" s="408" t="s">
        <v>73</v>
      </c>
      <c r="C1798" s="409">
        <f>Return!Q588</f>
        <v>3.0052201247920295E-5</v>
      </c>
    </row>
    <row r="1799" spans="1:3">
      <c r="A1799" s="406">
        <f>Return!A589</f>
        <v>45218</v>
      </c>
      <c r="B1799" s="408" t="s">
        <v>73</v>
      </c>
      <c r="C1799" s="409">
        <f>Return!Q589</f>
        <v>-1.7035651191794647E-3</v>
      </c>
    </row>
    <row r="1800" spans="1:3">
      <c r="A1800" s="406">
        <f>Return!A590</f>
        <v>45217</v>
      </c>
      <c r="B1800" s="408" t="s">
        <v>73</v>
      </c>
      <c r="C1800" s="409">
        <f>Return!Q590</f>
        <v>-1.0840292862079369E-2</v>
      </c>
    </row>
    <row r="1801" spans="1:3">
      <c r="A1801" s="406">
        <f>Return!A591</f>
        <v>45216</v>
      </c>
      <c r="B1801" s="408" t="s">
        <v>73</v>
      </c>
      <c r="C1801" s="409">
        <f>Return!Q591</f>
        <v>-9.1262342980063301E-3</v>
      </c>
    </row>
    <row r="1802" spans="1:3">
      <c r="A1802" s="406">
        <f>Return!A592</f>
        <v>45215</v>
      </c>
      <c r="B1802" s="408" t="s">
        <v>73</v>
      </c>
      <c r="C1802" s="409">
        <f>Return!Q592</f>
        <v>-2.7541646203197469E-3</v>
      </c>
    </row>
    <row r="1803" spans="1:3">
      <c r="A1803" s="406">
        <f>Return!A593</f>
        <v>45212</v>
      </c>
      <c r="B1803" s="408" t="s">
        <v>73</v>
      </c>
      <c r="C1803" s="409">
        <f>Return!Q593</f>
        <v>1.1803059417062503E-3</v>
      </c>
    </row>
    <row r="1804" spans="1:3">
      <c r="A1804" s="406">
        <f>Return!A594</f>
        <v>45211</v>
      </c>
      <c r="B1804" s="408" t="s">
        <v>73</v>
      </c>
      <c r="C1804" s="409">
        <f>Return!Q594</f>
        <v>5.03031354257943E-3</v>
      </c>
    </row>
    <row r="1805" spans="1:3">
      <c r="A1805" s="406">
        <f>Return!A595</f>
        <v>45210</v>
      </c>
      <c r="B1805" s="408" t="s">
        <v>73</v>
      </c>
      <c r="C1805" s="409">
        <f>Return!Q595</f>
        <v>3.2566376131381203E-4</v>
      </c>
    </row>
    <row r="1806" spans="1:3">
      <c r="A1806" s="406">
        <f>Return!A596</f>
        <v>45209</v>
      </c>
      <c r="B1806" s="408" t="s">
        <v>73</v>
      </c>
      <c r="C1806" s="409">
        <f>Return!Q596</f>
        <v>-2.0454779554818095E-3</v>
      </c>
    </row>
    <row r="1807" spans="1:3">
      <c r="A1807" s="406">
        <f>Return!A597</f>
        <v>45208</v>
      </c>
      <c r="B1807" s="408" t="s">
        <v>73</v>
      </c>
      <c r="C1807" s="409">
        <f>Return!Q597</f>
        <v>5.3290933737723499E-3</v>
      </c>
    </row>
    <row r="1808" spans="1:3">
      <c r="A1808" s="406">
        <f>Return!A598</f>
        <v>45205</v>
      </c>
      <c r="B1808" s="408" t="s">
        <v>73</v>
      </c>
      <c r="C1808" s="409">
        <f>Return!Q598</f>
        <v>-2.0001916977467958E-3</v>
      </c>
    </row>
    <row r="1809" spans="1:3">
      <c r="A1809" s="406">
        <f>Return!A599</f>
        <v>45204</v>
      </c>
      <c r="B1809" s="408" t="s">
        <v>73</v>
      </c>
      <c r="C1809" s="409">
        <f>Return!Q599</f>
        <v>6.4726952324765281E-3</v>
      </c>
    </row>
    <row r="1810" spans="1:3">
      <c r="A1810" s="406">
        <f>Return!A600</f>
        <v>45203</v>
      </c>
      <c r="B1810" s="408" t="s">
        <v>73</v>
      </c>
      <c r="C1810" s="409">
        <f>Return!Q600</f>
        <v>3.8031538444648575E-3</v>
      </c>
    </row>
    <row r="1811" spans="1:3">
      <c r="A1811" s="406">
        <f>Return!A601</f>
        <v>45202</v>
      </c>
      <c r="B1811" s="408" t="s">
        <v>73</v>
      </c>
      <c r="C1811" s="409">
        <f>Return!Q601</f>
        <v>-2.7840774066180498E-3</v>
      </c>
    </row>
    <row r="1812" spans="1:3">
      <c r="A1812" s="406">
        <f>Return!A602</f>
        <v>45198</v>
      </c>
      <c r="B1812" s="408" t="s">
        <v>73</v>
      </c>
      <c r="C1812" s="409">
        <f>Return!Q602</f>
        <v>7.6863399297533489E-4</v>
      </c>
    </row>
    <row r="1813" spans="1:3">
      <c r="A1813" s="406">
        <f>Return!A603</f>
        <v>45197</v>
      </c>
      <c r="B1813" s="408" t="s">
        <v>73</v>
      </c>
      <c r="C1813" s="409">
        <f>Return!Q603</f>
        <v>-9.0224205254815434E-3</v>
      </c>
    </row>
    <row r="1814" spans="1:3">
      <c r="A1814" s="406">
        <f>Return!A604</f>
        <v>45196</v>
      </c>
      <c r="B1814" s="408" t="s">
        <v>73</v>
      </c>
      <c r="C1814" s="409">
        <f>Return!Q604</f>
        <v>1.0411834777620709E-2</v>
      </c>
    </row>
    <row r="1815" spans="1:3">
      <c r="A1815" s="406">
        <f>Return!A605</f>
        <v>45195</v>
      </c>
      <c r="B1815" s="408" t="s">
        <v>73</v>
      </c>
      <c r="C1815" s="409">
        <f>Return!Q605</f>
        <v>-6.7204766282274757E-3</v>
      </c>
    </row>
    <row r="1816" spans="1:3">
      <c r="A1816" s="406">
        <f>Return!A606</f>
        <v>45194</v>
      </c>
      <c r="B1816" s="408" t="s">
        <v>73</v>
      </c>
      <c r="C1816" s="409">
        <f>Return!Q606</f>
        <v>1.7236039571169814E-2</v>
      </c>
    </row>
    <row r="1817" spans="1:3">
      <c r="A1817" s="406">
        <f>Return!A607</f>
        <v>45191</v>
      </c>
      <c r="B1817" s="408" t="s">
        <v>73</v>
      </c>
      <c r="C1817" s="409">
        <f>Return!Q607</f>
        <v>-1.2098870633608778E-2</v>
      </c>
    </row>
    <row r="1818" spans="1:3">
      <c r="A1818" s="406">
        <f>Return!A608</f>
        <v>45190</v>
      </c>
      <c r="B1818" s="408" t="s">
        <v>73</v>
      </c>
      <c r="C1818" s="409">
        <f>Return!Q608</f>
        <v>1.2126631609417141E-3</v>
      </c>
    </row>
    <row r="1819" spans="1:3">
      <c r="A1819" s="406">
        <f>Return!A609</f>
        <v>45189</v>
      </c>
      <c r="B1819" s="408" t="s">
        <v>73</v>
      </c>
      <c r="C1819" s="409">
        <f>Return!Q609</f>
        <v>-1.3804651875961938E-2</v>
      </c>
    </row>
    <row r="1820" spans="1:3">
      <c r="A1820" s="406">
        <f>Return!A610</f>
        <v>45187</v>
      </c>
      <c r="B1820" s="408" t="s">
        <v>73</v>
      </c>
      <c r="C1820" s="409">
        <f>Return!Q610</f>
        <v>-2.9037748316663396E-3</v>
      </c>
    </row>
    <row r="1821" spans="1:3">
      <c r="A1821" s="406">
        <f>Return!A611</f>
        <v>45184</v>
      </c>
      <c r="B1821" s="408" t="s">
        <v>73</v>
      </c>
      <c r="C1821" s="409">
        <f>Return!Q611</f>
        <v>-7.8895550652056581E-3</v>
      </c>
    </row>
    <row r="1822" spans="1:3">
      <c r="A1822" s="406">
        <f>Return!A612</f>
        <v>45183</v>
      </c>
      <c r="B1822" s="408" t="s">
        <v>73</v>
      </c>
      <c r="C1822" s="409">
        <f>Return!Q612</f>
        <v>-1.0012637691208959E-2</v>
      </c>
    </row>
    <row r="1823" spans="1:3">
      <c r="A1823" s="406">
        <f>Return!A613</f>
        <v>45182</v>
      </c>
      <c r="B1823" s="408" t="s">
        <v>73</v>
      </c>
      <c r="C1823" s="409">
        <f>Return!Q613</f>
        <v>6.5426573606261629E-3</v>
      </c>
    </row>
    <row r="1824" spans="1:3">
      <c r="A1824" s="406">
        <f>Return!A614</f>
        <v>45181</v>
      </c>
      <c r="B1824" s="408" t="s">
        <v>73</v>
      </c>
      <c r="C1824" s="409">
        <f>Return!Q614</f>
        <v>-1.8659511164411163E-3</v>
      </c>
    </row>
    <row r="1825" spans="1:3">
      <c r="A1825" s="406">
        <f>Return!A615</f>
        <v>45180</v>
      </c>
      <c r="B1825" s="408" t="s">
        <v>73</v>
      </c>
      <c r="C1825" s="409">
        <f>Return!Q615</f>
        <v>6.9381556502026379E-3</v>
      </c>
    </row>
    <row r="1826" spans="1:3">
      <c r="A1826" s="406">
        <f>Return!A616</f>
        <v>45177</v>
      </c>
      <c r="B1826" s="408" t="s">
        <v>73</v>
      </c>
      <c r="C1826" s="409">
        <f>Return!Q616</f>
        <v>1.8994124307951498E-3</v>
      </c>
    </row>
    <row r="1827" spans="1:3">
      <c r="A1827" s="406">
        <f>Return!A617</f>
        <v>45176</v>
      </c>
      <c r="B1827" s="408" t="s">
        <v>73</v>
      </c>
      <c r="C1827" s="409">
        <f>Return!Q617</f>
        <v>2.2795739174400892E-3</v>
      </c>
    </row>
    <row r="1828" spans="1:3">
      <c r="A1828" s="406">
        <f>Return!A618</f>
        <v>45175</v>
      </c>
      <c r="B1828" s="408" t="s">
        <v>73</v>
      </c>
      <c r="C1828" s="409">
        <f>Return!Q618</f>
        <v>-5.9787329584417691E-4</v>
      </c>
    </row>
    <row r="1829" spans="1:3">
      <c r="A1829" s="406">
        <f>Return!A619</f>
        <v>45174</v>
      </c>
      <c r="B1829" s="408" t="s">
        <v>73</v>
      </c>
      <c r="C1829" s="409">
        <f>Return!Q619</f>
        <v>4.6951251718384372E-3</v>
      </c>
    </row>
    <row r="1830" spans="1:3">
      <c r="A1830" s="406">
        <f>Return!A620</f>
        <v>45173</v>
      </c>
      <c r="B1830" s="408" t="s">
        <v>73</v>
      </c>
      <c r="C1830" s="409">
        <f>Return!Q620</f>
        <v>3.258670859846477E-3</v>
      </c>
    </row>
    <row r="1831" spans="1:3">
      <c r="A1831" s="406">
        <f>Return!A621</f>
        <v>45170</v>
      </c>
      <c r="B1831" s="408" t="s">
        <v>73</v>
      </c>
      <c r="C1831" s="409">
        <f>Return!Q621</f>
        <v>2.1965470221271496E-4</v>
      </c>
    </row>
    <row r="1832" spans="1:3">
      <c r="A1832" s="406">
        <f>Return!A622</f>
        <v>45169</v>
      </c>
      <c r="B1832" s="408" t="s">
        <v>73</v>
      </c>
      <c r="C1832" s="409">
        <f>Return!Q622</f>
        <v>6.2665622768175132E-3</v>
      </c>
    </row>
    <row r="1833" spans="1:3">
      <c r="A1833" s="406">
        <f>Return!A623</f>
        <v>45168</v>
      </c>
      <c r="B1833" s="408" t="s">
        <v>73</v>
      </c>
      <c r="C1833" s="409">
        <f>Return!Q623</f>
        <v>-2.2304950980972598E-3</v>
      </c>
    </row>
    <row r="1834" spans="1:3">
      <c r="A1834" s="406">
        <f>Return!A624</f>
        <v>45167</v>
      </c>
      <c r="B1834" s="408" t="s">
        <v>73</v>
      </c>
      <c r="C1834" s="409">
        <f>Return!Q624</f>
        <v>-4.7759759154705275E-3</v>
      </c>
    </row>
    <row r="1835" spans="1:3">
      <c r="A1835" s="406">
        <f>Return!A625</f>
        <v>45166</v>
      </c>
      <c r="B1835" s="408" t="s">
        <v>73</v>
      </c>
      <c r="C1835" s="409">
        <f>Return!Q625</f>
        <v>-3.2886494322455989E-3</v>
      </c>
    </row>
    <row r="1836" spans="1:3">
      <c r="A1836" s="406">
        <f>Return!A626</f>
        <v>45163</v>
      </c>
      <c r="B1836" s="408" t="s">
        <v>73</v>
      </c>
      <c r="C1836" s="409">
        <f>Return!Q626</f>
        <v>-4.0171299764013794E-3</v>
      </c>
    </row>
    <row r="1837" spans="1:3">
      <c r="A1837" s="406">
        <f>Return!A627</f>
        <v>45162</v>
      </c>
      <c r="B1837" s="408" t="s">
        <v>73</v>
      </c>
      <c r="C1837" s="409">
        <f>Return!Q627</f>
        <v>1.8825556214721421E-3</v>
      </c>
    </row>
    <row r="1838" spans="1:3">
      <c r="A1838" s="406">
        <f>Return!A628</f>
        <v>45161</v>
      </c>
      <c r="B1838" s="408" t="s">
        <v>73</v>
      </c>
      <c r="C1838" s="409">
        <f>Return!Q628</f>
        <v>-7.5685200440979523E-3</v>
      </c>
    </row>
    <row r="1839" spans="1:3">
      <c r="A1839" s="406">
        <f>Return!A629</f>
        <v>45160</v>
      </c>
      <c r="B1839" s="408" t="s">
        <v>73</v>
      </c>
      <c r="C1839" s="409">
        <f>Return!Q629</f>
        <v>2.0167412063623975E-3</v>
      </c>
    </row>
    <row r="1840" spans="1:3">
      <c r="A1840" s="406">
        <f>Return!A630</f>
        <v>45159</v>
      </c>
      <c r="B1840" s="408" t="s">
        <v>73</v>
      </c>
      <c r="C1840" s="409">
        <f>Return!Q630</f>
        <v>-3.6073316559154206E-3</v>
      </c>
    </row>
    <row r="1841" spans="1:3">
      <c r="A1841" s="406">
        <f>Return!A631</f>
        <v>45156</v>
      </c>
      <c r="B1841" s="408" t="s">
        <v>73</v>
      </c>
      <c r="C1841" s="409">
        <f>Return!Q631</f>
        <v>-5.1403058322432851E-3</v>
      </c>
    </row>
    <row r="1842" spans="1:3">
      <c r="A1842" s="406">
        <f>Return!A632</f>
        <v>45155</v>
      </c>
      <c r="B1842" s="408" t="s">
        <v>73</v>
      </c>
      <c r="C1842" s="409">
        <f>Return!Q632</f>
        <v>-4.8784929065974827E-5</v>
      </c>
    </row>
    <row r="1843" spans="1:3">
      <c r="A1843" s="406">
        <f>Return!A633</f>
        <v>45154</v>
      </c>
      <c r="B1843" s="408" t="s">
        <v>73</v>
      </c>
      <c r="C1843" s="409">
        <f>Return!Q633</f>
        <v>-3.4040239548444604E-3</v>
      </c>
    </row>
    <row r="1844" spans="1:3">
      <c r="A1844" s="406">
        <f>Return!A634</f>
        <v>45152</v>
      </c>
      <c r="B1844" s="408" t="s">
        <v>73</v>
      </c>
      <c r="C1844" s="409">
        <f>Return!Q634</f>
        <v>-3.7581206791829826E-3</v>
      </c>
    </row>
    <row r="1845" spans="1:3">
      <c r="A1845" s="406">
        <f>Return!A635</f>
        <v>45149</v>
      </c>
      <c r="B1845" s="408" t="s">
        <v>73</v>
      </c>
      <c r="C1845" s="409">
        <f>Return!Q635</f>
        <v>8.7107965132104601E-4</v>
      </c>
    </row>
    <row r="1846" spans="1:3">
      <c r="A1846" s="406">
        <f>Return!A636</f>
        <v>45148</v>
      </c>
      <c r="B1846" s="408" t="s">
        <v>73</v>
      </c>
      <c r="C1846" s="409">
        <f>Return!Q636</f>
        <v>-9.2973297631273244E-4</v>
      </c>
    </row>
    <row r="1847" spans="1:3">
      <c r="A1847" s="406">
        <f>Return!A637</f>
        <v>45147</v>
      </c>
      <c r="B1847" s="408" t="s">
        <v>73</v>
      </c>
      <c r="C1847" s="409">
        <f>Return!Q637</f>
        <v>-1.9576968578631955E-3</v>
      </c>
    </row>
    <row r="1848" spans="1:3">
      <c r="A1848" s="406">
        <f>Return!A638</f>
        <v>45146</v>
      </c>
      <c r="B1848" s="408" t="s">
        <v>73</v>
      </c>
      <c r="C1848" s="409">
        <f>Return!Q638</f>
        <v>-5.2624620323305877E-3</v>
      </c>
    </row>
    <row r="1849" spans="1:3">
      <c r="A1849" s="406">
        <f>Return!A639</f>
        <v>45145</v>
      </c>
      <c r="B1849" s="408" t="s">
        <v>73</v>
      </c>
      <c r="C1849" s="409">
        <f>Return!Q639</f>
        <v>-8.8043509333599426E-4</v>
      </c>
    </row>
    <row r="1850" spans="1:3">
      <c r="A1850" s="406">
        <f>Return!A640</f>
        <v>45142</v>
      </c>
      <c r="B1850" s="408" t="s">
        <v>73</v>
      </c>
      <c r="C1850" s="409">
        <f>Return!Q640</f>
        <v>-2.9034695017108414E-3</v>
      </c>
    </row>
    <row r="1851" spans="1:3">
      <c r="A1851" s="406">
        <f>Return!A641</f>
        <v>45141</v>
      </c>
      <c r="B1851" s="408" t="s">
        <v>73</v>
      </c>
      <c r="C1851" s="409">
        <f>Return!Q641</f>
        <v>7.8059352713674233E-3</v>
      </c>
    </row>
    <row r="1852" spans="1:3">
      <c r="A1852" s="406">
        <f>Return!A642</f>
        <v>45140</v>
      </c>
      <c r="B1852" s="408" t="s">
        <v>73</v>
      </c>
      <c r="C1852" s="409">
        <f>Return!Q642</f>
        <v>6.264826519137714E-3</v>
      </c>
    </row>
    <row r="1853" spans="1:3">
      <c r="A1853" s="406">
        <f>Return!A643</f>
        <v>45139</v>
      </c>
      <c r="B1853" s="408" t="s">
        <v>73</v>
      </c>
      <c r="C1853" s="409">
        <f>Return!Q643</f>
        <v>1.525161026338632E-2</v>
      </c>
    </row>
    <row r="1854" spans="1:3">
      <c r="A1854" s="406">
        <f>Return!A644</f>
        <v>45138</v>
      </c>
      <c r="B1854" s="408" t="s">
        <v>73</v>
      </c>
      <c r="C1854" s="409">
        <f>Return!Q644</f>
        <v>5.7545041579219434E-3</v>
      </c>
    </row>
    <row r="1855" spans="1:3">
      <c r="A1855" s="406">
        <f>Return!A645</f>
        <v>45135</v>
      </c>
      <c r="B1855" s="408" t="s">
        <v>73</v>
      </c>
      <c r="C1855" s="409">
        <f>Return!Q645</f>
        <v>2.505898401394886E-3</v>
      </c>
    </row>
    <row r="1856" spans="1:3">
      <c r="A1856" s="406">
        <f>Return!A646</f>
        <v>45134</v>
      </c>
      <c r="B1856" s="408" t="s">
        <v>73</v>
      </c>
      <c r="C1856" s="409">
        <f>Return!Q646</f>
        <v>5.3299559594397194E-3</v>
      </c>
    </row>
    <row r="1857" spans="1:3">
      <c r="A1857" s="406">
        <f>Return!A647</f>
        <v>45133</v>
      </c>
      <c r="B1857" s="408" t="s">
        <v>73</v>
      </c>
      <c r="C1857" s="409">
        <f>Return!Q647</f>
        <v>1.3257195069853122E-3</v>
      </c>
    </row>
    <row r="1858" spans="1:3">
      <c r="A1858" s="406">
        <f>Return!A648</f>
        <v>45132</v>
      </c>
      <c r="B1858" s="408" t="s">
        <v>73</v>
      </c>
      <c r="C1858" s="409">
        <f>Return!Q648</f>
        <v>1.0364293300109411E-2</v>
      </c>
    </row>
    <row r="1859" spans="1:3">
      <c r="A1859" s="406">
        <f>Return!A649</f>
        <v>45131</v>
      </c>
      <c r="B1859" s="408" t="s">
        <v>73</v>
      </c>
      <c r="C1859" s="409">
        <f>Return!Q649</f>
        <v>2.0667167617363495E-3</v>
      </c>
    </row>
    <row r="1860" spans="1:3">
      <c r="A1860" s="406">
        <f>Return!A650</f>
        <v>45128</v>
      </c>
      <c r="B1860" s="408" t="s">
        <v>73</v>
      </c>
      <c r="C1860" s="409">
        <f>Return!Q650</f>
        <v>1.7866932314137701E-2</v>
      </c>
    </row>
    <row r="1861" spans="1:3">
      <c r="A1861" s="406">
        <f>Return!A651</f>
        <v>45127</v>
      </c>
      <c r="B1861" s="408" t="s">
        <v>73</v>
      </c>
      <c r="C1861" s="409">
        <f>Return!Q651</f>
        <v>1.0152116007635098E-2</v>
      </c>
    </row>
    <row r="1862" spans="1:3">
      <c r="A1862" s="406">
        <f>Return!A652</f>
        <v>45126</v>
      </c>
      <c r="B1862" s="408" t="s">
        <v>73</v>
      </c>
      <c r="C1862" s="409">
        <f>Return!Q652</f>
        <v>5.9911342020263899E-3</v>
      </c>
    </row>
    <row r="1863" spans="1:3">
      <c r="A1863" s="406">
        <f>Return!A653</f>
        <v>45125</v>
      </c>
      <c r="B1863" s="408" t="s">
        <v>73</v>
      </c>
      <c r="C1863" s="409">
        <f>Return!Q653</f>
        <v>1.117564209224747E-2</v>
      </c>
    </row>
    <row r="1864" spans="1:3">
      <c r="A1864" s="406">
        <f>Return!A654</f>
        <v>45124</v>
      </c>
      <c r="B1864" s="408" t="s">
        <v>73</v>
      </c>
      <c r="C1864" s="409">
        <f>Return!Q654</f>
        <v>9.0907574070643897E-4</v>
      </c>
    </row>
    <row r="1865" spans="1:3">
      <c r="A1865" s="406">
        <f>Return!A655</f>
        <v>45121</v>
      </c>
      <c r="B1865" s="408" t="s">
        <v>73</v>
      </c>
      <c r="C1865" s="409">
        <f>Return!Q655</f>
        <v>7.8107421355731576E-3</v>
      </c>
    </row>
    <row r="1866" spans="1:3">
      <c r="A1866" s="406">
        <f>Return!A656</f>
        <v>45120</v>
      </c>
      <c r="B1866" s="408" t="s">
        <v>73</v>
      </c>
      <c r="C1866" s="409">
        <f>Return!Q656</f>
        <v>4.3548212448506016E-3</v>
      </c>
    </row>
    <row r="1867" spans="1:3">
      <c r="A1867" s="406">
        <f>Return!A657</f>
        <v>45119</v>
      </c>
      <c r="B1867" s="408" t="s">
        <v>73</v>
      </c>
      <c r="C1867" s="409">
        <f>Return!Q657</f>
        <v>1.7160356282008181E-3</v>
      </c>
    </row>
    <row r="1868" spans="1:3">
      <c r="A1868" s="406">
        <f>Return!A658</f>
        <v>45118</v>
      </c>
      <c r="B1868" s="408" t="s">
        <v>73</v>
      </c>
      <c r="C1868" s="409">
        <f>Return!Q658</f>
        <v>3.834142974829912E-4</v>
      </c>
    </row>
    <row r="1869" spans="1:3">
      <c r="A1869" s="406">
        <f>Return!A659</f>
        <v>45117</v>
      </c>
      <c r="B1869" s="408" t="s">
        <v>73</v>
      </c>
      <c r="C1869" s="409">
        <f>Return!Q659</f>
        <v>3.4811492141601148E-3</v>
      </c>
    </row>
    <row r="1870" spans="1:3">
      <c r="A1870" s="406">
        <f>Return!A660</f>
        <v>45114</v>
      </c>
      <c r="B1870" s="408" t="s">
        <v>73</v>
      </c>
      <c r="C1870" s="409">
        <f>Return!Q660</f>
        <v>-9.8377560044985118E-4</v>
      </c>
    </row>
    <row r="1871" spans="1:3">
      <c r="A1871" s="406">
        <f>Return!A661</f>
        <v>45113</v>
      </c>
      <c r="B1871" s="408" t="s">
        <v>73</v>
      </c>
      <c r="C1871" s="409">
        <f>Return!Q661</f>
        <v>-6.1233976878527605E-4</v>
      </c>
    </row>
    <row r="1872" spans="1:3">
      <c r="A1872" s="406">
        <f>Return!A662</f>
        <v>45112</v>
      </c>
      <c r="B1872" s="408" t="s">
        <v>73</v>
      </c>
      <c r="C1872" s="409">
        <f>Return!Q662</f>
        <v>2.7068733359025036E-3</v>
      </c>
    </row>
    <row r="1873" spans="1:3">
      <c r="A1873" s="406">
        <f>Return!A663</f>
        <v>45111</v>
      </c>
      <c r="B1873" s="408" t="s">
        <v>73</v>
      </c>
      <c r="C1873" s="409">
        <f>Return!Q663</f>
        <v>6.5385663879957909E-3</v>
      </c>
    </row>
    <row r="1874" spans="1:3">
      <c r="A1874" s="406">
        <f>Return!A664</f>
        <v>45110</v>
      </c>
      <c r="B1874" s="408" t="s">
        <v>73</v>
      </c>
      <c r="C1874" s="409">
        <f>Return!Q664</f>
        <v>-9.1034432197110548E-4</v>
      </c>
    </row>
    <row r="1875" spans="1:3">
      <c r="A1875" s="406">
        <f>Return!A665</f>
        <v>45107</v>
      </c>
      <c r="B1875" s="408" t="s">
        <v>73</v>
      </c>
      <c r="C1875" s="409">
        <f>Return!Q665</f>
        <v>3.989999139895172E-3</v>
      </c>
    </row>
    <row r="1876" spans="1:3">
      <c r="A1876" s="406">
        <f>Return!A666</f>
        <v>45105</v>
      </c>
      <c r="B1876" s="408" t="s">
        <v>73</v>
      </c>
      <c r="C1876" s="409">
        <f>Return!Q666</f>
        <v>2.1695495747515526E-3</v>
      </c>
    </row>
    <row r="1877" spans="1:3">
      <c r="A1877" s="406">
        <f>Return!A667</f>
        <v>45104</v>
      </c>
      <c r="B1877" s="408" t="s">
        <v>73</v>
      </c>
      <c r="C1877" s="409">
        <f>Return!Q667</f>
        <v>2.4212499879212243E-3</v>
      </c>
    </row>
    <row r="1878" spans="1:3">
      <c r="A1878" s="406">
        <f>Return!A668</f>
        <v>45103</v>
      </c>
      <c r="B1878" s="408" t="s">
        <v>73</v>
      </c>
      <c r="C1878" s="409">
        <f>Return!Q668</f>
        <v>7.5944063688189664E-3</v>
      </c>
    </row>
    <row r="1879" spans="1:3">
      <c r="A1879" s="406">
        <f>Return!A669</f>
        <v>45100</v>
      </c>
      <c r="B1879" s="408" t="s">
        <v>73</v>
      </c>
      <c r="C1879" s="409">
        <f>Return!Q669</f>
        <v>5.2270860436566258E-3</v>
      </c>
    </row>
    <row r="1880" spans="1:3">
      <c r="A1880" s="406">
        <f>Return!A670</f>
        <v>45099</v>
      </c>
      <c r="B1880" s="408" t="s">
        <v>73</v>
      </c>
      <c r="C1880" s="409">
        <f>Return!Q670</f>
        <v>9.2320076853918322E-3</v>
      </c>
    </row>
    <row r="1881" spans="1:3">
      <c r="A1881" s="406">
        <f>Return!A671</f>
        <v>45098</v>
      </c>
      <c r="B1881" s="408" t="s">
        <v>73</v>
      </c>
      <c r="C1881" s="409">
        <f>Return!Q671</f>
        <v>8.7392655700100404E-3</v>
      </c>
    </row>
    <row r="1882" spans="1:3">
      <c r="A1882" s="406">
        <f>Return!A672</f>
        <v>45097</v>
      </c>
      <c r="B1882" s="408" t="s">
        <v>73</v>
      </c>
      <c r="C1882" s="409">
        <f>Return!Q672</f>
        <v>4.503100253977336E-3</v>
      </c>
    </row>
    <row r="1883" spans="1:3">
      <c r="A1883" s="406">
        <f>Return!A673</f>
        <v>45096</v>
      </c>
      <c r="B1883" s="408" t="s">
        <v>73</v>
      </c>
      <c r="C1883" s="409">
        <f>Return!Q673</f>
        <v>3.0574355761713492E-3</v>
      </c>
    </row>
    <row r="1884" spans="1:3">
      <c r="A1884" s="406">
        <f>Return!A674</f>
        <v>45093</v>
      </c>
      <c r="B1884" s="408" t="s">
        <v>73</v>
      </c>
      <c r="C1884" s="409">
        <f>Return!Q674</f>
        <v>5.0318541784207243E-4</v>
      </c>
    </row>
    <row r="1885" spans="1:3">
      <c r="A1885" s="406">
        <f>Return!A675</f>
        <v>45092</v>
      </c>
      <c r="B1885" s="408" t="s">
        <v>73</v>
      </c>
      <c r="C1885" s="409">
        <f>Return!Q675</f>
        <v>4.7103587562883817E-4</v>
      </c>
    </row>
    <row r="1886" spans="1:3">
      <c r="A1886" s="406">
        <f>Return!A676</f>
        <v>45091</v>
      </c>
      <c r="B1886" s="408" t="s">
        <v>73</v>
      </c>
      <c r="C1886" s="409">
        <f>Return!Q676</f>
        <v>3.883812531424453E-3</v>
      </c>
    </row>
    <row r="1887" spans="1:3">
      <c r="A1887" s="406">
        <f>Return!A677</f>
        <v>45090</v>
      </c>
      <c r="B1887" s="408" t="s">
        <v>73</v>
      </c>
      <c r="C1887" s="409">
        <f>Return!Q677</f>
        <v>1.1877641195561029E-2</v>
      </c>
    </row>
    <row r="1888" spans="1:3">
      <c r="A1888" s="406">
        <f>Return!A678</f>
        <v>45089</v>
      </c>
      <c r="B1888" s="408" t="s">
        <v>73</v>
      </c>
      <c r="C1888" s="409">
        <f>Return!Q678</f>
        <v>6.3736515525040312E-4</v>
      </c>
    </row>
    <row r="1889" spans="1:3">
      <c r="A1889" s="406">
        <f>Return!A679</f>
        <v>45086</v>
      </c>
      <c r="B1889" s="408" t="s">
        <v>73</v>
      </c>
      <c r="C1889" s="409">
        <f>Return!Q679</f>
        <v>9.8477501567058017E-3</v>
      </c>
    </row>
    <row r="1890" spans="1:3">
      <c r="A1890" s="406">
        <f>Return!A680</f>
        <v>45085</v>
      </c>
      <c r="B1890" s="408" t="s">
        <v>73</v>
      </c>
      <c r="C1890" s="409">
        <f>Return!Q680</f>
        <v>-2.5281207071628392E-3</v>
      </c>
    </row>
    <row r="1891" spans="1:3">
      <c r="A1891" s="406">
        <f>Return!A681</f>
        <v>45084</v>
      </c>
      <c r="B1891" s="408" t="s">
        <v>73</v>
      </c>
      <c r="C1891" s="409">
        <f>Return!Q681</f>
        <v>6.4517403869252237E-3</v>
      </c>
    </row>
    <row r="1892" spans="1:3">
      <c r="A1892" s="406">
        <f>Return!A682</f>
        <v>45083</v>
      </c>
      <c r="B1892" s="408" t="s">
        <v>73</v>
      </c>
      <c r="C1892" s="409">
        <f>Return!Q682</f>
        <v>-4.4005815261621241E-3</v>
      </c>
    </row>
    <row r="1893" spans="1:3">
      <c r="A1893" s="406">
        <f>Return!A683</f>
        <v>45082</v>
      </c>
      <c r="B1893" s="408" t="s">
        <v>73</v>
      </c>
      <c r="C1893" s="409">
        <f>Return!Q683</f>
        <v>-1.0885911866769936E-3</v>
      </c>
    </row>
    <row r="1894" spans="1:3">
      <c r="A1894" s="406">
        <f>Return!A684</f>
        <v>45079</v>
      </c>
      <c r="B1894" s="408" t="s">
        <v>73</v>
      </c>
      <c r="C1894" s="409">
        <f>Return!Q684</f>
        <v>2.8991192906026686E-3</v>
      </c>
    </row>
    <row r="1895" spans="1:3">
      <c r="A1895" s="406">
        <f>Return!A685</f>
        <v>45078</v>
      </c>
      <c r="B1895" s="408" t="s">
        <v>73</v>
      </c>
      <c r="C1895" s="409">
        <f>Return!Q685</f>
        <v>-6.2536137039452577E-4</v>
      </c>
    </row>
    <row r="1896" spans="1:3">
      <c r="A1896" s="406">
        <f>Return!A686</f>
        <v>45077</v>
      </c>
      <c r="B1896" s="408" t="s">
        <v>73</v>
      </c>
      <c r="C1896" s="409">
        <f>Return!Q686</f>
        <v>2.9987162107090754E-3</v>
      </c>
    </row>
    <row r="1897" spans="1:3">
      <c r="A1897" s="406">
        <f>Return!A687</f>
        <v>45076</v>
      </c>
      <c r="B1897" s="408" t="s">
        <v>73</v>
      </c>
      <c r="C1897" s="409">
        <f>Return!Q687</f>
        <v>1.7753180522807705E-3</v>
      </c>
    </row>
    <row r="1898" spans="1:3">
      <c r="A1898" s="406">
        <f>Return!A688</f>
        <v>45075</v>
      </c>
      <c r="B1898" s="408" t="s">
        <v>73</v>
      </c>
      <c r="C1898" s="409">
        <f>Return!Q688</f>
        <v>5.8582097644807709E-3</v>
      </c>
    </row>
    <row r="1899" spans="1:3">
      <c r="A1899" s="406">
        <f>Return!A689</f>
        <v>45072</v>
      </c>
      <c r="B1899" s="408" t="s">
        <v>73</v>
      </c>
      <c r="C1899" s="409">
        <f>Return!Q689</f>
        <v>1.2968329087965979E-2</v>
      </c>
    </row>
    <row r="1900" spans="1:3">
      <c r="A1900" s="406">
        <f>Return!A690</f>
        <v>45071</v>
      </c>
      <c r="B1900" s="408" t="s">
        <v>73</v>
      </c>
      <c r="C1900" s="409">
        <f>Return!Q690</f>
        <v>3.5364521989560819E-3</v>
      </c>
    </row>
    <row r="1901" spans="1:3">
      <c r="A1901" s="406">
        <f>Return!A691</f>
        <v>45070</v>
      </c>
      <c r="B1901" s="408" t="s">
        <v>73</v>
      </c>
      <c r="C1901" s="409">
        <f>Return!Q691</f>
        <v>2.0077830100668731E-3</v>
      </c>
    </row>
    <row r="1902" spans="1:3">
      <c r="A1902" s="406">
        <f>Return!A692</f>
        <v>45069</v>
      </c>
      <c r="B1902" s="408" t="s">
        <v>73</v>
      </c>
      <c r="C1902" s="409">
        <f>Return!Q692</f>
        <v>7.3356503771008987E-4</v>
      </c>
    </row>
    <row r="1903" spans="1:3">
      <c r="A1903" s="406">
        <f>Return!A693</f>
        <v>45068</v>
      </c>
      <c r="B1903" s="408" t="s">
        <v>73</v>
      </c>
      <c r="C1903" s="409">
        <f>Return!Q693</f>
        <v>1.147603266376424E-2</v>
      </c>
    </row>
    <row r="1904" spans="1:3">
      <c r="A1904" s="406">
        <f>Return!A694</f>
        <v>45065</v>
      </c>
      <c r="B1904" s="408" t="s">
        <v>73</v>
      </c>
      <c r="C1904" s="409">
        <f>Return!Q694</f>
        <v>5.7325925777503809E-4</v>
      </c>
    </row>
    <row r="1905" spans="1:3">
      <c r="A1905" s="406">
        <f>Return!A695</f>
        <v>45064</v>
      </c>
      <c r="B1905" s="408" t="s">
        <v>73</v>
      </c>
      <c r="C1905" s="409">
        <f>Return!Q695</f>
        <v>7.417272817985556E-3</v>
      </c>
    </row>
    <row r="1906" spans="1:3">
      <c r="A1906" s="406">
        <f>Return!A696</f>
        <v>45063</v>
      </c>
      <c r="B1906" s="408" t="s">
        <v>73</v>
      </c>
      <c r="C1906" s="409">
        <f>Return!Q696</f>
        <v>4.7410079699234742E-4</v>
      </c>
    </row>
    <row r="1907" spans="1:3">
      <c r="A1907" s="406">
        <f>Return!A697</f>
        <v>45062</v>
      </c>
      <c r="B1907" s="408" t="s">
        <v>73</v>
      </c>
      <c r="C1907" s="409">
        <f>Return!Q697</f>
        <v>-1.8735712807357629E-3</v>
      </c>
    </row>
    <row r="1908" spans="1:3">
      <c r="A1908" s="406">
        <f>Return!A698</f>
        <v>45061</v>
      </c>
      <c r="B1908" s="408" t="s">
        <v>73</v>
      </c>
      <c r="C1908" s="409">
        <f>Return!Q698</f>
        <v>-6.6183320132550518E-3</v>
      </c>
    </row>
    <row r="1909" spans="1:3">
      <c r="A1909" s="406">
        <f>Return!A699</f>
        <v>45058</v>
      </c>
      <c r="B1909" s="408" t="s">
        <v>73</v>
      </c>
      <c r="C1909" s="409">
        <f>Return!Q699</f>
        <v>-1.8606433441474099E-3</v>
      </c>
    </row>
    <row r="1910" spans="1:3">
      <c r="A1910" s="406">
        <f>Return!A700</f>
        <v>45057</v>
      </c>
      <c r="B1910" s="408" t="s">
        <v>73</v>
      </c>
      <c r="C1910" s="409">
        <f>Return!Q700</f>
        <v>-2.4623012615203191E-4</v>
      </c>
    </row>
    <row r="1911" spans="1:3">
      <c r="A1911" s="406">
        <f>Return!A701</f>
        <v>45056</v>
      </c>
      <c r="B1911" s="408" t="s">
        <v>73</v>
      </c>
      <c r="C1911" s="409">
        <f>Return!Q701</f>
        <v>-3.5917174609842225E-3</v>
      </c>
    </row>
    <row r="1912" spans="1:3">
      <c r="A1912" s="406">
        <f>Return!A702</f>
        <v>45055</v>
      </c>
      <c r="B1912" s="408" t="s">
        <v>73</v>
      </c>
      <c r="C1912" s="409">
        <f>Return!Q702</f>
        <v>-1.7440616591219437E-2</v>
      </c>
    </row>
    <row r="1913" spans="1:3">
      <c r="A1913" s="406">
        <f>Return!A703</f>
        <v>45054</v>
      </c>
      <c r="B1913" s="408" t="s">
        <v>73</v>
      </c>
      <c r="C1913" s="409">
        <f>Return!Q703</f>
        <v>-3.7702510736198043E-3</v>
      </c>
    </row>
    <row r="1914" spans="1:3">
      <c r="A1914" s="406">
        <f>Return!A704</f>
        <v>45051</v>
      </c>
      <c r="B1914" s="408" t="s">
        <v>73</v>
      </c>
      <c r="C1914" s="409">
        <f>Return!Q704</f>
        <v>-3.9468562105494749E-3</v>
      </c>
    </row>
    <row r="1915" spans="1:3">
      <c r="A1915" s="406">
        <f>Return!A705</f>
        <v>45050</v>
      </c>
      <c r="B1915" s="408" t="s">
        <v>73</v>
      </c>
      <c r="C1915" s="409">
        <f>Return!Q705</f>
        <v>6.9888307833551886E-3</v>
      </c>
    </row>
    <row r="1916" spans="1:3">
      <c r="A1916" s="406">
        <f>Return!A706</f>
        <v>45049</v>
      </c>
      <c r="B1916" s="408" t="s">
        <v>73</v>
      </c>
      <c r="C1916" s="409">
        <f>Return!Q706</f>
        <v>2.7004075705465065E-3</v>
      </c>
    </row>
    <row r="1917" spans="1:3">
      <c r="A1917" s="406">
        <f>Return!A707</f>
        <v>45048</v>
      </c>
      <c r="B1917" s="408" t="s">
        <v>73</v>
      </c>
      <c r="C1917" s="409">
        <f>Return!Q707</f>
        <v>1.2833426480004415E-3</v>
      </c>
    </row>
    <row r="1918" spans="1:3">
      <c r="A1918" s="406">
        <f>Return!A708</f>
        <v>45044</v>
      </c>
      <c r="B1918" s="408" t="s">
        <v>73</v>
      </c>
      <c r="C1918" s="409">
        <f>Return!Q708</f>
        <v>-4.0172941147814092E-4</v>
      </c>
    </row>
    <row r="1919" spans="1:3">
      <c r="A1919" s="406">
        <f>Return!A709</f>
        <v>45043</v>
      </c>
      <c r="B1919" s="408" t="s">
        <v>73</v>
      </c>
      <c r="C1919" s="409">
        <f>Return!Q709</f>
        <v>2.214644526365554E-3</v>
      </c>
    </row>
    <row r="1920" spans="1:3">
      <c r="A1920" s="406">
        <f>Return!A710</f>
        <v>45042</v>
      </c>
      <c r="B1920" s="408" t="s">
        <v>73</v>
      </c>
      <c r="C1920" s="409">
        <f>Return!Q710</f>
        <v>1.7171781021861306E-3</v>
      </c>
    </row>
    <row r="1921" spans="1:3">
      <c r="A1921" s="406">
        <f>Return!A711</f>
        <v>45041</v>
      </c>
      <c r="B1921" s="408" t="s">
        <v>73</v>
      </c>
      <c r="C1921" s="409">
        <f>Return!Q711</f>
        <v>2.0351583293288498E-3</v>
      </c>
    </row>
    <row r="1922" spans="1:3">
      <c r="A1922" s="406">
        <f>Return!A712</f>
        <v>45040</v>
      </c>
      <c r="B1922" s="408" t="s">
        <v>73</v>
      </c>
      <c r="C1922" s="409">
        <f>Return!Q712</f>
        <v>5.4618079461268764E-3</v>
      </c>
    </row>
    <row r="1923" spans="1:3">
      <c r="A1923" s="406">
        <f>Return!A713</f>
        <v>45037</v>
      </c>
      <c r="B1923" s="408" t="s">
        <v>73</v>
      </c>
      <c r="C1923" s="409">
        <f>Return!Q713</f>
        <v>6.5274476189072948E-3</v>
      </c>
    </row>
    <row r="1924" spans="1:3">
      <c r="A1924" s="406">
        <f>Return!A714</f>
        <v>45036</v>
      </c>
      <c r="B1924" s="408" t="s">
        <v>73</v>
      </c>
      <c r="C1924" s="409">
        <f>Return!Q714</f>
        <v>-1.7755900379883343E-3</v>
      </c>
    </row>
    <row r="1925" spans="1:3">
      <c r="A1925" s="406">
        <f>Return!A715</f>
        <v>45035</v>
      </c>
      <c r="B1925" s="408" t="s">
        <v>73</v>
      </c>
      <c r="C1925" s="409">
        <f>Return!Q715</f>
        <v>5.8914553534004498E-3</v>
      </c>
    </row>
    <row r="1926" spans="1:3">
      <c r="A1926" s="406">
        <f>Return!A716</f>
        <v>45034</v>
      </c>
      <c r="B1926" s="408" t="s">
        <v>73</v>
      </c>
      <c r="C1926" s="409">
        <f>Return!Q716</f>
        <v>-3.9785783681660289E-3</v>
      </c>
    </row>
    <row r="1927" spans="1:3">
      <c r="A1927" s="406">
        <f>Return!A717</f>
        <v>45033</v>
      </c>
      <c r="B1927" s="408" t="s">
        <v>73</v>
      </c>
      <c r="C1927" s="409">
        <f>Return!Q717</f>
        <v>4.8967935414145625E-3</v>
      </c>
    </row>
    <row r="1928" spans="1:3">
      <c r="A1928" s="406">
        <f>Return!A718</f>
        <v>45029</v>
      </c>
      <c r="B1928" s="408" t="s">
        <v>73</v>
      </c>
      <c r="C1928" s="409">
        <f>Return!Q718</f>
        <v>5.8354288965983313E-3</v>
      </c>
    </row>
    <row r="1929" spans="1:3">
      <c r="A1929" s="406">
        <f>Return!A719</f>
        <v>45028</v>
      </c>
      <c r="B1929" s="408" t="s">
        <v>73</v>
      </c>
      <c r="C1929" s="409">
        <f>Return!Q719</f>
        <v>-4.1416438627521149E-3</v>
      </c>
    </row>
    <row r="1930" spans="1:3">
      <c r="A1930" s="406">
        <f>Return!A720</f>
        <v>45027</v>
      </c>
      <c r="B1930" s="408" t="s">
        <v>73</v>
      </c>
      <c r="C1930" s="409">
        <f>Return!Q720</f>
        <v>7.5002773091316036E-3</v>
      </c>
    </row>
    <row r="1931" spans="1:3">
      <c r="A1931" s="406">
        <f>Return!A721</f>
        <v>45026</v>
      </c>
      <c r="B1931" s="408" t="s">
        <v>73</v>
      </c>
      <c r="C1931" s="409">
        <f>Return!Q721</f>
        <v>9.4351767571480855E-3</v>
      </c>
    </row>
    <row r="1932" spans="1:3">
      <c r="A1932" s="406">
        <f>Return!A722</f>
        <v>45022</v>
      </c>
      <c r="B1932" s="408" t="s">
        <v>73</v>
      </c>
      <c r="C1932" s="409">
        <f>Return!Q722</f>
        <v>-2.2433655097795768E-3</v>
      </c>
    </row>
    <row r="1933" spans="1:3">
      <c r="A1933" s="406">
        <f>Return!A723</f>
        <v>45021</v>
      </c>
      <c r="B1933" s="408" t="s">
        <v>73</v>
      </c>
      <c r="C1933" s="409">
        <f>Return!Q723</f>
        <v>1.5721730722556358E-2</v>
      </c>
    </row>
    <row r="1934" spans="1:3">
      <c r="A1934" s="406">
        <f>Return!A724</f>
        <v>45019</v>
      </c>
      <c r="B1934" s="408" t="s">
        <v>73</v>
      </c>
      <c r="C1934" s="409">
        <f>Return!Q724</f>
        <v>5.4724186020506166E-3</v>
      </c>
    </row>
    <row r="1935" spans="1:3">
      <c r="A1935" s="406">
        <f>Return!A725</f>
        <v>45016</v>
      </c>
      <c r="B1935" s="408" t="s">
        <v>73</v>
      </c>
      <c r="C1935" s="409">
        <f>Return!Q725</f>
        <v>4.2524650430043106E-3</v>
      </c>
    </row>
    <row r="1936" spans="1:3">
      <c r="A1936" s="406">
        <f>Return!A726</f>
        <v>45014</v>
      </c>
      <c r="B1936" s="408" t="s">
        <v>73</v>
      </c>
      <c r="C1936" s="409">
        <f>Return!Q726</f>
        <v>5.7455865755257542E-3</v>
      </c>
    </row>
    <row r="1937" spans="1:3">
      <c r="A1937" s="406">
        <f>Return!A727</f>
        <v>45013</v>
      </c>
      <c r="B1937" s="408" t="s">
        <v>73</v>
      </c>
      <c r="C1937" s="409">
        <f>Return!Q727</f>
        <v>8.5959835209207074E-3</v>
      </c>
    </row>
    <row r="1938" spans="1:3">
      <c r="A1938" s="406">
        <f>Return!A728</f>
        <v>45012</v>
      </c>
      <c r="B1938" s="408" t="s">
        <v>73</v>
      </c>
      <c r="C1938" s="409">
        <f>Return!Q728</f>
        <v>2.6843767928681735E-3</v>
      </c>
    </row>
    <row r="1939" spans="1:3">
      <c r="A1939" s="406">
        <f>Return!A729</f>
        <v>45009</v>
      </c>
      <c r="B1939" s="408" t="s">
        <v>73</v>
      </c>
      <c r="C1939" s="409">
        <f>Return!Q729</f>
        <v>2.5080356664035166E-3</v>
      </c>
    </row>
    <row r="1940" spans="1:3">
      <c r="A1940" s="406">
        <f>Return!A730</f>
        <v>45008</v>
      </c>
      <c r="B1940" s="408" t="s">
        <v>73</v>
      </c>
      <c r="C1940" s="409">
        <f>Return!Q730</f>
        <v>9.4921870787875087E-3</v>
      </c>
    </row>
    <row r="1941" spans="1:3">
      <c r="A1941" s="406">
        <f>Return!A731</f>
        <v>45007</v>
      </c>
      <c r="B1941" s="408" t="s">
        <v>73</v>
      </c>
      <c r="C1941" s="409">
        <f>Return!Q731</f>
        <v>3.4065284590832261E-3</v>
      </c>
    </row>
    <row r="1942" spans="1:3">
      <c r="A1942" s="406">
        <f>Return!A732</f>
        <v>45006</v>
      </c>
      <c r="B1942" s="408" t="s">
        <v>73</v>
      </c>
      <c r="C1942" s="409">
        <f>Return!Q732</f>
        <v>6.3621969831786345E-3</v>
      </c>
    </row>
    <row r="1943" spans="1:3">
      <c r="A1943" s="406">
        <f>Return!A733</f>
        <v>45005</v>
      </c>
      <c r="B1943" s="408" t="s">
        <v>73</v>
      </c>
      <c r="C1943" s="409">
        <f>Return!Q733</f>
        <v>8.4330649986352063E-3</v>
      </c>
    </row>
    <row r="1944" spans="1:3">
      <c r="A1944" s="406">
        <f>Return!A734</f>
        <v>45002</v>
      </c>
      <c r="B1944" s="408" t="s">
        <v>73</v>
      </c>
      <c r="C1944" s="409">
        <f>Return!Q734</f>
        <v>-3.2762456280769812E-3</v>
      </c>
    </row>
    <row r="1945" spans="1:3">
      <c r="A1945" s="406">
        <f>Return!A735</f>
        <v>45001</v>
      </c>
      <c r="B1945" s="408" t="s">
        <v>73</v>
      </c>
      <c r="C1945" s="409">
        <f>Return!Q735</f>
        <v>5.455560799417971E-3</v>
      </c>
    </row>
    <row r="1946" spans="1:3">
      <c r="A1946" s="406">
        <f>Return!A736</f>
        <v>45000</v>
      </c>
      <c r="B1946" s="408" t="s">
        <v>73</v>
      </c>
      <c r="C1946" s="409">
        <f>Return!Q736</f>
        <v>1.336827496462576E-4</v>
      </c>
    </row>
    <row r="1947" spans="1:3">
      <c r="A1947" s="406">
        <f>Return!A737</f>
        <v>44999</v>
      </c>
      <c r="B1947" s="408" t="s">
        <v>73</v>
      </c>
      <c r="C1947" s="409">
        <f>Return!Q737</f>
        <v>5.5237642571410736E-3</v>
      </c>
    </row>
    <row r="1948" spans="1:3">
      <c r="A1948" s="406">
        <f>Return!A738</f>
        <v>44998</v>
      </c>
      <c r="B1948" s="408" t="s">
        <v>73</v>
      </c>
      <c r="C1948" s="409">
        <f>Return!Q738</f>
        <v>-2.0632252637964917E-3</v>
      </c>
    </row>
    <row r="1949" spans="1:3">
      <c r="A1949" s="406">
        <f>Return!A739</f>
        <v>44995</v>
      </c>
      <c r="B1949" s="408" t="s">
        <v>73</v>
      </c>
      <c r="C1949" s="409">
        <f>Return!Q739</f>
        <v>6.468314084531821E-3</v>
      </c>
    </row>
    <row r="1950" spans="1:3">
      <c r="A1950" s="406">
        <f>Return!A740</f>
        <v>44994</v>
      </c>
      <c r="B1950" s="408" t="s">
        <v>73</v>
      </c>
      <c r="C1950" s="409">
        <f>Return!Q740</f>
        <v>-2.6984888908447848E-3</v>
      </c>
    </row>
    <row r="1951" spans="1:3">
      <c r="A1951" s="406">
        <f>Return!A741</f>
        <v>44993</v>
      </c>
      <c r="B1951" s="408" t="s">
        <v>73</v>
      </c>
      <c r="C1951" s="409">
        <f>Return!Q741</f>
        <v>-7.4125338353122423E-4</v>
      </c>
    </row>
    <row r="1952" spans="1:3">
      <c r="A1952" s="406">
        <f>Return!A742</f>
        <v>44991</v>
      </c>
      <c r="B1952" s="408" t="s">
        <v>73</v>
      </c>
      <c r="C1952" s="409">
        <f>Return!Q742</f>
        <v>-6.5401250752108132E-3</v>
      </c>
    </row>
    <row r="1953" spans="1:3">
      <c r="A1953" s="406">
        <f>Return!A743</f>
        <v>44988</v>
      </c>
      <c r="B1953" s="408" t="s">
        <v>73</v>
      </c>
      <c r="C1953" s="409">
        <f>Return!Q743</f>
        <v>-7.3909271966970458E-4</v>
      </c>
    </row>
    <row r="1954" spans="1:3">
      <c r="A1954" s="406">
        <f>Return!A744</f>
        <v>44987</v>
      </c>
      <c r="B1954" s="408" t="s">
        <v>73</v>
      </c>
      <c r="C1954" s="409">
        <f>Return!Q744</f>
        <v>-2.3021837032048578E-4</v>
      </c>
    </row>
    <row r="1955" spans="1:3">
      <c r="A1955" s="406">
        <f>Return!A745</f>
        <v>44986</v>
      </c>
      <c r="B1955" s="408" t="s">
        <v>73</v>
      </c>
      <c r="C1955" s="409">
        <f>Return!Q745</f>
        <v>1.067182912193782E-3</v>
      </c>
    </row>
    <row r="1956" spans="1:3">
      <c r="A1956" s="406">
        <f>Return!A746</f>
        <v>44985</v>
      </c>
      <c r="B1956" s="408" t="s">
        <v>73</v>
      </c>
      <c r="C1956" s="409">
        <f>Return!Q746</f>
        <v>3.3402475410487902E-3</v>
      </c>
    </row>
    <row r="1957" spans="1:3">
      <c r="A1957" s="406">
        <f>Return!A747</f>
        <v>44984</v>
      </c>
      <c r="B1957" s="408" t="s">
        <v>73</v>
      </c>
      <c r="C1957" s="409">
        <f>Return!Q747</f>
        <v>1.4925676957152168E-3</v>
      </c>
    </row>
    <row r="1958" spans="1:3">
      <c r="A1958" s="406">
        <f>Return!A748</f>
        <v>44981</v>
      </c>
      <c r="B1958" s="408" t="s">
        <v>73</v>
      </c>
      <c r="C1958" s="409">
        <f>Return!Q748</f>
        <v>-4.8207644515099041E-3</v>
      </c>
    </row>
    <row r="1959" spans="1:3">
      <c r="A1959" s="406">
        <f>Return!A749</f>
        <v>44980</v>
      </c>
      <c r="B1959" s="408" t="s">
        <v>73</v>
      </c>
      <c r="C1959" s="409">
        <f>Return!Q749</f>
        <v>-6.1769307539915929E-3</v>
      </c>
    </row>
    <row r="1960" spans="1:3">
      <c r="A1960" s="406">
        <f>Return!A750</f>
        <v>44979</v>
      </c>
      <c r="B1960" s="408" t="s">
        <v>73</v>
      </c>
      <c r="C1960" s="409">
        <f>Return!Q750</f>
        <v>-9.8871370274416885E-3</v>
      </c>
    </row>
    <row r="1961" spans="1:3">
      <c r="A1961" s="406">
        <f>Return!A751</f>
        <v>44978</v>
      </c>
      <c r="B1961" s="408" t="s">
        <v>73</v>
      </c>
      <c r="C1961" s="409">
        <f>Return!Q751</f>
        <v>-6.3780284716917091E-3</v>
      </c>
    </row>
    <row r="1962" spans="1:3">
      <c r="A1962" s="406">
        <f>Return!A752</f>
        <v>44977</v>
      </c>
      <c r="B1962" s="408" t="s">
        <v>73</v>
      </c>
      <c r="C1962" s="409">
        <f>Return!Q752</f>
        <v>1.719114077227862E-3</v>
      </c>
    </row>
    <row r="1963" spans="1:3">
      <c r="A1963" s="406">
        <f>Return!A753</f>
        <v>44974</v>
      </c>
      <c r="B1963" s="408" t="s">
        <v>73</v>
      </c>
      <c r="C1963" s="409">
        <f>Return!Q753</f>
        <v>-3.907788593017221E-3</v>
      </c>
    </row>
    <row r="1964" spans="1:3">
      <c r="A1964" s="406">
        <f>Return!A754</f>
        <v>44973</v>
      </c>
      <c r="B1964" s="408" t="s">
        <v>73</v>
      </c>
      <c r="C1964" s="409">
        <f>Return!Q754</f>
        <v>-2.5467618228209011E-3</v>
      </c>
    </row>
    <row r="1965" spans="1:3">
      <c r="A1965" s="406">
        <f>Return!A755</f>
        <v>44972</v>
      </c>
      <c r="B1965" s="408" t="s">
        <v>73</v>
      </c>
      <c r="C1965" s="409">
        <f>Return!Q755</f>
        <v>-5.3797464279320365E-3</v>
      </c>
    </row>
    <row r="1966" spans="1:3">
      <c r="A1966" s="406">
        <f>Return!A756</f>
        <v>44971</v>
      </c>
      <c r="B1966" s="408" t="s">
        <v>73</v>
      </c>
      <c r="C1966" s="409">
        <f>Return!Q756</f>
        <v>-3.0765241048704081E-3</v>
      </c>
    </row>
    <row r="1967" spans="1:3">
      <c r="A1967" s="406">
        <f>Return!A757</f>
        <v>44970</v>
      </c>
      <c r="B1967" s="408" t="s">
        <v>73</v>
      </c>
      <c r="C1967" s="409">
        <f>Return!Q757</f>
        <v>-6.5257915343519355E-3</v>
      </c>
    </row>
    <row r="1968" spans="1:3">
      <c r="A1968" s="406">
        <f>Return!A758</f>
        <v>44967</v>
      </c>
      <c r="B1968" s="408" t="s">
        <v>73</v>
      </c>
      <c r="C1968" s="409">
        <f>Return!Q758</f>
        <v>3.010524885940695E-4</v>
      </c>
    </row>
    <row r="1969" spans="1:3">
      <c r="A1969" s="406">
        <f>Return!A759</f>
        <v>44966</v>
      </c>
      <c r="B1969" s="408" t="s">
        <v>73</v>
      </c>
      <c r="C1969" s="409">
        <f>Return!Q759</f>
        <v>-2.7644674426570712E-3</v>
      </c>
    </row>
    <row r="1970" spans="1:3">
      <c r="A1970" s="406">
        <f>Return!A760</f>
        <v>44965</v>
      </c>
      <c r="B1970" s="408" t="s">
        <v>73</v>
      </c>
      <c r="C1970" s="409">
        <f>Return!Q760</f>
        <v>8.4124291726830353E-3</v>
      </c>
    </row>
    <row r="1971" spans="1:3">
      <c r="A1971" s="406">
        <f>Return!A761</f>
        <v>44964</v>
      </c>
      <c r="B1971" s="408" t="s">
        <v>73</v>
      </c>
      <c r="C1971" s="409">
        <f>Return!Q761</f>
        <v>-1.4524944508713129E-3</v>
      </c>
    </row>
    <row r="1972" spans="1:3">
      <c r="A1972" s="406">
        <f>Return!A762</f>
        <v>44963</v>
      </c>
      <c r="B1972" s="408" t="s">
        <v>73</v>
      </c>
      <c r="C1972" s="409">
        <f>Return!Q762</f>
        <v>2.4837450378850334E-2</v>
      </c>
    </row>
    <row r="1973" spans="1:3">
      <c r="A1973" s="406">
        <f>Return!A763</f>
        <v>44960</v>
      </c>
      <c r="B1973" s="408" t="s">
        <v>73</v>
      </c>
      <c r="C1973" s="409">
        <f>Return!Q763</f>
        <v>6.107822068726656E-3</v>
      </c>
    </row>
    <row r="1974" spans="1:3">
      <c r="A1974" s="406">
        <f>Return!A764</f>
        <v>44959</v>
      </c>
      <c r="B1974" s="408" t="s">
        <v>73</v>
      </c>
      <c r="C1974" s="409">
        <f>Return!Q764</f>
        <v>9.4886685672459416E-3</v>
      </c>
    </row>
    <row r="1975" spans="1:3">
      <c r="A1975" s="406">
        <f>Return!A765</f>
        <v>44958</v>
      </c>
      <c r="B1975" s="408" t="s">
        <v>73</v>
      </c>
      <c r="C1975" s="409">
        <f>Return!Q765</f>
        <v>-4.2970053902007498E-3</v>
      </c>
    </row>
    <row r="1976" spans="1:3">
      <c r="A1976" s="406">
        <f>Return!A766</f>
        <v>44957</v>
      </c>
      <c r="B1976" s="408" t="s">
        <v>73</v>
      </c>
      <c r="C1976" s="409">
        <f>Return!Q766</f>
        <v>-6.3667846249166379E-4</v>
      </c>
    </row>
    <row r="1977" spans="1:3">
      <c r="A1977" s="406">
        <f>Return!A767</f>
        <v>44956</v>
      </c>
      <c r="B1977" s="408" t="s">
        <v>73</v>
      </c>
      <c r="C1977" s="409">
        <f>Return!Q767</f>
        <v>-7.2113096366063075E-3</v>
      </c>
    </row>
    <row r="1978" spans="1:3">
      <c r="A1978" s="406">
        <f>Return!A768</f>
        <v>44953</v>
      </c>
      <c r="B1978" s="408" t="s">
        <v>73</v>
      </c>
      <c r="C1978" s="409">
        <f>Return!Q768</f>
        <v>-3.8112065711217369E-3</v>
      </c>
    </row>
    <row r="1979" spans="1:3">
      <c r="A1979" s="406">
        <f>Return!A769</f>
        <v>44951</v>
      </c>
      <c r="B1979" s="408" t="s">
        <v>73</v>
      </c>
      <c r="C1979" s="409">
        <f>Return!Q769</f>
        <v>-2.5085638735777875E-3</v>
      </c>
    </row>
    <row r="1980" spans="1:3">
      <c r="A1980" s="406">
        <f>Return!A770</f>
        <v>44950</v>
      </c>
      <c r="B1980" s="408" t="s">
        <v>73</v>
      </c>
      <c r="C1980" s="409">
        <f>Return!Q770</f>
        <v>-3.9939693421167984E-3</v>
      </c>
    </row>
    <row r="1981" spans="1:3">
      <c r="A1981" s="406">
        <f>Return!A771</f>
        <v>44949</v>
      </c>
      <c r="B1981" s="408" t="s">
        <v>73</v>
      </c>
      <c r="C1981" s="409">
        <f>Return!Q771</f>
        <v>-9.719072672361306E-3</v>
      </c>
    </row>
    <row r="1982" spans="1:3">
      <c r="A1982" s="406">
        <f>Return!A772</f>
        <v>44946</v>
      </c>
      <c r="B1982" s="408" t="s">
        <v>73</v>
      </c>
      <c r="C1982" s="409">
        <f>Return!Q772</f>
        <v>-6.158429023120077E-3</v>
      </c>
    </row>
    <row r="1983" spans="1:3">
      <c r="A1983" s="406">
        <f>Return!A773</f>
        <v>44945</v>
      </c>
      <c r="B1983" s="408" t="s">
        <v>73</v>
      </c>
      <c r="C1983" s="409">
        <f>Return!Q773</f>
        <v>-2.800157383924261E-3</v>
      </c>
    </row>
    <row r="1984" spans="1:3">
      <c r="A1984" s="406">
        <f>Return!A774</f>
        <v>44944</v>
      </c>
      <c r="B1984" s="408" t="s">
        <v>73</v>
      </c>
      <c r="C1984" s="409">
        <f>Return!Q774</f>
        <v>6.0706797313353402E-4</v>
      </c>
    </row>
    <row r="1985" spans="1:3">
      <c r="A1985" s="406">
        <f>Return!A775</f>
        <v>44943</v>
      </c>
      <c r="B1985" s="408" t="s">
        <v>73</v>
      </c>
      <c r="C1985" s="409">
        <f>Return!Q775</f>
        <v>-7.7765753893663313E-4</v>
      </c>
    </row>
    <row r="1986" spans="1:3">
      <c r="A1986" s="406">
        <f>Return!A776</f>
        <v>44942</v>
      </c>
      <c r="B1986" s="408" t="s">
        <v>73</v>
      </c>
      <c r="C1986" s="409">
        <f>Return!Q776</f>
        <v>-1.5433292380468149E-3</v>
      </c>
    </row>
    <row r="1987" spans="1:3">
      <c r="A1987" s="406">
        <f>Return!A777</f>
        <v>44939</v>
      </c>
      <c r="B1987" s="408" t="s">
        <v>73</v>
      </c>
      <c r="C1987" s="409">
        <f>Return!Q777</f>
        <v>-1.9020757415927883E-3</v>
      </c>
    </row>
    <row r="1988" spans="1:3">
      <c r="A1988" s="406">
        <f>Return!A778</f>
        <v>44938</v>
      </c>
      <c r="B1988" s="408" t="s">
        <v>73</v>
      </c>
      <c r="C1988" s="409">
        <f>Return!Q778</f>
        <v>5.3518418024880027E-3</v>
      </c>
    </row>
    <row r="1989" spans="1:3">
      <c r="A1989" s="406">
        <f>Return!A779</f>
        <v>44937</v>
      </c>
      <c r="B1989" s="408" t="s">
        <v>73</v>
      </c>
      <c r="C1989" s="409">
        <f>Return!Q779</f>
        <v>-2.3451998778648451E-3</v>
      </c>
    </row>
    <row r="1990" spans="1:3">
      <c r="A1990" s="406">
        <f>Return!A780</f>
        <v>44936</v>
      </c>
      <c r="B1990" s="408" t="s">
        <v>73</v>
      </c>
      <c r="C1990" s="409">
        <f>Return!Q780</f>
        <v>3.1036171417284327E-3</v>
      </c>
    </row>
    <row r="1991" spans="1:3">
      <c r="A1991" s="406">
        <f>Return!A781</f>
        <v>44935</v>
      </c>
      <c r="B1991" s="408" t="s">
        <v>73</v>
      </c>
      <c r="C1991" s="409">
        <f>Return!Q781</f>
        <v>1.076702396003527E-3</v>
      </c>
    </row>
    <row r="1992" spans="1:3">
      <c r="A1992" s="406">
        <f>Return!A782</f>
        <v>44932</v>
      </c>
      <c r="B1992" s="408" t="s">
        <v>73</v>
      </c>
      <c r="C1992" s="409">
        <f>Return!Q782</f>
        <v>2.2047330473260011E-3</v>
      </c>
    </row>
    <row r="1993" spans="1:3">
      <c r="A1993" s="406">
        <f>Return!A783</f>
        <v>44931</v>
      </c>
      <c r="B1993" s="408" t="s">
        <v>73</v>
      </c>
      <c r="C1993" s="409">
        <f>Return!Q783</f>
        <v>1.4236647429158788E-4</v>
      </c>
    </row>
    <row r="1994" spans="1:3">
      <c r="A1994" s="406">
        <f>Return!A784</f>
        <v>44930</v>
      </c>
      <c r="B1994" s="408" t="s">
        <v>73</v>
      </c>
      <c r="C1994" s="409">
        <f>Return!Q784</f>
        <v>-1.5329025258445693E-3</v>
      </c>
    </row>
    <row r="1995" spans="1:3">
      <c r="A1995" s="406">
        <f>Return!A785</f>
        <v>44929</v>
      </c>
      <c r="B1995" s="408" t="s">
        <v>73</v>
      </c>
      <c r="C1995" s="409">
        <f>Return!Q785</f>
        <v>8.9117713828964253E-3</v>
      </c>
    </row>
    <row r="1996" spans="1:3">
      <c r="A1996" s="406">
        <f>Return!A786</f>
        <v>44928</v>
      </c>
      <c r="B1996" s="408" t="s">
        <v>73</v>
      </c>
      <c r="C1996" s="409">
        <f>Return!Q786</f>
        <v>-2.620082528529155E-3</v>
      </c>
    </row>
    <row r="1997" spans="1:3">
      <c r="A1997" s="406">
        <f>Return!A787</f>
        <v>44925</v>
      </c>
      <c r="B1997" s="408" t="s">
        <v>73</v>
      </c>
      <c r="C1997" s="409">
        <f>Return!Q787</f>
        <v>7.2414585352037703E-3</v>
      </c>
    </row>
    <row r="1998" spans="1:3">
      <c r="A1998" s="406">
        <f>Return!A788</f>
        <v>44924</v>
      </c>
      <c r="B1998" s="408" t="s">
        <v>73</v>
      </c>
      <c r="C1998" s="409">
        <f>Return!Q788</f>
        <v>-1.4254860732200801E-3</v>
      </c>
    </row>
    <row r="1999" spans="1:3">
      <c r="A1999" s="406">
        <f>Return!A789</f>
        <v>44923</v>
      </c>
      <c r="B1999" s="408" t="s">
        <v>73</v>
      </c>
      <c r="C1999" s="409">
        <f>Return!Q789</f>
        <v>1.1219919823783847E-4</v>
      </c>
    </row>
    <row r="2000" spans="1:3">
      <c r="A2000" s="406">
        <f>Return!A790</f>
        <v>44922</v>
      </c>
      <c r="B2000" s="408" t="s">
        <v>73</v>
      </c>
      <c r="C2000" s="409">
        <f>Return!Q790</f>
        <v>-3.6818028543687919E-3</v>
      </c>
    </row>
    <row r="2001" spans="1:3">
      <c r="A2001" s="406">
        <f>Return!A791</f>
        <v>44921</v>
      </c>
      <c r="B2001" s="408" t="s">
        <v>73</v>
      </c>
      <c r="C2001" s="409">
        <f>Return!Q791</f>
        <v>-2.9449392951263315E-3</v>
      </c>
    </row>
    <row r="2002" spans="1:3">
      <c r="A2002" s="406">
        <f>Return!A792</f>
        <v>44918</v>
      </c>
      <c r="B2002" s="408" t="s">
        <v>73</v>
      </c>
      <c r="C2002" s="409">
        <f>Return!Q792</f>
        <v>3.8230002416749084E-4</v>
      </c>
    </row>
    <row r="2003" spans="1:3">
      <c r="A2003" s="406">
        <f>Return!A793</f>
        <v>44917</v>
      </c>
      <c r="B2003" s="408" t="s">
        <v>73</v>
      </c>
      <c r="C2003" s="409">
        <f>Return!Q793</f>
        <v>-6.5433912834765981E-3</v>
      </c>
    </row>
    <row r="2004" spans="1:3">
      <c r="A2004" s="406">
        <f>Return!A794</f>
        <v>44916</v>
      </c>
      <c r="B2004" s="408" t="s">
        <v>73</v>
      </c>
      <c r="C2004" s="409">
        <f>Return!Q794</f>
        <v>-8.2744610314018576E-4</v>
      </c>
    </row>
    <row r="2005" spans="1:3">
      <c r="A2005" s="406">
        <f>Return!A795</f>
        <v>44915</v>
      </c>
      <c r="B2005" s="408" t="s">
        <v>73</v>
      </c>
      <c r="C2005" s="409">
        <f>Return!Q795</f>
        <v>-5.806303377169854E-3</v>
      </c>
    </row>
    <row r="2006" spans="1:3">
      <c r="A2006" s="406">
        <f>Return!A796</f>
        <v>44914</v>
      </c>
      <c r="B2006" s="408" t="s">
        <v>73</v>
      </c>
      <c r="C2006" s="409">
        <f>Return!Q796</f>
        <v>7.0998555227559752E-3</v>
      </c>
    </row>
    <row r="2007" spans="1:3">
      <c r="A2007" s="406">
        <f>Return!A797</f>
        <v>44911</v>
      </c>
      <c r="B2007" s="408" t="s">
        <v>73</v>
      </c>
      <c r="C2007" s="409">
        <f>Return!Q797</f>
        <v>-1.135509685516616E-3</v>
      </c>
    </row>
    <row r="2008" spans="1:3">
      <c r="A2008" s="406">
        <f>Return!A798</f>
        <v>44910</v>
      </c>
      <c r="B2008" s="408" t="s">
        <v>73</v>
      </c>
      <c r="C2008" s="409">
        <f>Return!Q798</f>
        <v>1.3727201484969033E-2</v>
      </c>
    </row>
    <row r="2009" spans="1:3">
      <c r="A2009" s="406">
        <f>Return!A799</f>
        <v>44909</v>
      </c>
      <c r="B2009" s="408" t="s">
        <v>73</v>
      </c>
      <c r="C2009" s="409">
        <f>Return!Q799</f>
        <v>-9.8376607889845633E-3</v>
      </c>
    </row>
    <row r="2010" spans="1:3">
      <c r="A2010" s="406">
        <f>Return!A800</f>
        <v>44908</v>
      </c>
      <c r="B2010" s="408" t="s">
        <v>73</v>
      </c>
      <c r="C2010" s="409">
        <f>Return!Q800</f>
        <v>-4.2156343429989021E-3</v>
      </c>
    </row>
    <row r="2011" spans="1:3">
      <c r="A2011" s="406">
        <f>Return!A801</f>
        <v>44907</v>
      </c>
      <c r="B2011" s="408" t="s">
        <v>73</v>
      </c>
      <c r="C2011" s="409">
        <f>Return!Q801</f>
        <v>-8.3888030443444507E-4</v>
      </c>
    </row>
    <row r="2012" spans="1:3">
      <c r="A2012" s="406">
        <f>Return!A802</f>
        <v>44904</v>
      </c>
      <c r="B2012" s="408" t="s">
        <v>73</v>
      </c>
      <c r="C2012" s="409">
        <f>Return!Q802</f>
        <v>-3.5061377821565707E-3</v>
      </c>
    </row>
    <row r="2013" spans="1:3">
      <c r="A2013" s="406">
        <f>Return!A803</f>
        <v>44903</v>
      </c>
      <c r="B2013" s="408" t="s">
        <v>73</v>
      </c>
      <c r="C2013" s="409">
        <f>Return!Q803</f>
        <v>5.1137829882214663E-3</v>
      </c>
    </row>
    <row r="2014" spans="1:3">
      <c r="A2014" s="406">
        <f>Return!A804</f>
        <v>44902</v>
      </c>
      <c r="B2014" s="408" t="s">
        <v>73</v>
      </c>
      <c r="C2014" s="409">
        <f>Return!Q804</f>
        <v>1.1366016660628933E-3</v>
      </c>
    </row>
    <row r="2015" spans="1:3">
      <c r="A2015" s="406">
        <f>Return!A805</f>
        <v>44901</v>
      </c>
      <c r="B2015" s="408" t="s">
        <v>73</v>
      </c>
      <c r="C2015" s="409">
        <f>Return!Q805</f>
        <v>-3.9408031320090631E-3</v>
      </c>
    </row>
    <row r="2016" spans="1:3">
      <c r="A2016" s="406">
        <f>Return!A806</f>
        <v>44900</v>
      </c>
      <c r="B2016" s="408" t="s">
        <v>73</v>
      </c>
      <c r="C2016" s="409">
        <f>Return!Q806</f>
        <v>-3.2686604072593807E-4</v>
      </c>
    </row>
    <row r="2017" spans="1:3">
      <c r="A2017" s="406">
        <f>Return!A807</f>
        <v>44897</v>
      </c>
      <c r="B2017" s="408" t="s">
        <v>73</v>
      </c>
      <c r="C2017" s="409">
        <f>Return!Q807</f>
        <v>-7.3342281094503897E-3</v>
      </c>
    </row>
    <row r="2018" spans="1:3">
      <c r="A2018" s="406">
        <f>Return!A808</f>
        <v>44896</v>
      </c>
      <c r="B2018" s="408" t="s">
        <v>73</v>
      </c>
      <c r="C2018" s="409">
        <f>Return!Q808</f>
        <v>-4.5950944148808034E-3</v>
      </c>
    </row>
    <row r="2019" spans="1:3">
      <c r="A2019" s="406">
        <f>Return!A809</f>
        <v>44895</v>
      </c>
      <c r="B2019" s="408" t="s">
        <v>73</v>
      </c>
      <c r="C2019" s="409">
        <f>Return!Q809</f>
        <v>8.0406627508729028E-4</v>
      </c>
    </row>
    <row r="2020" spans="1:3">
      <c r="A2020" s="406">
        <f>Return!A810</f>
        <v>44894</v>
      </c>
      <c r="B2020" s="408" t="s">
        <v>73</v>
      </c>
      <c r="C2020" s="409">
        <f>Return!Q810</f>
        <v>1.1162422774225239E-3</v>
      </c>
    </row>
    <row r="2021" spans="1:3">
      <c r="A2021" s="406">
        <f>Return!A811</f>
        <v>44893</v>
      </c>
      <c r="B2021" s="408" t="s">
        <v>73</v>
      </c>
      <c r="C2021" s="409">
        <f>Return!Q811</f>
        <v>-3.9560481644518265E-4</v>
      </c>
    </row>
    <row r="2022" spans="1:3">
      <c r="A2022" s="406">
        <f>Return!A812</f>
        <v>44890</v>
      </c>
      <c r="B2022" s="408" t="s">
        <v>73</v>
      </c>
      <c r="C2022" s="409">
        <f>Return!Q812</f>
        <v>3.4422339351223947E-3</v>
      </c>
    </row>
    <row r="2023" spans="1:3">
      <c r="A2023" s="406">
        <f>Return!A813</f>
        <v>44889</v>
      </c>
      <c r="B2023" s="408" t="s">
        <v>73</v>
      </c>
      <c r="C2023" s="409">
        <f>Return!Q813</f>
        <v>5.144051037239035E-3</v>
      </c>
    </row>
    <row r="2024" spans="1:3">
      <c r="A2024" s="406">
        <f>Return!A814</f>
        <v>44888</v>
      </c>
      <c r="B2024" s="408" t="s">
        <v>73</v>
      </c>
      <c r="C2024" s="409">
        <f>Return!Q814</f>
        <v>9.5375729708519347E-3</v>
      </c>
    </row>
    <row r="2025" spans="1:3">
      <c r="A2025" s="406">
        <f>Return!A815</f>
        <v>44887</v>
      </c>
      <c r="B2025" s="408" t="s">
        <v>73</v>
      </c>
      <c r="C2025" s="409">
        <f>Return!Q815</f>
        <v>-1.0246394665096394E-3</v>
      </c>
    </row>
    <row r="2026" spans="1:3">
      <c r="A2026" s="406">
        <f>Return!A816</f>
        <v>44886</v>
      </c>
      <c r="B2026" s="408" t="s">
        <v>73</v>
      </c>
      <c r="C2026" s="409">
        <f>Return!Q816</f>
        <v>-3.7856552190315511E-4</v>
      </c>
    </row>
    <row r="2027" spans="1:3">
      <c r="A2027" s="406">
        <f>Return!A817</f>
        <v>44883</v>
      </c>
      <c r="B2027" s="408" t="s">
        <v>73</v>
      </c>
      <c r="C2027" s="409">
        <f>Return!Q817</f>
        <v>-2.3130043475962708E-3</v>
      </c>
    </row>
    <row r="2028" spans="1:3">
      <c r="A2028" s="406">
        <f>Return!A818</f>
        <v>44882</v>
      </c>
      <c r="B2028" s="408" t="s">
        <v>73</v>
      </c>
      <c r="C2028" s="409">
        <f>Return!Q818</f>
        <v>-3.1739337728356465E-3</v>
      </c>
    </row>
    <row r="2029" spans="1:3">
      <c r="A2029" s="406">
        <f>Return!A819</f>
        <v>44881</v>
      </c>
      <c r="B2029" s="408" t="s">
        <v>73</v>
      </c>
      <c r="C2029" s="409">
        <f>Return!Q819</f>
        <v>-2.8489331092570675E-3</v>
      </c>
    </row>
    <row r="2030" spans="1:3">
      <c r="A2030" s="406">
        <f>Return!A820</f>
        <v>44880</v>
      </c>
      <c r="B2030" s="408" t="s">
        <v>73</v>
      </c>
      <c r="C2030" s="409">
        <f>Return!Q820</f>
        <v>-7.7847530981875156E-3</v>
      </c>
    </row>
    <row r="2031" spans="1:3">
      <c r="A2031" s="406">
        <f>Return!A821</f>
        <v>44879</v>
      </c>
      <c r="B2031" s="408" t="s">
        <v>73</v>
      </c>
      <c r="C2031" s="409">
        <f>Return!Q821</f>
        <v>-6.7382143458226277E-3</v>
      </c>
    </row>
    <row r="2032" spans="1:3">
      <c r="A2032" s="406">
        <f>Return!A822</f>
        <v>44876</v>
      </c>
      <c r="B2032" s="408" t="s">
        <v>73</v>
      </c>
      <c r="C2032" s="409">
        <f>Return!Q822</f>
        <v>-4.7690156143464536E-3</v>
      </c>
    </row>
    <row r="2033" spans="1:3">
      <c r="A2033" s="406">
        <f>Return!A823</f>
        <v>44875</v>
      </c>
      <c r="B2033" s="408" t="s">
        <v>73</v>
      </c>
      <c r="C2033" s="409">
        <f>Return!Q823</f>
        <v>3.3359669619371117E-3</v>
      </c>
    </row>
    <row r="2034" spans="1:3">
      <c r="A2034" s="406">
        <f>Return!A824</f>
        <v>44874</v>
      </c>
      <c r="B2034" s="408" t="s">
        <v>73</v>
      </c>
      <c r="C2034" s="409">
        <f>Return!Q824</f>
        <v>-6.7698470169374383E-3</v>
      </c>
    </row>
    <row r="2035" spans="1:3">
      <c r="A2035" s="406">
        <f>Return!A825</f>
        <v>44872</v>
      </c>
      <c r="B2035" s="408" t="s">
        <v>73</v>
      </c>
      <c r="C2035" s="409">
        <f>Return!Q825</f>
        <v>4.9880022030463845E-3</v>
      </c>
    </row>
    <row r="2036" spans="1:3">
      <c r="A2036" s="406">
        <f>Return!A826</f>
        <v>44869</v>
      </c>
      <c r="B2036" s="408" t="s">
        <v>73</v>
      </c>
      <c r="C2036" s="409">
        <f>Return!Q826</f>
        <v>-1.4358494344480765E-2</v>
      </c>
    </row>
    <row r="2037" spans="1:3">
      <c r="A2037" s="406">
        <f>Return!A827</f>
        <v>44868</v>
      </c>
      <c r="B2037" s="408" t="s">
        <v>73</v>
      </c>
      <c r="C2037" s="409">
        <f>Return!Q827</f>
        <v>-3.9551575305019401E-3</v>
      </c>
    </row>
    <row r="2038" spans="1:3">
      <c r="A2038" s="406">
        <f>Return!A828</f>
        <v>44867</v>
      </c>
      <c r="B2038" s="408" t="s">
        <v>73</v>
      </c>
      <c r="C2038" s="409">
        <f>Return!Q828</f>
        <v>-2.2062376314787094E-3</v>
      </c>
    </row>
    <row r="2039" spans="1:3">
      <c r="A2039" s="406">
        <f>Return!A829</f>
        <v>44866</v>
      </c>
      <c r="B2039" s="408" t="s">
        <v>73</v>
      </c>
      <c r="C2039" s="409">
        <f>Return!Q829</f>
        <v>-6.6565884337236522E-3</v>
      </c>
    </row>
    <row r="2040" spans="1:3">
      <c r="A2040" s="406">
        <f>Return!A830</f>
        <v>44865</v>
      </c>
      <c r="B2040" s="408" t="s">
        <v>73</v>
      </c>
      <c r="C2040" s="409">
        <f>Return!Q830</f>
        <v>-1.0414539021105812E-2</v>
      </c>
    </row>
    <row r="2041" spans="1:3">
      <c r="A2041" s="406">
        <f>Return!A831</f>
        <v>44862</v>
      </c>
      <c r="B2041" s="408" t="s">
        <v>73</v>
      </c>
      <c r="C2041" s="409">
        <f>Return!Q831</f>
        <v>-2.4419542200790198E-3</v>
      </c>
    </row>
    <row r="2042" spans="1:3">
      <c r="A2042" s="406">
        <f>Return!A832</f>
        <v>44861</v>
      </c>
      <c r="B2042" s="408" t="s">
        <v>73</v>
      </c>
      <c r="C2042" s="409">
        <f>Return!Q832</f>
        <v>1.0740837927477471E-2</v>
      </c>
    </row>
    <row r="2043" spans="1:3">
      <c r="A2043" s="406">
        <f>Return!A833</f>
        <v>44859</v>
      </c>
      <c r="B2043" s="408" t="s">
        <v>73</v>
      </c>
      <c r="C2043" s="409">
        <f>Return!Q833</f>
        <v>1.2352587633437587E-2</v>
      </c>
    </row>
    <row r="2044" spans="1:3">
      <c r="A2044" s="406">
        <f>Return!A834</f>
        <v>44858</v>
      </c>
      <c r="B2044" s="408" t="s">
        <v>73</v>
      </c>
      <c r="C2044" s="409">
        <f>Return!Q834</f>
        <v>4.9954732129905517E-3</v>
      </c>
    </row>
    <row r="2045" spans="1:3">
      <c r="A2045" s="406">
        <f>Return!A835</f>
        <v>44855</v>
      </c>
      <c r="B2045" s="408" t="s">
        <v>73</v>
      </c>
      <c r="C2045" s="409">
        <f>Return!Q835</f>
        <v>3.6109887830490439E-3</v>
      </c>
    </row>
    <row r="2046" spans="1:3">
      <c r="A2046" s="406">
        <f>Return!A836</f>
        <v>44854</v>
      </c>
      <c r="B2046" s="408" t="s">
        <v>73</v>
      </c>
      <c r="C2046" s="409">
        <f>Return!Q836</f>
        <v>1.2557292834921836E-2</v>
      </c>
    </row>
    <row r="2047" spans="1:3">
      <c r="A2047" s="406">
        <f>Return!A837</f>
        <v>44853</v>
      </c>
      <c r="B2047" s="408" t="s">
        <v>73</v>
      </c>
      <c r="C2047" s="409">
        <f>Return!Q837</f>
        <v>-3.2017815299385231E-3</v>
      </c>
    </row>
    <row r="2048" spans="1:3">
      <c r="A2048" s="406">
        <f>Return!A838</f>
        <v>44852</v>
      </c>
      <c r="B2048" s="408" t="s">
        <v>73</v>
      </c>
      <c r="C2048" s="409">
        <f>Return!Q838</f>
        <v>4.544026659054165E-3</v>
      </c>
    </row>
    <row r="2049" spans="1:3">
      <c r="A2049" s="406">
        <f>Return!A839</f>
        <v>44851</v>
      </c>
      <c r="B2049" s="408" t="s">
        <v>73</v>
      </c>
      <c r="C2049" s="409">
        <f>Return!Q839</f>
        <v>1.0143561043410958E-3</v>
      </c>
    </row>
    <row r="2050" spans="1:3">
      <c r="A2050" s="406">
        <f>Return!A840</f>
        <v>44848</v>
      </c>
      <c r="B2050" s="408" t="s">
        <v>73</v>
      </c>
      <c r="C2050" s="409">
        <f>Return!Q840</f>
        <v>5.5744839699567363E-3</v>
      </c>
    </row>
    <row r="2051" spans="1:3">
      <c r="A2051" s="406">
        <f>Return!A841</f>
        <v>44847</v>
      </c>
      <c r="B2051" s="408" t="s">
        <v>73</v>
      </c>
      <c r="C2051" s="409">
        <f>Return!Q841</f>
        <v>-4.7479900689111993E-3</v>
      </c>
    </row>
    <row r="2052" spans="1:3">
      <c r="A2052" s="406">
        <f>Return!A842</f>
        <v>44846</v>
      </c>
      <c r="B2052" s="408" t="s">
        <v>73</v>
      </c>
      <c r="C2052" s="409">
        <f>Return!Q842</f>
        <v>2.3087271603468972E-3</v>
      </c>
    </row>
    <row r="2053" spans="1:3">
      <c r="A2053" s="406">
        <f>Return!A843</f>
        <v>44845</v>
      </c>
      <c r="B2053" s="408" t="s">
        <v>73</v>
      </c>
      <c r="C2053" s="409">
        <f>Return!Q843</f>
        <v>-1.4190342730803951E-4</v>
      </c>
    </row>
    <row r="2054" spans="1:3">
      <c r="A2054" s="406">
        <f>Return!A844</f>
        <v>44844</v>
      </c>
      <c r="B2054" s="408" t="s">
        <v>73</v>
      </c>
      <c r="C2054" s="409">
        <f>Return!Q844</f>
        <v>2.9712133639792321E-3</v>
      </c>
    </row>
    <row r="2055" spans="1:3">
      <c r="A2055" s="406">
        <f>Return!A845</f>
        <v>44841</v>
      </c>
      <c r="B2055" s="408" t="s">
        <v>73</v>
      </c>
      <c r="C2055" s="409">
        <f>Return!Q845</f>
        <v>-2.4728748218559788E-4</v>
      </c>
    </row>
    <row r="2056" spans="1:3">
      <c r="A2056" s="406">
        <f>Return!A846</f>
        <v>44840</v>
      </c>
      <c r="B2056" s="408" t="s">
        <v>73</v>
      </c>
      <c r="C2056" s="409">
        <f>Return!Q846</f>
        <v>1.1534212846787462E-3</v>
      </c>
    </row>
    <row r="2057" spans="1:3">
      <c r="A2057" s="406">
        <f>Return!A847</f>
        <v>44838</v>
      </c>
      <c r="B2057" s="408" t="s">
        <v>73</v>
      </c>
      <c r="C2057" s="409">
        <f>Return!Q847</f>
        <v>-9.3470725030627977E-3</v>
      </c>
    </row>
    <row r="2058" spans="1:3">
      <c r="A2058" s="406">
        <f>Return!A848</f>
        <v>44837</v>
      </c>
      <c r="B2058" s="408" t="s">
        <v>73</v>
      </c>
      <c r="C2058" s="409">
        <f>Return!Q848</f>
        <v>3.8356431684448008E-3</v>
      </c>
    </row>
    <row r="2059" spans="1:3">
      <c r="A2059" s="406">
        <f>Return!A849</f>
        <v>44834</v>
      </c>
      <c r="B2059" s="408" t="s">
        <v>73</v>
      </c>
      <c r="C2059" s="409">
        <f>Return!Q849</f>
        <v>-7.489611465853337E-3</v>
      </c>
    </row>
    <row r="2060" spans="1:3">
      <c r="A2060" s="406">
        <f>Return!A850</f>
        <v>44833</v>
      </c>
      <c r="B2060" s="408" t="s">
        <v>73</v>
      </c>
      <c r="C2060" s="409">
        <f>Return!Q850</f>
        <v>2.7359128385334762E-3</v>
      </c>
    </row>
    <row r="2061" spans="1:3">
      <c r="A2061" s="406">
        <f>Return!A851</f>
        <v>44832</v>
      </c>
      <c r="B2061" s="408" t="s">
        <v>73</v>
      </c>
      <c r="C2061" s="409">
        <f>Return!Q851</f>
        <v>1.7649154869864774E-2</v>
      </c>
    </row>
    <row r="2062" spans="1:3">
      <c r="A2062" s="406">
        <f>Return!A852</f>
        <v>44831</v>
      </c>
      <c r="B2062" s="408" t="s">
        <v>73</v>
      </c>
      <c r="C2062" s="409">
        <f>Return!Q852</f>
        <v>-9.3275967983679035E-3</v>
      </c>
    </row>
    <row r="2063" spans="1:3">
      <c r="A2063" s="406">
        <f>Return!A853</f>
        <v>44830</v>
      </c>
      <c r="B2063" s="408" t="s">
        <v>73</v>
      </c>
      <c r="C2063" s="409">
        <f>Return!Q853</f>
        <v>1.893285527582848E-2</v>
      </c>
    </row>
    <row r="2064" spans="1:3">
      <c r="A2064" s="406">
        <f>Return!A854</f>
        <v>44827</v>
      </c>
      <c r="B2064" s="408" t="s">
        <v>73</v>
      </c>
      <c r="C2064" s="409">
        <f>Return!Q854</f>
        <v>-3.5234794978426286E-3</v>
      </c>
    </row>
    <row r="2065" spans="1:3">
      <c r="A2065" s="406">
        <f>Return!A855</f>
        <v>44826</v>
      </c>
      <c r="B2065" s="408" t="s">
        <v>73</v>
      </c>
      <c r="C2065" s="409">
        <f>Return!Q855</f>
        <v>8.232831871543474E-3</v>
      </c>
    </row>
    <row r="2066" spans="1:3">
      <c r="A2066" s="406">
        <f>Return!A856</f>
        <v>44825</v>
      </c>
      <c r="B2066" s="408" t="s">
        <v>73</v>
      </c>
      <c r="C2066" s="409">
        <f>Return!Q856</f>
        <v>1.5171910137179042E-3</v>
      </c>
    </row>
    <row r="2067" spans="1:3">
      <c r="A2067" s="406">
        <f>Return!A857</f>
        <v>44824</v>
      </c>
      <c r="B2067" s="408" t="s">
        <v>73</v>
      </c>
      <c r="C2067" s="409">
        <f>Return!Q857</f>
        <v>1.2301783599836968E-2</v>
      </c>
    </row>
    <row r="2068" spans="1:3">
      <c r="A2068" s="406">
        <f>Return!A858</f>
        <v>44823</v>
      </c>
      <c r="B2068" s="408" t="s">
        <v>73</v>
      </c>
      <c r="C2068" s="409">
        <f>Return!Q858</f>
        <v>-5.0045127014285611E-3</v>
      </c>
    </row>
    <row r="2069" spans="1:3">
      <c r="A2069" s="406">
        <f>Return!A859</f>
        <v>44820</v>
      </c>
      <c r="B2069" s="408" t="s">
        <v>73</v>
      </c>
      <c r="C2069" s="409">
        <f>Return!Q859</f>
        <v>-1.9112656877627542E-3</v>
      </c>
    </row>
    <row r="2070" spans="1:3">
      <c r="A2070" s="406">
        <f>Return!A860</f>
        <v>44819</v>
      </c>
      <c r="B2070" s="408" t="s">
        <v>73</v>
      </c>
      <c r="C2070" s="409">
        <f>Return!Q860</f>
        <v>-6.3906097527338711E-5</v>
      </c>
    </row>
    <row r="2071" spans="1:3">
      <c r="A2071" s="406">
        <f>Return!A861</f>
        <v>44818</v>
      </c>
      <c r="B2071" s="408" t="s">
        <v>73</v>
      </c>
      <c r="C2071" s="409">
        <f>Return!Q861</f>
        <v>4.7074393402238204E-4</v>
      </c>
    </row>
    <row r="2072" spans="1:3">
      <c r="A2072" s="406">
        <f>Return!A862</f>
        <v>44817</v>
      </c>
      <c r="B2072" s="408" t="s">
        <v>73</v>
      </c>
      <c r="C2072" s="409">
        <f>Return!Q862</f>
        <v>1.2170936175788511E-2</v>
      </c>
    </row>
    <row r="2073" spans="1:3">
      <c r="A2073" s="406">
        <f>Return!A863</f>
        <v>44816</v>
      </c>
      <c r="B2073" s="408" t="s">
        <v>73</v>
      </c>
      <c r="C2073" s="409">
        <f>Return!Q863</f>
        <v>-7.6717603819061557E-3</v>
      </c>
    </row>
    <row r="2074" spans="1:3">
      <c r="A2074" s="406">
        <f>Return!A864</f>
        <v>44813</v>
      </c>
      <c r="B2074" s="408" t="s">
        <v>73</v>
      </c>
      <c r="C2074" s="409">
        <f>Return!Q864</f>
        <v>-2.0541228921650604E-3</v>
      </c>
    </row>
    <row r="2075" spans="1:3">
      <c r="A2075" s="406">
        <f>Return!A865</f>
        <v>44812</v>
      </c>
      <c r="B2075" s="408" t="s">
        <v>73</v>
      </c>
      <c r="C2075" s="409">
        <f>Return!Q865</f>
        <v>-4.4938048023508443E-3</v>
      </c>
    </row>
    <row r="2076" spans="1:3">
      <c r="A2076" s="406">
        <f>Return!A866</f>
        <v>44811</v>
      </c>
      <c r="B2076" s="408" t="s">
        <v>73</v>
      </c>
      <c r="C2076" s="409">
        <f>Return!Q866</f>
        <v>-3.4908534814264412E-4</v>
      </c>
    </row>
    <row r="2077" spans="1:3">
      <c r="A2077" s="406">
        <f>Return!A867</f>
        <v>44810</v>
      </c>
      <c r="B2077" s="408" t="s">
        <v>73</v>
      </c>
      <c r="C2077" s="409">
        <f>Return!Q867</f>
        <v>-5.0161181721710855E-4</v>
      </c>
    </row>
    <row r="2078" spans="1:3">
      <c r="A2078" s="406">
        <f>Return!A868</f>
        <v>44809</v>
      </c>
      <c r="B2078" s="408" t="s">
        <v>73</v>
      </c>
      <c r="C2078" s="409">
        <f>Return!Q868</f>
        <v>3.6090650673200027E-3</v>
      </c>
    </row>
    <row r="2079" spans="1:3">
      <c r="A2079" s="406">
        <f>Return!A869</f>
        <v>44806</v>
      </c>
      <c r="B2079" s="408" t="s">
        <v>73</v>
      </c>
      <c r="C2079" s="409">
        <f>Return!Q869</f>
        <v>-7.0470106935465479E-4</v>
      </c>
    </row>
    <row r="2080" spans="1:3">
      <c r="A2080" s="406">
        <f>Return!A870</f>
        <v>44805</v>
      </c>
      <c r="B2080" s="408" t="s">
        <v>73</v>
      </c>
      <c r="C2080" s="409">
        <f>Return!Q870</f>
        <v>-1.6016984504123441E-4</v>
      </c>
    </row>
    <row r="2081" spans="1:3">
      <c r="A2081" s="406">
        <f>Return!A871</f>
        <v>44803</v>
      </c>
      <c r="B2081" s="408" t="s">
        <v>73</v>
      </c>
      <c r="C2081" s="409">
        <f>Return!Q871</f>
        <v>5.3921825453061402E-3</v>
      </c>
    </row>
    <row r="2082" spans="1:3">
      <c r="A2082" s="406">
        <f>Return!A872</f>
        <v>44802</v>
      </c>
      <c r="B2082" s="408" t="s">
        <v>73</v>
      </c>
      <c r="C2082" s="409">
        <f>Return!Q872</f>
        <v>1.2602523160041676E-3</v>
      </c>
    </row>
    <row r="2083" spans="1:3">
      <c r="A2083" s="406">
        <f>Return!A873</f>
        <v>44799</v>
      </c>
      <c r="B2083" s="408" t="s">
        <v>73</v>
      </c>
      <c r="C2083" s="409">
        <f>Return!Q873</f>
        <v>2.542136291802929E-3</v>
      </c>
    </row>
    <row r="2084" spans="1:3">
      <c r="A2084" s="406">
        <f>Return!A874</f>
        <v>44798</v>
      </c>
      <c r="B2084" s="408" t="s">
        <v>73</v>
      </c>
      <c r="C2084" s="409">
        <f>Return!Q874</f>
        <v>-4.3447180537553396E-3</v>
      </c>
    </row>
    <row r="2085" spans="1:3">
      <c r="A2085" s="406">
        <f>Return!A875</f>
        <v>44797</v>
      </c>
      <c r="B2085" s="408" t="s">
        <v>73</v>
      </c>
      <c r="C2085" s="409">
        <f>Return!Q875</f>
        <v>2.652900959786768E-3</v>
      </c>
    </row>
    <row r="2086" spans="1:3">
      <c r="A2086" s="406">
        <f>Return!A876</f>
        <v>44796</v>
      </c>
      <c r="B2086" s="408" t="s">
        <v>73</v>
      </c>
      <c r="C2086" s="409">
        <f>Return!Q876</f>
        <v>3.4691185674890139E-3</v>
      </c>
    </row>
    <row r="2087" spans="1:3">
      <c r="A2087" s="406">
        <f>Return!A877</f>
        <v>44795</v>
      </c>
      <c r="B2087" s="408" t="s">
        <v>73</v>
      </c>
      <c r="C2087" s="409">
        <f>Return!Q877</f>
        <v>-5.6711784713996917E-3</v>
      </c>
    </row>
    <row r="2088" spans="1:3">
      <c r="A2088" s="406">
        <f>Return!A878</f>
        <v>44792</v>
      </c>
      <c r="B2088" s="408" t="s">
        <v>73</v>
      </c>
      <c r="C2088" s="409">
        <f>Return!Q878</f>
        <v>-5.7369389808184176E-4</v>
      </c>
    </row>
    <row r="2089" spans="1:3">
      <c r="A2089" s="406">
        <f>Return!A879</f>
        <v>44791</v>
      </c>
      <c r="B2089" s="408" t="s">
        <v>73</v>
      </c>
      <c r="C2089" s="409">
        <f>Return!Q879</f>
        <v>-6.1731716189112086E-3</v>
      </c>
    </row>
    <row r="2090" spans="1:3">
      <c r="A2090" s="406">
        <f>Return!A880</f>
        <v>44790</v>
      </c>
      <c r="B2090" s="408" t="s">
        <v>73</v>
      </c>
      <c r="C2090" s="409">
        <f>Return!Q880</f>
        <v>-1.9139533208453964E-3</v>
      </c>
    </row>
    <row r="2091" spans="1:3">
      <c r="A2091" s="406">
        <f>Return!A881</f>
        <v>44789</v>
      </c>
      <c r="B2091" s="408" t="s">
        <v>73</v>
      </c>
      <c r="C2091" s="409">
        <f>Return!Q881</f>
        <v>1.0401566198754391E-2</v>
      </c>
    </row>
    <row r="2092" spans="1:3">
      <c r="A2092" s="406">
        <f>Return!A882</f>
        <v>44785</v>
      </c>
      <c r="B2092" s="408" t="s">
        <v>73</v>
      </c>
      <c r="C2092" s="409">
        <f>Return!Q882</f>
        <v>-5.4518560267687562E-3</v>
      </c>
    </row>
    <row r="2093" spans="1:3">
      <c r="A2093" s="406">
        <f>Return!A883</f>
        <v>44784</v>
      </c>
      <c r="B2093" s="408" t="s">
        <v>73</v>
      </c>
      <c r="C2093" s="409">
        <f>Return!Q883</f>
        <v>-3.5116957515779522E-4</v>
      </c>
    </row>
    <row r="2094" spans="1:3">
      <c r="A2094" s="406">
        <f>Return!A884</f>
        <v>44783</v>
      </c>
      <c r="B2094" s="408" t="s">
        <v>73</v>
      </c>
      <c r="C2094" s="409">
        <f>Return!Q884</f>
        <v>-7.8827656138302192E-3</v>
      </c>
    </row>
    <row r="2095" spans="1:3">
      <c r="A2095" s="406">
        <f>Return!A885</f>
        <v>44781</v>
      </c>
      <c r="B2095" s="408" t="s">
        <v>73</v>
      </c>
      <c r="C2095" s="409">
        <f>Return!Q885</f>
        <v>-2.3250279962218224E-3</v>
      </c>
    </row>
    <row r="2096" spans="1:3">
      <c r="A2096" s="406">
        <f>Return!A886</f>
        <v>44778</v>
      </c>
      <c r="B2096" s="408" t="s">
        <v>73</v>
      </c>
      <c r="C2096" s="409">
        <f>Return!Q886</f>
        <v>-9.2524616745618348E-4</v>
      </c>
    </row>
    <row r="2097" spans="1:3">
      <c r="A2097" s="406">
        <f>Return!A887</f>
        <v>44777</v>
      </c>
      <c r="B2097" s="408" t="s">
        <v>73</v>
      </c>
      <c r="C2097" s="409">
        <f>Return!Q887</f>
        <v>5.6572211818182675E-3</v>
      </c>
    </row>
    <row r="2098" spans="1:3">
      <c r="A2098" s="406">
        <f>Return!A888</f>
        <v>44776</v>
      </c>
      <c r="B2098" s="408" t="s">
        <v>73</v>
      </c>
      <c r="C2098" s="409">
        <f>Return!Q888</f>
        <v>3.0002715950812075E-3</v>
      </c>
    </row>
    <row r="2099" spans="1:3">
      <c r="A2099" s="406">
        <f>Return!A889</f>
        <v>44775</v>
      </c>
      <c r="B2099" s="408" t="s">
        <v>73</v>
      </c>
      <c r="C2099" s="409">
        <f>Return!Q889</f>
        <v>-1.0559911910329223E-2</v>
      </c>
    </row>
    <row r="2100" spans="1:3">
      <c r="A2100" s="406">
        <f>Return!A890</f>
        <v>44774</v>
      </c>
      <c r="B2100" s="408" t="s">
        <v>73</v>
      </c>
      <c r="C2100" s="409">
        <f>Return!Q890</f>
        <v>4.1413917302546436E-3</v>
      </c>
    </row>
    <row r="2101" spans="1:3">
      <c r="A2101" s="406">
        <f>Return!A891</f>
        <v>44771</v>
      </c>
      <c r="B2101" s="408" t="s">
        <v>73</v>
      </c>
      <c r="C2101" s="409">
        <f>Return!Q891</f>
        <v>3.0322602340268315E-3</v>
      </c>
    </row>
    <row r="2102" spans="1:3">
      <c r="A2102" s="406">
        <f>Return!A892</f>
        <v>44770</v>
      </c>
      <c r="B2102" s="408" t="s">
        <v>73</v>
      </c>
      <c r="C2102" s="409">
        <f>Return!Q892</f>
        <v>-3.6668133864658468E-3</v>
      </c>
    </row>
    <row r="2103" spans="1:3">
      <c r="A2103" s="406">
        <f>Return!A893</f>
        <v>44769</v>
      </c>
      <c r="B2103" s="408" t="s">
        <v>73</v>
      </c>
      <c r="C2103" s="409">
        <f>Return!Q893</f>
        <v>1.6413401454309719E-2</v>
      </c>
    </row>
    <row r="2104" spans="1:3">
      <c r="A2104" s="406">
        <f>Return!A894</f>
        <v>44768</v>
      </c>
      <c r="B2104" s="408" t="s">
        <v>73</v>
      </c>
      <c r="C2104" s="409">
        <f>Return!Q894</f>
        <v>-8.0571665062092856E-3</v>
      </c>
    </row>
    <row r="2105" spans="1:3">
      <c r="A2105" s="406">
        <f>Return!A895</f>
        <v>44767</v>
      </c>
      <c r="B2105" s="408" t="s">
        <v>73</v>
      </c>
      <c r="C2105" s="409">
        <f>Return!Q895</f>
        <v>6.5539577989819084E-3</v>
      </c>
    </row>
    <row r="2106" spans="1:3">
      <c r="A2106" s="406">
        <f>Return!A896</f>
        <v>44764</v>
      </c>
      <c r="B2106" s="408" t="s">
        <v>73</v>
      </c>
      <c r="C2106" s="409">
        <f>Return!Q896</f>
        <v>4.5842341329322637E-3</v>
      </c>
    </row>
    <row r="2107" spans="1:3">
      <c r="A2107" s="406">
        <f>Return!A897</f>
        <v>44763</v>
      </c>
      <c r="B2107" s="408" t="s">
        <v>73</v>
      </c>
      <c r="C2107" s="409">
        <f>Return!Q897</f>
        <v>-3.2068694151846005E-3</v>
      </c>
    </row>
    <row r="2108" spans="1:3">
      <c r="A2108" s="406">
        <f>Return!A898</f>
        <v>44762</v>
      </c>
      <c r="B2108" s="408" t="s">
        <v>73</v>
      </c>
      <c r="C2108" s="409">
        <f>Return!Q898</f>
        <v>4.7088577982398192E-3</v>
      </c>
    </row>
    <row r="2109" spans="1:3">
      <c r="A2109" s="406">
        <f>Return!A899</f>
        <v>44761</v>
      </c>
      <c r="B2109" s="408" t="s">
        <v>73</v>
      </c>
      <c r="C2109" s="409">
        <f>Return!Q899</f>
        <v>6.5915911322194714E-3</v>
      </c>
    </row>
    <row r="2110" spans="1:3">
      <c r="A2110" s="406">
        <f>Return!A900</f>
        <v>44760</v>
      </c>
      <c r="B2110" s="408" t="s">
        <v>73</v>
      </c>
      <c r="C2110" s="409">
        <f>Return!Q900</f>
        <v>-1.4507955411298415E-2</v>
      </c>
    </row>
    <row r="2111" spans="1:3">
      <c r="A2111" s="406">
        <f>Return!A901</f>
        <v>44757</v>
      </c>
      <c r="B2111" s="408" t="s">
        <v>73</v>
      </c>
      <c r="C2111" s="409">
        <f>Return!Q901</f>
        <v>1.095423868037299E-4</v>
      </c>
    </row>
    <row r="2112" spans="1:3">
      <c r="A2112" s="406">
        <f>Return!A902</f>
        <v>44756</v>
      </c>
      <c r="B2112" s="408" t="s">
        <v>73</v>
      </c>
      <c r="C2112" s="409">
        <f>Return!Q902</f>
        <v>7.7422480229367291E-4</v>
      </c>
    </row>
    <row r="2113" spans="1:3">
      <c r="A2113" s="406">
        <f>Return!A903</f>
        <v>44755</v>
      </c>
      <c r="B2113" s="408" t="s">
        <v>73</v>
      </c>
      <c r="C2113" s="409">
        <f>Return!Q903</f>
        <v>-3.1235805282540307E-3</v>
      </c>
    </row>
    <row r="2114" spans="1:3">
      <c r="A2114" s="406">
        <f>Return!A904</f>
        <v>44754</v>
      </c>
      <c r="B2114" s="408" t="s">
        <v>73</v>
      </c>
      <c r="C2114" s="409">
        <f>Return!Q904</f>
        <v>-3.8585588074737925E-3</v>
      </c>
    </row>
    <row r="2115" spans="1:3">
      <c r="A2115" s="406">
        <f>Return!A905</f>
        <v>44753</v>
      </c>
      <c r="B2115" s="408" t="s">
        <v>73</v>
      </c>
      <c r="C2115" s="409">
        <f>Return!Q905</f>
        <v>4.3631508471243356E-3</v>
      </c>
    </row>
    <row r="2116" spans="1:3">
      <c r="A2116" s="406">
        <f>Return!A906</f>
        <v>44750</v>
      </c>
      <c r="B2116" s="408" t="s">
        <v>73</v>
      </c>
      <c r="C2116" s="409">
        <f>Return!Q906</f>
        <v>5.0355116685038342E-5</v>
      </c>
    </row>
    <row r="2117" spans="1:3">
      <c r="A2117" s="406">
        <f>Return!A907</f>
        <v>44749</v>
      </c>
      <c r="B2117" s="408" t="s">
        <v>73</v>
      </c>
      <c r="C2117" s="409">
        <f>Return!Q907</f>
        <v>3.5005907105348098E-3</v>
      </c>
    </row>
    <row r="2118" spans="1:3">
      <c r="A2118" s="406">
        <f>Return!A908</f>
        <v>44748</v>
      </c>
      <c r="B2118" s="408" t="s">
        <v>73</v>
      </c>
      <c r="C2118" s="409">
        <f>Return!Q908</f>
        <v>-1.0864531157187144E-3</v>
      </c>
    </row>
    <row r="2119" spans="1:3">
      <c r="A2119" s="406">
        <f>Return!A909</f>
        <v>44747</v>
      </c>
      <c r="B2119" s="408" t="s">
        <v>73</v>
      </c>
      <c r="C2119" s="409">
        <f>Return!Q909</f>
        <v>2.0337647196361931E-3</v>
      </c>
    </row>
    <row r="2120" spans="1:3">
      <c r="A2120" s="406">
        <f>Return!A910</f>
        <v>44746</v>
      </c>
      <c r="B2120" s="408" t="s">
        <v>73</v>
      </c>
      <c r="C2120" s="409">
        <f>Return!Q910</f>
        <v>8.8688996055206418E-3</v>
      </c>
    </row>
    <row r="2121" spans="1:3">
      <c r="A2121" s="406">
        <f>Return!A911</f>
        <v>44743</v>
      </c>
      <c r="B2121" s="408" t="s">
        <v>73</v>
      </c>
      <c r="C2121" s="409">
        <f>Return!Q911</f>
        <v>-2.5377849596422159E-3</v>
      </c>
    </row>
    <row r="2122" spans="1:3">
      <c r="A2122" s="406">
        <f>Return!A912</f>
        <v>44742</v>
      </c>
      <c r="B2122" s="408" t="s">
        <v>73</v>
      </c>
      <c r="C2122" s="409">
        <f>Return!Q912</f>
        <v>1.0178185506867792E-2</v>
      </c>
    </row>
    <row r="2123" spans="1:3">
      <c r="A2123" s="406">
        <f>Return!A913</f>
        <v>44741</v>
      </c>
      <c r="B2123" s="408" t="s">
        <v>73</v>
      </c>
      <c r="C2123" s="409">
        <f>Return!Q913</f>
        <v>-2.5249116695934024E-2</v>
      </c>
    </row>
    <row r="2124" spans="1:3">
      <c r="A2124" s="406">
        <f>Return!A914</f>
        <v>44740</v>
      </c>
      <c r="B2124" s="408" t="s">
        <v>73</v>
      </c>
      <c r="C2124" s="409">
        <f>Return!Q914</f>
        <v>5.6523697519093022E-3</v>
      </c>
    </row>
    <row r="2125" spans="1:3">
      <c r="A2125" s="406">
        <f>Return!A915</f>
        <v>44739</v>
      </c>
      <c r="B2125" s="408" t="s">
        <v>73</v>
      </c>
      <c r="C2125" s="409">
        <f>Return!Q915</f>
        <v>4.9461868745949017E-3</v>
      </c>
    </row>
    <row r="2126" spans="1:3">
      <c r="A2126" s="406">
        <f>Return!A916</f>
        <v>44736</v>
      </c>
      <c r="B2126" s="408" t="s">
        <v>73</v>
      </c>
      <c r="C2126" s="409">
        <f>Return!Q916</f>
        <v>3.0276085175357033E-3</v>
      </c>
    </row>
    <row r="2127" spans="1:3">
      <c r="A2127" s="406">
        <f>Return!A917</f>
        <v>44735</v>
      </c>
      <c r="B2127" s="408" t="s">
        <v>73</v>
      </c>
      <c r="C2127" s="409">
        <f>Return!Q917</f>
        <v>3.3312513679180479E-3</v>
      </c>
    </row>
    <row r="2128" spans="1:3">
      <c r="A2128" s="406">
        <f>Return!A918</f>
        <v>44734</v>
      </c>
      <c r="B2128" s="408" t="s">
        <v>73</v>
      </c>
      <c r="C2128" s="409">
        <f>Return!Q918</f>
        <v>3.0752412750823877E-3</v>
      </c>
    </row>
    <row r="2129" spans="1:3">
      <c r="A2129" s="406">
        <f>Return!A919</f>
        <v>44733</v>
      </c>
      <c r="B2129" s="408" t="s">
        <v>73</v>
      </c>
      <c r="C2129" s="409">
        <f>Return!Q919</f>
        <v>4.57811239929546E-3</v>
      </c>
    </row>
    <row r="2130" spans="1:3">
      <c r="A2130" s="406">
        <f>Return!A920</f>
        <v>44732</v>
      </c>
      <c r="B2130" s="408" t="s">
        <v>73</v>
      </c>
      <c r="C2130" s="409">
        <f>Return!Q920</f>
        <v>-1.0087797689902722E-4</v>
      </c>
    </row>
    <row r="2131" spans="1:3">
      <c r="A2131" s="406">
        <f>Return!A921</f>
        <v>44729</v>
      </c>
      <c r="B2131" s="408" t="s">
        <v>73</v>
      </c>
      <c r="C2131" s="409">
        <f>Return!Q921</f>
        <v>-1.7294489717999822E-4</v>
      </c>
    </row>
    <row r="2132" spans="1:3">
      <c r="A2132" s="406">
        <f>Return!A922</f>
        <v>44728</v>
      </c>
      <c r="B2132" s="408" t="s">
        <v>73</v>
      </c>
      <c r="C2132" s="409">
        <f>Return!Q922</f>
        <v>-6.9418060949695461E-3</v>
      </c>
    </row>
    <row r="2133" spans="1:3">
      <c r="A2133" s="406">
        <f>Return!A923</f>
        <v>44727</v>
      </c>
      <c r="B2133" s="408" t="s">
        <v>73</v>
      </c>
      <c r="C2133" s="409">
        <f>Return!Q923</f>
        <v>2.778926449960042E-3</v>
      </c>
    </row>
    <row r="2134" spans="1:3">
      <c r="A2134" s="406">
        <f>Return!A924</f>
        <v>44726</v>
      </c>
      <c r="B2134" s="408" t="s">
        <v>73</v>
      </c>
      <c r="C2134" s="409">
        <f>Return!Q924</f>
        <v>2.166853160445072E-3</v>
      </c>
    </row>
    <row r="2135" spans="1:3">
      <c r="A2135" s="406">
        <f>Return!A925</f>
        <v>44725</v>
      </c>
      <c r="B2135" s="408" t="s">
        <v>73</v>
      </c>
      <c r="C2135" s="409">
        <f>Return!Q925</f>
        <v>-6.4221818199242048E-3</v>
      </c>
    </row>
    <row r="2136" spans="1:3">
      <c r="A2136" s="406">
        <f>Return!A926</f>
        <v>44722</v>
      </c>
      <c r="B2136" s="408" t="s">
        <v>73</v>
      </c>
      <c r="C2136" s="409">
        <f>Return!Q926</f>
        <v>1.6052756732947589E-2</v>
      </c>
    </row>
    <row r="2137" spans="1:3">
      <c r="A2137" s="406">
        <f>Return!A927</f>
        <v>44721</v>
      </c>
      <c r="B2137" s="408" t="s">
        <v>73</v>
      </c>
      <c r="C2137" s="409">
        <f>Return!Q927</f>
        <v>-4.3600974541883176E-4</v>
      </c>
    </row>
    <row r="2138" spans="1:3">
      <c r="A2138" s="406">
        <f>Return!A928</f>
        <v>44720</v>
      </c>
      <c r="B2138" s="408" t="s">
        <v>73</v>
      </c>
      <c r="C2138" s="409">
        <f>Return!Q928</f>
        <v>-4.1241694768794452E-3</v>
      </c>
    </row>
    <row r="2139" spans="1:3">
      <c r="A2139" s="406">
        <f>Return!A929</f>
        <v>44719</v>
      </c>
      <c r="B2139" s="408" t="s">
        <v>73</v>
      </c>
      <c r="C2139" s="409">
        <f>Return!Q929</f>
        <v>-6.2557358373023482E-3</v>
      </c>
    </row>
    <row r="2140" spans="1:3">
      <c r="A2140" s="406">
        <f>Return!A930</f>
        <v>44718</v>
      </c>
      <c r="B2140" s="408" t="s">
        <v>73</v>
      </c>
      <c r="C2140" s="409">
        <f>Return!Q930</f>
        <v>-5.2909586200100044E-3</v>
      </c>
    </row>
    <row r="2141" spans="1:3">
      <c r="A2141" s="406">
        <f>Return!A931</f>
        <v>44715</v>
      </c>
      <c r="B2141" s="408" t="s">
        <v>73</v>
      </c>
      <c r="C2141" s="409">
        <f>Return!Q931</f>
        <v>-1.1133365737694772E-5</v>
      </c>
    </row>
    <row r="2142" spans="1:3">
      <c r="A2142" s="406">
        <f>Return!A932</f>
        <v>44714</v>
      </c>
      <c r="B2142" s="408" t="s">
        <v>73</v>
      </c>
      <c r="C2142" s="409">
        <f>Return!Q932</f>
        <v>-3.9931076496515306E-3</v>
      </c>
    </row>
    <row r="2143" spans="1:3">
      <c r="A2143" s="406">
        <f>Return!A933</f>
        <v>44713</v>
      </c>
      <c r="B2143" s="408" t="s">
        <v>73</v>
      </c>
      <c r="C2143" s="409">
        <f>Return!Q933</f>
        <v>2.1014990306325964E-3</v>
      </c>
    </row>
    <row r="2144" spans="1:3">
      <c r="A2144" s="406">
        <f>Return!A934</f>
        <v>44712</v>
      </c>
      <c r="B2144" s="408" t="s">
        <v>73</v>
      </c>
      <c r="C2144" s="409">
        <f>Return!Q934</f>
        <v>4.872132812743216E-3</v>
      </c>
    </row>
    <row r="2145" spans="1:3">
      <c r="A2145" s="406">
        <f>Return!A935</f>
        <v>44711</v>
      </c>
      <c r="B2145" s="408" t="s">
        <v>73</v>
      </c>
      <c r="C2145" s="409">
        <f>Return!Q935</f>
        <v>5.8380024003935709E-3</v>
      </c>
    </row>
    <row r="2146" spans="1:3">
      <c r="A2146" s="406">
        <f>Return!A936</f>
        <v>44708</v>
      </c>
      <c r="B2146" s="408" t="s">
        <v>73</v>
      </c>
      <c r="C2146" s="409">
        <f>Return!Q936</f>
        <v>-5.5287711401397488E-3</v>
      </c>
    </row>
    <row r="2147" spans="1:3">
      <c r="A2147" s="406">
        <f>Return!A937</f>
        <v>44707</v>
      </c>
      <c r="B2147" s="408" t="s">
        <v>73</v>
      </c>
      <c r="C2147" s="409">
        <f>Return!Q937</f>
        <v>-7.0634278730062937E-3</v>
      </c>
    </row>
    <row r="2148" spans="1:3">
      <c r="A2148" s="406">
        <f>Return!A938</f>
        <v>44706</v>
      </c>
      <c r="B2148" s="408" t="s">
        <v>73</v>
      </c>
      <c r="C2148" s="409">
        <f>Return!Q938</f>
        <v>-2.2380906967381813E-3</v>
      </c>
    </row>
    <row r="2149" spans="1:3">
      <c r="A2149" s="406">
        <f>Return!A939</f>
        <v>44705</v>
      </c>
      <c r="B2149" s="408" t="s">
        <v>73</v>
      </c>
      <c r="C2149" s="409">
        <f>Return!Q939</f>
        <v>7.7283103159735377E-3</v>
      </c>
    </row>
    <row r="2150" spans="1:3">
      <c r="A2150" s="406">
        <f>Return!A940</f>
        <v>44704</v>
      </c>
      <c r="B2150" s="408" t="s">
        <v>73</v>
      </c>
      <c r="C2150" s="409">
        <f>Return!Q940</f>
        <v>-4.8350067754436531E-3</v>
      </c>
    </row>
    <row r="2151" spans="1:3">
      <c r="A2151" s="406">
        <f>Return!A941</f>
        <v>44701</v>
      </c>
      <c r="B2151" s="408" t="s">
        <v>73</v>
      </c>
      <c r="C2151" s="409">
        <f>Return!Q941</f>
        <v>6.0471077147776437E-3</v>
      </c>
    </row>
    <row r="2152" spans="1:3">
      <c r="A2152" s="406">
        <f>Return!A942</f>
        <v>44700</v>
      </c>
      <c r="B2152" s="408" t="s">
        <v>73</v>
      </c>
      <c r="C2152" s="409">
        <f>Return!Q942</f>
        <v>-4.8837415487882445E-3</v>
      </c>
    </row>
    <row r="2153" spans="1:3">
      <c r="A2153" s="406">
        <f>Return!A943</f>
        <v>44699</v>
      </c>
      <c r="B2153" s="408" t="s">
        <v>73</v>
      </c>
      <c r="C2153" s="409">
        <f>Return!Q943</f>
        <v>3.1507272373625115E-3</v>
      </c>
    </row>
    <row r="2154" spans="1:3">
      <c r="A2154" s="406">
        <f>Return!A944</f>
        <v>44698</v>
      </c>
      <c r="B2154" s="408" t="s">
        <v>73</v>
      </c>
      <c r="C2154" s="409">
        <f>Return!Q944</f>
        <v>2.1306280322664406E-2</v>
      </c>
    </row>
    <row r="2155" spans="1:3">
      <c r="A2155" s="406">
        <f>Return!A945</f>
        <v>44697</v>
      </c>
      <c r="B2155" s="408" t="s">
        <v>73</v>
      </c>
      <c r="C2155" s="409">
        <f>Return!Q945</f>
        <v>-2.2110513904615597E-3</v>
      </c>
    </row>
    <row r="2156" spans="1:3">
      <c r="A2156" s="406">
        <f>Return!A946</f>
        <v>44694</v>
      </c>
      <c r="B2156" s="408" t="s">
        <v>73</v>
      </c>
      <c r="C2156" s="409">
        <f>Return!Q946</f>
        <v>-9.561347313569047E-3</v>
      </c>
    </row>
    <row r="2157" spans="1:3">
      <c r="A2157" s="406">
        <f>Return!A947</f>
        <v>44693</v>
      </c>
      <c r="B2157" s="408" t="s">
        <v>73</v>
      </c>
      <c r="C2157" s="409">
        <f>Return!Q947</f>
        <v>-3.9541197160270318E-3</v>
      </c>
    </row>
    <row r="2158" spans="1:3">
      <c r="A2158" s="406">
        <f>Return!A948</f>
        <v>44692</v>
      </c>
      <c r="B2158" s="408" t="s">
        <v>73</v>
      </c>
      <c r="C2158" s="409">
        <f>Return!Q948</f>
        <v>1.9754767777504706E-2</v>
      </c>
    </row>
    <row r="2159" spans="1:3">
      <c r="A2159" s="406">
        <f>Return!A949</f>
        <v>44691</v>
      </c>
      <c r="B2159" s="408" t="s">
        <v>73</v>
      </c>
      <c r="C2159" s="409">
        <f>Return!Q949</f>
        <v>-2.0393236813366016E-2</v>
      </c>
    </row>
    <row r="2160" spans="1:3">
      <c r="A2160" s="406">
        <f>Return!A950</f>
        <v>44690</v>
      </c>
      <c r="B2160" s="408" t="s">
        <v>73</v>
      </c>
      <c r="C2160" s="409">
        <f>Return!Q950</f>
        <v>1.0535280096122729E-2</v>
      </c>
    </row>
    <row r="2161" spans="1:3">
      <c r="A2161" s="406">
        <f>Return!A951</f>
        <v>44687</v>
      </c>
      <c r="B2161" s="408" t="s">
        <v>73</v>
      </c>
      <c r="C2161" s="409">
        <f>Return!Q951</f>
        <v>-8.0837760473253008E-3</v>
      </c>
    </row>
    <row r="2162" spans="1:3">
      <c r="A2162" s="406">
        <f>Return!A952</f>
        <v>44686</v>
      </c>
      <c r="B2162" s="408" t="s">
        <v>73</v>
      </c>
      <c r="C2162" s="409">
        <f>Return!Q952</f>
        <v>-1.5692490555940942E-3</v>
      </c>
    </row>
    <row r="2163" spans="1:3">
      <c r="A2163" s="406">
        <f>Return!A953</f>
        <v>44685</v>
      </c>
      <c r="B2163" s="408" t="s">
        <v>73</v>
      </c>
      <c r="C2163" s="409">
        <f>Return!Q953</f>
        <v>-1.8589530743275586E-3</v>
      </c>
    </row>
    <row r="2164" spans="1:3">
      <c r="A2164" s="406">
        <f>Return!A954</f>
        <v>44683</v>
      </c>
      <c r="B2164" s="408" t="s">
        <v>73</v>
      </c>
      <c r="C2164" s="409">
        <f>Return!Q954</f>
        <v>-9.8378660866680519E-3</v>
      </c>
    </row>
    <row r="2165" spans="1:3">
      <c r="A2165" s="406">
        <f>Return!A955</f>
        <v>44680</v>
      </c>
      <c r="B2165" s="408" t="s">
        <v>73</v>
      </c>
      <c r="C2165" s="409">
        <f>Return!Q955</f>
        <v>-5.9887593873804313E-3</v>
      </c>
    </row>
    <row r="2166" spans="1:3">
      <c r="A2166" s="406">
        <f>Return!A956</f>
        <v>44679</v>
      </c>
      <c r="B2166" s="408" t="s">
        <v>73</v>
      </c>
      <c r="C2166" s="409">
        <f>Return!Q956</f>
        <v>-6.0636596160969381E-3</v>
      </c>
    </row>
    <row r="2167" spans="1:3">
      <c r="A2167" s="406">
        <f>Return!A957</f>
        <v>44678</v>
      </c>
      <c r="B2167" s="408" t="s">
        <v>73</v>
      </c>
      <c r="C2167" s="409">
        <f>Return!Q957</f>
        <v>-3.0372220706891728E-3</v>
      </c>
    </row>
    <row r="2168" spans="1:3">
      <c r="A2168" s="406">
        <f>Return!A958</f>
        <v>44677</v>
      </c>
      <c r="B2168" s="408" t="s">
        <v>73</v>
      </c>
      <c r="C2168" s="409">
        <f>Return!Q958</f>
        <v>1.1805144632617435E-3</v>
      </c>
    </row>
    <row r="2169" spans="1:3">
      <c r="A2169" s="406">
        <f>Return!A959</f>
        <v>44676</v>
      </c>
      <c r="B2169" s="408" t="s">
        <v>73</v>
      </c>
      <c r="C2169" s="409">
        <f>Return!Q959</f>
        <v>-5.001682308199887E-3</v>
      </c>
    </row>
    <row r="2170" spans="1:3">
      <c r="A2170" s="406">
        <f>Return!A960</f>
        <v>44673</v>
      </c>
      <c r="B2170" s="408" t="s">
        <v>73</v>
      </c>
      <c r="C2170" s="409">
        <f>Return!Q960</f>
        <v>-2.1006974432478974E-2</v>
      </c>
    </row>
    <row r="2171" spans="1:3">
      <c r="A2171" s="406">
        <f>Return!A961</f>
        <v>44672</v>
      </c>
      <c r="B2171" s="408" t="s">
        <v>73</v>
      </c>
      <c r="C2171" s="409">
        <f>Return!Q961</f>
        <v>1.3765270569412098E-3</v>
      </c>
    </row>
    <row r="2172" spans="1:3">
      <c r="A2172" s="406">
        <f>Return!A962</f>
        <v>44671</v>
      </c>
      <c r="B2172" s="408" t="s">
        <v>73</v>
      </c>
      <c r="C2172" s="409">
        <f>Return!Q962</f>
        <v>-5.2216899950510778E-3</v>
      </c>
    </row>
    <row r="2173" spans="1:3">
      <c r="A2173" s="406">
        <f>Return!A963</f>
        <v>44670</v>
      </c>
      <c r="B2173" s="408" t="s">
        <v>73</v>
      </c>
      <c r="C2173" s="409">
        <f>Return!Q963</f>
        <v>-1.5125799803750301E-3</v>
      </c>
    </row>
    <row r="2174" spans="1:3">
      <c r="A2174" s="406">
        <f>Return!A964</f>
        <v>44669</v>
      </c>
      <c r="B2174" s="408" t="s">
        <v>73</v>
      </c>
      <c r="C2174" s="409">
        <f>Return!Q964</f>
        <v>-1.2559441690852104E-2</v>
      </c>
    </row>
    <row r="2175" spans="1:3">
      <c r="A2175" s="406">
        <f>Return!A965</f>
        <v>44664</v>
      </c>
      <c r="B2175" s="408" t="s">
        <v>73</v>
      </c>
      <c r="C2175" s="409">
        <f>Return!Q965</f>
        <v>3.213373005625761E-3</v>
      </c>
    </row>
    <row r="2176" spans="1:3">
      <c r="A2176" s="406">
        <f>Return!A966</f>
        <v>44663</v>
      </c>
      <c r="B2176" s="408" t="s">
        <v>73</v>
      </c>
      <c r="C2176" s="409">
        <f>Return!Q966</f>
        <v>-1.3661419271371192E-2</v>
      </c>
    </row>
    <row r="2177" spans="1:3">
      <c r="A2177" s="406">
        <f>Return!A967</f>
        <v>44662</v>
      </c>
      <c r="B2177" s="408" t="s">
        <v>73</v>
      </c>
      <c r="C2177" s="409">
        <f>Return!Q967</f>
        <v>-4.5347536357233792E-3</v>
      </c>
    </row>
    <row r="2178" spans="1:3">
      <c r="A2178" s="406">
        <f>Return!A968</f>
        <v>44659</v>
      </c>
      <c r="B2178" s="408" t="s">
        <v>73</v>
      </c>
      <c r="C2178" s="409">
        <f>Return!Q968</f>
        <v>-1.2325785498827741E-3</v>
      </c>
    </row>
    <row r="2179" spans="1:3">
      <c r="A2179" s="406">
        <f>Return!A969</f>
        <v>44658</v>
      </c>
      <c r="B2179" s="408" t="s">
        <v>73</v>
      </c>
      <c r="C2179" s="409">
        <f>Return!Q969</f>
        <v>5.3720249491435806E-4</v>
      </c>
    </row>
    <row r="2180" spans="1:3">
      <c r="A2180" s="406">
        <f>Return!A970</f>
        <v>44657</v>
      </c>
      <c r="B2180" s="408" t="s">
        <v>73</v>
      </c>
      <c r="C2180" s="409">
        <f>Return!Q970</f>
        <v>-4.2583184763218575E-3</v>
      </c>
    </row>
    <row r="2181" spans="1:3">
      <c r="A2181" s="406">
        <f>Return!A971</f>
        <v>44656</v>
      </c>
      <c r="B2181" s="408" t="s">
        <v>73</v>
      </c>
      <c r="C2181" s="409">
        <f>Return!Q971</f>
        <v>-1.6415439500339912E-3</v>
      </c>
    </row>
    <row r="2182" spans="1:3">
      <c r="A2182" s="406">
        <f>Return!A972</f>
        <v>44655</v>
      </c>
      <c r="B2182" s="408" t="s">
        <v>73</v>
      </c>
      <c r="C2182" s="409">
        <f>Return!Q972</f>
        <v>-7.4684033045971428E-3</v>
      </c>
    </row>
    <row r="2183" spans="1:3">
      <c r="A2183" s="406">
        <f>Return!A973</f>
        <v>44652</v>
      </c>
      <c r="B2183" s="408" t="s">
        <v>73</v>
      </c>
      <c r="C2183" s="409">
        <f>Return!Q973</f>
        <v>8.4560789794504532E-4</v>
      </c>
    </row>
    <row r="2184" spans="1:3">
      <c r="A2184" s="406">
        <f>Return!A974</f>
        <v>44651</v>
      </c>
      <c r="B2184" s="408" t="s">
        <v>73</v>
      </c>
      <c r="C2184" s="409">
        <f>Return!Q974</f>
        <v>-3.7680346387467278E-3</v>
      </c>
    </row>
    <row r="2185" spans="1:3">
      <c r="A2185" s="406">
        <f>Return!A975</f>
        <v>44650</v>
      </c>
      <c r="B2185" s="408" t="s">
        <v>73</v>
      </c>
      <c r="C2185" s="409">
        <f>Return!Q975</f>
        <v>5.8819312490274271E-3</v>
      </c>
    </row>
    <row r="2186" spans="1:3">
      <c r="A2186" s="406">
        <f>Return!A976</f>
        <v>44649</v>
      </c>
      <c r="B2186" s="408" t="s">
        <v>73</v>
      </c>
      <c r="C2186" s="409">
        <f>Return!Q976</f>
        <v>6.0327121144925925E-3</v>
      </c>
    </row>
    <row r="2187" spans="1:3">
      <c r="A2187" s="406">
        <f>Return!A977</f>
        <v>44648</v>
      </c>
      <c r="B2187" s="408" t="s">
        <v>73</v>
      </c>
      <c r="C2187" s="409">
        <f>Return!Q977</f>
        <v>-8.7540510232935222E-3</v>
      </c>
    </row>
    <row r="2188" spans="1:3">
      <c r="A2188" s="406">
        <f>Return!A978</f>
        <v>44645</v>
      </c>
      <c r="B2188" s="408" t="s">
        <v>73</v>
      </c>
      <c r="C2188" s="409">
        <f>Return!Q978</f>
        <v>-3.0183219661227088E-3</v>
      </c>
    </row>
    <row r="2189" spans="1:3">
      <c r="A2189" s="406">
        <f>Return!A979</f>
        <v>44644</v>
      </c>
      <c r="B2189" s="408" t="s">
        <v>73</v>
      </c>
      <c r="C2189" s="409">
        <f>Return!Q979</f>
        <v>5.4463924270608897E-3</v>
      </c>
    </row>
    <row r="2190" spans="1:3">
      <c r="A2190" s="406">
        <f>Return!A980</f>
        <v>44643</v>
      </c>
      <c r="B2190" s="408" t="s">
        <v>73</v>
      </c>
      <c r="C2190" s="409">
        <f>Return!Q980</f>
        <v>5.4665542252828308E-3</v>
      </c>
    </row>
    <row r="2191" spans="1:3">
      <c r="A2191" s="406">
        <f>Return!A981</f>
        <v>44642</v>
      </c>
      <c r="B2191" s="408" t="s">
        <v>73</v>
      </c>
      <c r="C2191" s="409">
        <f>Return!Q981</f>
        <v>-5.0378187752867266E-3</v>
      </c>
    </row>
    <row r="2192" spans="1:3">
      <c r="A2192" s="406">
        <f>Return!A982</f>
        <v>44641</v>
      </c>
      <c r="B2192" s="408" t="s">
        <v>73</v>
      </c>
      <c r="C2192" s="409">
        <f>Return!Q982</f>
        <v>-5.7781948188380689E-3</v>
      </c>
    </row>
    <row r="2193" spans="1:3">
      <c r="A2193" s="406">
        <f>Return!A983</f>
        <v>44637</v>
      </c>
      <c r="B2193" s="408" t="s">
        <v>73</v>
      </c>
      <c r="C2193" s="409">
        <f>Return!Q983</f>
        <v>-4.2364657174761376E-3</v>
      </c>
    </row>
    <row r="2194" spans="1:3">
      <c r="A2194" s="406">
        <f>Return!A984</f>
        <v>44636</v>
      </c>
      <c r="B2194" s="408" t="s">
        <v>73</v>
      </c>
      <c r="C2194" s="409">
        <f>Return!Q984</f>
        <v>-7.7750426341102069E-4</v>
      </c>
    </row>
    <row r="2195" spans="1:3">
      <c r="A2195" s="406">
        <f>Return!A985</f>
        <v>44635</v>
      </c>
      <c r="B2195" s="408" t="s">
        <v>73</v>
      </c>
      <c r="C2195" s="409">
        <f>Return!Q985</f>
        <v>5.3158242716359137E-3</v>
      </c>
    </row>
    <row r="2196" spans="1:3">
      <c r="A2196" s="406">
        <f>Return!A986</f>
        <v>44634</v>
      </c>
      <c r="B2196" s="408" t="s">
        <v>73</v>
      </c>
      <c r="C2196" s="409">
        <f>Return!Q986</f>
        <v>1.4922496846930006E-2</v>
      </c>
    </row>
    <row r="2197" spans="1:3">
      <c r="A2197" s="406">
        <f>Return!A987</f>
        <v>44631</v>
      </c>
      <c r="B2197" s="408" t="s">
        <v>73</v>
      </c>
      <c r="C2197" s="409">
        <f>Return!Q987</f>
        <v>3.3291711685069624E-3</v>
      </c>
    </row>
    <row r="2198" spans="1:3">
      <c r="A2198" s="406">
        <f>Return!A988</f>
        <v>44630</v>
      </c>
      <c r="B2198" s="408" t="s">
        <v>73</v>
      </c>
      <c r="C2198" s="409">
        <f>Return!Q988</f>
        <v>6.5731119395249045E-3</v>
      </c>
    </row>
    <row r="2199" spans="1:3">
      <c r="A2199" s="406">
        <f>Return!A989</f>
        <v>44629</v>
      </c>
      <c r="B2199" s="408" t="s">
        <v>73</v>
      </c>
      <c r="C2199" s="409">
        <f>Return!Q989</f>
        <v>7.7891697688544266E-3</v>
      </c>
    </row>
    <row r="2200" spans="1:3">
      <c r="A2200" s="406">
        <f>Return!A990</f>
        <v>44628</v>
      </c>
      <c r="B2200" s="408" t="s">
        <v>73</v>
      </c>
      <c r="C2200" s="409">
        <f>Return!Q990</f>
        <v>5.1736454955534777E-3</v>
      </c>
    </row>
    <row r="2201" spans="1:3">
      <c r="A2201" s="406">
        <f>Return!A991</f>
        <v>44627</v>
      </c>
      <c r="B2201" s="408" t="s">
        <v>73</v>
      </c>
      <c r="C2201" s="409">
        <f>Return!Q991</f>
        <v>6.6511055818704182E-3</v>
      </c>
    </row>
    <row r="2202" spans="1:3">
      <c r="A2202" s="406">
        <f>Return!A992</f>
        <v>44624</v>
      </c>
      <c r="B2202" s="408" t="s">
        <v>73</v>
      </c>
      <c r="C2202" s="409">
        <f>Return!Q992</f>
        <v>-5.7368290893357451E-3</v>
      </c>
    </row>
    <row r="2203" spans="1:3">
      <c r="A2203" s="406">
        <f>Return!A993</f>
        <v>44623</v>
      </c>
      <c r="B2203" s="408" t="s">
        <v>73</v>
      </c>
      <c r="C2203" s="409">
        <f>Return!Q993</f>
        <v>-4.9809772894939498E-3</v>
      </c>
    </row>
    <row r="2204" spans="1:3">
      <c r="A2204" s="406">
        <f>Return!A994</f>
        <v>44622</v>
      </c>
      <c r="B2204" s="408" t="s">
        <v>73</v>
      </c>
      <c r="C2204" s="409">
        <f>Return!Q994</f>
        <v>8.0391009714091879E-3</v>
      </c>
    </row>
    <row r="2205" spans="1:3">
      <c r="A2205" s="406">
        <f>Return!A995</f>
        <v>44620</v>
      </c>
      <c r="B2205" s="408" t="s">
        <v>73</v>
      </c>
      <c r="C2205" s="409">
        <f>Return!Q995</f>
        <v>6.1832932153997365E-3</v>
      </c>
    </row>
    <row r="2206" spans="1:3">
      <c r="A2206" s="406">
        <f>Return!A996</f>
        <v>44617</v>
      </c>
      <c r="B2206" s="408" t="s">
        <v>73</v>
      </c>
      <c r="C2206" s="409">
        <f>Return!Q996</f>
        <v>1.6710372966387339E-2</v>
      </c>
    </row>
    <row r="2207" spans="1:3">
      <c r="A2207" s="406">
        <f>Return!A997</f>
        <v>44616</v>
      </c>
      <c r="B2207" s="408" t="s">
        <v>73</v>
      </c>
      <c r="C2207" s="409">
        <f>Return!Q997</f>
        <v>1.3451691125960124E-3</v>
      </c>
    </row>
    <row r="2208" spans="1:3">
      <c r="A2208" s="406">
        <f>Return!A998</f>
        <v>44615</v>
      </c>
      <c r="B2208" s="408" t="s">
        <v>73</v>
      </c>
      <c r="C2208" s="409">
        <f>Return!Q998</f>
        <v>5.0577125276116538E-3</v>
      </c>
    </row>
    <row r="2209" spans="1:3">
      <c r="A2209" s="406">
        <f>Return!A999</f>
        <v>44614</v>
      </c>
      <c r="B2209" s="408" t="s">
        <v>73</v>
      </c>
      <c r="C2209" s="409">
        <f>Return!Q999</f>
        <v>1.1558683158222546E-2</v>
      </c>
    </row>
    <row r="2210" spans="1:3">
      <c r="A2210" s="406">
        <f>Return!A1000</f>
        <v>44613</v>
      </c>
      <c r="B2210" s="408" t="s">
        <v>73</v>
      </c>
      <c r="C2210" s="409">
        <f>Return!Q1000</f>
        <v>-5.6512187445483426E-3</v>
      </c>
    </row>
    <row r="2211" spans="1:3">
      <c r="A2211" s="406">
        <f>Return!A1001</f>
        <v>44610</v>
      </c>
      <c r="B2211" s="408" t="s">
        <v>73</v>
      </c>
      <c r="C2211" s="409">
        <f>Return!Q1001</f>
        <v>-1.6171804633796159E-2</v>
      </c>
    </row>
    <row r="2212" spans="1:3">
      <c r="A2212" s="406">
        <f>Return!A1002</f>
        <v>44609</v>
      </c>
      <c r="B2212" s="408" t="s">
        <v>73</v>
      </c>
      <c r="C2212" s="409">
        <f>Return!Q1002</f>
        <v>-1.0402561798915968E-4</v>
      </c>
    </row>
    <row r="2213" spans="1:3">
      <c r="A2213" s="406">
        <f>Return!A1003</f>
        <v>44608</v>
      </c>
      <c r="B2213" s="408" t="s">
        <v>73</v>
      </c>
      <c r="C2213" s="409">
        <f>Return!Q1003</f>
        <v>4.0734533978265767E-3</v>
      </c>
    </row>
    <row r="2214" spans="1:3">
      <c r="A2214" s="406">
        <f>Return!A1004</f>
        <v>44607</v>
      </c>
      <c r="B2214" s="408" t="s">
        <v>73</v>
      </c>
      <c r="C2214" s="409">
        <f>Return!Q1004</f>
        <v>2.0592313358072456E-3</v>
      </c>
    </row>
    <row r="2215" spans="1:3">
      <c r="A2215" s="406">
        <f>Return!A1005</f>
        <v>44606</v>
      </c>
      <c r="B2215" s="408" t="s">
        <v>73</v>
      </c>
      <c r="C2215" s="409">
        <f>Return!Q1005</f>
        <v>-3.5806922547693444E-3</v>
      </c>
    </row>
    <row r="2216" spans="1:3">
      <c r="A2216" s="406">
        <f>Return!A1006</f>
        <v>44603</v>
      </c>
      <c r="B2216" s="408" t="s">
        <v>73</v>
      </c>
      <c r="C2216" s="409">
        <f>Return!Q1006</f>
        <v>-1.4108547050827244E-2</v>
      </c>
    </row>
    <row r="2217" spans="1:3">
      <c r="A2217" s="406">
        <f>Return!A1007</f>
        <v>44602</v>
      </c>
      <c r="B2217" s="408" t="s">
        <v>73</v>
      </c>
      <c r="C2217" s="409">
        <f>Return!Q1007</f>
        <v>-2.6649512658456775E-3</v>
      </c>
    </row>
    <row r="2218" spans="1:3">
      <c r="A2218" s="406">
        <f>Return!A1008</f>
        <v>44601</v>
      </c>
      <c r="B2218" s="408" t="s">
        <v>73</v>
      </c>
      <c r="C2218" s="409">
        <f>Return!Q1008</f>
        <v>6.3527071890346941E-3</v>
      </c>
    </row>
    <row r="2219" spans="1:3">
      <c r="A2219" s="406">
        <f>Return!A1009</f>
        <v>44600</v>
      </c>
      <c r="B2219" s="408" t="s">
        <v>73</v>
      </c>
      <c r="C2219" s="409">
        <f>Return!Q1009</f>
        <v>-1.2127409498170054E-2</v>
      </c>
    </row>
    <row r="2220" spans="1:3">
      <c r="A2220" s="406">
        <f>Return!A1010</f>
        <v>44599</v>
      </c>
      <c r="B2220" s="408" t="s">
        <v>73</v>
      </c>
      <c r="C2220" s="409">
        <f>Return!Q1010</f>
        <v>-1.1006317576658139E-2</v>
      </c>
    </row>
    <row r="2221" spans="1:3">
      <c r="A2221" s="406">
        <f>Return!A1011</f>
        <v>44596</v>
      </c>
      <c r="B2221" s="408" t="s">
        <v>73</v>
      </c>
      <c r="C2221" s="409">
        <f>Return!Q1011</f>
        <v>1.1539352133175835E-3</v>
      </c>
    </row>
    <row r="2222" spans="1:3">
      <c r="A2222" s="406">
        <f>Return!A1012</f>
        <v>44595</v>
      </c>
      <c r="B2222" s="408" t="s">
        <v>73</v>
      </c>
      <c r="C2222" s="409">
        <f>Return!Q1012</f>
        <v>-4.6143491933118008E-3</v>
      </c>
    </row>
    <row r="2223" spans="1:3">
      <c r="A2223" s="406">
        <f>Return!A1013</f>
        <v>44594</v>
      </c>
      <c r="B2223" s="408" t="s">
        <v>73</v>
      </c>
      <c r="C2223" s="409">
        <f>Return!Q1013</f>
        <v>-8.0047484878508265E-3</v>
      </c>
    </row>
    <row r="2224" spans="1:3">
      <c r="A2224" s="406">
        <f>Return!A1014</f>
        <v>44593</v>
      </c>
      <c r="B2224" s="408" t="s">
        <v>73</v>
      </c>
      <c r="C2224" s="409">
        <f>Return!Q1014</f>
        <v>9.7781682254313739E-4</v>
      </c>
    </row>
    <row r="2225" spans="1:3">
      <c r="A2225" s="406">
        <f>Return!A1015</f>
        <v>44592</v>
      </c>
      <c r="B2225" s="408" t="s">
        <v>73</v>
      </c>
      <c r="C2225" s="409">
        <f>Return!Q1015</f>
        <v>6.4168301190085314E-3</v>
      </c>
    </row>
    <row r="2226" spans="1:3">
      <c r="A2226" s="406">
        <f>Return!A1016</f>
        <v>44589</v>
      </c>
      <c r="B2226" s="408" t="s">
        <v>73</v>
      </c>
      <c r="C2226" s="409">
        <f>Return!Q1016</f>
        <v>3.9842759588974829E-3</v>
      </c>
    </row>
    <row r="2227" spans="1:3">
      <c r="A2227" s="406">
        <f>Return!A1017</f>
        <v>44588</v>
      </c>
      <c r="B2227" s="408" t="s">
        <v>73</v>
      </c>
      <c r="C2227" s="409">
        <f>Return!Q1017</f>
        <v>-9.2334532365170065E-3</v>
      </c>
    </row>
    <row r="2228" spans="1:3">
      <c r="A2228" s="406">
        <f>Return!A1018</f>
        <v>44586</v>
      </c>
      <c r="B2228" s="408" t="s">
        <v>73</v>
      </c>
      <c r="C2228" s="409">
        <f>Return!Q1018</f>
        <v>-1.9250924375887196E-3</v>
      </c>
    </row>
    <row r="2229" spans="1:3">
      <c r="A2229" s="406">
        <f>Return!A1019</f>
        <v>44585</v>
      </c>
      <c r="B2229" s="408" t="s">
        <v>73</v>
      </c>
      <c r="C2229" s="409">
        <f>Return!Q1019</f>
        <v>-9.7109026240740273E-3</v>
      </c>
    </row>
    <row r="2230" spans="1:3">
      <c r="A2230" s="406">
        <f>Return!A1020</f>
        <v>44582</v>
      </c>
      <c r="B2230" s="408" t="s">
        <v>73</v>
      </c>
      <c r="C2230" s="409">
        <f>Return!Q1020</f>
        <v>3.3602977329335831E-3</v>
      </c>
    </row>
    <row r="2231" spans="1:3">
      <c r="A2231" s="406">
        <f>Return!A1021</f>
        <v>44581</v>
      </c>
      <c r="B2231" s="408" t="s">
        <v>73</v>
      </c>
      <c r="C2231" s="409">
        <f>Return!Q1021</f>
        <v>-2.0848400075003945E-4</v>
      </c>
    </row>
    <row r="2232" spans="1:3">
      <c r="A2232" s="406">
        <f>Return!A1022</f>
        <v>44580</v>
      </c>
      <c r="B2232" s="408" t="s">
        <v>73</v>
      </c>
      <c r="C2232" s="409">
        <f>Return!Q1022</f>
        <v>9.8101813583835931E-3</v>
      </c>
    </row>
    <row r="2233" spans="1:3">
      <c r="A2233" s="406">
        <f>Return!A1023</f>
        <v>44579</v>
      </c>
      <c r="B2233" s="408" t="s">
        <v>73</v>
      </c>
      <c r="C2233" s="409">
        <f>Return!Q1023</f>
        <v>-2.9797613933773611E-3</v>
      </c>
    </row>
    <row r="2234" spans="1:3">
      <c r="A2234" s="406">
        <f>Return!A1024</f>
        <v>44578</v>
      </c>
      <c r="B2234" s="408" t="s">
        <v>73</v>
      </c>
      <c r="C2234" s="409">
        <f>Return!Q1024</f>
        <v>-1.0125829814943456E-2</v>
      </c>
    </row>
    <row r="2235" spans="1:3">
      <c r="A2235" s="406">
        <f>Return!A1025</f>
        <v>44575</v>
      </c>
      <c r="B2235" s="408" t="s">
        <v>73</v>
      </c>
      <c r="C2235" s="409">
        <f>Return!Q1025</f>
        <v>6.6685234529275208E-4</v>
      </c>
    </row>
    <row r="2236" spans="1:3">
      <c r="A2236" s="406">
        <f>Return!A1026</f>
        <v>44574</v>
      </c>
      <c r="B2236" s="408" t="s">
        <v>73</v>
      </c>
      <c r="C2236" s="409">
        <f>Return!Q1026</f>
        <v>5.8985220971478382E-3</v>
      </c>
    </row>
    <row r="2237" spans="1:3">
      <c r="A2237" s="406">
        <f>Return!A1027</f>
        <v>44573</v>
      </c>
      <c r="B2237" s="408" t="s">
        <v>73</v>
      </c>
      <c r="C2237" s="409">
        <f>Return!Q1027</f>
        <v>-1.7227768862314721E-2</v>
      </c>
    </row>
    <row r="2238" spans="1:3">
      <c r="A2238" s="406">
        <f>Return!A1028</f>
        <v>44572</v>
      </c>
      <c r="B2238" s="408" t="s">
        <v>73</v>
      </c>
      <c r="C2238" s="409">
        <f>Return!Q1028</f>
        <v>-6.0283639826685161E-3</v>
      </c>
    </row>
    <row r="2239" spans="1:3">
      <c r="A2239" s="406">
        <f>Return!A1029</f>
        <v>44571</v>
      </c>
      <c r="B2239" s="408" t="s">
        <v>73</v>
      </c>
      <c r="C2239" s="409">
        <f>Return!Q1029</f>
        <v>-6.9259749098063419E-3</v>
      </c>
    </row>
    <row r="2240" spans="1:3">
      <c r="A2240" s="406">
        <f>Return!A1030</f>
        <v>44568</v>
      </c>
      <c r="B2240" s="408" t="s">
        <v>73</v>
      </c>
      <c r="C2240" s="409">
        <f>Return!Q1030</f>
        <v>-5.6226018677029569E-3</v>
      </c>
    </row>
    <row r="2241" spans="1:3">
      <c r="A2241" s="406">
        <f>Return!A1031</f>
        <v>44567</v>
      </c>
      <c r="B2241" s="408" t="s">
        <v>73</v>
      </c>
      <c r="C2241" s="409">
        <f>Return!Q1031</f>
        <v>-8.4577878569204457E-3</v>
      </c>
    </row>
    <row r="2242" spans="1:3">
      <c r="A2242" s="406">
        <f>Return!A1032</f>
        <v>44566</v>
      </c>
      <c r="B2242" s="408" t="s">
        <v>73</v>
      </c>
      <c r="C2242" s="409">
        <f>Return!Q1032</f>
        <v>-1.0255657072376224E-2</v>
      </c>
    </row>
    <row r="2243" spans="1:3">
      <c r="A2243" s="406">
        <f>Return!A1033</f>
        <v>44565</v>
      </c>
      <c r="B2243" s="408" t="s">
        <v>73</v>
      </c>
      <c r="C2243" s="409">
        <f>Return!Q1033</f>
        <v>-7.9311466328916922E-3</v>
      </c>
    </row>
    <row r="2244" spans="1:3">
      <c r="A2244" s="406">
        <f>Return!A1034</f>
        <v>44564</v>
      </c>
      <c r="B2244" s="408" t="s">
        <v>73</v>
      </c>
      <c r="C2244" s="409">
        <f>Return!Q1034</f>
        <v>-8.0570588982029837E-4</v>
      </c>
    </row>
    <row r="2245" spans="1:3">
      <c r="A2245" s="406">
        <f>Return!A1035</f>
        <v>44561</v>
      </c>
      <c r="B2245" s="408" t="s">
        <v>73</v>
      </c>
      <c r="C2245" s="409">
        <f>Return!Q1035</f>
        <v>5.7027203435522445E-3</v>
      </c>
    </row>
    <row r="2246" spans="1:3">
      <c r="A2246" s="406">
        <f>Return!A1036</f>
        <v>44560</v>
      </c>
      <c r="B2246" s="408" t="s">
        <v>73</v>
      </c>
      <c r="C2246" s="409">
        <f>Return!Q1036</f>
        <v>-2.1876523032576894E-3</v>
      </c>
    </row>
    <row r="2247" spans="1:3">
      <c r="A2247" s="406">
        <f>Return!A1037</f>
        <v>44559</v>
      </c>
      <c r="B2247" s="408" t="s">
        <v>73</v>
      </c>
      <c r="C2247" s="409">
        <f>Return!Q1037</f>
        <v>5.6298881045310917E-3</v>
      </c>
    </row>
    <row r="2248" spans="1:3">
      <c r="A2248" s="406">
        <f>Return!A1038</f>
        <v>44558</v>
      </c>
      <c r="B2248" s="408" t="s">
        <v>73</v>
      </c>
      <c r="C2248" s="409">
        <f>Return!Q1038</f>
        <v>-9.4096356321359128E-4</v>
      </c>
    </row>
    <row r="2249" spans="1:3">
      <c r="A2249" s="406">
        <f>Return!A1039</f>
        <v>44557</v>
      </c>
      <c r="B2249" s="408" t="s">
        <v>73</v>
      </c>
      <c r="C2249" s="409">
        <f>Return!Q1039</f>
        <v>-2.5354691509899479E-4</v>
      </c>
    </row>
    <row r="2250" spans="1:3">
      <c r="A2250" s="406">
        <f>Return!A1040</f>
        <v>44554</v>
      </c>
      <c r="B2250" s="408" t="s">
        <v>73</v>
      </c>
      <c r="C2250" s="409">
        <f>Return!Q1040</f>
        <v>-4.8362464740972109E-3</v>
      </c>
    </row>
    <row r="2251" spans="1:3">
      <c r="A2251" s="406">
        <f>Return!A1041</f>
        <v>44553</v>
      </c>
      <c r="B2251" s="408" t="s">
        <v>73</v>
      </c>
      <c r="C2251" s="409">
        <f>Return!Q1041</f>
        <v>-2.7740197655649994E-3</v>
      </c>
    </row>
    <row r="2252" spans="1:3">
      <c r="A2252" s="406">
        <f>Return!A1042</f>
        <v>44552</v>
      </c>
      <c r="B2252" s="408" t="s">
        <v>73</v>
      </c>
      <c r="C2252" s="409">
        <f>Return!Q1042</f>
        <v>4.4566394186324691E-3</v>
      </c>
    </row>
    <row r="2253" spans="1:3">
      <c r="A2253" s="406">
        <f>Return!A1043</f>
        <v>44551</v>
      </c>
      <c r="B2253" s="408" t="s">
        <v>73</v>
      </c>
      <c r="C2253" s="409">
        <f>Return!Q1043</f>
        <v>5.0714520230652257E-3</v>
      </c>
    </row>
    <row r="2254" spans="1:3">
      <c r="A2254" s="406">
        <f>Return!A1044</f>
        <v>44550</v>
      </c>
      <c r="B2254" s="408" t="s">
        <v>73</v>
      </c>
      <c r="C2254" s="409">
        <f>Return!Q1044</f>
        <v>-1.9502738717162046E-4</v>
      </c>
    </row>
    <row r="2255" spans="1:3">
      <c r="A2255" s="406">
        <f>Return!A1045</f>
        <v>44547</v>
      </c>
      <c r="B2255" s="408" t="s">
        <v>73</v>
      </c>
      <c r="C2255" s="409">
        <f>Return!Q1045</f>
        <v>-2.7384152279884578E-5</v>
      </c>
    </row>
    <row r="2256" spans="1:3">
      <c r="A2256" s="406">
        <f>Return!A1046</f>
        <v>44546</v>
      </c>
      <c r="B2256" s="408" t="s">
        <v>73</v>
      </c>
      <c r="C2256" s="409">
        <f>Return!Q1046</f>
        <v>8.3898977565123531E-3</v>
      </c>
    </row>
    <row r="2257" spans="1:3">
      <c r="A2257" s="406">
        <f>Return!A1047</f>
        <v>44545</v>
      </c>
      <c r="B2257" s="408" t="s">
        <v>73</v>
      </c>
      <c r="C2257" s="409">
        <f>Return!Q1047</f>
        <v>2.5459393939370606E-3</v>
      </c>
    </row>
    <row r="2258" spans="1:3">
      <c r="A2258" s="406">
        <f>Return!A1048</f>
        <v>44544</v>
      </c>
      <c r="B2258" s="408" t="s">
        <v>73</v>
      </c>
      <c r="C2258" s="409">
        <f>Return!Q1048</f>
        <v>3.6560090412443551E-3</v>
      </c>
    </row>
    <row r="2259" spans="1:3">
      <c r="A2259" s="406">
        <f>Return!A1049</f>
        <v>44543</v>
      </c>
      <c r="B2259" s="408" t="s">
        <v>73</v>
      </c>
      <c r="C2259" s="409">
        <f>Return!Q1049</f>
        <v>3.7678797660587442E-3</v>
      </c>
    </row>
    <row r="2260" spans="1:3">
      <c r="A2260" s="406">
        <f>Return!A1050</f>
        <v>44540</v>
      </c>
      <c r="B2260" s="408" t="s">
        <v>73</v>
      </c>
      <c r="C2260" s="409">
        <f>Return!Q1050</f>
        <v>1.0753703800179773E-2</v>
      </c>
    </row>
    <row r="2261" spans="1:3">
      <c r="A2261" s="406">
        <f>Return!A1051</f>
        <v>44539</v>
      </c>
      <c r="B2261" s="408" t="s">
        <v>73</v>
      </c>
      <c r="C2261" s="409">
        <f>Return!Q1051</f>
        <v>6.0669207671143555E-3</v>
      </c>
    </row>
    <row r="2262" spans="1:3">
      <c r="A2262" s="406">
        <f>Return!A1052</f>
        <v>44538</v>
      </c>
      <c r="B2262" s="408" t="s">
        <v>73</v>
      </c>
      <c r="C2262" s="409">
        <f>Return!Q1052</f>
        <v>-1.7156680307140358E-3</v>
      </c>
    </row>
    <row r="2263" spans="1:3">
      <c r="A2263" s="406">
        <f>Return!A1053</f>
        <v>44537</v>
      </c>
      <c r="B2263" s="408" t="s">
        <v>73</v>
      </c>
      <c r="C2263" s="409">
        <f>Return!Q1053</f>
        <v>5.8055872502781633E-4</v>
      </c>
    </row>
    <row r="2264" spans="1:3">
      <c r="A2264" s="406">
        <f>Return!A1054</f>
        <v>44536</v>
      </c>
      <c r="B2264" s="408" t="s">
        <v>73</v>
      </c>
      <c r="C2264" s="409">
        <f>Return!Q1054</f>
        <v>-1.242255106208847E-2</v>
      </c>
    </row>
    <row r="2265" spans="1:3">
      <c r="A2265" s="406">
        <f>Return!A1055</f>
        <v>44533</v>
      </c>
      <c r="B2265" s="408" t="s">
        <v>73</v>
      </c>
      <c r="C2265" s="409">
        <f>Return!Q1055</f>
        <v>3.8269058319247056E-3</v>
      </c>
    </row>
    <row r="2266" spans="1:3">
      <c r="A2266" s="406">
        <f>Return!A1056</f>
        <v>44532</v>
      </c>
      <c r="B2266" s="408" t="s">
        <v>73</v>
      </c>
      <c r="C2266" s="409">
        <f>Return!Q1056</f>
        <v>2.6675559042017589E-3</v>
      </c>
    </row>
    <row r="2267" spans="1:3">
      <c r="A2267" s="406">
        <f>Return!A1057</f>
        <v>44531</v>
      </c>
      <c r="B2267" s="408" t="s">
        <v>73</v>
      </c>
      <c r="C2267" s="409">
        <f>Return!Q1057</f>
        <v>-1.7272121925418745E-3</v>
      </c>
    </row>
    <row r="2268" spans="1:3">
      <c r="A2268" s="406">
        <f>Return!A1058</f>
        <v>44530</v>
      </c>
      <c r="B2268" s="408" t="s">
        <v>73</v>
      </c>
      <c r="C2268" s="409">
        <f>Return!Q1058</f>
        <v>-7.6775042147078469E-4</v>
      </c>
    </row>
    <row r="2269" spans="1:3">
      <c r="A2269" s="406">
        <f>Return!A1059</f>
        <v>44529</v>
      </c>
      <c r="B2269" s="408" t="s">
        <v>73</v>
      </c>
      <c r="C2269" s="409">
        <f>Return!Q1059</f>
        <v>-2.4855320564807592E-4</v>
      </c>
    </row>
    <row r="2270" spans="1:3">
      <c r="A2270" s="406">
        <f>Return!A1060</f>
        <v>44526</v>
      </c>
      <c r="B2270" s="408" t="s">
        <v>73</v>
      </c>
      <c r="C2270" s="409">
        <f>Return!Q1060</f>
        <v>1.1742849141545421E-2</v>
      </c>
    </row>
    <row r="2271" spans="1:3">
      <c r="A2271" s="406">
        <f>Return!A1061</f>
        <v>44525</v>
      </c>
      <c r="B2271" s="408" t="s">
        <v>73</v>
      </c>
      <c r="C2271" s="409">
        <f>Return!Q1061</f>
        <v>-5.5174998522160047E-3</v>
      </c>
    </row>
    <row r="2272" spans="1:3">
      <c r="A2272" s="406">
        <f>Return!A1062</f>
        <v>44524</v>
      </c>
      <c r="B2272" s="408" t="s">
        <v>73</v>
      </c>
      <c r="C2272" s="409">
        <f>Return!Q1062</f>
        <v>-6.5298996852854131E-3</v>
      </c>
    </row>
    <row r="2273" spans="1:3">
      <c r="A2273" s="406">
        <f>Return!A1063</f>
        <v>44523</v>
      </c>
      <c r="B2273" s="408" t="s">
        <v>73</v>
      </c>
      <c r="C2273" s="409">
        <f>Return!Q1063</f>
        <v>-1.6138801200883512E-3</v>
      </c>
    </row>
    <row r="2274" spans="1:3">
      <c r="A2274" s="406">
        <f>Return!A1064</f>
        <v>44522</v>
      </c>
      <c r="B2274" s="408" t="s">
        <v>73</v>
      </c>
      <c r="C2274" s="409">
        <f>Return!Q1064</f>
        <v>1.7710589707071304E-3</v>
      </c>
    </row>
    <row r="2275" spans="1:3">
      <c r="A2275" s="406">
        <f>Return!A1065</f>
        <v>44518</v>
      </c>
      <c r="B2275" s="408" t="s">
        <v>73</v>
      </c>
      <c r="C2275" s="409">
        <f>Return!Q1065</f>
        <v>-3.0894295469628495E-3</v>
      </c>
    </row>
    <row r="2276" spans="1:3">
      <c r="A2276" s="406">
        <f>Return!A1066</f>
        <v>44517</v>
      </c>
      <c r="B2276" s="408" t="s">
        <v>73</v>
      </c>
      <c r="C2276" s="409">
        <f>Return!Q1066</f>
        <v>-1.6496774915741832E-2</v>
      </c>
    </row>
    <row r="2277" spans="1:3">
      <c r="A2277" s="406">
        <f>Return!A1067</f>
        <v>44516</v>
      </c>
      <c r="B2277" s="408" t="s">
        <v>73</v>
      </c>
      <c r="C2277" s="409">
        <f>Return!Q1067</f>
        <v>1.0063058666332949E-3</v>
      </c>
    </row>
    <row r="2278" spans="1:3">
      <c r="A2278" s="406">
        <f>Return!A1068</f>
        <v>44515</v>
      </c>
      <c r="B2278" s="408" t="s">
        <v>73</v>
      </c>
      <c r="C2278" s="409">
        <f>Return!Q1068</f>
        <v>2.3804323541361527E-3</v>
      </c>
    </row>
    <row r="2279" spans="1:3">
      <c r="A2279" s="406">
        <f>Return!A1069</f>
        <v>44512</v>
      </c>
      <c r="B2279" s="408" t="s">
        <v>73</v>
      </c>
      <c r="C2279" s="409">
        <f>Return!Q1069</f>
        <v>1.2772002918734229E-2</v>
      </c>
    </row>
    <row r="2280" spans="1:3">
      <c r="A2280" s="406">
        <f>Return!A1070</f>
        <v>44511</v>
      </c>
      <c r="B2280" s="408" t="s">
        <v>73</v>
      </c>
      <c r="C2280" s="409">
        <f>Return!Q1070</f>
        <v>4.0197445376305985E-3</v>
      </c>
    </row>
    <row r="2281" spans="1:3">
      <c r="A2281" s="406">
        <f>Return!A1071</f>
        <v>44510</v>
      </c>
      <c r="B2281" s="408" t="s">
        <v>73</v>
      </c>
      <c r="C2281" s="409">
        <f>Return!Q1071</f>
        <v>-6.7445911070701074E-3</v>
      </c>
    </row>
    <row r="2282" spans="1:3">
      <c r="A2282" s="406">
        <f>Return!A1072</f>
        <v>44509</v>
      </c>
      <c r="B2282" s="408" t="s">
        <v>73</v>
      </c>
      <c r="C2282" s="409">
        <f>Return!Q1072</f>
        <v>-3.0819237528253622E-3</v>
      </c>
    </row>
    <row r="2283" spans="1:3">
      <c r="A2283" s="406">
        <f>Return!A1073</f>
        <v>44508</v>
      </c>
      <c r="B2283" s="408" t="s">
        <v>73</v>
      </c>
      <c r="C2283" s="409">
        <f>Return!Q1073</f>
        <v>-8.4335558039656932E-3</v>
      </c>
    </row>
    <row r="2284" spans="1:3">
      <c r="A2284" s="406">
        <f>Return!A1074</f>
        <v>44504</v>
      </c>
      <c r="B2284" s="408" t="s">
        <v>73</v>
      </c>
      <c r="C2284" s="409">
        <f>Return!Q1074</f>
        <v>-1.0194745658657614E-2</v>
      </c>
    </row>
    <row r="2285" spans="1:3">
      <c r="A2285" s="406">
        <f>Return!A1075</f>
        <v>44503</v>
      </c>
      <c r="B2285" s="408" t="s">
        <v>73</v>
      </c>
      <c r="C2285" s="409">
        <f>Return!Q1075</f>
        <v>-4.8093238271941282E-3</v>
      </c>
    </row>
    <row r="2286" spans="1:3">
      <c r="A2286" s="406">
        <f>Return!A1076</f>
        <v>44502</v>
      </c>
      <c r="B2286" s="408" t="s">
        <v>73</v>
      </c>
      <c r="C2286" s="409">
        <f>Return!Q1076</f>
        <v>-3.8419547451631775E-3</v>
      </c>
    </row>
    <row r="2287" spans="1:3">
      <c r="A2287" s="406">
        <f>Return!A1077</f>
        <v>44501</v>
      </c>
      <c r="B2287" s="408" t="s">
        <v>73</v>
      </c>
      <c r="C2287" s="409">
        <f>Return!Q1077</f>
        <v>2.0691530212793869E-3</v>
      </c>
    </row>
    <row r="2288" spans="1:3">
      <c r="A2288" s="406">
        <f>Return!A1078</f>
        <v>44498</v>
      </c>
      <c r="B2288" s="408" t="s">
        <v>73</v>
      </c>
      <c r="C2288" s="409">
        <f>Return!Q1078</f>
        <v>2.1915314835791008E-3</v>
      </c>
    </row>
    <row r="2289" spans="1:3">
      <c r="A2289" s="406">
        <f>Return!A1079</f>
        <v>44497</v>
      </c>
      <c r="B2289" s="408" t="s">
        <v>73</v>
      </c>
      <c r="C2289" s="409">
        <f>Return!Q1079</f>
        <v>-6.448492032754191E-3</v>
      </c>
    </row>
    <row r="2290" spans="1:3">
      <c r="A2290" s="406">
        <f>Return!A1080</f>
        <v>44496</v>
      </c>
      <c r="B2290" s="408" t="s">
        <v>73</v>
      </c>
      <c r="C2290" s="409">
        <f>Return!Q1080</f>
        <v>2.221934887449489E-3</v>
      </c>
    </row>
    <row r="2291" spans="1:3">
      <c r="A2291" s="406">
        <f>Return!A1081</f>
        <v>44495</v>
      </c>
      <c r="B2291" s="408" t="s">
        <v>73</v>
      </c>
      <c r="C2291" s="409">
        <f>Return!Q1081</f>
        <v>4.9698244517898619E-3</v>
      </c>
    </row>
    <row r="2292" spans="1:3">
      <c r="A2292" s="406">
        <f>Return!A1082</f>
        <v>44494</v>
      </c>
      <c r="B2292" s="408" t="s">
        <v>73</v>
      </c>
      <c r="C2292" s="409">
        <f>Return!Q1082</f>
        <v>-8.4102822820502875E-3</v>
      </c>
    </row>
    <row r="2293" spans="1:3">
      <c r="A2293" s="406">
        <f>Return!A1083</f>
        <v>44491</v>
      </c>
      <c r="B2293" s="408" t="s">
        <v>73</v>
      </c>
      <c r="C2293" s="409">
        <f>Return!Q1083</f>
        <v>-8.2310642999011072E-3</v>
      </c>
    </row>
    <row r="2294" spans="1:3">
      <c r="A2294" s="406">
        <f>Return!A1084</f>
        <v>44490</v>
      </c>
      <c r="B2294" s="408" t="s">
        <v>73</v>
      </c>
      <c r="C2294" s="409">
        <f>Return!Q1084</f>
        <v>6.8102958451768201E-3</v>
      </c>
    </row>
    <row r="2295" spans="1:3">
      <c r="A2295" s="406">
        <f>Return!A1085</f>
        <v>44489</v>
      </c>
      <c r="B2295" s="408" t="s">
        <v>73</v>
      </c>
      <c r="C2295" s="409">
        <f>Return!Q1085</f>
        <v>5.8119516481859009E-3</v>
      </c>
    </row>
    <row r="2296" spans="1:3">
      <c r="A2296" s="406">
        <f>Return!A1086</f>
        <v>44488</v>
      </c>
      <c r="B2296" s="408" t="s">
        <v>73</v>
      </c>
      <c r="C2296" s="409">
        <f>Return!Q1086</f>
        <v>-5.9739699232592754E-3</v>
      </c>
    </row>
    <row r="2297" spans="1:3">
      <c r="A2297" s="406">
        <f>Return!A1087</f>
        <v>44487</v>
      </c>
      <c r="B2297" s="408" t="s">
        <v>73</v>
      </c>
      <c r="C2297" s="409">
        <f>Return!Q1087</f>
        <v>-1.1088120069484906E-2</v>
      </c>
    </row>
    <row r="2298" spans="1:3">
      <c r="A2298" s="406">
        <f>Return!A1088</f>
        <v>44483</v>
      </c>
      <c r="B2298" s="408" t="s">
        <v>73</v>
      </c>
      <c r="C2298" s="409">
        <f>Return!Q1088</f>
        <v>-8.4033886154779389E-3</v>
      </c>
    </row>
    <row r="2299" spans="1:3">
      <c r="A2299" s="406">
        <f>Return!A1089</f>
        <v>44482</v>
      </c>
      <c r="B2299" s="408" t="s">
        <v>73</v>
      </c>
      <c r="C2299" s="409">
        <f>Return!Q1089</f>
        <v>1.3840744311813015E-2</v>
      </c>
    </row>
    <row r="2300" spans="1:3">
      <c r="A2300" s="406">
        <f>Return!A1090</f>
        <v>44481</v>
      </c>
      <c r="B2300" s="408" t="s">
        <v>73</v>
      </c>
      <c r="C2300" s="409">
        <f>Return!Q1090</f>
        <v>-6.3576169783210509E-3</v>
      </c>
    </row>
    <row r="2301" spans="1:3">
      <c r="A2301" s="406">
        <f>Return!A1091</f>
        <v>44480</v>
      </c>
      <c r="B2301" s="408" t="s">
        <v>73</v>
      </c>
      <c r="C2301" s="409">
        <f>Return!Q1091</f>
        <v>-8.5210519209100357E-3</v>
      </c>
    </row>
    <row r="2302" spans="1:3">
      <c r="A2302" s="406">
        <f>Return!A1092</f>
        <v>44477</v>
      </c>
      <c r="B2302" s="408" t="s">
        <v>73</v>
      </c>
      <c r="C2302" s="409">
        <f>Return!Q1092</f>
        <v>-7.0933421196334515E-3</v>
      </c>
    </row>
    <row r="2303" spans="1:3">
      <c r="A2303" s="406">
        <f>Return!A1093</f>
        <v>44476</v>
      </c>
      <c r="B2303" s="408" t="s">
        <v>73</v>
      </c>
      <c r="C2303" s="409">
        <f>Return!Q1093</f>
        <v>-4.6260928264950339E-3</v>
      </c>
    </row>
    <row r="2304" spans="1:3">
      <c r="A2304" s="406">
        <f>Return!A1094</f>
        <v>44475</v>
      </c>
      <c r="B2304" s="408" t="s">
        <v>73</v>
      </c>
      <c r="C2304" s="409">
        <f>Return!Q1094</f>
        <v>-1.0836359037527218E-2</v>
      </c>
    </row>
    <row r="2305" spans="1:3">
      <c r="A2305" s="406">
        <f>Return!A1095</f>
        <v>44474</v>
      </c>
      <c r="B2305" s="408" t="s">
        <v>73</v>
      </c>
      <c r="C2305" s="409">
        <f>Return!Q1095</f>
        <v>-3.7653522517803887E-3</v>
      </c>
    </row>
    <row r="2306" spans="1:3">
      <c r="A2306" s="406">
        <f>Return!A1096</f>
        <v>44473</v>
      </c>
      <c r="B2306" s="408" t="s">
        <v>73</v>
      </c>
      <c r="C2306" s="409">
        <f>Return!Q1096</f>
        <v>4.1038989257384476E-3</v>
      </c>
    </row>
    <row r="2307" spans="1:3">
      <c r="A2307" s="406">
        <f>Return!A1097</f>
        <v>44470</v>
      </c>
      <c r="B2307" s="408" t="s">
        <v>73</v>
      </c>
      <c r="C2307" s="409">
        <f>Return!Q1097</f>
        <v>5.00482059124247E-3</v>
      </c>
    </row>
    <row r="2308" spans="1:3">
      <c r="A2308" s="406">
        <f>Return!A1098</f>
        <v>44469</v>
      </c>
      <c r="B2308" s="408" t="s">
        <v>73</v>
      </c>
      <c r="C2308" s="409">
        <f>Return!Q1098</f>
        <v>7.6944098976627628E-3</v>
      </c>
    </row>
    <row r="2309" spans="1:3">
      <c r="A2309" s="406">
        <f>Return!A1099</f>
        <v>44468</v>
      </c>
      <c r="B2309" s="408" t="s">
        <v>73</v>
      </c>
      <c r="C2309" s="409">
        <f>Return!Q1099</f>
        <v>-4.181248222393694E-3</v>
      </c>
    </row>
    <row r="2310" spans="1:3">
      <c r="A2310" s="406">
        <f>Return!A1100</f>
        <v>44467</v>
      </c>
      <c r="B2310" s="408" t="s">
        <v>73</v>
      </c>
      <c r="C2310" s="409">
        <f>Return!Q1100</f>
        <v>-6.1968686259474227E-3</v>
      </c>
    </row>
    <row r="2311" spans="1:3">
      <c r="A2311" s="406">
        <f>Return!A1101</f>
        <v>44466</v>
      </c>
      <c r="B2311" s="408" t="s">
        <v>73</v>
      </c>
      <c r="C2311" s="409">
        <f>Return!Q1101</f>
        <v>-4.2133051043393805E-3</v>
      </c>
    </row>
    <row r="2312" spans="1:3">
      <c r="A2312" s="406">
        <f>Return!A1102</f>
        <v>44463</v>
      </c>
      <c r="B2312" s="408" t="s">
        <v>73</v>
      </c>
      <c r="C2312" s="409">
        <f>Return!Q1102</f>
        <v>6.7542409102050427E-4</v>
      </c>
    </row>
    <row r="2313" spans="1:3">
      <c r="A2313" s="406">
        <f>Return!A1103</f>
        <v>44462</v>
      </c>
      <c r="B2313" s="408" t="s">
        <v>73</v>
      </c>
      <c r="C2313" s="409">
        <f>Return!Q1103</f>
        <v>-4.2396134855947447E-3</v>
      </c>
    </row>
    <row r="2314" spans="1:3">
      <c r="A2314" s="406">
        <f>Return!A1104</f>
        <v>44461</v>
      </c>
      <c r="B2314" s="408" t="s">
        <v>73</v>
      </c>
      <c r="C2314" s="409">
        <f>Return!Q1104</f>
        <v>-7.6543472233251417E-4</v>
      </c>
    </row>
    <row r="2315" spans="1:3">
      <c r="A2315" s="406">
        <f>Return!A1105</f>
        <v>44460</v>
      </c>
      <c r="B2315" s="408" t="s">
        <v>73</v>
      </c>
      <c r="C2315" s="409">
        <f>Return!Q1105</f>
        <v>1.2824568891108924E-2</v>
      </c>
    </row>
    <row r="2316" spans="1:3">
      <c r="A2316" s="406">
        <f>Return!A1106</f>
        <v>44459</v>
      </c>
      <c r="B2316" s="408" t="s">
        <v>73</v>
      </c>
      <c r="C2316" s="409">
        <f>Return!Q1106</f>
        <v>-4.5421873604363592E-3</v>
      </c>
    </row>
    <row r="2317" spans="1:3">
      <c r="A2317" s="406">
        <f>Return!A1107</f>
        <v>44456</v>
      </c>
      <c r="B2317" s="408" t="s">
        <v>73</v>
      </c>
      <c r="C2317" s="409">
        <f>Return!Q1107</f>
        <v>-6.9591839581038275E-4</v>
      </c>
    </row>
    <row r="2318" spans="1:3">
      <c r="A2318" s="406">
        <f>Return!A1108</f>
        <v>44455</v>
      </c>
      <c r="B2318" s="408" t="s">
        <v>73</v>
      </c>
      <c r="C2318" s="409">
        <f>Return!Q1108</f>
        <v>2.4211884456211679E-3</v>
      </c>
    </row>
    <row r="2319" spans="1:3">
      <c r="A2319" s="406">
        <f>Return!A1109</f>
        <v>44454</v>
      </c>
      <c r="B2319" s="408" t="s">
        <v>73</v>
      </c>
      <c r="C2319" s="409">
        <f>Return!Q1109</f>
        <v>3.5067870964130827E-3</v>
      </c>
    </row>
    <row r="2320" spans="1:3">
      <c r="A2320" s="406">
        <f>Return!A1110</f>
        <v>44453</v>
      </c>
      <c r="B2320" s="408" t="s">
        <v>73</v>
      </c>
      <c r="C2320" s="409">
        <f>Return!Q1110</f>
        <v>-1.7892273491402232E-3</v>
      </c>
    </row>
    <row r="2321" spans="1:3">
      <c r="A2321" s="406">
        <f>Return!A1111</f>
        <v>44452</v>
      </c>
      <c r="B2321" s="408" t="s">
        <v>73</v>
      </c>
      <c r="C2321" s="409">
        <f>Return!Q1111</f>
        <v>-5.2512714096035092E-3</v>
      </c>
    </row>
    <row r="2322" spans="1:3">
      <c r="A2322" s="406">
        <f>Return!A1112</f>
        <v>44448</v>
      </c>
      <c r="B2322" s="408" t="s">
        <v>73</v>
      </c>
      <c r="C2322" s="409">
        <f>Return!Q1112</f>
        <v>1.0141332489753546E-2</v>
      </c>
    </row>
    <row r="2323" spans="1:3">
      <c r="A2323" s="406">
        <f>Return!A1113</f>
        <v>44447</v>
      </c>
      <c r="B2323" s="408" t="s">
        <v>73</v>
      </c>
      <c r="C2323" s="409">
        <f>Return!Q1113</f>
        <v>7.1533958146482004E-3</v>
      </c>
    </row>
    <row r="2324" spans="1:3">
      <c r="A2324" s="406">
        <f>Return!A1114</f>
        <v>44446</v>
      </c>
      <c r="B2324" s="408" t="s">
        <v>73</v>
      </c>
      <c r="C2324" s="409">
        <f>Return!Q1114</f>
        <v>-4.7139807325418401E-5</v>
      </c>
    </row>
    <row r="2325" spans="1:3">
      <c r="A2325" s="406">
        <f>Return!A1115</f>
        <v>44445</v>
      </c>
      <c r="B2325" s="408" t="s">
        <v>73</v>
      </c>
      <c r="C2325" s="409">
        <f>Return!Q1115</f>
        <v>-6.3549802465347237E-3</v>
      </c>
    </row>
    <row r="2326" spans="1:3">
      <c r="A2326" s="406">
        <f>Return!A1116</f>
        <v>44442</v>
      </c>
      <c r="B2326" s="408" t="s">
        <v>73</v>
      </c>
      <c r="C2326" s="409">
        <f>Return!Q1116</f>
        <v>-5.6377366304193191E-3</v>
      </c>
    </row>
    <row r="2327" spans="1:3">
      <c r="A2327" s="406">
        <f>Return!A1117</f>
        <v>44441</v>
      </c>
      <c r="B2327" s="408" t="s">
        <v>73</v>
      </c>
      <c r="C2327" s="409">
        <f>Return!Q1117</f>
        <v>2.1029397772542285E-4</v>
      </c>
    </row>
    <row r="2328" spans="1:3">
      <c r="A2328" s="406">
        <f>Return!A1118</f>
        <v>44440</v>
      </c>
      <c r="B2328" s="408" t="s">
        <v>73</v>
      </c>
      <c r="C2328" s="409">
        <f>Return!Q1118</f>
        <v>5.2940902381416266E-3</v>
      </c>
    </row>
    <row r="2329" spans="1:3">
      <c r="A2329" s="406">
        <f>Return!A1119</f>
        <v>44439</v>
      </c>
      <c r="B2329" s="408" t="s">
        <v>73</v>
      </c>
      <c r="C2329" s="409">
        <f>Return!Q1119</f>
        <v>2.0065818114834905E-3</v>
      </c>
    </row>
    <row r="2330" spans="1:3">
      <c r="A2330" s="406">
        <f>Return!A1120</f>
        <v>44438</v>
      </c>
      <c r="B2330" s="408" t="s">
        <v>73</v>
      </c>
      <c r="C2330" s="409">
        <f>Return!Q1120</f>
        <v>-1.6630227570721345E-3</v>
      </c>
    </row>
    <row r="2331" spans="1:3">
      <c r="A2331" s="406">
        <f>Return!A1121</f>
        <v>44435</v>
      </c>
      <c r="B2331" s="408" t="s">
        <v>73</v>
      </c>
      <c r="C2331" s="409">
        <f>Return!Q1121</f>
        <v>3.1415357314706644E-3</v>
      </c>
    </row>
    <row r="2332" spans="1:3">
      <c r="A2332" s="406">
        <f>Return!A1122</f>
        <v>44434</v>
      </c>
      <c r="B2332" s="408" t="s">
        <v>73</v>
      </c>
      <c r="C2332" s="409">
        <f>Return!Q1122</f>
        <v>-4.8724081547521546E-3</v>
      </c>
    </row>
    <row r="2333" spans="1:3">
      <c r="A2333" s="406">
        <f>Return!A1123</f>
        <v>44433</v>
      </c>
      <c r="B2333" s="408" t="s">
        <v>73</v>
      </c>
      <c r="C2333" s="409">
        <f>Return!Q1123</f>
        <v>-2.7876125751210611E-3</v>
      </c>
    </row>
    <row r="2334" spans="1:3">
      <c r="A2334" s="406">
        <f>Return!A1124</f>
        <v>44432</v>
      </c>
      <c r="B2334" s="408" t="s">
        <v>73</v>
      </c>
      <c r="C2334" s="409">
        <f>Return!Q1124</f>
        <v>2.3560642833145439E-3</v>
      </c>
    </row>
    <row r="2335" spans="1:3">
      <c r="A2335" s="406">
        <f>Return!A1125</f>
        <v>44431</v>
      </c>
      <c r="B2335" s="408" t="s">
        <v>73</v>
      </c>
      <c r="C2335" s="409">
        <f>Return!Q1125</f>
        <v>9.6176591637300198E-3</v>
      </c>
    </row>
    <row r="2336" spans="1:3">
      <c r="A2336" s="406">
        <f>Return!A1126</f>
        <v>44428</v>
      </c>
      <c r="B2336" s="408" t="s">
        <v>73</v>
      </c>
      <c r="C2336" s="409">
        <f>Return!Q1126</f>
        <v>4.767844303276412E-3</v>
      </c>
    </row>
    <row r="2337" spans="1:3">
      <c r="A2337" s="406">
        <f>Return!A1127</f>
        <v>44426</v>
      </c>
      <c r="B2337" s="408" t="s">
        <v>73</v>
      </c>
      <c r="C2337" s="409">
        <f>Return!Q1127</f>
        <v>7.2799884348687576E-3</v>
      </c>
    </row>
    <row r="2338" spans="1:3">
      <c r="A2338" s="406">
        <f>Return!A1128</f>
        <v>44425</v>
      </c>
      <c r="B2338" s="408" t="s">
        <v>73</v>
      </c>
      <c r="C2338" s="409">
        <f>Return!Q1128</f>
        <v>4.1574063564949054E-3</v>
      </c>
    </row>
    <row r="2339" spans="1:3">
      <c r="A2339" s="406">
        <f>Return!A1129</f>
        <v>44424</v>
      </c>
      <c r="B2339" s="408" t="s">
        <v>73</v>
      </c>
      <c r="C2339" s="409">
        <f>Return!Q1129</f>
        <v>4.5740878236202077E-3</v>
      </c>
    </row>
    <row r="2340" spans="1:3">
      <c r="A2340" s="406">
        <f>Return!A1130</f>
        <v>44421</v>
      </c>
      <c r="B2340" s="408" t="s">
        <v>73</v>
      </c>
      <c r="C2340" s="409">
        <f>Return!Q1130</f>
        <v>7.0257918101872541E-3</v>
      </c>
    </row>
    <row r="2341" spans="1:3">
      <c r="A2341" s="406">
        <f>Return!A1131</f>
        <v>44420</v>
      </c>
      <c r="B2341" s="408" t="s">
        <v>73</v>
      </c>
      <c r="C2341" s="409">
        <f>Return!Q1131</f>
        <v>1.6938052481496924E-4</v>
      </c>
    </row>
    <row r="2342" spans="1:3">
      <c r="A2342" s="406">
        <f>Return!A1132</f>
        <v>44419</v>
      </c>
      <c r="B2342" s="408" t="s">
        <v>73</v>
      </c>
      <c r="C2342" s="409">
        <f>Return!Q1132</f>
        <v>2.5338696651947923E-3</v>
      </c>
    </row>
    <row r="2343" spans="1:3">
      <c r="A2343" s="406">
        <f>Return!A1133</f>
        <v>44418</v>
      </c>
      <c r="B2343" s="408" t="s">
        <v>73</v>
      </c>
      <c r="C2343" s="409">
        <f>Return!Q1133</f>
        <v>2.865865351501691E-3</v>
      </c>
    </row>
    <row r="2344" spans="1:3">
      <c r="A2344" s="406">
        <f>Return!A1134</f>
        <v>44417</v>
      </c>
      <c r="B2344" s="408" t="s">
        <v>73</v>
      </c>
      <c r="C2344" s="409">
        <f>Return!Q1134</f>
        <v>-1.6896429384630964E-3</v>
      </c>
    </row>
    <row r="2345" spans="1:3">
      <c r="A2345" s="406">
        <f>Return!A1135</f>
        <v>44414</v>
      </c>
      <c r="B2345" s="408" t="s">
        <v>73</v>
      </c>
      <c r="C2345" s="409">
        <f>Return!Q1135</f>
        <v>-1.1211053897003307E-2</v>
      </c>
    </row>
    <row r="2346" spans="1:3">
      <c r="A2346" s="406">
        <f>Return!A1136</f>
        <v>44413</v>
      </c>
      <c r="B2346" s="408" t="s">
        <v>73</v>
      </c>
      <c r="C2346" s="409">
        <f>Return!Q1136</f>
        <v>-4.5736569019941236E-5</v>
      </c>
    </row>
    <row r="2347" spans="1:3">
      <c r="A2347" s="406">
        <f>Return!A1137</f>
        <v>44412</v>
      </c>
      <c r="B2347" s="408" t="s">
        <v>73</v>
      </c>
      <c r="C2347" s="409">
        <f>Return!Q1137</f>
        <v>-3.4011525993535999E-3</v>
      </c>
    </row>
    <row r="2348" spans="1:3">
      <c r="A2348" s="406">
        <f>Return!A1138</f>
        <v>44411</v>
      </c>
      <c r="B2348" s="408" t="s">
        <v>73</v>
      </c>
      <c r="C2348" s="409">
        <f>Return!Q1138</f>
        <v>-4.8816179205013639E-3</v>
      </c>
    </row>
    <row r="2349" spans="1:3">
      <c r="A2349" s="406">
        <f>Return!A1139</f>
        <v>44410</v>
      </c>
      <c r="B2349" s="408" t="s">
        <v>73</v>
      </c>
      <c r="C2349" s="409">
        <f>Return!Q1139</f>
        <v>-1.2144014920279856E-2</v>
      </c>
    </row>
    <row r="2350" spans="1:3">
      <c r="A2350" s="406">
        <f>Return!A1140</f>
        <v>44407</v>
      </c>
      <c r="B2350" s="408" t="s">
        <v>73</v>
      </c>
      <c r="C2350" s="409">
        <f>Return!Q1140</f>
        <v>-6.2613548971948924E-3</v>
      </c>
    </row>
    <row r="2351" spans="1:3">
      <c r="A2351" s="406">
        <f>Return!A1141</f>
        <v>44406</v>
      </c>
      <c r="B2351" s="408" t="s">
        <v>73</v>
      </c>
      <c r="C2351" s="409">
        <f>Return!Q1141</f>
        <v>-1.1120277613268335E-2</v>
      </c>
    </row>
    <row r="2352" spans="1:3">
      <c r="A2352" s="406">
        <f>Return!A1142</f>
        <v>44405</v>
      </c>
      <c r="B2352" s="408" t="s">
        <v>73</v>
      </c>
      <c r="C2352" s="409">
        <f>Return!Q1142</f>
        <v>-3.8502113615167355E-3</v>
      </c>
    </row>
    <row r="2353" spans="1:3">
      <c r="A2353" s="406">
        <f>Return!A1143</f>
        <v>44404</v>
      </c>
      <c r="B2353" s="408" t="s">
        <v>73</v>
      </c>
      <c r="C2353" s="409">
        <f>Return!Q1143</f>
        <v>-2.5210818882117347E-3</v>
      </c>
    </row>
    <row r="2354" spans="1:3">
      <c r="A2354" s="406">
        <f>Return!A1144</f>
        <v>44403</v>
      </c>
      <c r="B2354" s="408" t="s">
        <v>73</v>
      </c>
      <c r="C2354" s="409">
        <f>Return!Q1144</f>
        <v>1.7718346410468804E-3</v>
      </c>
    </row>
    <row r="2355" spans="1:3">
      <c r="A2355" s="406">
        <f>Return!A1145</f>
        <v>44400</v>
      </c>
      <c r="B2355" s="408" t="s">
        <v>73</v>
      </c>
      <c r="C2355" s="409">
        <f>Return!Q1145</f>
        <v>-7.0273344167783537E-3</v>
      </c>
    </row>
    <row r="2356" spans="1:3">
      <c r="A2356" s="406">
        <f>Return!A1146</f>
        <v>44399</v>
      </c>
      <c r="B2356" s="408" t="s">
        <v>73</v>
      </c>
      <c r="C2356" s="409">
        <f>Return!Q1146</f>
        <v>5.9877120973574147E-4</v>
      </c>
    </row>
    <row r="2357" spans="1:3">
      <c r="A2357" s="406">
        <f>Return!A1147</f>
        <v>44397</v>
      </c>
      <c r="B2357" s="408" t="s">
        <v>73</v>
      </c>
      <c r="C2357" s="409">
        <f>Return!Q1147</f>
        <v>1.2259892645765671E-4</v>
      </c>
    </row>
    <row r="2358" spans="1:3">
      <c r="A2358" s="406">
        <f>Return!A1148</f>
        <v>44396</v>
      </c>
      <c r="B2358" s="408" t="s">
        <v>73</v>
      </c>
      <c r="C2358" s="409">
        <f>Return!Q1148</f>
        <v>4.4535386335365261E-3</v>
      </c>
    </row>
    <row r="2359" spans="1:3">
      <c r="A2359" s="406">
        <f>Return!A1149</f>
        <v>44393</v>
      </c>
      <c r="B2359" s="408" t="s">
        <v>73</v>
      </c>
      <c r="C2359" s="409">
        <f>Return!Q1149</f>
        <v>3.1868045849678232E-4</v>
      </c>
    </row>
    <row r="2360" spans="1:3">
      <c r="A2360" s="406">
        <f>Return!A1150</f>
        <v>44392</v>
      </c>
      <c r="B2360" s="408" t="s">
        <v>73</v>
      </c>
      <c r="C2360" s="409">
        <f>Return!Q1150</f>
        <v>-9.8085599277458919E-4</v>
      </c>
    </row>
    <row r="2361" spans="1:3">
      <c r="A2361" s="406">
        <f>Return!A1151</f>
        <v>44391</v>
      </c>
      <c r="B2361" s="408" t="s">
        <v>73</v>
      </c>
      <c r="C2361" s="409">
        <f>Return!Q1151</f>
        <v>-1.989856848853705E-2</v>
      </c>
    </row>
    <row r="2362" spans="1:3">
      <c r="A2362" s="406">
        <f>Return!A1152</f>
        <v>44390</v>
      </c>
      <c r="B2362" s="408" t="s">
        <v>73</v>
      </c>
      <c r="C2362" s="409">
        <f>Return!Q1152</f>
        <v>-9.1449376143786024E-3</v>
      </c>
    </row>
    <row r="2363" spans="1:3">
      <c r="A2363" s="406">
        <f>Return!A1153</f>
        <v>44389</v>
      </c>
      <c r="B2363" s="408" t="s">
        <v>73</v>
      </c>
      <c r="C2363" s="409">
        <f>Return!Q1153</f>
        <v>6.2614512212537006E-3</v>
      </c>
    </row>
    <row r="2364" spans="1:3">
      <c r="A2364" s="406">
        <f>Return!A1154</f>
        <v>44386</v>
      </c>
      <c r="B2364" s="408" t="s">
        <v>73</v>
      </c>
      <c r="C2364" s="409">
        <f>Return!Q1154</f>
        <v>4.8095318483959851E-3</v>
      </c>
    </row>
    <row r="2365" spans="1:3">
      <c r="A2365" s="406">
        <f>Return!A1155</f>
        <v>44385</v>
      </c>
      <c r="B2365" s="408" t="s">
        <v>73</v>
      </c>
      <c r="C2365" s="409">
        <f>Return!Q1155</f>
        <v>-5.698029775433688E-3</v>
      </c>
    </row>
    <row r="2366" spans="1:3">
      <c r="A2366" s="406">
        <f>Return!A1156</f>
        <v>44384</v>
      </c>
      <c r="B2366" s="408" t="s">
        <v>73</v>
      </c>
      <c r="C2366" s="409">
        <f>Return!Q1156</f>
        <v>1.5982278392957718E-3</v>
      </c>
    </row>
    <row r="2367" spans="1:3">
      <c r="A2367" s="406">
        <f>Return!A1157</f>
        <v>44383</v>
      </c>
      <c r="B2367" s="408" t="s">
        <v>73</v>
      </c>
      <c r="C2367" s="409">
        <f>Return!Q1157</f>
        <v>-3.2171868830525203E-3</v>
      </c>
    </row>
    <row r="2368" spans="1:3">
      <c r="A2368" s="406">
        <f>Return!A1158</f>
        <v>44382</v>
      </c>
      <c r="B2368" s="408" t="s">
        <v>73</v>
      </c>
      <c r="C2368" s="409">
        <f>Return!Q1158</f>
        <v>7.5247036269005261E-3</v>
      </c>
    </row>
    <row r="2369" spans="1:3">
      <c r="A2369" s="406">
        <f>Return!A1159</f>
        <v>44379</v>
      </c>
      <c r="B2369" s="408" t="s">
        <v>73</v>
      </c>
      <c r="C2369" s="409">
        <f>Return!Q1159</f>
        <v>-2.2446077261857713E-3</v>
      </c>
    </row>
    <row r="2370" spans="1:3">
      <c r="A2370" s="406">
        <f>Return!A1160</f>
        <v>44378</v>
      </c>
      <c r="B2370" s="408" t="s">
        <v>73</v>
      </c>
      <c r="C2370" s="409">
        <f>Return!Q1160</f>
        <v>-9.6253741777119802E-4</v>
      </c>
    </row>
    <row r="2371" spans="1:3">
      <c r="A2371" s="406">
        <f>Return!A1161</f>
        <v>44377</v>
      </c>
      <c r="B2371" s="408" t="s">
        <v>73</v>
      </c>
      <c r="C2371" s="409">
        <f>Return!Q1161</f>
        <v>9.2622293939424345E-3</v>
      </c>
    </row>
    <row r="2372" spans="1:3">
      <c r="A2372" s="406">
        <f>Return!A1162</f>
        <v>44376</v>
      </c>
      <c r="B2372" s="408" t="s">
        <v>73</v>
      </c>
      <c r="C2372" s="409">
        <f>Return!Q1162</f>
        <v>2.7447218133507326E-3</v>
      </c>
    </row>
    <row r="2373" spans="1:3">
      <c r="A2373" s="406">
        <f>Return!A1163</f>
        <v>44375</v>
      </c>
      <c r="B2373" s="408" t="s">
        <v>73</v>
      </c>
      <c r="C2373" s="409">
        <f>Return!Q1163</f>
        <v>-1.9530446026292314E-4</v>
      </c>
    </row>
    <row r="2374" spans="1:3">
      <c r="A2374" s="406">
        <f>Return!A1164</f>
        <v>44372</v>
      </c>
      <c r="B2374" s="408" t="s">
        <v>73</v>
      </c>
      <c r="C2374" s="409">
        <f>Return!Q1164</f>
        <v>2.3322960939964402E-3</v>
      </c>
    </row>
    <row r="2375" spans="1:3">
      <c r="A2375" s="406">
        <f>Return!A1165</f>
        <v>44371</v>
      </c>
      <c r="B2375" s="408" t="s">
        <v>73</v>
      </c>
      <c r="C2375" s="409">
        <f>Return!Q1165</f>
        <v>-4.9912719969666935E-3</v>
      </c>
    </row>
    <row r="2376" spans="1:3">
      <c r="A2376" s="406">
        <f>Return!A1166</f>
        <v>44370</v>
      </c>
      <c r="B2376" s="408" t="s">
        <v>73</v>
      </c>
      <c r="C2376" s="409">
        <f>Return!Q1166</f>
        <v>-6.2228715051210878E-3</v>
      </c>
    </row>
    <row r="2377" spans="1:3">
      <c r="A2377" s="406">
        <f>Return!A1167</f>
        <v>44369</v>
      </c>
      <c r="B2377" s="408" t="s">
        <v>73</v>
      </c>
      <c r="C2377" s="409">
        <f>Return!Q1167</f>
        <v>2.9999701534167821E-3</v>
      </c>
    </row>
    <row r="2378" spans="1:3">
      <c r="A2378" s="406">
        <f>Return!A1168</f>
        <v>44368</v>
      </c>
      <c r="B2378" s="408" t="s">
        <v>73</v>
      </c>
      <c r="C2378" s="409">
        <f>Return!Q1168</f>
        <v>1.3826671195693103E-2</v>
      </c>
    </row>
    <row r="2379" spans="1:3">
      <c r="A2379" s="406">
        <f>Return!A1169</f>
        <v>44365</v>
      </c>
      <c r="B2379" s="408" t="s">
        <v>73</v>
      </c>
      <c r="C2379" s="409">
        <f>Return!Q1169</f>
        <v>-6.6561097176393816E-4</v>
      </c>
    </row>
    <row r="2380" spans="1:3">
      <c r="A2380" s="406">
        <f>Return!A1170</f>
        <v>44364</v>
      </c>
      <c r="B2380" s="408" t="s">
        <v>73</v>
      </c>
      <c r="C2380" s="409">
        <f>Return!Q1170</f>
        <v>1.4220154431508313E-4</v>
      </c>
    </row>
    <row r="2381" spans="1:3">
      <c r="A2381" s="406">
        <f>Return!A1171</f>
        <v>44363</v>
      </c>
      <c r="B2381" s="408" t="s">
        <v>73</v>
      </c>
      <c r="C2381" s="409">
        <f>Return!Q1171</f>
        <v>2.718551568050996E-4</v>
      </c>
    </row>
    <row r="2382" spans="1:3">
      <c r="A2382" s="406">
        <f>Return!A1172</f>
        <v>44362</v>
      </c>
      <c r="B2382" s="408" t="s">
        <v>73</v>
      </c>
      <c r="C2382" s="409">
        <f>Return!Q1172</f>
        <v>7.0235193291092127E-3</v>
      </c>
    </row>
    <row r="2383" spans="1:3">
      <c r="A2383" s="406">
        <f>Return!A1173</f>
        <v>44361</v>
      </c>
      <c r="B2383" s="408" t="s">
        <v>73</v>
      </c>
      <c r="C2383" s="409">
        <f>Return!Q1173</f>
        <v>-2.6056527345674377E-3</v>
      </c>
    </row>
    <row r="2384" spans="1:3">
      <c r="A2384" s="406">
        <f>Return!A1174</f>
        <v>44358</v>
      </c>
      <c r="B2384" s="408" t="s">
        <v>73</v>
      </c>
      <c r="C2384" s="409">
        <f>Return!Q1174</f>
        <v>2.0138013192886285E-3</v>
      </c>
    </row>
    <row r="2385" spans="1:3">
      <c r="A2385" s="406">
        <f>Return!A1175</f>
        <v>44357</v>
      </c>
      <c r="B2385" s="408" t="s">
        <v>73</v>
      </c>
      <c r="C2385" s="409">
        <f>Return!Q1175</f>
        <v>-6.340591659012441E-4</v>
      </c>
    </row>
    <row r="2386" spans="1:3">
      <c r="A2386" s="406">
        <f>Return!A1176</f>
        <v>44356</v>
      </c>
      <c r="B2386" s="408" t="s">
        <v>73</v>
      </c>
      <c r="C2386" s="409">
        <f>Return!Q1176</f>
        <v>2.7239179680024796E-3</v>
      </c>
    </row>
    <row r="2387" spans="1:3">
      <c r="A2387" s="406">
        <f>Return!A1177</f>
        <v>44355</v>
      </c>
      <c r="B2387" s="408" t="s">
        <v>73</v>
      </c>
      <c r="C2387" s="409">
        <f>Return!Q1177</f>
        <v>-1.0256310962432672E-3</v>
      </c>
    </row>
    <row r="2388" spans="1:3">
      <c r="A2388" s="406">
        <f>Return!A1178</f>
        <v>44354</v>
      </c>
      <c r="B2388" s="408" t="s">
        <v>73</v>
      </c>
      <c r="C2388" s="409">
        <f>Return!Q1178</f>
        <v>-4.2800791572967962E-3</v>
      </c>
    </row>
    <row r="2389" spans="1:3">
      <c r="A2389" s="406">
        <f>Return!A1179</f>
        <v>44351</v>
      </c>
      <c r="B2389" s="408" t="s">
        <v>73</v>
      </c>
      <c r="C2389" s="409">
        <f>Return!Q1179</f>
        <v>-1.8929863867007811E-3</v>
      </c>
    </row>
    <row r="2390" spans="1:3">
      <c r="A2390" s="406">
        <f>Return!A1180</f>
        <v>44350</v>
      </c>
      <c r="B2390" s="408" t="s">
        <v>73</v>
      </c>
      <c r="C2390" s="409">
        <f>Return!Q1180</f>
        <v>-5.0610698036821144E-3</v>
      </c>
    </row>
    <row r="2391" spans="1:3">
      <c r="A2391" s="406">
        <f>Return!A1181</f>
        <v>44349</v>
      </c>
      <c r="B2391" s="408" t="s">
        <v>73</v>
      </c>
      <c r="C2391" s="409">
        <f>Return!Q1181</f>
        <v>1.4276244451815834E-3</v>
      </c>
    </row>
    <row r="2392" spans="1:3">
      <c r="A2392" s="406">
        <f>Return!A1182</f>
        <v>44348</v>
      </c>
      <c r="B2392" s="408" t="s">
        <v>73</v>
      </c>
      <c r="C2392" s="409">
        <f>Return!Q1182</f>
        <v>2.2946664542640781E-3</v>
      </c>
    </row>
    <row r="2393" spans="1:3">
      <c r="A2393" s="406">
        <f>Return!A1183</f>
        <v>44347</v>
      </c>
      <c r="B2393" s="408" t="s">
        <v>73</v>
      </c>
      <c r="C2393" s="409">
        <f>Return!Q1183</f>
        <v>8.9382908481575492E-3</v>
      </c>
    </row>
    <row r="2394" spans="1:3">
      <c r="A2394" s="406">
        <f>Return!A1184</f>
        <v>44344</v>
      </c>
      <c r="B2394" s="408" t="s">
        <v>73</v>
      </c>
      <c r="C2394" s="409">
        <f>Return!Q1184</f>
        <v>-1.0133452302090755E-3</v>
      </c>
    </row>
    <row r="2395" spans="1:3">
      <c r="A2395" s="406">
        <f>Return!A1185</f>
        <v>44343</v>
      </c>
      <c r="B2395" s="408" t="s">
        <v>73</v>
      </c>
      <c r="C2395" s="409">
        <f>Return!Q1185</f>
        <v>4.7489568283393315E-3</v>
      </c>
    </row>
    <row r="2396" spans="1:3">
      <c r="A2396" s="406">
        <f>Return!A1186</f>
        <v>44342</v>
      </c>
      <c r="B2396" s="408" t="s">
        <v>73</v>
      </c>
      <c r="C2396" s="409">
        <f>Return!Q1186</f>
        <v>5.7299993812720872E-3</v>
      </c>
    </row>
    <row r="2397" spans="1:3">
      <c r="A2397" s="406">
        <f>Return!A1187</f>
        <v>44341</v>
      </c>
      <c r="B2397" s="408" t="s">
        <v>73</v>
      </c>
      <c r="C2397" s="409">
        <f>Return!Q1187</f>
        <v>1.3312253697466642E-3</v>
      </c>
    </row>
    <row r="2398" spans="1:3">
      <c r="A2398" s="406">
        <f>Return!A1188</f>
        <v>44340</v>
      </c>
      <c r="B2398" s="408" t="s">
        <v>73</v>
      </c>
      <c r="C2398" s="409">
        <f>Return!Q1188</f>
        <v>-2.1223386567979295E-3</v>
      </c>
    </row>
    <row r="2399" spans="1:3">
      <c r="A2399" s="406">
        <f>Return!A1189</f>
        <v>44337</v>
      </c>
      <c r="B2399" s="408" t="s">
        <v>73</v>
      </c>
      <c r="C2399" s="409">
        <f>Return!Q1189</f>
        <v>1.4964963281680072E-3</v>
      </c>
    </row>
    <row r="2400" spans="1:3">
      <c r="A2400" s="406">
        <f>Return!A1190</f>
        <v>44336</v>
      </c>
      <c r="B2400" s="408" t="s">
        <v>73</v>
      </c>
      <c r="C2400" s="409">
        <f>Return!Q1190</f>
        <v>5.7885989589819258E-4</v>
      </c>
    </row>
    <row r="2401" spans="1:3">
      <c r="A2401" s="406">
        <f>Return!A1191</f>
        <v>44335</v>
      </c>
      <c r="B2401" s="408" t="s">
        <v>73</v>
      </c>
      <c r="C2401" s="409">
        <f>Return!Q1191</f>
        <v>2.0403103549003648E-3</v>
      </c>
    </row>
    <row r="2402" spans="1:3">
      <c r="A2402" s="406">
        <f>Return!A1192</f>
        <v>44334</v>
      </c>
      <c r="B2402" s="408" t="s">
        <v>73</v>
      </c>
      <c r="C2402" s="409">
        <f>Return!Q1192</f>
        <v>-7.1015537731348704E-3</v>
      </c>
    </row>
    <row r="2403" spans="1:3">
      <c r="A2403" s="406">
        <f>Return!A1193</f>
        <v>44333</v>
      </c>
      <c r="B2403" s="408" t="s">
        <v>73</v>
      </c>
      <c r="C2403" s="409">
        <f>Return!Q1193</f>
        <v>1.8891588495164469E-3</v>
      </c>
    </row>
    <row r="2404" spans="1:3">
      <c r="A2404" s="406">
        <f>Return!A1194</f>
        <v>44330</v>
      </c>
      <c r="B2404" s="408" t="s">
        <v>73</v>
      </c>
      <c r="C2404" s="409">
        <f>Return!Q1194</f>
        <v>-7.1822681283458829E-3</v>
      </c>
    </row>
    <row r="2405" spans="1:3">
      <c r="A2405" s="406">
        <f>Return!A1195</f>
        <v>44328</v>
      </c>
      <c r="B2405" s="408" t="s">
        <v>73</v>
      </c>
      <c r="C2405" s="409">
        <f>Return!Q1195</f>
        <v>4.2880538148555233E-3</v>
      </c>
    </row>
    <row r="2406" spans="1:3">
      <c r="A2406" s="406">
        <f>Return!A1196</f>
        <v>44327</v>
      </c>
      <c r="B2406" s="408" t="s">
        <v>73</v>
      </c>
      <c r="C2406" s="409">
        <f>Return!Q1196</f>
        <v>3.6064993461497516E-3</v>
      </c>
    </row>
    <row r="2407" spans="1:3">
      <c r="A2407" s="406">
        <f>Return!A1197</f>
        <v>44326</v>
      </c>
      <c r="B2407" s="408" t="s">
        <v>73</v>
      </c>
      <c r="C2407" s="409">
        <f>Return!Q1197</f>
        <v>5.6182499729590801E-3</v>
      </c>
    </row>
    <row r="2408" spans="1:3">
      <c r="A2408" s="406">
        <f>Return!A1198</f>
        <v>44323</v>
      </c>
      <c r="B2408" s="408" t="s">
        <v>73</v>
      </c>
      <c r="C2408" s="409">
        <f>Return!Q1198</f>
        <v>4.8163547822427074E-4</v>
      </c>
    </row>
    <row r="2409" spans="1:3">
      <c r="A2409" s="406">
        <f>Return!A1199</f>
        <v>44322</v>
      </c>
      <c r="B2409" s="408" t="s">
        <v>73</v>
      </c>
      <c r="C2409" s="409">
        <f>Return!Q1199</f>
        <v>2.6648488398162409E-3</v>
      </c>
    </row>
    <row r="2410" spans="1:3">
      <c r="A2410" s="406">
        <f>Return!A1200</f>
        <v>44321</v>
      </c>
      <c r="B2410" s="408" t="s">
        <v>73</v>
      </c>
      <c r="C2410" s="409">
        <f>Return!Q1200</f>
        <v>5.7610049063326696E-3</v>
      </c>
    </row>
    <row r="2411" spans="1:3">
      <c r="A2411" s="406">
        <f>Return!A1201</f>
        <v>44320</v>
      </c>
      <c r="B2411" s="408" t="s">
        <v>73</v>
      </c>
      <c r="C2411" s="409">
        <f>Return!Q1201</f>
        <v>7.5123132907303171E-3</v>
      </c>
    </row>
    <row r="2412" spans="1:3">
      <c r="A2412" s="406">
        <f>Return!A1202</f>
        <v>44319</v>
      </c>
      <c r="B2412" s="408" t="s">
        <v>73</v>
      </c>
      <c r="C2412" s="409">
        <f>Return!Q1202</f>
        <v>-4.9777104755895931E-4</v>
      </c>
    </row>
    <row r="2413" spans="1:3">
      <c r="A2413" s="406">
        <f>Return!A1203</f>
        <v>44316</v>
      </c>
      <c r="B2413" s="408" t="s">
        <v>73</v>
      </c>
      <c r="C2413" s="409">
        <f>Return!Q1203</f>
        <v>-3.4409389568387494E-3</v>
      </c>
    </row>
    <row r="2414" spans="1:3">
      <c r="A2414" s="406">
        <f>Return!A1204</f>
        <v>44315</v>
      </c>
      <c r="B2414" s="408" t="s">
        <v>73</v>
      </c>
      <c r="C2414" s="409">
        <f>Return!Q1204</f>
        <v>-2.1821047595722057E-3</v>
      </c>
    </row>
    <row r="2415" spans="1:3">
      <c r="A2415" s="406">
        <f>Return!A1205</f>
        <v>44314</v>
      </c>
      <c r="B2415" s="408" t="s">
        <v>73</v>
      </c>
      <c r="C2415" s="409">
        <f>Return!Q1205</f>
        <v>7.1230144767829798E-3</v>
      </c>
    </row>
    <row r="2416" spans="1:3">
      <c r="A2416" s="406">
        <f>Return!A1206</f>
        <v>44313</v>
      </c>
      <c r="B2416" s="408" t="s">
        <v>73</v>
      </c>
      <c r="C2416" s="409">
        <f>Return!Q1206</f>
        <v>3.2704273968168504E-3</v>
      </c>
    </row>
    <row r="2417" spans="1:3">
      <c r="A2417" s="406">
        <f>Return!A1207</f>
        <v>44312</v>
      </c>
      <c r="B2417" s="408" t="s">
        <v>73</v>
      </c>
      <c r="C2417" s="409">
        <f>Return!Q1207</f>
        <v>3.0146359458037546E-3</v>
      </c>
    </row>
    <row r="2418" spans="1:3">
      <c r="A2418" s="406">
        <f>Return!A1208</f>
        <v>44309</v>
      </c>
      <c r="B2418" s="408" t="s">
        <v>73</v>
      </c>
      <c r="C2418" s="409">
        <f>Return!Q1208</f>
        <v>1.6259023621108142E-2</v>
      </c>
    </row>
    <row r="2419" spans="1:3">
      <c r="A2419" s="406">
        <f>Return!A1209</f>
        <v>44308</v>
      </c>
      <c r="B2419" s="408" t="s">
        <v>73</v>
      </c>
      <c r="C2419" s="409">
        <f>Return!Q1209</f>
        <v>3.5050109241236242E-3</v>
      </c>
    </row>
    <row r="2420" spans="1:3">
      <c r="A2420" s="406">
        <f>Return!A1210</f>
        <v>44306</v>
      </c>
      <c r="B2420" s="408" t="s">
        <v>73</v>
      </c>
      <c r="C2420" s="409">
        <f>Return!Q1210</f>
        <v>3.5694174921713805E-3</v>
      </c>
    </row>
    <row r="2421" spans="1:3">
      <c r="A2421" s="406">
        <f>Return!A1211</f>
        <v>44305</v>
      </c>
      <c r="B2421" s="408" t="s">
        <v>73</v>
      </c>
      <c r="C2421" s="409">
        <f>Return!Q1211</f>
        <v>-3.6532386365802703E-3</v>
      </c>
    </row>
    <row r="2422" spans="1:3">
      <c r="A2422" s="406">
        <f>Return!A2</f>
        <v>46080</v>
      </c>
      <c r="B2422" s="408" t="s">
        <v>74</v>
      </c>
      <c r="C2422" s="409">
        <f>Return!R2</f>
        <v>-1.5965014460804221E-2</v>
      </c>
    </row>
    <row r="2423" spans="1:3">
      <c r="A2423" s="406">
        <f>Return!A3</f>
        <v>46079</v>
      </c>
      <c r="B2423" s="408" t="s">
        <v>74</v>
      </c>
      <c r="C2423" s="409">
        <f>Return!R3</f>
        <v>1.1591660180978083E-2</v>
      </c>
    </row>
    <row r="2424" spans="1:3">
      <c r="A2424" s="406">
        <f>Return!A4</f>
        <v>46078</v>
      </c>
      <c r="B2424" s="408" t="s">
        <v>74</v>
      </c>
      <c r="C2424" s="409">
        <f>Return!R4</f>
        <v>1.5724575003340669E-2</v>
      </c>
    </row>
    <row r="2425" spans="1:3">
      <c r="A2425" s="406">
        <f>Return!A5</f>
        <v>46077</v>
      </c>
      <c r="B2425" s="408" t="s">
        <v>74</v>
      </c>
      <c r="C2425" s="409">
        <f>Return!R5</f>
        <v>5.5071234028757857E-4</v>
      </c>
    </row>
    <row r="2426" spans="1:3">
      <c r="A2426" s="406">
        <f>Return!A6</f>
        <v>46076</v>
      </c>
      <c r="B2426" s="408" t="s">
        <v>74</v>
      </c>
      <c r="C2426" s="409">
        <f>Return!R6</f>
        <v>8.6659228257213831E-3</v>
      </c>
    </row>
    <row r="2427" spans="1:3">
      <c r="A2427" s="406">
        <f>Return!A7</f>
        <v>46073</v>
      </c>
      <c r="B2427" s="408" t="s">
        <v>74</v>
      </c>
      <c r="C2427" s="409">
        <f>Return!R7</f>
        <v>1.7615928314221139E-3</v>
      </c>
    </row>
    <row r="2428" spans="1:3">
      <c r="A2428" s="406">
        <f>Return!A8</f>
        <v>46072</v>
      </c>
      <c r="B2428" s="408" t="s">
        <v>74</v>
      </c>
      <c r="C2428" s="409">
        <f>Return!R8</f>
        <v>-6.0508028201105421E-3</v>
      </c>
    </row>
    <row r="2429" spans="1:3">
      <c r="A2429" s="406">
        <f>Return!A9</f>
        <v>46071</v>
      </c>
      <c r="B2429" s="408" t="s">
        <v>74</v>
      </c>
      <c r="C2429" s="409">
        <f>Return!R9</f>
        <v>1.0160792661611667E-3</v>
      </c>
    </row>
    <row r="2430" spans="1:3">
      <c r="A2430" s="406">
        <f>Return!A10</f>
        <v>46070</v>
      </c>
      <c r="B2430" s="408" t="s">
        <v>74</v>
      </c>
      <c r="C2430" s="409">
        <f>Return!R10</f>
        <v>3.1671350314203357E-3</v>
      </c>
    </row>
    <row r="2431" spans="1:3">
      <c r="A2431" s="406">
        <f>Return!A11</f>
        <v>46069</v>
      </c>
      <c r="B2431" s="408" t="s">
        <v>74</v>
      </c>
      <c r="C2431" s="409">
        <f>Return!R11</f>
        <v>8.9305979531314663E-3</v>
      </c>
    </row>
    <row r="2432" spans="1:3">
      <c r="A2432" s="406">
        <f>Return!A12</f>
        <v>46066</v>
      </c>
      <c r="B2432" s="408" t="s">
        <v>74</v>
      </c>
      <c r="C2432" s="409">
        <f>Return!R12</f>
        <v>-2.2028215429261574E-2</v>
      </c>
    </row>
    <row r="2433" spans="1:3">
      <c r="A2433" s="406">
        <f>Return!A13</f>
        <v>46065</v>
      </c>
      <c r="B2433" s="408" t="s">
        <v>74</v>
      </c>
      <c r="C2433" s="409">
        <f>Return!R13</f>
        <v>1.9966470816495724E-4</v>
      </c>
    </row>
    <row r="2434" spans="1:3">
      <c r="A2434" s="406">
        <f>Return!A14</f>
        <v>46064</v>
      </c>
      <c r="B2434" s="408" t="s">
        <v>74</v>
      </c>
      <c r="C2434" s="409">
        <f>Return!R14</f>
        <v>6.2807657831432766E-3</v>
      </c>
    </row>
    <row r="2435" spans="1:3">
      <c r="A2435" s="406">
        <f>Return!A15</f>
        <v>46063</v>
      </c>
      <c r="B2435" s="408" t="s">
        <v>74</v>
      </c>
      <c r="C2435" s="409">
        <f>Return!R15</f>
        <v>-2.8004113775133227E-3</v>
      </c>
    </row>
    <row r="2436" spans="1:3">
      <c r="A2436" s="406">
        <f>Return!A16</f>
        <v>46062</v>
      </c>
      <c r="B2436" s="408" t="s">
        <v>74</v>
      </c>
      <c r="C2436" s="409">
        <f>Return!R16</f>
        <v>1.4576487427368799E-2</v>
      </c>
    </row>
    <row r="2437" spans="1:3">
      <c r="A2437" s="406">
        <f>Return!A17</f>
        <v>46059</v>
      </c>
      <c r="B2437" s="408" t="s">
        <v>74</v>
      </c>
      <c r="C2437" s="409">
        <f>Return!R17</f>
        <v>-5.2828377319345922E-3</v>
      </c>
    </row>
    <row r="2438" spans="1:3">
      <c r="A2438" s="406">
        <f>Return!A18</f>
        <v>46058</v>
      </c>
      <c r="B2438" s="408" t="s">
        <v>74</v>
      </c>
      <c r="C2438" s="409">
        <f>Return!R18</f>
        <v>5.092601268576562E-4</v>
      </c>
    </row>
    <row r="2439" spans="1:3">
      <c r="A2439" s="406">
        <f>Return!A19</f>
        <v>46057</v>
      </c>
      <c r="B2439" s="408" t="s">
        <v>74</v>
      </c>
      <c r="C2439" s="409">
        <f>Return!R19</f>
        <v>-2.43707097609481E-3</v>
      </c>
    </row>
    <row r="2440" spans="1:3">
      <c r="A2440" s="406">
        <f>Return!A20</f>
        <v>46056</v>
      </c>
      <c r="B2440" s="408" t="s">
        <v>74</v>
      </c>
      <c r="C2440" s="409">
        <f>Return!R20</f>
        <v>2.7113494092101571E-2</v>
      </c>
    </row>
    <row r="2441" spans="1:3">
      <c r="A2441" s="406">
        <f>Return!A21</f>
        <v>46055</v>
      </c>
      <c r="B2441" s="408" t="s">
        <v>74</v>
      </c>
      <c r="C2441" s="409">
        <f>Return!R21</f>
        <v>-1.3869449786738791E-4</v>
      </c>
    </row>
    <row r="2442" spans="1:3">
      <c r="A2442" s="406">
        <f>Return!A22</f>
        <v>46054</v>
      </c>
      <c r="B2442" s="408" t="s">
        <v>74</v>
      </c>
      <c r="C2442" s="409">
        <f>Return!R22</f>
        <v>-4.4737963975182322E-3</v>
      </c>
    </row>
    <row r="2443" spans="1:3">
      <c r="A2443" s="406">
        <f>Return!A23</f>
        <v>46052</v>
      </c>
      <c r="B2443" s="408" t="s">
        <v>74</v>
      </c>
      <c r="C2443" s="409">
        <f>Return!R23</f>
        <v>5.3619170041854644E-3</v>
      </c>
    </row>
    <row r="2444" spans="1:3">
      <c r="A2444" s="406">
        <f>Return!A24</f>
        <v>46051</v>
      </c>
      <c r="B2444" s="408" t="s">
        <v>74</v>
      </c>
      <c r="C2444" s="409">
        <f>Return!R24</f>
        <v>-1.2647866346696599E-2</v>
      </c>
    </row>
    <row r="2445" spans="1:3">
      <c r="A2445" s="406">
        <f>Return!A25</f>
        <v>46050</v>
      </c>
      <c r="B2445" s="408" t="s">
        <v>74</v>
      </c>
      <c r="C2445" s="409">
        <f>Return!R25</f>
        <v>-4.1748315816206288E-3</v>
      </c>
    </row>
    <row r="2446" spans="1:3">
      <c r="A2446" s="406">
        <f>Return!A26</f>
        <v>46049</v>
      </c>
      <c r="B2446" s="408" t="s">
        <v>74</v>
      </c>
      <c r="C2446" s="409">
        <f>Return!R26</f>
        <v>5.181240710271047E-3</v>
      </c>
    </row>
    <row r="2447" spans="1:3">
      <c r="A2447" s="406">
        <f>Return!A27</f>
        <v>46045</v>
      </c>
      <c r="B2447" s="408" t="s">
        <v>74</v>
      </c>
      <c r="C2447" s="409">
        <f>Return!R27</f>
        <v>-5.1346126135571359E-3</v>
      </c>
    </row>
    <row r="2448" spans="1:3">
      <c r="A2448" s="406">
        <f>Return!A28</f>
        <v>46044</v>
      </c>
      <c r="B2448" s="408" t="s">
        <v>74</v>
      </c>
      <c r="C2448" s="409">
        <f>Return!R28</f>
        <v>1.2847962266069126E-2</v>
      </c>
    </row>
    <row r="2449" spans="1:3">
      <c r="A2449" s="406">
        <f>Return!A29</f>
        <v>46043</v>
      </c>
      <c r="B2449" s="408" t="s">
        <v>74</v>
      </c>
      <c r="C2449" s="409">
        <f>Return!R29</f>
        <v>-5.5189579539608228E-4</v>
      </c>
    </row>
    <row r="2450" spans="1:3">
      <c r="A2450" s="406">
        <f>Return!A30</f>
        <v>46042</v>
      </c>
      <c r="B2450" s="408" t="s">
        <v>74</v>
      </c>
      <c r="C2450" s="409">
        <f>Return!R30</f>
        <v>-1.9340380337034665E-2</v>
      </c>
    </row>
    <row r="2451" spans="1:3">
      <c r="A2451" s="406">
        <f>Return!A31</f>
        <v>46041</v>
      </c>
      <c r="B2451" s="408" t="s">
        <v>74</v>
      </c>
      <c r="C2451" s="409">
        <f>Return!R31</f>
        <v>5.0656443941641551E-4</v>
      </c>
    </row>
    <row r="2452" spans="1:3">
      <c r="A2452" s="406">
        <f>Return!A32</f>
        <v>46038</v>
      </c>
      <c r="B2452" s="408" t="s">
        <v>74</v>
      </c>
      <c r="C2452" s="409">
        <f>Return!R32</f>
        <v>-1.0307536553546263E-2</v>
      </c>
    </row>
    <row r="2453" spans="1:3">
      <c r="A2453" s="406">
        <f>Return!A33</f>
        <v>46036</v>
      </c>
      <c r="B2453" s="408" t="s">
        <v>74</v>
      </c>
      <c r="C2453" s="409">
        <f>Return!R33</f>
        <v>-8.771491664971022E-3</v>
      </c>
    </row>
    <row r="2454" spans="1:3">
      <c r="A2454" s="406">
        <f>Return!A34</f>
        <v>46035</v>
      </c>
      <c r="B2454" s="408" t="s">
        <v>74</v>
      </c>
      <c r="C2454" s="409">
        <f>Return!R34</f>
        <v>-3.4707776774725477E-3</v>
      </c>
    </row>
    <row r="2455" spans="1:3">
      <c r="A2455" s="406">
        <f>Return!A35</f>
        <v>46034</v>
      </c>
      <c r="B2455" s="408" t="s">
        <v>74</v>
      </c>
      <c r="C2455" s="409">
        <f>Return!R35</f>
        <v>2.2920220892227042E-3</v>
      </c>
    </row>
    <row r="2456" spans="1:3">
      <c r="A2456" s="406">
        <f>Return!A36</f>
        <v>46031</v>
      </c>
      <c r="B2456" s="408" t="s">
        <v>74</v>
      </c>
      <c r="C2456" s="409">
        <f>Return!R36</f>
        <v>-8.8591459358341555E-3</v>
      </c>
    </row>
    <row r="2457" spans="1:3">
      <c r="A2457" s="406">
        <f>Return!A37</f>
        <v>46030</v>
      </c>
      <c r="B2457" s="408" t="s">
        <v>74</v>
      </c>
      <c r="C2457" s="409">
        <f>Return!R37</f>
        <v>-1.1173693781465913E-2</v>
      </c>
    </row>
    <row r="2458" spans="1:3">
      <c r="A2458" s="406">
        <f>Return!A38</f>
        <v>46029</v>
      </c>
      <c r="B2458" s="408" t="s">
        <v>74</v>
      </c>
      <c r="C2458" s="409">
        <f>Return!R38</f>
        <v>1.046922231705729E-2</v>
      </c>
    </row>
    <row r="2459" spans="1:3">
      <c r="A2459" s="406">
        <f>Return!A39</f>
        <v>46028</v>
      </c>
      <c r="B2459" s="408" t="s">
        <v>74</v>
      </c>
      <c r="C2459" s="409">
        <f>Return!R39</f>
        <v>1.7217995679651321E-2</v>
      </c>
    </row>
    <row r="2460" spans="1:3">
      <c r="A2460" s="406">
        <f>Return!A40</f>
        <v>46027</v>
      </c>
      <c r="B2460" s="408" t="s">
        <v>74</v>
      </c>
      <c r="C2460" s="409">
        <f>Return!R40</f>
        <v>-1.0837949474825886E-3</v>
      </c>
    </row>
    <row r="2461" spans="1:3">
      <c r="A2461" s="406">
        <f>Return!A41</f>
        <v>46024</v>
      </c>
      <c r="B2461" s="408" t="s">
        <v>74</v>
      </c>
      <c r="C2461" s="409">
        <f>Return!R41</f>
        <v>6.3566745291730826E-3</v>
      </c>
    </row>
    <row r="2462" spans="1:3">
      <c r="A2462" s="406">
        <f>Return!A42</f>
        <v>46023</v>
      </c>
      <c r="B2462" s="408" t="s">
        <v>74</v>
      </c>
      <c r="C2462" s="409">
        <f>Return!R42</f>
        <v>-4.8996686209739643E-3</v>
      </c>
    </row>
    <row r="2463" spans="1:3">
      <c r="A2463" s="406">
        <f>Return!A43</f>
        <v>46022</v>
      </c>
      <c r="B2463" s="408" t="s">
        <v>74</v>
      </c>
      <c r="C2463" s="409">
        <f>Return!R43</f>
        <v>6.8207283077447965E-3</v>
      </c>
    </row>
    <row r="2464" spans="1:3">
      <c r="A2464" s="406">
        <f>Return!A44</f>
        <v>46021</v>
      </c>
      <c r="B2464" s="408" t="s">
        <v>74</v>
      </c>
      <c r="C2464" s="409">
        <f>Return!R44</f>
        <v>-2.2564464532522145E-3</v>
      </c>
    </row>
    <row r="2465" spans="1:3">
      <c r="A2465" s="406">
        <f>Return!A45</f>
        <v>46020</v>
      </c>
      <c r="B2465" s="408" t="s">
        <v>74</v>
      </c>
      <c r="C2465" s="409">
        <f>Return!R45</f>
        <v>-4.0461790512811178E-3</v>
      </c>
    </row>
    <row r="2466" spans="1:3">
      <c r="A2466" s="406">
        <f>Return!A46</f>
        <v>46017</v>
      </c>
      <c r="B2466" s="408" t="s">
        <v>74</v>
      </c>
      <c r="C2466" s="409">
        <f>Return!R46</f>
        <v>-3.9840368519911034E-3</v>
      </c>
    </row>
    <row r="2467" spans="1:3">
      <c r="A2467" s="406">
        <f>Return!A47</f>
        <v>46015</v>
      </c>
      <c r="B2467" s="408" t="s">
        <v>74</v>
      </c>
      <c r="C2467" s="409">
        <f>Return!R47</f>
        <v>-4.3233383930069563E-3</v>
      </c>
    </row>
    <row r="2468" spans="1:3">
      <c r="A2468" s="406">
        <f>Return!A48</f>
        <v>46014</v>
      </c>
      <c r="B2468" s="408" t="s">
        <v>74</v>
      </c>
      <c r="C2468" s="409">
        <f>Return!R48</f>
        <v>-5.4427885685851842E-4</v>
      </c>
    </row>
    <row r="2469" spans="1:3">
      <c r="A2469" s="406">
        <f>Return!A49</f>
        <v>46013</v>
      </c>
      <c r="B2469" s="408" t="s">
        <v>74</v>
      </c>
      <c r="C2469" s="409">
        <f>Return!R49</f>
        <v>6.4657426396162255E-3</v>
      </c>
    </row>
    <row r="2470" spans="1:3">
      <c r="A2470" s="406">
        <f>Return!A50</f>
        <v>46010</v>
      </c>
      <c r="B2470" s="408" t="s">
        <v>74</v>
      </c>
      <c r="C2470" s="409">
        <f>Return!R50</f>
        <v>5.3442255457337873E-3</v>
      </c>
    </row>
    <row r="2471" spans="1:3">
      <c r="A2471" s="406">
        <f>Return!A51</f>
        <v>46009</v>
      </c>
      <c r="B2471" s="408" t="s">
        <v>74</v>
      </c>
      <c r="C2471" s="409">
        <f>Return!R51</f>
        <v>-7.9991418392173844E-3</v>
      </c>
    </row>
    <row r="2472" spans="1:3">
      <c r="A2472" s="406">
        <f>Return!A52</f>
        <v>46008</v>
      </c>
      <c r="B2472" s="408" t="s">
        <v>74</v>
      </c>
      <c r="C2472" s="409">
        <f>Return!R52</f>
        <v>-1.827361136426681E-4</v>
      </c>
    </row>
    <row r="2473" spans="1:3">
      <c r="A2473" s="406">
        <f>Return!A53</f>
        <v>46007</v>
      </c>
      <c r="B2473" s="408" t="s">
        <v>74</v>
      </c>
      <c r="C2473" s="409">
        <f>Return!R53</f>
        <v>-3.5101974420708557E-3</v>
      </c>
    </row>
    <row r="2474" spans="1:3">
      <c r="A2474" s="406">
        <f>Return!A54</f>
        <v>46006</v>
      </c>
      <c r="B2474" s="408" t="s">
        <v>74</v>
      </c>
      <c r="C2474" s="409">
        <f>Return!R54</f>
        <v>-3.1722934842955759E-3</v>
      </c>
    </row>
    <row r="2475" spans="1:3">
      <c r="A2475" s="406">
        <f>Return!A55</f>
        <v>46003</v>
      </c>
      <c r="B2475" s="408" t="s">
        <v>74</v>
      </c>
      <c r="C2475" s="409">
        <f>Return!R55</f>
        <v>-1.2868835639218484E-3</v>
      </c>
    </row>
    <row r="2476" spans="1:3">
      <c r="A2476" s="406">
        <f>Return!A56</f>
        <v>46002</v>
      </c>
      <c r="B2476" s="408" t="s">
        <v>74</v>
      </c>
      <c r="C2476" s="409">
        <f>Return!R56</f>
        <v>7.8456361724434584E-3</v>
      </c>
    </row>
    <row r="2477" spans="1:3">
      <c r="A2477" s="406">
        <f>Return!A57</f>
        <v>46001</v>
      </c>
      <c r="B2477" s="408" t="s">
        <v>74</v>
      </c>
      <c r="C2477" s="409">
        <f>Return!R57</f>
        <v>2.3605511181575361E-4</v>
      </c>
    </row>
    <row r="2478" spans="1:3">
      <c r="A2478" s="406">
        <f>Return!A58</f>
        <v>46000</v>
      </c>
      <c r="B2478" s="408" t="s">
        <v>74</v>
      </c>
      <c r="C2478" s="409">
        <f>Return!R58</f>
        <v>-5.3762059261672282E-3</v>
      </c>
    </row>
    <row r="2479" spans="1:3">
      <c r="A2479" s="406">
        <f>Return!A59</f>
        <v>45999</v>
      </c>
      <c r="B2479" s="408" t="s">
        <v>74</v>
      </c>
      <c r="C2479" s="409">
        <f>Return!R59</f>
        <v>-9.7805573337518322E-3</v>
      </c>
    </row>
    <row r="2480" spans="1:3">
      <c r="A2480" s="406">
        <f>Return!A60</f>
        <v>45996</v>
      </c>
      <c r="B2480" s="408" t="s">
        <v>74</v>
      </c>
      <c r="C2480" s="409">
        <f>Return!R60</f>
        <v>-1.8439122096299205E-3</v>
      </c>
    </row>
    <row r="2481" spans="1:3">
      <c r="A2481" s="406">
        <f>Return!A61</f>
        <v>45995</v>
      </c>
      <c r="B2481" s="408" t="s">
        <v>74</v>
      </c>
      <c r="C2481" s="409">
        <f>Return!R61</f>
        <v>4.6199598106403455E-3</v>
      </c>
    </row>
    <row r="2482" spans="1:3">
      <c r="A2482" s="406">
        <f>Return!A62</f>
        <v>45994</v>
      </c>
      <c r="B2482" s="408" t="s">
        <v>74</v>
      </c>
      <c r="C2482" s="409">
        <f>Return!R62</f>
        <v>-1.4183639619973123E-3</v>
      </c>
    </row>
    <row r="2483" spans="1:3">
      <c r="A2483" s="406">
        <f>Return!A63</f>
        <v>45993</v>
      </c>
      <c r="B2483" s="408" t="s">
        <v>74</v>
      </c>
      <c r="C2483" s="409">
        <f>Return!R63</f>
        <v>-1.7182424422183887E-3</v>
      </c>
    </row>
    <row r="2484" spans="1:3">
      <c r="A2484" s="406">
        <f>Return!A64</f>
        <v>45992</v>
      </c>
      <c r="B2484" s="408" t="s">
        <v>74</v>
      </c>
      <c r="C2484" s="409">
        <f>Return!R64</f>
        <v>-8.540964370832042E-3</v>
      </c>
    </row>
    <row r="2485" spans="1:3">
      <c r="A2485" s="406">
        <f>Return!A65</f>
        <v>45989</v>
      </c>
      <c r="B2485" s="408" t="s">
        <v>74</v>
      </c>
      <c r="C2485" s="409">
        <f>Return!R65</f>
        <v>6.4752399167691188E-3</v>
      </c>
    </row>
    <row r="2486" spans="1:3">
      <c r="A2486" s="406">
        <f>Return!A66</f>
        <v>45988</v>
      </c>
      <c r="B2486" s="408" t="s">
        <v>74</v>
      </c>
      <c r="C2486" s="409">
        <f>Return!R66</f>
        <v>-6.1084756012019991E-3</v>
      </c>
    </row>
    <row r="2487" spans="1:3">
      <c r="A2487" s="406">
        <f>Return!A67</f>
        <v>45987</v>
      </c>
      <c r="B2487" s="408" t="s">
        <v>74</v>
      </c>
      <c r="C2487" s="409">
        <f>Return!R67</f>
        <v>1.0069433665927345E-2</v>
      </c>
    </row>
    <row r="2488" spans="1:3">
      <c r="A2488" s="406">
        <f>Return!A68</f>
        <v>45986</v>
      </c>
      <c r="B2488" s="408" t="s">
        <v>74</v>
      </c>
      <c r="C2488" s="409">
        <f>Return!R68</f>
        <v>6.6771772068871249E-3</v>
      </c>
    </row>
    <row r="2489" spans="1:3">
      <c r="A2489" s="406">
        <f>Return!A69</f>
        <v>45985</v>
      </c>
      <c r="B2489" s="408" t="s">
        <v>74</v>
      </c>
      <c r="C2489" s="409">
        <f>Return!R69</f>
        <v>-1.4941284163022149E-3</v>
      </c>
    </row>
    <row r="2490" spans="1:3">
      <c r="A2490" s="406">
        <f>Return!A70</f>
        <v>45982</v>
      </c>
      <c r="B2490" s="408" t="s">
        <v>74</v>
      </c>
      <c r="C2490" s="409">
        <f>Return!R70</f>
        <v>-3.0367591387223366E-3</v>
      </c>
    </row>
    <row r="2491" spans="1:3">
      <c r="A2491" s="406">
        <f>Return!A71</f>
        <v>45981</v>
      </c>
      <c r="B2491" s="408" t="s">
        <v>74</v>
      </c>
      <c r="C2491" s="409">
        <f>Return!R71</f>
        <v>-2.2993925632292678E-3</v>
      </c>
    </row>
    <row r="2492" spans="1:3">
      <c r="A2492" s="406">
        <f>Return!A72</f>
        <v>45980</v>
      </c>
      <c r="B2492" s="408" t="s">
        <v>74</v>
      </c>
      <c r="C2492" s="409">
        <f>Return!R72</f>
        <v>2.118302110268591E-3</v>
      </c>
    </row>
    <row r="2493" spans="1:3">
      <c r="A2493" s="406">
        <f>Return!A73</f>
        <v>45979</v>
      </c>
      <c r="B2493" s="408" t="s">
        <v>74</v>
      </c>
      <c r="C2493" s="409">
        <f>Return!R73</f>
        <v>-3.4772461134835965E-3</v>
      </c>
    </row>
    <row r="2494" spans="1:3">
      <c r="A2494" s="406">
        <f>Return!A74</f>
        <v>45978</v>
      </c>
      <c r="B2494" s="408" t="s">
        <v>74</v>
      </c>
      <c r="C2494" s="409">
        <f>Return!R74</f>
        <v>-6.6808696512394498E-4</v>
      </c>
    </row>
    <row r="2495" spans="1:3">
      <c r="A2495" s="406">
        <f>Return!A75</f>
        <v>45975</v>
      </c>
      <c r="B2495" s="408" t="s">
        <v>74</v>
      </c>
      <c r="C2495" s="409">
        <f>Return!R75</f>
        <v>-5.0476305296384423E-4</v>
      </c>
    </row>
    <row r="2496" spans="1:3">
      <c r="A2496" s="406">
        <f>Return!A76</f>
        <v>45974</v>
      </c>
      <c r="B2496" s="408" t="s">
        <v>74</v>
      </c>
      <c r="C2496" s="409">
        <f>Return!R76</f>
        <v>1.7993566106335106E-3</v>
      </c>
    </row>
    <row r="2497" spans="1:3">
      <c r="A2497" s="406">
        <f>Return!A77</f>
        <v>45973</v>
      </c>
      <c r="B2497" s="408" t="s">
        <v>74</v>
      </c>
      <c r="C2497" s="409">
        <f>Return!R77</f>
        <v>5.7590092866765972E-3</v>
      </c>
    </row>
    <row r="2498" spans="1:3">
      <c r="A2498" s="406">
        <f>Return!A78</f>
        <v>45972</v>
      </c>
      <c r="B2498" s="408" t="s">
        <v>74</v>
      </c>
      <c r="C2498" s="409">
        <f>Return!R78</f>
        <v>3.4209751873639236E-4</v>
      </c>
    </row>
    <row r="2499" spans="1:3">
      <c r="A2499" s="406">
        <f>Return!A79</f>
        <v>45971</v>
      </c>
      <c r="B2499" s="408" t="s">
        <v>74</v>
      </c>
      <c r="C2499" s="409">
        <f>Return!R79</f>
        <v>1.4928048081932236E-2</v>
      </c>
    </row>
    <row r="2500" spans="1:3">
      <c r="A2500" s="406">
        <f>Return!A80</f>
        <v>45968</v>
      </c>
      <c r="B2500" s="408" t="s">
        <v>74</v>
      </c>
      <c r="C2500" s="409">
        <f>Return!R80</f>
        <v>-2.1218672759520238E-3</v>
      </c>
    </row>
    <row r="2501" spans="1:3">
      <c r="A2501" s="406">
        <f>Return!A81</f>
        <v>45967</v>
      </c>
      <c r="B2501" s="408" t="s">
        <v>74</v>
      </c>
      <c r="C2501" s="409">
        <f>Return!R81</f>
        <v>-4.7740000966253575E-3</v>
      </c>
    </row>
    <row r="2502" spans="1:3">
      <c r="A2502" s="406">
        <f>Return!A82</f>
        <v>45965</v>
      </c>
      <c r="B2502" s="408" t="s">
        <v>74</v>
      </c>
      <c r="C2502" s="409">
        <f>Return!R82</f>
        <v>-1.1385896557712153E-3</v>
      </c>
    </row>
    <row r="2503" spans="1:3">
      <c r="A2503" s="406">
        <f>Return!A83</f>
        <v>45964</v>
      </c>
      <c r="B2503" s="408" t="s">
        <v>74</v>
      </c>
      <c r="C2503" s="409">
        <f>Return!R83</f>
        <v>6.3626575065012063E-3</v>
      </c>
    </row>
    <row r="2504" spans="1:3">
      <c r="A2504" s="406">
        <f>Return!A84</f>
        <v>45961</v>
      </c>
      <c r="B2504" s="408" t="s">
        <v>74</v>
      </c>
      <c r="C2504" s="409">
        <f>Return!R84</f>
        <v>-3.6291537856148535E-3</v>
      </c>
    </row>
    <row r="2505" spans="1:3">
      <c r="A2505" s="406">
        <f>Return!A85</f>
        <v>45960</v>
      </c>
      <c r="B2505" s="408" t="s">
        <v>74</v>
      </c>
      <c r="C2505" s="409">
        <f>Return!R85</f>
        <v>-5.4574257624987396E-3</v>
      </c>
    </row>
    <row r="2506" spans="1:3">
      <c r="A2506" s="406">
        <f>Return!A86</f>
        <v>45959</v>
      </c>
      <c r="B2506" s="408" t="s">
        <v>74</v>
      </c>
      <c r="C2506" s="409">
        <f>Return!R86</f>
        <v>2.9431405695282365E-3</v>
      </c>
    </row>
    <row r="2507" spans="1:3">
      <c r="A2507" s="406">
        <f>Return!A87</f>
        <v>45958</v>
      </c>
      <c r="B2507" s="408" t="s">
        <v>74</v>
      </c>
      <c r="C2507" s="409">
        <f>Return!R87</f>
        <v>-6.2326530591044369E-4</v>
      </c>
    </row>
    <row r="2508" spans="1:3">
      <c r="A2508" s="406">
        <f>Return!A88</f>
        <v>45957</v>
      </c>
      <c r="B2508" s="408" t="s">
        <v>74</v>
      </c>
      <c r="C2508" s="409">
        <f>Return!R88</f>
        <v>-3.4536029197305695E-3</v>
      </c>
    </row>
    <row r="2509" spans="1:3">
      <c r="A2509" s="406">
        <f>Return!A89</f>
        <v>45954</v>
      </c>
      <c r="B2509" s="408" t="s">
        <v>74</v>
      </c>
      <c r="C2509" s="409">
        <f>Return!R89</f>
        <v>-3.7471244787595395E-3</v>
      </c>
    </row>
    <row r="2510" spans="1:3">
      <c r="A2510" s="406">
        <f>Return!A90</f>
        <v>45953</v>
      </c>
      <c r="B2510" s="408" t="s">
        <v>74</v>
      </c>
      <c r="C2510" s="409">
        <f>Return!R90</f>
        <v>1.5719835797228102E-3</v>
      </c>
    </row>
    <row r="2511" spans="1:3">
      <c r="A2511" s="406">
        <f>Return!A91</f>
        <v>45951</v>
      </c>
      <c r="B2511" s="408" t="s">
        <v>74</v>
      </c>
      <c r="C2511" s="409">
        <f>Return!R91</f>
        <v>1.6440274223241628E-3</v>
      </c>
    </row>
    <row r="2512" spans="1:3">
      <c r="A2512" s="406">
        <f>Return!A92</f>
        <v>45950</v>
      </c>
      <c r="B2512" s="408" t="s">
        <v>74</v>
      </c>
      <c r="C2512" s="409">
        <f>Return!R92</f>
        <v>3.6002782006388065E-3</v>
      </c>
    </row>
    <row r="2513" spans="1:3">
      <c r="A2513" s="406">
        <f>Return!A93</f>
        <v>45947</v>
      </c>
      <c r="B2513" s="408" t="s">
        <v>74</v>
      </c>
      <c r="C2513" s="409">
        <f>Return!R93</f>
        <v>6.0426085573476122E-3</v>
      </c>
    </row>
    <row r="2514" spans="1:3">
      <c r="A2514" s="406">
        <f>Return!A94</f>
        <v>45946</v>
      </c>
      <c r="B2514" s="408" t="s">
        <v>74</v>
      </c>
      <c r="C2514" s="409">
        <f>Return!R94</f>
        <v>3.4378171946266379E-3</v>
      </c>
    </row>
    <row r="2515" spans="1:3">
      <c r="A2515" s="406">
        <f>Return!A95</f>
        <v>45945</v>
      </c>
      <c r="B2515" s="408" t="s">
        <v>74</v>
      </c>
      <c r="C2515" s="409">
        <f>Return!R95</f>
        <v>2.1305732267892382E-3</v>
      </c>
    </row>
    <row r="2516" spans="1:3">
      <c r="A2516" s="406">
        <f>Return!A96</f>
        <v>45944</v>
      </c>
      <c r="B2516" s="408" t="s">
        <v>74</v>
      </c>
      <c r="C2516" s="409">
        <f>Return!R96</f>
        <v>-2.4642870489281271E-3</v>
      </c>
    </row>
    <row r="2517" spans="1:3">
      <c r="A2517" s="406">
        <f>Return!A97</f>
        <v>45943</v>
      </c>
      <c r="B2517" s="408" t="s">
        <v>74</v>
      </c>
      <c r="C2517" s="409">
        <f>Return!R97</f>
        <v>-8.1617332167588895E-4</v>
      </c>
    </row>
    <row r="2518" spans="1:3">
      <c r="A2518" s="406">
        <f>Return!A98</f>
        <v>45940</v>
      </c>
      <c r="B2518" s="408" t="s">
        <v>74</v>
      </c>
      <c r="C2518" s="409">
        <f>Return!R98</f>
        <v>5.3588151043706608E-3</v>
      </c>
    </row>
    <row r="2519" spans="1:3">
      <c r="A2519" s="406">
        <f>Return!A99</f>
        <v>45939</v>
      </c>
      <c r="B2519" s="408" t="s">
        <v>74</v>
      </c>
      <c r="C2519" s="409">
        <f>Return!R99</f>
        <v>2.7860926593890512E-3</v>
      </c>
    </row>
    <row r="2520" spans="1:3">
      <c r="A2520" s="406">
        <f>Return!A100</f>
        <v>45938</v>
      </c>
      <c r="B2520" s="408" t="s">
        <v>74</v>
      </c>
      <c r="C2520" s="409">
        <f>Return!R100</f>
        <v>5.9208382170763685E-3</v>
      </c>
    </row>
    <row r="2521" spans="1:3">
      <c r="A2521" s="406">
        <f>Return!A101</f>
        <v>45937</v>
      </c>
      <c r="B2521" s="408" t="s">
        <v>74</v>
      </c>
      <c r="C2521" s="409">
        <f>Return!R101</f>
        <v>-2.0845508221274773E-3</v>
      </c>
    </row>
    <row r="2522" spans="1:3">
      <c r="A2522" s="406">
        <f>Return!A102</f>
        <v>45936</v>
      </c>
      <c r="B2522" s="408" t="s">
        <v>74</v>
      </c>
      <c r="C2522" s="409">
        <f>Return!R102</f>
        <v>4.2135796423968339E-3</v>
      </c>
    </row>
    <row r="2523" spans="1:3">
      <c r="A2523" s="406">
        <f>Return!A103</f>
        <v>45933</v>
      </c>
      <c r="B2523" s="408" t="s">
        <v>74</v>
      </c>
      <c r="C2523" s="409">
        <f>Return!R103</f>
        <v>-3.0935295482722629E-3</v>
      </c>
    </row>
    <row r="2524" spans="1:3">
      <c r="A2524" s="406">
        <f>Return!A104</f>
        <v>45931</v>
      </c>
      <c r="B2524" s="408" t="s">
        <v>74</v>
      </c>
      <c r="C2524" s="409">
        <f>Return!R104</f>
        <v>1.1029294499880731E-2</v>
      </c>
    </row>
    <row r="2525" spans="1:3">
      <c r="A2525" s="406">
        <f>Return!A105</f>
        <v>45930</v>
      </c>
      <c r="B2525" s="408" t="s">
        <v>74</v>
      </c>
      <c r="C2525" s="409">
        <f>Return!R105</f>
        <v>-2.7331321748459369E-3</v>
      </c>
    </row>
    <row r="2526" spans="1:3">
      <c r="A2526" s="406">
        <f>Return!A106</f>
        <v>45929</v>
      </c>
      <c r="B2526" s="408" t="s">
        <v>74</v>
      </c>
      <c r="C2526" s="409">
        <f>Return!R106</f>
        <v>8.6314864371440647E-3</v>
      </c>
    </row>
    <row r="2527" spans="1:3">
      <c r="A2527" s="406">
        <f>Return!A107</f>
        <v>45926</v>
      </c>
      <c r="B2527" s="408" t="s">
        <v>74</v>
      </c>
      <c r="C2527" s="409">
        <f>Return!R107</f>
        <v>-1.0454652068097892E-2</v>
      </c>
    </row>
    <row r="2528" spans="1:3">
      <c r="A2528" s="406">
        <f>Return!A108</f>
        <v>45925</v>
      </c>
      <c r="B2528" s="408" t="s">
        <v>74</v>
      </c>
      <c r="C2528" s="409">
        <f>Return!R108</f>
        <v>-1.0765766403356728E-2</v>
      </c>
    </row>
    <row r="2529" spans="1:3">
      <c r="A2529" s="406">
        <f>Return!A109</f>
        <v>45924</v>
      </c>
      <c r="B2529" s="408" t="s">
        <v>74</v>
      </c>
      <c r="C2529" s="409">
        <f>Return!R109</f>
        <v>-9.7298596499442898E-3</v>
      </c>
    </row>
    <row r="2530" spans="1:3">
      <c r="A2530" s="406">
        <f>Return!A110</f>
        <v>45923</v>
      </c>
      <c r="B2530" s="408" t="s">
        <v>74</v>
      </c>
      <c r="C2530" s="409">
        <f>Return!R110</f>
        <v>2.4004538898303399E-3</v>
      </c>
    </row>
    <row r="2531" spans="1:3">
      <c r="A2531" s="406">
        <f>Return!A111</f>
        <v>45922</v>
      </c>
      <c r="B2531" s="408" t="s">
        <v>74</v>
      </c>
      <c r="C2531" s="409">
        <f>Return!R111</f>
        <v>-3.8952400130539836E-3</v>
      </c>
    </row>
    <row r="2532" spans="1:3">
      <c r="A2532" s="406">
        <f>Return!A112</f>
        <v>45919</v>
      </c>
      <c r="B2532" s="408" t="s">
        <v>74</v>
      </c>
      <c r="C2532" s="409">
        <f>Return!R112</f>
        <v>-4.0391927542817174E-3</v>
      </c>
    </row>
    <row r="2533" spans="1:3">
      <c r="A2533" s="406">
        <f>Return!A113</f>
        <v>45918</v>
      </c>
      <c r="B2533" s="408" t="s">
        <v>74</v>
      </c>
      <c r="C2533" s="409">
        <f>Return!R113</f>
        <v>2.1387017266210609E-3</v>
      </c>
    </row>
    <row r="2534" spans="1:3">
      <c r="A2534" s="406">
        <f>Return!A114</f>
        <v>45917</v>
      </c>
      <c r="B2534" s="408" t="s">
        <v>74</v>
      </c>
      <c r="C2534" s="409">
        <f>Return!R114</f>
        <v>2.1639455495583849E-3</v>
      </c>
    </row>
    <row r="2535" spans="1:3">
      <c r="A2535" s="406">
        <f>Return!A115</f>
        <v>45916</v>
      </c>
      <c r="B2535" s="408" t="s">
        <v>74</v>
      </c>
      <c r="C2535" s="409">
        <f>Return!R115</f>
        <v>3.9062716057863848E-3</v>
      </c>
    </row>
    <row r="2536" spans="1:3">
      <c r="A2536" s="406">
        <f>Return!A116</f>
        <v>45915</v>
      </c>
      <c r="B2536" s="408" t="s">
        <v>74</v>
      </c>
      <c r="C2536" s="409">
        <f>Return!R116</f>
        <v>1.1972397581027311E-3</v>
      </c>
    </row>
    <row r="2537" spans="1:3">
      <c r="A2537" s="406">
        <f>Return!A117</f>
        <v>45912</v>
      </c>
      <c r="B2537" s="408" t="s">
        <v>74</v>
      </c>
      <c r="C2537" s="409">
        <f>Return!R117</f>
        <v>3.2062891773595977E-3</v>
      </c>
    </row>
    <row r="2538" spans="1:3">
      <c r="A2538" s="406">
        <f>Return!A118</f>
        <v>45911</v>
      </c>
      <c r="B2538" s="408" t="s">
        <v>74</v>
      </c>
      <c r="C2538" s="409">
        <f>Return!R118</f>
        <v>-2.1418155817575513E-4</v>
      </c>
    </row>
    <row r="2539" spans="1:3">
      <c r="A2539" s="406">
        <f>Return!A119</f>
        <v>45910</v>
      </c>
      <c r="B2539" s="408" t="s">
        <v>74</v>
      </c>
      <c r="C2539" s="409">
        <f>Return!R119</f>
        <v>3.0548519439740842E-3</v>
      </c>
    </row>
    <row r="2540" spans="1:3">
      <c r="A2540" s="406">
        <f>Return!A120</f>
        <v>45909</v>
      </c>
      <c r="B2540" s="408" t="s">
        <v>74</v>
      </c>
      <c r="C2540" s="409">
        <f>Return!R120</f>
        <v>7.8927928300131373E-3</v>
      </c>
    </row>
    <row r="2541" spans="1:3">
      <c r="A2541" s="406">
        <f>Return!A121</f>
        <v>45908</v>
      </c>
      <c r="B2541" s="408" t="s">
        <v>74</v>
      </c>
      <c r="C2541" s="409">
        <f>Return!R121</f>
        <v>-2.8087168245299703E-4</v>
      </c>
    </row>
    <row r="2542" spans="1:3">
      <c r="A2542" s="406">
        <f>Return!A122</f>
        <v>45905</v>
      </c>
      <c r="B2542" s="408" t="s">
        <v>74</v>
      </c>
      <c r="C2542" s="409">
        <f>Return!R122</f>
        <v>-2.1763376312178085E-3</v>
      </c>
    </row>
    <row r="2543" spans="1:3">
      <c r="A2543" s="406">
        <f>Return!A123</f>
        <v>45904</v>
      </c>
      <c r="B2543" s="408" t="s">
        <v>74</v>
      </c>
      <c r="C2543" s="409">
        <f>Return!R123</f>
        <v>-4.704422366378528E-3</v>
      </c>
    </row>
    <row r="2544" spans="1:3">
      <c r="A2544" s="406">
        <f>Return!A124</f>
        <v>45903</v>
      </c>
      <c r="B2544" s="408" t="s">
        <v>74</v>
      </c>
      <c r="C2544" s="409">
        <f>Return!R124</f>
        <v>5.7561070274714876E-3</v>
      </c>
    </row>
    <row r="2545" spans="1:3">
      <c r="A2545" s="406">
        <f>Return!A125</f>
        <v>45902</v>
      </c>
      <c r="B2545" s="408" t="s">
        <v>74</v>
      </c>
      <c r="C2545" s="409">
        <f>Return!R125</f>
        <v>2.0704734728258217E-3</v>
      </c>
    </row>
    <row r="2546" spans="1:3">
      <c r="A2546" s="406">
        <f>Return!A126</f>
        <v>45901</v>
      </c>
      <c r="B2546" s="408" t="s">
        <v>74</v>
      </c>
      <c r="C2546" s="409">
        <f>Return!R126</f>
        <v>6.5093776807045693E-3</v>
      </c>
    </row>
    <row r="2547" spans="1:3">
      <c r="A2547" s="406">
        <f>Return!A127</f>
        <v>45898</v>
      </c>
      <c r="B2547" s="408" t="s">
        <v>74</v>
      </c>
      <c r="C2547" s="409">
        <f>Return!R127</f>
        <v>-2.5092888133948603E-3</v>
      </c>
    </row>
    <row r="2548" spans="1:3">
      <c r="A2548" s="406">
        <f>Return!A128</f>
        <v>45897</v>
      </c>
      <c r="B2548" s="408" t="s">
        <v>74</v>
      </c>
      <c r="C2548" s="409">
        <f>Return!R128</f>
        <v>-1.0329665529464014E-2</v>
      </c>
    </row>
    <row r="2549" spans="1:3">
      <c r="A2549" s="406">
        <f>Return!A129</f>
        <v>45895</v>
      </c>
      <c r="B2549" s="408" t="s">
        <v>74</v>
      </c>
      <c r="C2549" s="409">
        <f>Return!R129</f>
        <v>-5.3973161551189768E-3</v>
      </c>
    </row>
    <row r="2550" spans="1:3">
      <c r="A2550" s="406">
        <f>Return!A130</f>
        <v>45894</v>
      </c>
      <c r="B2550" s="408" t="s">
        <v>74</v>
      </c>
      <c r="C2550" s="409">
        <f>Return!R130</f>
        <v>-9.4285629313862161E-4</v>
      </c>
    </row>
    <row r="2551" spans="1:3">
      <c r="A2551" s="406">
        <f>Return!A131</f>
        <v>45891</v>
      </c>
      <c r="B2551" s="408" t="s">
        <v>74</v>
      </c>
      <c r="C2551" s="409">
        <f>Return!R131</f>
        <v>-8.0273050722815386E-3</v>
      </c>
    </row>
    <row r="2552" spans="1:3">
      <c r="A2552" s="406">
        <f>Return!A132</f>
        <v>45890</v>
      </c>
      <c r="B2552" s="408" t="s">
        <v>74</v>
      </c>
      <c r="C2552" s="409">
        <f>Return!R132</f>
        <v>5.2784940306294069E-3</v>
      </c>
    </row>
    <row r="2553" spans="1:3">
      <c r="A2553" s="406">
        <f>Return!A133</f>
        <v>45889</v>
      </c>
      <c r="B2553" s="408" t="s">
        <v>74</v>
      </c>
      <c r="C2553" s="409">
        <f>Return!R133</f>
        <v>-2.3567945277493455E-4</v>
      </c>
    </row>
    <row r="2554" spans="1:3">
      <c r="A2554" s="406">
        <f>Return!A134</f>
        <v>45888</v>
      </c>
      <c r="B2554" s="408" t="s">
        <v>74</v>
      </c>
      <c r="C2554" s="409">
        <f>Return!R134</f>
        <v>3.581236869028101E-3</v>
      </c>
    </row>
    <row r="2555" spans="1:3">
      <c r="A2555" s="406">
        <f>Return!A135</f>
        <v>45887</v>
      </c>
      <c r="B2555" s="408" t="s">
        <v>74</v>
      </c>
      <c r="C2555" s="409">
        <f>Return!R135</f>
        <v>-3.2612755196226523E-3</v>
      </c>
    </row>
    <row r="2556" spans="1:3">
      <c r="A2556" s="406">
        <f>Return!A136</f>
        <v>45883</v>
      </c>
      <c r="B2556" s="408" t="s">
        <v>74</v>
      </c>
      <c r="C2556" s="409">
        <f>Return!R136</f>
        <v>-2.8621925531521162E-4</v>
      </c>
    </row>
    <row r="2557" spans="1:3">
      <c r="A2557" s="406">
        <f>Return!A137</f>
        <v>45882</v>
      </c>
      <c r="B2557" s="408" t="s">
        <v>74</v>
      </c>
      <c r="C2557" s="409">
        <f>Return!R137</f>
        <v>1.5071563593210104E-2</v>
      </c>
    </row>
    <row r="2558" spans="1:3">
      <c r="A2558" s="406">
        <f>Return!A138</f>
        <v>45881</v>
      </c>
      <c r="B2558" s="408" t="s">
        <v>74</v>
      </c>
      <c r="C2558" s="409">
        <f>Return!R138</f>
        <v>1.4818290597430603E-2</v>
      </c>
    </row>
    <row r="2559" spans="1:3">
      <c r="A2559" s="406">
        <f>Return!A139</f>
        <v>45880</v>
      </c>
      <c r="B2559" s="408" t="s">
        <v>74</v>
      </c>
      <c r="C2559" s="409">
        <f>Return!R139</f>
        <v>1.1004175177808856E-2</v>
      </c>
    </row>
    <row r="2560" spans="1:3">
      <c r="A2560" s="406">
        <f>Return!A140</f>
        <v>45877</v>
      </c>
      <c r="B2560" s="408" t="s">
        <v>74</v>
      </c>
      <c r="C2560" s="409">
        <f>Return!R140</f>
        <v>-1.7893760474701837E-3</v>
      </c>
    </row>
    <row r="2561" spans="1:3">
      <c r="A2561" s="406">
        <f>Return!A141</f>
        <v>45876</v>
      </c>
      <c r="B2561" s="408" t="s">
        <v>74</v>
      </c>
      <c r="C2561" s="409">
        <f>Return!R141</f>
        <v>4.8603476245820789E-3</v>
      </c>
    </row>
    <row r="2562" spans="1:3">
      <c r="A2562" s="406">
        <f>Return!A142</f>
        <v>45875</v>
      </c>
      <c r="B2562" s="408" t="s">
        <v>74</v>
      </c>
      <c r="C2562" s="409">
        <f>Return!R142</f>
        <v>-1.2662473143985928E-2</v>
      </c>
    </row>
    <row r="2563" spans="1:3">
      <c r="A2563" s="406">
        <f>Return!A143</f>
        <v>45874</v>
      </c>
      <c r="B2563" s="408" t="s">
        <v>74</v>
      </c>
      <c r="C2563" s="409">
        <f>Return!R143</f>
        <v>-6.6646130250108508E-3</v>
      </c>
    </row>
    <row r="2564" spans="1:3">
      <c r="A2564" s="406">
        <f>Return!A144</f>
        <v>45873</v>
      </c>
      <c r="B2564" s="408" t="s">
        <v>74</v>
      </c>
      <c r="C2564" s="409">
        <f>Return!R144</f>
        <v>-5.9570818411158197E-3</v>
      </c>
    </row>
    <row r="2565" spans="1:3">
      <c r="A2565" s="406">
        <f>Return!A145</f>
        <v>45870</v>
      </c>
      <c r="B2565" s="408" t="s">
        <v>74</v>
      </c>
      <c r="C2565" s="409">
        <f>Return!R145</f>
        <v>-1.2565856737803638E-2</v>
      </c>
    </row>
    <row r="2566" spans="1:3">
      <c r="A2566" s="406">
        <f>Return!A146</f>
        <v>45869</v>
      </c>
      <c r="B2566" s="408" t="s">
        <v>74</v>
      </c>
      <c r="C2566" s="409">
        <f>Return!R146</f>
        <v>-1.3405760036376922E-2</v>
      </c>
    </row>
    <row r="2567" spans="1:3">
      <c r="A2567" s="406">
        <f>Return!A147</f>
        <v>45868</v>
      </c>
      <c r="B2567" s="408" t="s">
        <v>74</v>
      </c>
      <c r="C2567" s="409">
        <f>Return!R147</f>
        <v>-1.0831795830789621E-2</v>
      </c>
    </row>
    <row r="2568" spans="1:3">
      <c r="A2568" s="406">
        <f>Return!A148</f>
        <v>45867</v>
      </c>
      <c r="B2568" s="408" t="s">
        <v>74</v>
      </c>
      <c r="C2568" s="409">
        <f>Return!R148</f>
        <v>1.0165500200866815E-2</v>
      </c>
    </row>
    <row r="2569" spans="1:3">
      <c r="A2569" s="406">
        <f>Return!A149</f>
        <v>45866</v>
      </c>
      <c r="B2569" s="408" t="s">
        <v>74</v>
      </c>
      <c r="C2569" s="409">
        <f>Return!R149</f>
        <v>4.2944447854295015E-3</v>
      </c>
    </row>
    <row r="2570" spans="1:3">
      <c r="A2570" s="406">
        <f>Return!A150</f>
        <v>45863</v>
      </c>
      <c r="B2570" s="408" t="s">
        <v>74</v>
      </c>
      <c r="C2570" s="409">
        <f>Return!R150</f>
        <v>2.6999958922876138E-3</v>
      </c>
    </row>
    <row r="2571" spans="1:3">
      <c r="A2571" s="406">
        <f>Return!A151</f>
        <v>45862</v>
      </c>
      <c r="B2571" s="408" t="s">
        <v>74</v>
      </c>
      <c r="C2571" s="409">
        <f>Return!R151</f>
        <v>2.6374446163938974E-3</v>
      </c>
    </row>
    <row r="2572" spans="1:3">
      <c r="A2572" s="406">
        <f>Return!A152</f>
        <v>45861</v>
      </c>
      <c r="B2572" s="408" t="s">
        <v>74</v>
      </c>
      <c r="C2572" s="409">
        <f>Return!R152</f>
        <v>6.1830057012794842E-3</v>
      </c>
    </row>
    <row r="2573" spans="1:3">
      <c r="A2573" s="406">
        <f>Return!A153</f>
        <v>45860</v>
      </c>
      <c r="B2573" s="408" t="s">
        <v>74</v>
      </c>
      <c r="C2573" s="409">
        <f>Return!R153</f>
        <v>-1.170177108204032E-3</v>
      </c>
    </row>
    <row r="2574" spans="1:3">
      <c r="A2574" s="406">
        <f>Return!A154</f>
        <v>45859</v>
      </c>
      <c r="B2574" s="408" t="s">
        <v>74</v>
      </c>
      <c r="C2574" s="409">
        <f>Return!R154</f>
        <v>-2.2056807557891719E-3</v>
      </c>
    </row>
    <row r="2575" spans="1:3">
      <c r="A2575" s="406">
        <f>Return!A155</f>
        <v>45856</v>
      </c>
      <c r="B2575" s="408" t="s">
        <v>74</v>
      </c>
      <c r="C2575" s="409">
        <f>Return!R155</f>
        <v>-4.4946782539517036E-3</v>
      </c>
    </row>
    <row r="2576" spans="1:3">
      <c r="A2576" s="406">
        <f>Return!A156</f>
        <v>45855</v>
      </c>
      <c r="B2576" s="408" t="s">
        <v>74</v>
      </c>
      <c r="C2576" s="409">
        <f>Return!R156</f>
        <v>2.5830945783068553E-3</v>
      </c>
    </row>
    <row r="2577" spans="1:3">
      <c r="A2577" s="406">
        <f>Return!A157</f>
        <v>45854</v>
      </c>
      <c r="B2577" s="408" t="s">
        <v>74</v>
      </c>
      <c r="C2577" s="409">
        <f>Return!R157</f>
        <v>1.8074744663924341E-3</v>
      </c>
    </row>
    <row r="2578" spans="1:3">
      <c r="A2578" s="406">
        <f>Return!A158</f>
        <v>45853</v>
      </c>
      <c r="B2578" s="408" t="s">
        <v>74</v>
      </c>
      <c r="C2578" s="409">
        <f>Return!R158</f>
        <v>5.0375655166018263E-3</v>
      </c>
    </row>
    <row r="2579" spans="1:3">
      <c r="A2579" s="406">
        <f>Return!A159</f>
        <v>45852</v>
      </c>
      <c r="B2579" s="408" t="s">
        <v>74</v>
      </c>
      <c r="C2579" s="409">
        <f>Return!R159</f>
        <v>-1.1611244193022888E-3</v>
      </c>
    </row>
    <row r="2580" spans="1:3">
      <c r="A2580" s="406">
        <f>Return!A160</f>
        <v>45849</v>
      </c>
      <c r="B2580" s="408" t="s">
        <v>74</v>
      </c>
      <c r="C2580" s="409">
        <f>Return!R160</f>
        <v>8.7498968422655421E-3</v>
      </c>
    </row>
    <row r="2581" spans="1:3">
      <c r="A2581" s="406">
        <f>Return!A161</f>
        <v>45848</v>
      </c>
      <c r="B2581" s="408" t="s">
        <v>74</v>
      </c>
      <c r="C2581" s="409">
        <f>Return!R161</f>
        <v>-2.0734729271112791E-3</v>
      </c>
    </row>
    <row r="2582" spans="1:3">
      <c r="A2582" s="406">
        <f>Return!A162</f>
        <v>45847</v>
      </c>
      <c r="B2582" s="408" t="s">
        <v>74</v>
      </c>
      <c r="C2582" s="409">
        <f>Return!R162</f>
        <v>1.0298328388757157E-3</v>
      </c>
    </row>
    <row r="2583" spans="1:3">
      <c r="A2583" s="406">
        <f>Return!A163</f>
        <v>45846</v>
      </c>
      <c r="B2583" s="408" t="s">
        <v>74</v>
      </c>
      <c r="C2583" s="409">
        <f>Return!R163</f>
        <v>-8.4666184489793073E-3</v>
      </c>
    </row>
    <row r="2584" spans="1:3">
      <c r="A2584" s="406">
        <f>Return!A164</f>
        <v>45845</v>
      </c>
      <c r="B2584" s="408" t="s">
        <v>74</v>
      </c>
      <c r="C2584" s="409">
        <f>Return!R164</f>
        <v>-3.2798080192369943E-3</v>
      </c>
    </row>
    <row r="2585" spans="1:3">
      <c r="A2585" s="406">
        <f>Return!A165</f>
        <v>45842</v>
      </c>
      <c r="B2585" s="408" t="s">
        <v>74</v>
      </c>
      <c r="C2585" s="409">
        <f>Return!R165</f>
        <v>2.9413765076945106E-4</v>
      </c>
    </row>
    <row r="2586" spans="1:3">
      <c r="A2586" s="406">
        <f>Return!A166</f>
        <v>45841</v>
      </c>
      <c r="B2586" s="408" t="s">
        <v>74</v>
      </c>
      <c r="C2586" s="409">
        <f>Return!R166</f>
        <v>-3.0068396024999669E-3</v>
      </c>
    </row>
    <row r="2587" spans="1:3">
      <c r="A2587" s="406">
        <f>Return!A167</f>
        <v>45840</v>
      </c>
      <c r="B2587" s="408" t="s">
        <v>74</v>
      </c>
      <c r="C2587" s="409">
        <f>Return!R167</f>
        <v>2.2445292553058029E-3</v>
      </c>
    </row>
    <row r="2588" spans="1:3">
      <c r="A2588" s="406">
        <f>Return!A168</f>
        <v>45839</v>
      </c>
      <c r="B2588" s="408" t="s">
        <v>74</v>
      </c>
      <c r="C2588" s="409">
        <f>Return!R168</f>
        <v>-4.2855919637570317E-3</v>
      </c>
    </row>
    <row r="2589" spans="1:3">
      <c r="A2589" s="406">
        <f>Return!A169</f>
        <v>45838</v>
      </c>
      <c r="B2589" s="408" t="s">
        <v>74</v>
      </c>
      <c r="C2589" s="409">
        <f>Return!R169</f>
        <v>7.3015563944167075E-3</v>
      </c>
    </row>
    <row r="2590" spans="1:3">
      <c r="A2590" s="406">
        <f>Return!A170</f>
        <v>45835</v>
      </c>
      <c r="B2590" s="408" t="s">
        <v>74</v>
      </c>
      <c r="C2590" s="409">
        <f>Return!R170</f>
        <v>1.6460138526486215E-2</v>
      </c>
    </row>
    <row r="2591" spans="1:3">
      <c r="A2591" s="406">
        <f>Return!A171</f>
        <v>45834</v>
      </c>
      <c r="B2591" s="408" t="s">
        <v>74</v>
      </c>
      <c r="C2591" s="409">
        <f>Return!R171</f>
        <v>6.6521663588176667E-3</v>
      </c>
    </row>
    <row r="2592" spans="1:3">
      <c r="A2592" s="406">
        <f>Return!A172</f>
        <v>45833</v>
      </c>
      <c r="B2592" s="408" t="s">
        <v>74</v>
      </c>
      <c r="C2592" s="409">
        <f>Return!R172</f>
        <v>3.6236933558037878E-3</v>
      </c>
    </row>
    <row r="2593" spans="1:3">
      <c r="A2593" s="406">
        <f>Return!A173</f>
        <v>45832</v>
      </c>
      <c r="B2593" s="408" t="s">
        <v>74</v>
      </c>
      <c r="C2593" s="409">
        <f>Return!R173</f>
        <v>9.5773834401873259E-3</v>
      </c>
    </row>
    <row r="2594" spans="1:3">
      <c r="A2594" s="406">
        <f>Return!A174</f>
        <v>45831</v>
      </c>
      <c r="B2594" s="408" t="s">
        <v>74</v>
      </c>
      <c r="C2594" s="409">
        <f>Return!R174</f>
        <v>-3.2116483246975684E-3</v>
      </c>
    </row>
    <row r="2595" spans="1:3">
      <c r="A2595" s="406">
        <f>Return!A175</f>
        <v>45828</v>
      </c>
      <c r="B2595" s="408" t="s">
        <v>74</v>
      </c>
      <c r="C2595" s="409">
        <f>Return!R175</f>
        <v>4.2982292368660717E-3</v>
      </c>
    </row>
    <row r="2596" spans="1:3">
      <c r="A2596" s="406">
        <f>Return!A176</f>
        <v>45827</v>
      </c>
      <c r="B2596" s="408" t="s">
        <v>74</v>
      </c>
      <c r="C2596" s="409">
        <f>Return!R176</f>
        <v>-6.166613704382558E-3</v>
      </c>
    </row>
    <row r="2597" spans="1:3">
      <c r="A2597" s="406">
        <f>Return!A177</f>
        <v>45826</v>
      </c>
      <c r="B2597" s="408" t="s">
        <v>74</v>
      </c>
      <c r="C2597" s="409">
        <f>Return!R177</f>
        <v>-1.1338243950052196E-3</v>
      </c>
    </row>
    <row r="2598" spans="1:3">
      <c r="A2598" s="406">
        <f>Return!A178</f>
        <v>45825</v>
      </c>
      <c r="B2598" s="408" t="s">
        <v>74</v>
      </c>
      <c r="C2598" s="409">
        <f>Return!R178</f>
        <v>-3.1562147848780862E-3</v>
      </c>
    </row>
    <row r="2599" spans="1:3">
      <c r="A2599" s="406">
        <f>Return!A179</f>
        <v>45824</v>
      </c>
      <c r="B2599" s="408" t="s">
        <v>74</v>
      </c>
      <c r="C2599" s="409">
        <f>Return!R179</f>
        <v>1.6168669073244855E-3</v>
      </c>
    </row>
    <row r="2600" spans="1:3">
      <c r="A2600" s="406">
        <f>Return!A180</f>
        <v>45821</v>
      </c>
      <c r="B2600" s="408" t="s">
        <v>74</v>
      </c>
      <c r="C2600" s="409">
        <f>Return!R180</f>
        <v>-4.475740014770766E-3</v>
      </c>
    </row>
    <row r="2601" spans="1:3">
      <c r="A2601" s="406">
        <f>Return!A181</f>
        <v>45820</v>
      </c>
      <c r="B2601" s="408" t="s">
        <v>74</v>
      </c>
      <c r="C2601" s="409">
        <f>Return!R181</f>
        <v>-4.8902997948045424E-3</v>
      </c>
    </row>
    <row r="2602" spans="1:3">
      <c r="A2602" s="406">
        <f>Return!A182</f>
        <v>45819</v>
      </c>
      <c r="B2602" s="408" t="s">
        <v>74</v>
      </c>
      <c r="C2602" s="409">
        <f>Return!R182</f>
        <v>-4.9820087841766537E-3</v>
      </c>
    </row>
    <row r="2603" spans="1:3">
      <c r="A2603" s="406">
        <f>Return!A183</f>
        <v>45818</v>
      </c>
      <c r="B2603" s="408" t="s">
        <v>74</v>
      </c>
      <c r="C2603" s="409">
        <f>Return!R183</f>
        <v>5.2043032814370217E-3</v>
      </c>
    </row>
    <row r="2604" spans="1:3">
      <c r="A2604" s="406">
        <f>Return!A184</f>
        <v>45817</v>
      </c>
      <c r="B2604" s="408" t="s">
        <v>74</v>
      </c>
      <c r="C2604" s="409">
        <f>Return!R184</f>
        <v>4.8005116828499722E-3</v>
      </c>
    </row>
    <row r="2605" spans="1:3">
      <c r="A2605" s="406">
        <f>Return!A185</f>
        <v>45814</v>
      </c>
      <c r="B2605" s="408" t="s">
        <v>74</v>
      </c>
      <c r="C2605" s="409">
        <f>Return!R185</f>
        <v>3.193877398704826E-3</v>
      </c>
    </row>
    <row r="2606" spans="1:3">
      <c r="A2606" s="406">
        <f>Return!A186</f>
        <v>45813</v>
      </c>
      <c r="B2606" s="408" t="s">
        <v>74</v>
      </c>
      <c r="C2606" s="409">
        <f>Return!R186</f>
        <v>5.3476053127243205E-3</v>
      </c>
    </row>
    <row r="2607" spans="1:3">
      <c r="A2607" s="406">
        <f>Return!A187</f>
        <v>45812</v>
      </c>
      <c r="B2607" s="408" t="s">
        <v>74</v>
      </c>
      <c r="C2607" s="409">
        <f>Return!R187</f>
        <v>-8.5322265740887522E-4</v>
      </c>
    </row>
    <row r="2608" spans="1:3">
      <c r="A2608" s="406">
        <f>Return!A188</f>
        <v>45811</v>
      </c>
      <c r="B2608" s="408" t="s">
        <v>74</v>
      </c>
      <c r="C2608" s="409">
        <f>Return!R188</f>
        <v>-6.3508295505912882E-4</v>
      </c>
    </row>
    <row r="2609" spans="1:3">
      <c r="A2609" s="406">
        <f>Return!A189</f>
        <v>45810</v>
      </c>
      <c r="B2609" s="408" t="s">
        <v>74</v>
      </c>
      <c r="C2609" s="409">
        <f>Return!R189</f>
        <v>2.6969281161807355E-3</v>
      </c>
    </row>
    <row r="2610" spans="1:3">
      <c r="A2610" s="406">
        <f>Return!A190</f>
        <v>45807</v>
      </c>
      <c r="B2610" s="408" t="s">
        <v>74</v>
      </c>
      <c r="C2610" s="409">
        <f>Return!R190</f>
        <v>-5.8029473723830395E-3</v>
      </c>
    </row>
    <row r="2611" spans="1:3">
      <c r="A2611" s="406">
        <f>Return!A191</f>
        <v>45806</v>
      </c>
      <c r="B2611" s="408" t="s">
        <v>74</v>
      </c>
      <c r="C2611" s="409">
        <f>Return!R191</f>
        <v>-4.5599863252593787E-4</v>
      </c>
    </row>
    <row r="2612" spans="1:3">
      <c r="A2612" s="406">
        <f>Return!A192</f>
        <v>45805</v>
      </c>
      <c r="B2612" s="408" t="s">
        <v>74</v>
      </c>
      <c r="C2612" s="409">
        <f>Return!R192</f>
        <v>-9.9767706398744445E-4</v>
      </c>
    </row>
    <row r="2613" spans="1:3">
      <c r="A2613" s="406">
        <f>Return!A193</f>
        <v>45804</v>
      </c>
      <c r="B2613" s="408" t="s">
        <v>74</v>
      </c>
      <c r="C2613" s="409">
        <f>Return!R193</f>
        <v>-1.4456475111336922E-3</v>
      </c>
    </row>
    <row r="2614" spans="1:3">
      <c r="A2614" s="406">
        <f>Return!A194</f>
        <v>45803</v>
      </c>
      <c r="B2614" s="408" t="s">
        <v>74</v>
      </c>
      <c r="C2614" s="409">
        <f>Return!R194</f>
        <v>1.2929680326202774E-3</v>
      </c>
    </row>
    <row r="2615" spans="1:3">
      <c r="A2615" s="406">
        <f>Return!A195</f>
        <v>45800</v>
      </c>
      <c r="B2615" s="408" t="s">
        <v>74</v>
      </c>
      <c r="C2615" s="409">
        <f>Return!R195</f>
        <v>-5.4459248708601865E-3</v>
      </c>
    </row>
    <row r="2616" spans="1:3">
      <c r="A2616" s="406">
        <f>Return!A196</f>
        <v>45799</v>
      </c>
      <c r="B2616" s="408" t="s">
        <v>74</v>
      </c>
      <c r="C2616" s="409">
        <f>Return!R196</f>
        <v>8.7116707669861009E-4</v>
      </c>
    </row>
    <row r="2617" spans="1:3">
      <c r="A2617" s="406">
        <f>Return!A197</f>
        <v>45798</v>
      </c>
      <c r="B2617" s="408" t="s">
        <v>74</v>
      </c>
      <c r="C2617" s="409">
        <f>Return!R197</f>
        <v>7.9721298530615898E-3</v>
      </c>
    </row>
    <row r="2618" spans="1:3">
      <c r="A2618" s="406">
        <f>Return!A198</f>
        <v>45797</v>
      </c>
      <c r="B2618" s="408" t="s">
        <v>74</v>
      </c>
      <c r="C2618" s="409">
        <f>Return!R198</f>
        <v>-1.3977554803447209E-2</v>
      </c>
    </row>
    <row r="2619" spans="1:3">
      <c r="A2619" s="406">
        <f>Return!A199</f>
        <v>45796</v>
      </c>
      <c r="B2619" s="408" t="s">
        <v>74</v>
      </c>
      <c r="C2619" s="409">
        <f>Return!R199</f>
        <v>6.9187350120894671E-3</v>
      </c>
    </row>
    <row r="2620" spans="1:3">
      <c r="A2620" s="406">
        <f>Return!A200</f>
        <v>45793</v>
      </c>
      <c r="B2620" s="408" t="s">
        <v>74</v>
      </c>
      <c r="C2620" s="409">
        <f>Return!R200</f>
        <v>-9.7433976265819556E-5</v>
      </c>
    </row>
    <row r="2621" spans="1:3">
      <c r="A2621" s="406">
        <f>Return!A201</f>
        <v>45792</v>
      </c>
      <c r="B2621" s="408" t="s">
        <v>74</v>
      </c>
      <c r="C2621" s="409">
        <f>Return!R201</f>
        <v>6.7347721257192215E-3</v>
      </c>
    </row>
    <row r="2622" spans="1:3">
      <c r="A2622" s="406">
        <f>Return!A202</f>
        <v>45791</v>
      </c>
      <c r="B2622" s="408" t="s">
        <v>74</v>
      </c>
      <c r="C2622" s="409">
        <f>Return!R202</f>
        <v>3.2169508478126175E-4</v>
      </c>
    </row>
    <row r="2623" spans="1:3">
      <c r="A2623" s="406">
        <f>Return!A203</f>
        <v>45790</v>
      </c>
      <c r="B2623" s="408" t="s">
        <v>74</v>
      </c>
      <c r="C2623" s="409">
        <f>Return!R203</f>
        <v>8.2202301554291351E-3</v>
      </c>
    </row>
    <row r="2624" spans="1:3">
      <c r="A2624" s="406">
        <f>Return!A204</f>
        <v>45789</v>
      </c>
      <c r="B2624" s="408" t="s">
        <v>74</v>
      </c>
      <c r="C2624" s="409">
        <f>Return!R204</f>
        <v>1.3384853599815838E-2</v>
      </c>
    </row>
    <row r="2625" spans="1:3">
      <c r="A2625" s="406">
        <f>Return!A205</f>
        <v>45786</v>
      </c>
      <c r="B2625" s="408" t="s">
        <v>74</v>
      </c>
      <c r="C2625" s="409">
        <f>Return!R205</f>
        <v>4.4525722606928719E-3</v>
      </c>
    </row>
    <row r="2626" spans="1:3">
      <c r="A2626" s="406">
        <f>Return!A206</f>
        <v>45785</v>
      </c>
      <c r="B2626" s="408" t="s">
        <v>74</v>
      </c>
      <c r="C2626" s="409">
        <f>Return!R206</f>
        <v>-8.0027749507865908E-3</v>
      </c>
    </row>
    <row r="2627" spans="1:3">
      <c r="A2627" s="406">
        <f>Return!A207</f>
        <v>45784</v>
      </c>
      <c r="B2627" s="408" t="s">
        <v>74</v>
      </c>
      <c r="C2627" s="409">
        <f>Return!R207</f>
        <v>-4.9681522288797641E-3</v>
      </c>
    </row>
    <row r="2628" spans="1:3">
      <c r="A2628" s="406">
        <f>Return!A208</f>
        <v>45783</v>
      </c>
      <c r="B2628" s="408" t="s">
        <v>74</v>
      </c>
      <c r="C2628" s="409">
        <f>Return!R208</f>
        <v>-1.4104696546860298E-2</v>
      </c>
    </row>
    <row r="2629" spans="1:3">
      <c r="A2629" s="406">
        <f>Return!A209</f>
        <v>45782</v>
      </c>
      <c r="B2629" s="408" t="s">
        <v>74</v>
      </c>
      <c r="C2629" s="409">
        <f>Return!R209</f>
        <v>3.7803173938558588E-5</v>
      </c>
    </row>
    <row r="2630" spans="1:3">
      <c r="A2630" s="406">
        <f>Return!A210</f>
        <v>45779</v>
      </c>
      <c r="B2630" s="408" t="s">
        <v>74</v>
      </c>
      <c r="C2630" s="409">
        <f>Return!R210</f>
        <v>-6.1218762887431701E-3</v>
      </c>
    </row>
    <row r="2631" spans="1:3">
      <c r="A2631" s="406">
        <f>Return!A211</f>
        <v>45777</v>
      </c>
      <c r="B2631" s="408" t="s">
        <v>74</v>
      </c>
      <c r="C2631" s="409">
        <f>Return!R211</f>
        <v>5.5453782436035897E-4</v>
      </c>
    </row>
    <row r="2632" spans="1:3">
      <c r="A2632" s="406">
        <f>Return!A212</f>
        <v>45776</v>
      </c>
      <c r="B2632" s="408" t="s">
        <v>74</v>
      </c>
      <c r="C2632" s="409">
        <f>Return!R212</f>
        <v>2.3754131139675123E-3</v>
      </c>
    </row>
    <row r="2633" spans="1:3">
      <c r="A2633" s="406">
        <f>Return!A213</f>
        <v>45775</v>
      </c>
      <c r="B2633" s="408" t="s">
        <v>74</v>
      </c>
      <c r="C2633" s="409">
        <f>Return!R213</f>
        <v>7.4479816968989017E-3</v>
      </c>
    </row>
    <row r="2634" spans="1:3">
      <c r="A2634" s="406">
        <f>Return!A214</f>
        <v>45772</v>
      </c>
      <c r="B2634" s="408" t="s">
        <v>74</v>
      </c>
      <c r="C2634" s="409">
        <f>Return!R214</f>
        <v>-9.895173446584863E-3</v>
      </c>
    </row>
    <row r="2635" spans="1:3">
      <c r="A2635" s="406">
        <f>Return!A215</f>
        <v>45771</v>
      </c>
      <c r="B2635" s="408" t="s">
        <v>74</v>
      </c>
      <c r="C2635" s="409">
        <f>Return!R215</f>
        <v>-4.8076051952350802E-3</v>
      </c>
    </row>
    <row r="2636" spans="1:3">
      <c r="A2636" s="406">
        <f>Return!A216</f>
        <v>45770</v>
      </c>
      <c r="B2636" s="408" t="s">
        <v>74</v>
      </c>
      <c r="C2636" s="409">
        <f>Return!R216</f>
        <v>1.5350628046603264E-2</v>
      </c>
    </row>
    <row r="2637" spans="1:3">
      <c r="A2637" s="406">
        <f>Return!A217</f>
        <v>45769</v>
      </c>
      <c r="B2637" s="408" t="s">
        <v>74</v>
      </c>
      <c r="C2637" s="409">
        <f>Return!R217</f>
        <v>5.3389163543736719E-3</v>
      </c>
    </row>
    <row r="2638" spans="1:3">
      <c r="A2638" s="406">
        <f>Return!A218</f>
        <v>45768</v>
      </c>
      <c r="B2638" s="408" t="s">
        <v>74</v>
      </c>
      <c r="C2638" s="409">
        <f>Return!R218</f>
        <v>7.9645657836982103E-3</v>
      </c>
    </row>
    <row r="2639" spans="1:3">
      <c r="A2639" s="406">
        <f>Return!A219</f>
        <v>45764</v>
      </c>
      <c r="B2639" s="408" t="s">
        <v>74</v>
      </c>
      <c r="C2639" s="409">
        <f>Return!R219</f>
        <v>9.4501970054495406E-3</v>
      </c>
    </row>
    <row r="2640" spans="1:3">
      <c r="A2640" s="406">
        <f>Return!A220</f>
        <v>45763</v>
      </c>
      <c r="B2640" s="408" t="s">
        <v>74</v>
      </c>
      <c r="C2640" s="409">
        <f>Return!R220</f>
        <v>-5.6121546738348606E-3</v>
      </c>
    </row>
    <row r="2641" spans="1:3">
      <c r="A2641" s="406">
        <f>Return!A221</f>
        <v>45762</v>
      </c>
      <c r="B2641" s="408" t="s">
        <v>74</v>
      </c>
      <c r="C2641" s="409">
        <f>Return!R221</f>
        <v>1.0853701246342062E-2</v>
      </c>
    </row>
    <row r="2642" spans="1:3">
      <c r="A2642" s="406">
        <f>Return!A222</f>
        <v>45758</v>
      </c>
      <c r="B2642" s="408" t="s">
        <v>74</v>
      </c>
      <c r="C2642" s="409">
        <f>Return!R222</f>
        <v>1.8938858984938991E-2</v>
      </c>
    </row>
    <row r="2643" spans="1:3">
      <c r="A2643" s="406">
        <f>Return!A223</f>
        <v>45756</v>
      </c>
      <c r="B2643" s="408" t="s">
        <v>74</v>
      </c>
      <c r="C2643" s="409">
        <f>Return!R223</f>
        <v>-5.4521762137287452E-3</v>
      </c>
    </row>
    <row r="2644" spans="1:3">
      <c r="A2644" s="406">
        <f>Return!A224</f>
        <v>45755</v>
      </c>
      <c r="B2644" s="408" t="s">
        <v>74</v>
      </c>
      <c r="C2644" s="409">
        <f>Return!R224</f>
        <v>1.8952596312513569E-2</v>
      </c>
    </row>
    <row r="2645" spans="1:3">
      <c r="A2645" s="406">
        <f>Return!A225</f>
        <v>45754</v>
      </c>
      <c r="B2645" s="408" t="s">
        <v>74</v>
      </c>
      <c r="C2645" s="409">
        <f>Return!R225</f>
        <v>-8.0274040834263684E-3</v>
      </c>
    </row>
    <row r="2646" spans="1:3">
      <c r="A2646" s="406">
        <f>Return!A226</f>
        <v>45751</v>
      </c>
      <c r="B2646" s="408" t="s">
        <v>74</v>
      </c>
      <c r="C2646" s="409">
        <f>Return!R226</f>
        <v>-1.5757927864068596E-2</v>
      </c>
    </row>
    <row r="2647" spans="1:3">
      <c r="A2647" s="406">
        <f>Return!A227</f>
        <v>45750</v>
      </c>
      <c r="B2647" s="408" t="s">
        <v>74</v>
      </c>
      <c r="C2647" s="409">
        <f>Return!R227</f>
        <v>5.9375693455067675E-3</v>
      </c>
    </row>
    <row r="2648" spans="1:3">
      <c r="A2648" s="406">
        <f>Return!A228</f>
        <v>45749</v>
      </c>
      <c r="B2648" s="408" t="s">
        <v>74</v>
      </c>
      <c r="C2648" s="409">
        <f>Return!R228</f>
        <v>-1.1253715000655407E-2</v>
      </c>
    </row>
    <row r="2649" spans="1:3">
      <c r="A2649" s="406">
        <f>Return!A229</f>
        <v>45748</v>
      </c>
      <c r="B2649" s="408" t="s">
        <v>74</v>
      </c>
      <c r="C2649" s="409">
        <f>Return!R229</f>
        <v>-1.2409833322260311E-2</v>
      </c>
    </row>
    <row r="2650" spans="1:3">
      <c r="A2650" s="406">
        <f>Return!A230</f>
        <v>45744</v>
      </c>
      <c r="B2650" s="408" t="s">
        <v>74</v>
      </c>
      <c r="C2650" s="409">
        <f>Return!R230</f>
        <v>6.5706029495303485E-3</v>
      </c>
    </row>
    <row r="2651" spans="1:3">
      <c r="A2651" s="406">
        <f>Return!A231</f>
        <v>45743</v>
      </c>
      <c r="B2651" s="408" t="s">
        <v>74</v>
      </c>
      <c r="C2651" s="409">
        <f>Return!R231</f>
        <v>-5.0749200736650117E-3</v>
      </c>
    </row>
    <row r="2652" spans="1:3">
      <c r="A2652" s="406">
        <f>Return!A232</f>
        <v>45742</v>
      </c>
      <c r="B2652" s="408" t="s">
        <v>74</v>
      </c>
      <c r="C2652" s="409">
        <f>Return!R232</f>
        <v>-1.2112323705738859E-2</v>
      </c>
    </row>
    <row r="2653" spans="1:3">
      <c r="A2653" s="406">
        <f>Return!A233</f>
        <v>45741</v>
      </c>
      <c r="B2653" s="408" t="s">
        <v>74</v>
      </c>
      <c r="C2653" s="409">
        <f>Return!R233</f>
        <v>-3.5871383352910173E-3</v>
      </c>
    </row>
    <row r="2654" spans="1:3">
      <c r="A2654" s="406">
        <f>Return!A234</f>
        <v>45740</v>
      </c>
      <c r="B2654" s="408" t="s">
        <v>74</v>
      </c>
      <c r="C2654" s="409">
        <f>Return!R234</f>
        <v>3.5643038187916937E-3</v>
      </c>
    </row>
    <row r="2655" spans="1:3">
      <c r="A2655" s="406">
        <f>Return!A235</f>
        <v>45737</v>
      </c>
      <c r="B2655" s="408" t="s">
        <v>74</v>
      </c>
      <c r="C2655" s="409">
        <f>Return!R235</f>
        <v>4.8816205606165954E-4</v>
      </c>
    </row>
    <row r="2656" spans="1:3">
      <c r="A2656" s="406">
        <f>Return!A236</f>
        <v>45736</v>
      </c>
      <c r="B2656" s="408" t="s">
        <v>74</v>
      </c>
      <c r="C2656" s="409">
        <f>Return!R236</f>
        <v>3.3870171336408015E-3</v>
      </c>
    </row>
    <row r="2657" spans="1:3">
      <c r="A2657" s="406">
        <f>Return!A237</f>
        <v>45735</v>
      </c>
      <c r="B2657" s="408" t="s">
        <v>74</v>
      </c>
      <c r="C2657" s="409">
        <f>Return!R237</f>
        <v>8.0294878141061853E-3</v>
      </c>
    </row>
    <row r="2658" spans="1:3">
      <c r="A2658" s="406">
        <f>Return!A238</f>
        <v>45734</v>
      </c>
      <c r="B2658" s="408" t="s">
        <v>74</v>
      </c>
      <c r="C2658" s="409">
        <f>Return!R238</f>
        <v>7.717869999226616E-3</v>
      </c>
    </row>
    <row r="2659" spans="1:3">
      <c r="A2659" s="406">
        <f>Return!A239</f>
        <v>45733</v>
      </c>
      <c r="B2659" s="408" t="s">
        <v>74</v>
      </c>
      <c r="C2659" s="409">
        <f>Return!R239</f>
        <v>1.2758362015996148E-2</v>
      </c>
    </row>
    <row r="2660" spans="1:3">
      <c r="A2660" s="406">
        <f>Return!A240</f>
        <v>45729</v>
      </c>
      <c r="B2660" s="408" t="s">
        <v>74</v>
      </c>
      <c r="C2660" s="409">
        <f>Return!R240</f>
        <v>-4.6856950829396258E-3</v>
      </c>
    </row>
    <row r="2661" spans="1:3">
      <c r="A2661" s="406">
        <f>Return!A241</f>
        <v>45728</v>
      </c>
      <c r="B2661" s="408" t="s">
        <v>74</v>
      </c>
      <c r="C2661" s="409">
        <f>Return!R241</f>
        <v>3.9464300854030188E-3</v>
      </c>
    </row>
    <row r="2662" spans="1:3">
      <c r="A2662" s="406">
        <f>Return!A242</f>
        <v>45727</v>
      </c>
      <c r="B2662" s="408" t="s">
        <v>74</v>
      </c>
      <c r="C2662" s="409">
        <f>Return!R242</f>
        <v>8.8826564801930408E-3</v>
      </c>
    </row>
    <row r="2663" spans="1:3">
      <c r="A2663" s="406">
        <f>Return!A243</f>
        <v>45726</v>
      </c>
      <c r="B2663" s="408" t="s">
        <v>74</v>
      </c>
      <c r="C2663" s="409">
        <f>Return!R243</f>
        <v>-3.4845762680383941E-3</v>
      </c>
    </row>
    <row r="2664" spans="1:3">
      <c r="A2664" s="406">
        <f>Return!A244</f>
        <v>45723</v>
      </c>
      <c r="B2664" s="408" t="s">
        <v>74</v>
      </c>
      <c r="C2664" s="409">
        <f>Return!R244</f>
        <v>1.3435332654849186E-3</v>
      </c>
    </row>
    <row r="2665" spans="1:3">
      <c r="A2665" s="406">
        <f>Return!A245</f>
        <v>45722</v>
      </c>
      <c r="B2665" s="408" t="s">
        <v>74</v>
      </c>
      <c r="C2665" s="409">
        <f>Return!R245</f>
        <v>1.1812376245659511E-2</v>
      </c>
    </row>
    <row r="2666" spans="1:3">
      <c r="A2666" s="406">
        <f>Return!A246</f>
        <v>45721</v>
      </c>
      <c r="B2666" s="408" t="s">
        <v>74</v>
      </c>
      <c r="C2666" s="409">
        <f>Return!R246</f>
        <v>8.1039583799110155E-3</v>
      </c>
    </row>
    <row r="2667" spans="1:3">
      <c r="A2667" s="406">
        <f>Return!A247</f>
        <v>45720</v>
      </c>
      <c r="B2667" s="408" t="s">
        <v>74</v>
      </c>
      <c r="C2667" s="409">
        <f>Return!R247</f>
        <v>3.2066410939555396E-3</v>
      </c>
    </row>
    <row r="2668" spans="1:3">
      <c r="A2668" s="406">
        <f>Return!A248</f>
        <v>45719</v>
      </c>
      <c r="B2668" s="408" t="s">
        <v>74</v>
      </c>
      <c r="C2668" s="409">
        <f>Return!R248</f>
        <v>6.3035502741744841E-3</v>
      </c>
    </row>
    <row r="2669" spans="1:3">
      <c r="A2669" s="406">
        <f>Return!A249</f>
        <v>45716</v>
      </c>
      <c r="B2669" s="408" t="s">
        <v>74</v>
      </c>
      <c r="C2669" s="409">
        <f>Return!R249</f>
        <v>2.3136979087701563E-3</v>
      </c>
    </row>
    <row r="2670" spans="1:3">
      <c r="A2670" s="406">
        <f>Return!A250</f>
        <v>45715</v>
      </c>
      <c r="B2670" s="408" t="s">
        <v>74</v>
      </c>
      <c r="C2670" s="409">
        <f>Return!R250</f>
        <v>-2.0696736684512195E-3</v>
      </c>
    </row>
    <row r="2671" spans="1:3">
      <c r="A2671" s="406">
        <f>Return!A251</f>
        <v>45713</v>
      </c>
      <c r="B2671" s="408" t="s">
        <v>74</v>
      </c>
      <c r="C2671" s="409">
        <f>Return!R251</f>
        <v>-5.7306768668813728E-3</v>
      </c>
    </row>
    <row r="2672" spans="1:3">
      <c r="A2672" s="406">
        <f>Return!A252</f>
        <v>45712</v>
      </c>
      <c r="B2672" s="408" t="s">
        <v>74</v>
      </c>
      <c r="C2672" s="409">
        <f>Return!R252</f>
        <v>-5.8514246071659868E-3</v>
      </c>
    </row>
    <row r="2673" spans="1:3">
      <c r="A2673" s="406">
        <f>Return!A253</f>
        <v>45709</v>
      </c>
      <c r="B2673" s="408" t="s">
        <v>74</v>
      </c>
      <c r="C2673" s="409">
        <f>Return!R253</f>
        <v>-5.6597708636231276E-3</v>
      </c>
    </row>
    <row r="2674" spans="1:3">
      <c r="A2674" s="406">
        <f>Return!A254</f>
        <v>45708</v>
      </c>
      <c r="B2674" s="408" t="s">
        <v>74</v>
      </c>
      <c r="C2674" s="409">
        <f>Return!R254</f>
        <v>-6.7938127558006545E-3</v>
      </c>
    </row>
    <row r="2675" spans="1:3">
      <c r="A2675" s="406">
        <f>Return!A255</f>
        <v>45707</v>
      </c>
      <c r="B2675" s="408" t="s">
        <v>74</v>
      </c>
      <c r="C2675" s="409">
        <f>Return!R255</f>
        <v>-4.7747009489636774E-3</v>
      </c>
    </row>
    <row r="2676" spans="1:3">
      <c r="A2676" s="406">
        <f>Return!A256</f>
        <v>45706</v>
      </c>
      <c r="B2676" s="408" t="s">
        <v>74</v>
      </c>
      <c r="C2676" s="409">
        <f>Return!R256</f>
        <v>-1.610710572000545E-3</v>
      </c>
    </row>
    <row r="2677" spans="1:3">
      <c r="A2677" s="406">
        <f>Return!A257</f>
        <v>45705</v>
      </c>
      <c r="B2677" s="408" t="s">
        <v>74</v>
      </c>
      <c r="C2677" s="409">
        <f>Return!R257</f>
        <v>5.8010308200014994E-3</v>
      </c>
    </row>
    <row r="2678" spans="1:3">
      <c r="A2678" s="406">
        <f>Return!A258</f>
        <v>45702</v>
      </c>
      <c r="B2678" s="408" t="s">
        <v>74</v>
      </c>
      <c r="C2678" s="409">
        <f>Return!R258</f>
        <v>-9.8680307818715882E-3</v>
      </c>
    </row>
    <row r="2679" spans="1:3">
      <c r="A2679" s="406">
        <f>Return!A259</f>
        <v>45701</v>
      </c>
      <c r="B2679" s="408" t="s">
        <v>74</v>
      </c>
      <c r="C2679" s="409">
        <f>Return!R259</f>
        <v>-3.5086554484498097E-3</v>
      </c>
    </row>
    <row r="2680" spans="1:3">
      <c r="A2680" s="406">
        <f>Return!A260</f>
        <v>45700</v>
      </c>
      <c r="B2680" s="408" t="s">
        <v>74</v>
      </c>
      <c r="C2680" s="409">
        <f>Return!R260</f>
        <v>-5.0467088882650696E-3</v>
      </c>
    </row>
    <row r="2681" spans="1:3">
      <c r="A2681" s="406">
        <f>Return!A261</f>
        <v>45699</v>
      </c>
      <c r="B2681" s="408" t="s">
        <v>74</v>
      </c>
      <c r="C2681" s="409">
        <f>Return!R261</f>
        <v>-1.4131019728856491E-2</v>
      </c>
    </row>
    <row r="2682" spans="1:3">
      <c r="A2682" s="406">
        <f>Return!A262</f>
        <v>45698</v>
      </c>
      <c r="B2682" s="408" t="s">
        <v>74</v>
      </c>
      <c r="C2682" s="409">
        <f>Return!R262</f>
        <v>-3.3869740574785463E-3</v>
      </c>
    </row>
    <row r="2683" spans="1:3">
      <c r="A2683" s="406">
        <f>Return!A263</f>
        <v>45695</v>
      </c>
      <c r="B2683" s="408" t="s">
        <v>74</v>
      </c>
      <c r="C2683" s="409">
        <f>Return!R263</f>
        <v>-9.9384209970642956E-3</v>
      </c>
    </row>
    <row r="2684" spans="1:3">
      <c r="A2684" s="406">
        <f>Return!A264</f>
        <v>45694</v>
      </c>
      <c r="B2684" s="408" t="s">
        <v>74</v>
      </c>
      <c r="C2684" s="409">
        <f>Return!R264</f>
        <v>7.1948712200817309E-4</v>
      </c>
    </row>
    <row r="2685" spans="1:3">
      <c r="A2685" s="406">
        <f>Return!A265</f>
        <v>45693</v>
      </c>
      <c r="B2685" s="408" t="s">
        <v>74</v>
      </c>
      <c r="C2685" s="409">
        <f>Return!R265</f>
        <v>1.2506008996744832E-2</v>
      </c>
    </row>
    <row r="2686" spans="1:3">
      <c r="A2686" s="406">
        <f>Return!A266</f>
        <v>45692</v>
      </c>
      <c r="B2686" s="408" t="s">
        <v>74</v>
      </c>
      <c r="C2686" s="409">
        <f>Return!R266</f>
        <v>3.1459152637799137E-3</v>
      </c>
    </row>
    <row r="2687" spans="1:3">
      <c r="A2687" s="406">
        <f>Return!A267</f>
        <v>45691</v>
      </c>
      <c r="B2687" s="408" t="s">
        <v>74</v>
      </c>
      <c r="C2687" s="409">
        <f>Return!R267</f>
        <v>-1.5208313872738534E-3</v>
      </c>
    </row>
    <row r="2688" spans="1:3">
      <c r="A2688" s="406">
        <f>Return!A268</f>
        <v>45689</v>
      </c>
      <c r="B2688" s="408" t="s">
        <v>74</v>
      </c>
      <c r="C2688" s="409">
        <f>Return!R268</f>
        <v>3.9378387501155538E-4</v>
      </c>
    </row>
    <row r="2689" spans="1:3">
      <c r="A2689" s="406">
        <f>Return!A269</f>
        <v>45688</v>
      </c>
      <c r="B2689" s="408" t="s">
        <v>74</v>
      </c>
      <c r="C2689" s="409">
        <f>Return!R269</f>
        <v>5.7535507002736816E-3</v>
      </c>
    </row>
    <row r="2690" spans="1:3">
      <c r="A2690" s="406">
        <f>Return!A270</f>
        <v>45687</v>
      </c>
      <c r="B2690" s="408" t="s">
        <v>74</v>
      </c>
      <c r="C2690" s="409">
        <f>Return!R270</f>
        <v>6.3914980818396078E-3</v>
      </c>
    </row>
    <row r="2691" spans="1:3">
      <c r="A2691" s="406">
        <f>Return!A271</f>
        <v>45686</v>
      </c>
      <c r="B2691" s="408" t="s">
        <v>74</v>
      </c>
      <c r="C2691" s="409">
        <f>Return!R271</f>
        <v>4.7416741770590848E-3</v>
      </c>
    </row>
    <row r="2692" spans="1:3">
      <c r="A2692" s="406">
        <f>Return!A272</f>
        <v>45685</v>
      </c>
      <c r="B2692" s="408" t="s">
        <v>74</v>
      </c>
      <c r="C2692" s="409">
        <f>Return!R272</f>
        <v>2.2597041086535913E-4</v>
      </c>
    </row>
    <row r="2693" spans="1:3">
      <c r="A2693" s="406">
        <f>Return!A273</f>
        <v>45684</v>
      </c>
      <c r="B2693" s="408" t="s">
        <v>74</v>
      </c>
      <c r="C2693" s="409">
        <f>Return!R273</f>
        <v>-4.8395977918109304E-3</v>
      </c>
    </row>
    <row r="2694" spans="1:3">
      <c r="A2694" s="406">
        <f>Return!A274</f>
        <v>45681</v>
      </c>
      <c r="B2694" s="408" t="s">
        <v>74</v>
      </c>
      <c r="C2694" s="409">
        <f>Return!R274</f>
        <v>-8.5492162220983485E-3</v>
      </c>
    </row>
    <row r="2695" spans="1:3">
      <c r="A2695" s="406">
        <f>Return!A275</f>
        <v>45680</v>
      </c>
      <c r="B2695" s="408" t="s">
        <v>74</v>
      </c>
      <c r="C2695" s="409">
        <f>Return!R275</f>
        <v>-1.9721667149573678E-2</v>
      </c>
    </row>
    <row r="2696" spans="1:3">
      <c r="A2696" s="406">
        <f>Return!A276</f>
        <v>45679</v>
      </c>
      <c r="B2696" s="408" t="s">
        <v>74</v>
      </c>
      <c r="C2696" s="409">
        <f>Return!R276</f>
        <v>-4.0596475603458075E-3</v>
      </c>
    </row>
    <row r="2697" spans="1:3">
      <c r="A2697" s="406">
        <f>Return!A277</f>
        <v>45678</v>
      </c>
      <c r="B2697" s="408" t="s">
        <v>74</v>
      </c>
      <c r="C2697" s="409">
        <f>Return!R277</f>
        <v>-3.1855078665073717E-3</v>
      </c>
    </row>
    <row r="2698" spans="1:3">
      <c r="A2698" s="406">
        <f>Return!A278</f>
        <v>45677</v>
      </c>
      <c r="B2698" s="408" t="s">
        <v>74</v>
      </c>
      <c r="C2698" s="409">
        <f>Return!R278</f>
        <v>1.4782926600779706E-3</v>
      </c>
    </row>
    <row r="2699" spans="1:3">
      <c r="A2699" s="406">
        <f>Return!A279</f>
        <v>45674</v>
      </c>
      <c r="B2699" s="408" t="s">
        <v>74</v>
      </c>
      <c r="C2699" s="409">
        <f>Return!R279</f>
        <v>5.189491951842427E-3</v>
      </c>
    </row>
    <row r="2700" spans="1:3">
      <c r="A2700" s="406">
        <f>Return!A280</f>
        <v>45673</v>
      </c>
      <c r="B2700" s="408" t="s">
        <v>74</v>
      </c>
      <c r="C2700" s="409">
        <f>Return!R280</f>
        <v>1.6154018698027214E-4</v>
      </c>
    </row>
    <row r="2701" spans="1:3">
      <c r="A2701" s="406">
        <f>Return!A281</f>
        <v>45672</v>
      </c>
      <c r="B2701" s="408" t="s">
        <v>74</v>
      </c>
      <c r="C2701" s="409">
        <f>Return!R281</f>
        <v>-7.5885907621620844E-3</v>
      </c>
    </row>
    <row r="2702" spans="1:3">
      <c r="A2702" s="406">
        <f>Return!A282</f>
        <v>45671</v>
      </c>
      <c r="B2702" s="408" t="s">
        <v>74</v>
      </c>
      <c r="C2702" s="409">
        <f>Return!R282</f>
        <v>1.762096140408392E-3</v>
      </c>
    </row>
    <row r="2703" spans="1:3">
      <c r="A2703" s="406">
        <f>Return!A283</f>
        <v>45670</v>
      </c>
      <c r="B2703" s="408" t="s">
        <v>74</v>
      </c>
      <c r="C2703" s="409">
        <f>Return!R283</f>
        <v>-4.265746135104621E-3</v>
      </c>
    </row>
    <row r="2704" spans="1:3">
      <c r="A2704" s="406">
        <f>Return!A284</f>
        <v>45667</v>
      </c>
      <c r="B2704" s="408" t="s">
        <v>74</v>
      </c>
      <c r="C2704" s="409">
        <f>Return!R284</f>
        <v>-1.0179507776339683E-2</v>
      </c>
    </row>
    <row r="2705" spans="1:3">
      <c r="A2705" s="406">
        <f>Return!A285</f>
        <v>45666</v>
      </c>
      <c r="B2705" s="408" t="s">
        <v>74</v>
      </c>
      <c r="C2705" s="409">
        <f>Return!R285</f>
        <v>2.3600457948535648E-3</v>
      </c>
    </row>
    <row r="2706" spans="1:3">
      <c r="A2706" s="406">
        <f>Return!A286</f>
        <v>45665</v>
      </c>
      <c r="B2706" s="408" t="s">
        <v>74</v>
      </c>
      <c r="C2706" s="409">
        <f>Return!R286</f>
        <v>-1.5648769687420176E-2</v>
      </c>
    </row>
    <row r="2707" spans="1:3">
      <c r="A2707" s="406">
        <f>Return!A287</f>
        <v>45664</v>
      </c>
      <c r="B2707" s="408" t="s">
        <v>74</v>
      </c>
      <c r="C2707" s="409">
        <f>Return!R287</f>
        <v>-2.6204591980030266E-3</v>
      </c>
    </row>
    <row r="2708" spans="1:3">
      <c r="A2708" s="406">
        <f>Return!A288</f>
        <v>45663</v>
      </c>
      <c r="B2708" s="408" t="s">
        <v>74</v>
      </c>
      <c r="C2708" s="409">
        <f>Return!R288</f>
        <v>4.0589465432070684E-4</v>
      </c>
    </row>
    <row r="2709" spans="1:3">
      <c r="A2709" s="406">
        <f>Return!A289</f>
        <v>45660</v>
      </c>
      <c r="B2709" s="408" t="s">
        <v>74</v>
      </c>
      <c r="C2709" s="409">
        <f>Return!R289</f>
        <v>-6.6417701490376763E-3</v>
      </c>
    </row>
    <row r="2710" spans="1:3">
      <c r="A2710" s="406">
        <f>Return!A290</f>
        <v>45659</v>
      </c>
      <c r="B2710" s="408" t="s">
        <v>74</v>
      </c>
      <c r="C2710" s="409">
        <f>Return!R290</f>
        <v>-3.5380434648443308E-3</v>
      </c>
    </row>
    <row r="2711" spans="1:3">
      <c r="A2711" s="406">
        <f>Return!A291</f>
        <v>45658</v>
      </c>
      <c r="B2711" s="408" t="s">
        <v>74</v>
      </c>
      <c r="C2711" s="409">
        <f>Return!R291</f>
        <v>-1.3867607657052348E-4</v>
      </c>
    </row>
    <row r="2712" spans="1:3">
      <c r="A2712" s="406">
        <f>Return!A292</f>
        <v>45657</v>
      </c>
      <c r="B2712" s="408" t="s">
        <v>74</v>
      </c>
      <c r="C2712" s="409">
        <f>Return!R292</f>
        <v>-3.9888288889824704E-4</v>
      </c>
    </row>
    <row r="2713" spans="1:3">
      <c r="A2713" s="406">
        <f>Return!A293</f>
        <v>45656</v>
      </c>
      <c r="B2713" s="408" t="s">
        <v>74</v>
      </c>
      <c r="C2713" s="409">
        <f>Return!R293</f>
        <v>-1.3955990739514295E-4</v>
      </c>
    </row>
    <row r="2714" spans="1:3">
      <c r="A2714" s="406">
        <f>Return!A294</f>
        <v>45653</v>
      </c>
      <c r="B2714" s="408" t="s">
        <v>74</v>
      </c>
      <c r="C2714" s="409">
        <f>Return!R294</f>
        <v>9.3899753602760677E-3</v>
      </c>
    </row>
    <row r="2715" spans="1:3">
      <c r="A2715" s="406">
        <f>Return!A295</f>
        <v>45652</v>
      </c>
      <c r="B2715" s="408" t="s">
        <v>74</v>
      </c>
      <c r="C2715" s="409">
        <f>Return!R295</f>
        <v>4.2417022295554432E-3</v>
      </c>
    </row>
    <row r="2716" spans="1:3">
      <c r="A2716" s="406">
        <f>Return!A296</f>
        <v>45650</v>
      </c>
      <c r="B2716" s="408" t="s">
        <v>74</v>
      </c>
      <c r="C2716" s="409">
        <f>Return!R296</f>
        <v>3.1779990606110409E-3</v>
      </c>
    </row>
    <row r="2717" spans="1:3">
      <c r="A2717" s="406">
        <f>Return!A297</f>
        <v>45649</v>
      </c>
      <c r="B2717" s="408" t="s">
        <v>74</v>
      </c>
      <c r="C2717" s="409">
        <f>Return!R297</f>
        <v>1.0061278506293498E-3</v>
      </c>
    </row>
    <row r="2718" spans="1:3">
      <c r="A2718" s="406">
        <f>Return!A298</f>
        <v>45646</v>
      </c>
      <c r="B2718" s="408" t="s">
        <v>74</v>
      </c>
      <c r="C2718" s="409">
        <f>Return!R298</f>
        <v>3.8445109204942414E-5</v>
      </c>
    </row>
    <row r="2719" spans="1:3">
      <c r="A2719" s="406">
        <f>Return!A299</f>
        <v>45645</v>
      </c>
      <c r="B2719" s="408" t="s">
        <v>74</v>
      </c>
      <c r="C2719" s="409">
        <f>Return!R299</f>
        <v>2.7180162417315659E-3</v>
      </c>
    </row>
    <row r="2720" spans="1:3">
      <c r="A2720" s="406">
        <f>Return!A300</f>
        <v>45644</v>
      </c>
      <c r="B2720" s="408" t="s">
        <v>74</v>
      </c>
      <c r="C2720" s="409">
        <f>Return!R300</f>
        <v>5.7968359336578847E-3</v>
      </c>
    </row>
    <row r="2721" spans="1:3">
      <c r="A2721" s="406">
        <f>Return!A301</f>
        <v>45643</v>
      </c>
      <c r="B2721" s="408" t="s">
        <v>74</v>
      </c>
      <c r="C2721" s="409">
        <f>Return!R301</f>
        <v>-4.1889279038244349E-4</v>
      </c>
    </row>
    <row r="2722" spans="1:3">
      <c r="A2722" s="406">
        <f>Return!A302</f>
        <v>45642</v>
      </c>
      <c r="B2722" s="408" t="s">
        <v>74</v>
      </c>
      <c r="C2722" s="409">
        <f>Return!R302</f>
        <v>2.2674688557585091E-3</v>
      </c>
    </row>
    <row r="2723" spans="1:3">
      <c r="A2723" s="406">
        <f>Return!A303</f>
        <v>45639</v>
      </c>
      <c r="B2723" s="408" t="s">
        <v>74</v>
      </c>
      <c r="C2723" s="409">
        <f>Return!R303</f>
        <v>4.3133100892557659E-3</v>
      </c>
    </row>
    <row r="2724" spans="1:3">
      <c r="A2724" s="406">
        <f>Return!A304</f>
        <v>45638</v>
      </c>
      <c r="B2724" s="408" t="s">
        <v>74</v>
      </c>
      <c r="C2724" s="409">
        <f>Return!R304</f>
        <v>-6.4286601735208514E-3</v>
      </c>
    </row>
    <row r="2725" spans="1:3">
      <c r="A2725" s="406">
        <f>Return!A305</f>
        <v>45637</v>
      </c>
      <c r="B2725" s="408" t="s">
        <v>74</v>
      </c>
      <c r="C2725" s="409">
        <f>Return!R305</f>
        <v>-3.5963401878933232E-3</v>
      </c>
    </row>
    <row r="2726" spans="1:3">
      <c r="A2726" s="406">
        <f>Return!A306</f>
        <v>45636</v>
      </c>
      <c r="B2726" s="408" t="s">
        <v>74</v>
      </c>
      <c r="C2726" s="409">
        <f>Return!R306</f>
        <v>1.3047057392052664E-3</v>
      </c>
    </row>
    <row r="2727" spans="1:3">
      <c r="A2727" s="406">
        <f>Return!A307</f>
        <v>45635</v>
      </c>
      <c r="B2727" s="408" t="s">
        <v>74</v>
      </c>
      <c r="C2727" s="409">
        <f>Return!R307</f>
        <v>-3.4164130085301181E-3</v>
      </c>
    </row>
    <row r="2728" spans="1:3">
      <c r="A2728" s="406">
        <f>Return!A308</f>
        <v>45632</v>
      </c>
      <c r="B2728" s="408" t="s">
        <v>74</v>
      </c>
      <c r="C2728" s="409">
        <f>Return!R308</f>
        <v>1.5502176361127601E-3</v>
      </c>
    </row>
    <row r="2729" spans="1:3">
      <c r="A2729" s="406">
        <f>Return!A309</f>
        <v>45631</v>
      </c>
      <c r="B2729" s="408" t="s">
        <v>74</v>
      </c>
      <c r="C2729" s="409">
        <f>Return!R309</f>
        <v>-5.5511355228153696E-3</v>
      </c>
    </row>
    <row r="2730" spans="1:3">
      <c r="A2730" s="406">
        <f>Return!A310</f>
        <v>45630</v>
      </c>
      <c r="B2730" s="408" t="s">
        <v>74</v>
      </c>
      <c r="C2730" s="409">
        <f>Return!R310</f>
        <v>-1.90351801307353E-4</v>
      </c>
    </row>
    <row r="2731" spans="1:3">
      <c r="A2731" s="406">
        <f>Return!A311</f>
        <v>45629</v>
      </c>
      <c r="B2731" s="408" t="s">
        <v>74</v>
      </c>
      <c r="C2731" s="409">
        <f>Return!R311</f>
        <v>1.0453473554511003E-3</v>
      </c>
    </row>
    <row r="2732" spans="1:3">
      <c r="A2732" s="406">
        <f>Return!A312</f>
        <v>45628</v>
      </c>
      <c r="B2732" s="408" t="s">
        <v>74</v>
      </c>
      <c r="C2732" s="409">
        <f>Return!R312</f>
        <v>3.5391182583724748E-3</v>
      </c>
    </row>
    <row r="2733" spans="1:3">
      <c r="A2733" s="406">
        <f>Return!A313</f>
        <v>45625</v>
      </c>
      <c r="B2733" s="408" t="s">
        <v>74</v>
      </c>
      <c r="C2733" s="409">
        <f>Return!R313</f>
        <v>6.7031626564295031E-3</v>
      </c>
    </row>
    <row r="2734" spans="1:3">
      <c r="A2734" s="406">
        <f>Return!A314</f>
        <v>45624</v>
      </c>
      <c r="B2734" s="408" t="s">
        <v>74</v>
      </c>
      <c r="C2734" s="409">
        <f>Return!R314</f>
        <v>1.0027547618185884E-2</v>
      </c>
    </row>
    <row r="2735" spans="1:3">
      <c r="A2735" s="406">
        <f>Return!A315</f>
        <v>45623</v>
      </c>
      <c r="B2735" s="408" t="s">
        <v>74</v>
      </c>
      <c r="C2735" s="409">
        <f>Return!R315</f>
        <v>6.325834557912793E-3</v>
      </c>
    </row>
    <row r="2736" spans="1:3">
      <c r="A2736" s="406">
        <f>Return!A316</f>
        <v>45622</v>
      </c>
      <c r="B2736" s="408" t="s">
        <v>74</v>
      </c>
      <c r="C2736" s="409">
        <f>Return!R316</f>
        <v>2.3856272732421624E-3</v>
      </c>
    </row>
    <row r="2737" spans="1:3">
      <c r="A2737" s="406">
        <f>Return!A317</f>
        <v>45621</v>
      </c>
      <c r="B2737" s="408" t="s">
        <v>74</v>
      </c>
      <c r="C2737" s="409">
        <f>Return!R317</f>
        <v>-1.9256858312946695E-3</v>
      </c>
    </row>
    <row r="2738" spans="1:3">
      <c r="A2738" s="406">
        <f>Return!A318</f>
        <v>45618</v>
      </c>
      <c r="B2738" s="408" t="s">
        <v>74</v>
      </c>
      <c r="C2738" s="409">
        <f>Return!R318</f>
        <v>1.0434705073463025E-3</v>
      </c>
    </row>
    <row r="2739" spans="1:3">
      <c r="A2739" s="406">
        <f>Return!A319</f>
        <v>45617</v>
      </c>
      <c r="B2739" s="408" t="s">
        <v>74</v>
      </c>
      <c r="C2739" s="409">
        <f>Return!R319</f>
        <v>-3.1245217472693396E-3</v>
      </c>
    </row>
    <row r="2740" spans="1:3">
      <c r="A2740" s="406">
        <f>Return!A320</f>
        <v>45615</v>
      </c>
      <c r="B2740" s="408" t="s">
        <v>74</v>
      </c>
      <c r="C2740" s="409">
        <f>Return!R320</f>
        <v>4.865870709663731E-3</v>
      </c>
    </row>
    <row r="2741" spans="1:3">
      <c r="A2741" s="406">
        <f>Return!A321</f>
        <v>45614</v>
      </c>
      <c r="B2741" s="408" t="s">
        <v>74</v>
      </c>
      <c r="C2741" s="409">
        <f>Return!R321</f>
        <v>6.7594388529612225E-4</v>
      </c>
    </row>
    <row r="2742" spans="1:3">
      <c r="A2742" s="406">
        <f>Return!A322</f>
        <v>45610</v>
      </c>
      <c r="B2742" s="408" t="s">
        <v>74</v>
      </c>
      <c r="C2742" s="409">
        <f>Return!R322</f>
        <v>-4.2623882047319178E-6</v>
      </c>
    </row>
    <row r="2743" spans="1:3">
      <c r="A2743" s="406">
        <f>Return!A323</f>
        <v>45609</v>
      </c>
      <c r="B2743" s="408" t="s">
        <v>74</v>
      </c>
      <c r="C2743" s="409">
        <f>Return!R323</f>
        <v>-4.8912313415371998E-4</v>
      </c>
    </row>
    <row r="2744" spans="1:3">
      <c r="A2744" s="406">
        <f>Return!A324</f>
        <v>45608</v>
      </c>
      <c r="B2744" s="408" t="s">
        <v>74</v>
      </c>
      <c r="C2744" s="409">
        <f>Return!R324</f>
        <v>-6.8899768912666732E-3</v>
      </c>
    </row>
    <row r="2745" spans="1:3">
      <c r="A2745" s="406">
        <f>Return!A325</f>
        <v>45607</v>
      </c>
      <c r="B2745" s="408" t="s">
        <v>74</v>
      </c>
      <c r="C2745" s="409">
        <f>Return!R325</f>
        <v>-6.6376385143173356E-3</v>
      </c>
    </row>
    <row r="2746" spans="1:3">
      <c r="A2746" s="406">
        <f>Return!A326</f>
        <v>45604</v>
      </c>
      <c r="B2746" s="408" t="s">
        <v>74</v>
      </c>
      <c r="C2746" s="409">
        <f>Return!R326</f>
        <v>-9.3880398931563622E-3</v>
      </c>
    </row>
    <row r="2747" spans="1:3">
      <c r="A2747" s="406">
        <f>Return!A327</f>
        <v>45603</v>
      </c>
      <c r="B2747" s="408" t="s">
        <v>74</v>
      </c>
      <c r="C2747" s="409">
        <f>Return!R327</f>
        <v>-7.1628337019218934E-3</v>
      </c>
    </row>
    <row r="2748" spans="1:3">
      <c r="A2748" s="406">
        <f>Return!A328</f>
        <v>45602</v>
      </c>
      <c r="B2748" s="408" t="s">
        <v>74</v>
      </c>
      <c r="C2748" s="409">
        <f>Return!R328</f>
        <v>-9.1010996765933574E-3</v>
      </c>
    </row>
    <row r="2749" spans="1:3">
      <c r="A2749" s="406">
        <f>Return!A329</f>
        <v>45601</v>
      </c>
      <c r="B2749" s="408" t="s">
        <v>74</v>
      </c>
      <c r="C2749" s="409">
        <f>Return!R329</f>
        <v>6.2357725837662772E-3</v>
      </c>
    </row>
    <row r="2750" spans="1:3">
      <c r="A2750" s="406">
        <f>Return!A330</f>
        <v>45600</v>
      </c>
      <c r="B2750" s="408" t="s">
        <v>74</v>
      </c>
      <c r="C2750" s="409">
        <f>Return!R330</f>
        <v>-8.3234901915699589E-3</v>
      </c>
    </row>
    <row r="2751" spans="1:3">
      <c r="A2751" s="406">
        <f>Return!A331</f>
        <v>45597</v>
      </c>
      <c r="B2751" s="408" t="s">
        <v>74</v>
      </c>
      <c r="C2751" s="409">
        <f>Return!R331</f>
        <v>6.9263402679605422E-3</v>
      </c>
    </row>
    <row r="2752" spans="1:3">
      <c r="A2752" s="406">
        <f>Return!A332</f>
        <v>45596</v>
      </c>
      <c r="B2752" s="408" t="s">
        <v>74</v>
      </c>
      <c r="C2752" s="409">
        <f>Return!R332</f>
        <v>4.7215842992709492E-3</v>
      </c>
    </row>
    <row r="2753" spans="1:3">
      <c r="A2753" s="406">
        <f>Return!A333</f>
        <v>45595</v>
      </c>
      <c r="B2753" s="408" t="s">
        <v>74</v>
      </c>
      <c r="C2753" s="409">
        <f>Return!R333</f>
        <v>-7.8804481212356673E-3</v>
      </c>
    </row>
    <row r="2754" spans="1:3">
      <c r="A2754" s="406">
        <f>Return!A334</f>
        <v>45594</v>
      </c>
      <c r="B2754" s="408" t="s">
        <v>74</v>
      </c>
      <c r="C2754" s="409">
        <f>Return!R334</f>
        <v>-5.1322170150216988E-3</v>
      </c>
    </row>
    <row r="2755" spans="1:3">
      <c r="A2755" s="406">
        <f>Return!A335</f>
        <v>45593</v>
      </c>
      <c r="B2755" s="408" t="s">
        <v>74</v>
      </c>
      <c r="C2755" s="409">
        <f>Return!R335</f>
        <v>-2.6867171311639863E-3</v>
      </c>
    </row>
    <row r="2756" spans="1:3">
      <c r="A2756" s="406">
        <f>Return!A336</f>
        <v>45590</v>
      </c>
      <c r="B2756" s="408" t="s">
        <v>74</v>
      </c>
      <c r="C2756" s="409">
        <f>Return!R336</f>
        <v>-6.8677644511546242E-3</v>
      </c>
    </row>
    <row r="2757" spans="1:3">
      <c r="A2757" s="406">
        <f>Return!A337</f>
        <v>45589</v>
      </c>
      <c r="B2757" s="408" t="s">
        <v>74</v>
      </c>
      <c r="C2757" s="409">
        <f>Return!R337</f>
        <v>-2.3949800949215355E-4</v>
      </c>
    </row>
    <row r="2758" spans="1:3">
      <c r="A2758" s="406">
        <f>Return!A338</f>
        <v>45588</v>
      </c>
      <c r="B2758" s="408" t="s">
        <v>74</v>
      </c>
      <c r="C2758" s="409">
        <f>Return!R338</f>
        <v>9.2438968775574674E-3</v>
      </c>
    </row>
    <row r="2759" spans="1:3">
      <c r="A2759" s="406">
        <f>Return!A339</f>
        <v>45587</v>
      </c>
      <c r="B2759" s="408" t="s">
        <v>74</v>
      </c>
      <c r="C2759" s="409">
        <f>Return!R339</f>
        <v>-1.0163181731758618E-2</v>
      </c>
    </row>
    <row r="2760" spans="1:3">
      <c r="A2760" s="406">
        <f>Return!A340</f>
        <v>45586</v>
      </c>
      <c r="B2760" s="408" t="s">
        <v>74</v>
      </c>
      <c r="C2760" s="409">
        <f>Return!R340</f>
        <v>-4.6625532830782421E-3</v>
      </c>
    </row>
    <row r="2761" spans="1:3">
      <c r="A2761" s="406">
        <f>Return!A341</f>
        <v>45583</v>
      </c>
      <c r="B2761" s="408" t="s">
        <v>74</v>
      </c>
      <c r="C2761" s="409">
        <f>Return!R341</f>
        <v>-5.2811265381710638E-3</v>
      </c>
    </row>
    <row r="2762" spans="1:3">
      <c r="A2762" s="406">
        <f>Return!A342</f>
        <v>45582</v>
      </c>
      <c r="B2762" s="408" t="s">
        <v>74</v>
      </c>
      <c r="C2762" s="409">
        <f>Return!R342</f>
        <v>-6.5724705149590988E-4</v>
      </c>
    </row>
    <row r="2763" spans="1:3">
      <c r="A2763" s="406">
        <f>Return!A343</f>
        <v>45581</v>
      </c>
      <c r="B2763" s="408" t="s">
        <v>74</v>
      </c>
      <c r="C2763" s="409">
        <f>Return!R343</f>
        <v>-1.5501283065090949E-2</v>
      </c>
    </row>
    <row r="2764" spans="1:3">
      <c r="A2764" s="406">
        <f>Return!A344</f>
        <v>45580</v>
      </c>
      <c r="B2764" s="408" t="s">
        <v>74</v>
      </c>
      <c r="C2764" s="409">
        <f>Return!R344</f>
        <v>-2.6283529493908763E-3</v>
      </c>
    </row>
    <row r="2765" spans="1:3">
      <c r="A2765" s="406">
        <f>Return!A345</f>
        <v>45579</v>
      </c>
      <c r="B2765" s="408" t="s">
        <v>74</v>
      </c>
      <c r="C2765" s="409">
        <f>Return!R345</f>
        <v>-1.0614845945187221E-3</v>
      </c>
    </row>
    <row r="2766" spans="1:3">
      <c r="A2766" s="406">
        <f>Return!A346</f>
        <v>45576</v>
      </c>
      <c r="B2766" s="408" t="s">
        <v>74</v>
      </c>
      <c r="C2766" s="409">
        <f>Return!R346</f>
        <v>4.4725215587549626E-3</v>
      </c>
    </row>
    <row r="2767" spans="1:3">
      <c r="A2767" s="406">
        <f>Return!A347</f>
        <v>45575</v>
      </c>
      <c r="B2767" s="408" t="s">
        <v>74</v>
      </c>
      <c r="C2767" s="409">
        <f>Return!R347</f>
        <v>-2.0469068270697458E-3</v>
      </c>
    </row>
    <row r="2768" spans="1:3">
      <c r="A2768" s="406">
        <f>Return!A348</f>
        <v>45574</v>
      </c>
      <c r="B2768" s="408" t="s">
        <v>74</v>
      </c>
      <c r="C2768" s="409">
        <f>Return!R348</f>
        <v>-4.3445083642754175E-3</v>
      </c>
    </row>
    <row r="2769" spans="1:3">
      <c r="A2769" s="406">
        <f>Return!A349</f>
        <v>45573</v>
      </c>
      <c r="B2769" s="408" t="s">
        <v>74</v>
      </c>
      <c r="C2769" s="409">
        <f>Return!R349</f>
        <v>9.6717386286514079E-3</v>
      </c>
    </row>
    <row r="2770" spans="1:3">
      <c r="A2770" s="406">
        <f>Return!A350</f>
        <v>45572</v>
      </c>
      <c r="B2770" s="408" t="s">
        <v>74</v>
      </c>
      <c r="C2770" s="409">
        <f>Return!R350</f>
        <v>-2.2387168106724475E-3</v>
      </c>
    </row>
    <row r="2771" spans="1:3">
      <c r="A2771" s="406">
        <f>Return!A351</f>
        <v>45569</v>
      </c>
      <c r="B2771" s="408" t="s">
        <v>74</v>
      </c>
      <c r="C2771" s="409">
        <f>Return!R351</f>
        <v>4.0264467182213378E-3</v>
      </c>
    </row>
    <row r="2772" spans="1:3">
      <c r="A2772" s="406">
        <f>Return!A352</f>
        <v>45568</v>
      </c>
      <c r="B2772" s="408" t="s">
        <v>74</v>
      </c>
      <c r="C2772" s="409">
        <f>Return!R352</f>
        <v>2.6411387690838898E-3</v>
      </c>
    </row>
    <row r="2773" spans="1:3">
      <c r="A2773" s="406">
        <f>Return!A353</f>
        <v>45566</v>
      </c>
      <c r="B2773" s="408" t="s">
        <v>74</v>
      </c>
      <c r="C2773" s="409">
        <f>Return!R353</f>
        <v>7.9290109018710295E-4</v>
      </c>
    </row>
    <row r="2774" spans="1:3">
      <c r="A2774" s="406">
        <f>Return!A354</f>
        <v>45565</v>
      </c>
      <c r="B2774" s="408" t="s">
        <v>74</v>
      </c>
      <c r="C2774" s="409">
        <f>Return!R354</f>
        <v>-3.7975284963530375E-4</v>
      </c>
    </row>
    <row r="2775" spans="1:3">
      <c r="A2775" s="406">
        <f>Return!A355</f>
        <v>45562</v>
      </c>
      <c r="B2775" s="408" t="s">
        <v>74</v>
      </c>
      <c r="C2775" s="409">
        <f>Return!R355</f>
        <v>-6.7960943148344015E-3</v>
      </c>
    </row>
    <row r="2776" spans="1:3">
      <c r="A2776" s="406">
        <f>Return!A356</f>
        <v>45561</v>
      </c>
      <c r="B2776" s="408" t="s">
        <v>74</v>
      </c>
      <c r="C2776" s="409">
        <f>Return!R356</f>
        <v>4.1427521914693677E-3</v>
      </c>
    </row>
    <row r="2777" spans="1:3">
      <c r="A2777" s="406">
        <f>Return!A357</f>
        <v>45560</v>
      </c>
      <c r="B2777" s="408" t="s">
        <v>74</v>
      </c>
      <c r="C2777" s="409">
        <f>Return!R357</f>
        <v>-1.3783776895495191E-3</v>
      </c>
    </row>
    <row r="2778" spans="1:3">
      <c r="A2778" s="406">
        <f>Return!A358</f>
        <v>45559</v>
      </c>
      <c r="B2778" s="408" t="s">
        <v>74</v>
      </c>
      <c r="C2778" s="409">
        <f>Return!R358</f>
        <v>1.2818065313612076E-2</v>
      </c>
    </row>
    <row r="2779" spans="1:3">
      <c r="A2779" s="406">
        <f>Return!A359</f>
        <v>45558</v>
      </c>
      <c r="B2779" s="408" t="s">
        <v>74</v>
      </c>
      <c r="C2779" s="409">
        <f>Return!R359</f>
        <v>6.5588944528281665E-3</v>
      </c>
    </row>
    <row r="2780" spans="1:3">
      <c r="A2780" s="406">
        <f>Return!A360</f>
        <v>45555</v>
      </c>
      <c r="B2780" s="408" t="s">
        <v>74</v>
      </c>
      <c r="C2780" s="409">
        <f>Return!R360</f>
        <v>-1.5436785666361899E-3</v>
      </c>
    </row>
    <row r="2781" spans="1:3">
      <c r="A2781" s="406">
        <f>Return!A361</f>
        <v>45554</v>
      </c>
      <c r="B2781" s="408" t="s">
        <v>74</v>
      </c>
      <c r="C2781" s="409">
        <f>Return!R361</f>
        <v>-4.4084535439057048E-4</v>
      </c>
    </row>
    <row r="2782" spans="1:3">
      <c r="A2782" s="406">
        <f>Return!A362</f>
        <v>45553</v>
      </c>
      <c r="B2782" s="408" t="s">
        <v>74</v>
      </c>
      <c r="C2782" s="409">
        <f>Return!R362</f>
        <v>-9.2828371395579784E-3</v>
      </c>
    </row>
    <row r="2783" spans="1:3">
      <c r="A2783" s="406">
        <f>Return!A363</f>
        <v>45552</v>
      </c>
      <c r="B2783" s="408" t="s">
        <v>74</v>
      </c>
      <c r="C2783" s="409">
        <f>Return!R363</f>
        <v>-6.125495836799574E-3</v>
      </c>
    </row>
    <row r="2784" spans="1:3">
      <c r="A2784" s="406">
        <f>Return!A364</f>
        <v>45551</v>
      </c>
      <c r="B2784" s="408" t="s">
        <v>74</v>
      </c>
      <c r="C2784" s="409">
        <f>Return!R364</f>
        <v>-6.432072674351948E-3</v>
      </c>
    </row>
    <row r="2785" spans="1:3">
      <c r="A2785" s="406">
        <f>Return!A365</f>
        <v>45548</v>
      </c>
      <c r="B2785" s="408" t="s">
        <v>74</v>
      </c>
      <c r="C2785" s="409">
        <f>Return!R365</f>
        <v>-5.2619435788719233E-3</v>
      </c>
    </row>
    <row r="2786" spans="1:3">
      <c r="A2786" s="406">
        <f>Return!A366</f>
        <v>45547</v>
      </c>
      <c r="B2786" s="408" t="s">
        <v>74</v>
      </c>
      <c r="C2786" s="409">
        <f>Return!R366</f>
        <v>2.2550066571655697E-3</v>
      </c>
    </row>
    <row r="2787" spans="1:3">
      <c r="A2787" s="406">
        <f>Return!A367</f>
        <v>45546</v>
      </c>
      <c r="B2787" s="408" t="s">
        <v>74</v>
      </c>
      <c r="C2787" s="409">
        <f>Return!R367</f>
        <v>2.9276544079827492E-3</v>
      </c>
    </row>
    <row r="2788" spans="1:3">
      <c r="A2788" s="406">
        <f>Return!A368</f>
        <v>45545</v>
      </c>
      <c r="B2788" s="408" t="s">
        <v>74</v>
      </c>
      <c r="C2788" s="409">
        <f>Return!R368</f>
        <v>-1.0789108211366183E-3</v>
      </c>
    </row>
    <row r="2789" spans="1:3">
      <c r="A2789" s="406">
        <f>Return!A369</f>
        <v>45544</v>
      </c>
      <c r="B2789" s="408" t="s">
        <v>74</v>
      </c>
      <c r="C2789" s="409">
        <f>Return!R369</f>
        <v>5.7111796186294144E-3</v>
      </c>
    </row>
    <row r="2790" spans="1:3">
      <c r="A2790" s="406">
        <f>Return!A370</f>
        <v>45541</v>
      </c>
      <c r="B2790" s="408" t="s">
        <v>74</v>
      </c>
      <c r="C2790" s="409">
        <f>Return!R370</f>
        <v>-6.9533983878836581E-4</v>
      </c>
    </row>
    <row r="2791" spans="1:3">
      <c r="A2791" s="406">
        <f>Return!A371</f>
        <v>45540</v>
      </c>
      <c r="B2791" s="408" t="s">
        <v>74</v>
      </c>
      <c r="C2791" s="409">
        <f>Return!R371</f>
        <v>4.5285606318404715E-3</v>
      </c>
    </row>
    <row r="2792" spans="1:3">
      <c r="A2792" s="406">
        <f>Return!A372</f>
        <v>45539</v>
      </c>
      <c r="B2792" s="408" t="s">
        <v>74</v>
      </c>
      <c r="C2792" s="409">
        <f>Return!R372</f>
        <v>3.8136358084567517E-3</v>
      </c>
    </row>
    <row r="2793" spans="1:3">
      <c r="A2793" s="406">
        <f>Return!A373</f>
        <v>45538</v>
      </c>
      <c r="B2793" s="408" t="s">
        <v>74</v>
      </c>
      <c r="C2793" s="409">
        <f>Return!R373</f>
        <v>2.583295136607051E-3</v>
      </c>
    </row>
    <row r="2794" spans="1:3">
      <c r="A2794" s="406">
        <f>Return!A374</f>
        <v>45537</v>
      </c>
      <c r="B2794" s="408" t="s">
        <v>74</v>
      </c>
      <c r="C2794" s="409">
        <f>Return!R374</f>
        <v>-3.5230370559936326E-3</v>
      </c>
    </row>
    <row r="2795" spans="1:3">
      <c r="A2795" s="406">
        <f>Return!A375</f>
        <v>45534</v>
      </c>
      <c r="B2795" s="408" t="s">
        <v>74</v>
      </c>
      <c r="C2795" s="409">
        <f>Return!R375</f>
        <v>-1.0752433139242534E-3</v>
      </c>
    </row>
    <row r="2796" spans="1:3">
      <c r="A2796" s="406">
        <f>Return!A376</f>
        <v>45533</v>
      </c>
      <c r="B2796" s="408" t="s">
        <v>74</v>
      </c>
      <c r="C2796" s="409">
        <f>Return!R376</f>
        <v>5.6562920653809414E-3</v>
      </c>
    </row>
    <row r="2797" spans="1:3">
      <c r="A2797" s="406">
        <f>Return!A377</f>
        <v>45532</v>
      </c>
      <c r="B2797" s="408" t="s">
        <v>74</v>
      </c>
      <c r="C2797" s="409">
        <f>Return!R377</f>
        <v>3.4271319102236338E-3</v>
      </c>
    </row>
    <row r="2798" spans="1:3">
      <c r="A2798" s="406">
        <f>Return!A378</f>
        <v>45531</v>
      </c>
      <c r="B2798" s="408" t="s">
        <v>74</v>
      </c>
      <c r="C2798" s="409">
        <f>Return!R378</f>
        <v>1.4496462112365768E-2</v>
      </c>
    </row>
    <row r="2799" spans="1:3">
      <c r="A2799" s="406">
        <f>Return!A379</f>
        <v>45530</v>
      </c>
      <c r="B2799" s="408" t="s">
        <v>74</v>
      </c>
      <c r="C2799" s="409">
        <f>Return!R379</f>
        <v>-8.5110917276173623E-3</v>
      </c>
    </row>
    <row r="2800" spans="1:3">
      <c r="A2800" s="406">
        <f>Return!A380</f>
        <v>45527</v>
      </c>
      <c r="B2800" s="408" t="s">
        <v>74</v>
      </c>
      <c r="C2800" s="409">
        <f>Return!R380</f>
        <v>3.4054780331700518E-3</v>
      </c>
    </row>
    <row r="2801" spans="1:3">
      <c r="A2801" s="406">
        <f>Return!A381</f>
        <v>45526</v>
      </c>
      <c r="B2801" s="408" t="s">
        <v>74</v>
      </c>
      <c r="C2801" s="409">
        <f>Return!R381</f>
        <v>5.8859556096088677E-3</v>
      </c>
    </row>
    <row r="2802" spans="1:3">
      <c r="A2802" s="406">
        <f>Return!A382</f>
        <v>45525</v>
      </c>
      <c r="B2802" s="408" t="s">
        <v>74</v>
      </c>
      <c r="C2802" s="409">
        <f>Return!R382</f>
        <v>5.6080960145756991E-3</v>
      </c>
    </row>
    <row r="2803" spans="1:3">
      <c r="A2803" s="406">
        <f>Return!A383</f>
        <v>45524</v>
      </c>
      <c r="B2803" s="408" t="s">
        <v>74</v>
      </c>
      <c r="C2803" s="409">
        <f>Return!R383</f>
        <v>3.6626124955417333E-4</v>
      </c>
    </row>
    <row r="2804" spans="1:3">
      <c r="A2804" s="406">
        <f>Return!A384</f>
        <v>45523</v>
      </c>
      <c r="B2804" s="408" t="s">
        <v>74</v>
      </c>
      <c r="C2804" s="409">
        <f>Return!R384</f>
        <v>1.3614604967402684E-3</v>
      </c>
    </row>
    <row r="2805" spans="1:3">
      <c r="A2805" s="406">
        <f>Return!A385</f>
        <v>45520</v>
      </c>
      <c r="B2805" s="408" t="s">
        <v>74</v>
      </c>
      <c r="C2805" s="409">
        <f>Return!R385</f>
        <v>1.0442757440908593E-2</v>
      </c>
    </row>
    <row r="2806" spans="1:3">
      <c r="A2806" s="406">
        <f>Return!A386</f>
        <v>45518</v>
      </c>
      <c r="B2806" s="408" t="s">
        <v>74</v>
      </c>
      <c r="C2806" s="409">
        <f>Return!R386</f>
        <v>3.7880487593673698E-3</v>
      </c>
    </row>
    <row r="2807" spans="1:3">
      <c r="A2807" s="406">
        <f>Return!A387</f>
        <v>45517</v>
      </c>
      <c r="B2807" s="408" t="s">
        <v>74</v>
      </c>
      <c r="C2807" s="409">
        <f>Return!R387</f>
        <v>-6.8439044395573276E-3</v>
      </c>
    </row>
    <row r="2808" spans="1:3">
      <c r="A2808" s="406">
        <f>Return!A388</f>
        <v>45516</v>
      </c>
      <c r="B2808" s="408" t="s">
        <v>74</v>
      </c>
      <c r="C2808" s="409">
        <f>Return!R388</f>
        <v>-7.768754317832755E-3</v>
      </c>
    </row>
    <row r="2809" spans="1:3">
      <c r="A2809" s="406">
        <f>Return!A389</f>
        <v>45513</v>
      </c>
      <c r="B2809" s="408" t="s">
        <v>74</v>
      </c>
      <c r="C2809" s="409">
        <f>Return!R389</f>
        <v>-8.7146230018333212E-4</v>
      </c>
    </row>
    <row r="2810" spans="1:3">
      <c r="A2810" s="406">
        <f>Return!A390</f>
        <v>45512</v>
      </c>
      <c r="B2810" s="408" t="s">
        <v>74</v>
      </c>
      <c r="C2810" s="409">
        <f>Return!R390</f>
        <v>-6.5565886939657984E-3</v>
      </c>
    </row>
    <row r="2811" spans="1:3">
      <c r="A2811" s="406">
        <f>Return!A391</f>
        <v>45511</v>
      </c>
      <c r="B2811" s="408" t="s">
        <v>74</v>
      </c>
      <c r="C2811" s="409">
        <f>Return!R391</f>
        <v>1.294350732054169E-2</v>
      </c>
    </row>
    <row r="2812" spans="1:3">
      <c r="A2812" s="406">
        <f>Return!A392</f>
        <v>45510</v>
      </c>
      <c r="B2812" s="408" t="s">
        <v>74</v>
      </c>
      <c r="C2812" s="409">
        <f>Return!R392</f>
        <v>8.9810357188514177E-3</v>
      </c>
    </row>
    <row r="2813" spans="1:3">
      <c r="A2813" s="406">
        <f>Return!A393</f>
        <v>45509</v>
      </c>
      <c r="B2813" s="408" t="s">
        <v>74</v>
      </c>
      <c r="C2813" s="409">
        <f>Return!R393</f>
        <v>3.7721468943612653E-3</v>
      </c>
    </row>
    <row r="2814" spans="1:3">
      <c r="A2814" s="406">
        <f>Return!A394</f>
        <v>45506</v>
      </c>
      <c r="B2814" s="408" t="s">
        <v>74</v>
      </c>
      <c r="C2814" s="409">
        <f>Return!R394</f>
        <v>4.9670685203954453E-3</v>
      </c>
    </row>
    <row r="2815" spans="1:3">
      <c r="A2815" s="406">
        <f>Return!A395</f>
        <v>45505</v>
      </c>
      <c r="B2815" s="408" t="s">
        <v>74</v>
      </c>
      <c r="C2815" s="409">
        <f>Return!R395</f>
        <v>-1.3367101482366726E-3</v>
      </c>
    </row>
    <row r="2816" spans="1:3">
      <c r="A2816" s="406">
        <f>Return!A396</f>
        <v>45504</v>
      </c>
      <c r="B2816" s="408" t="s">
        <v>74</v>
      </c>
      <c r="C2816" s="409">
        <f>Return!R396</f>
        <v>2.1914079066956351E-3</v>
      </c>
    </row>
    <row r="2817" spans="1:3">
      <c r="A2817" s="406">
        <f>Return!A397</f>
        <v>45503</v>
      </c>
      <c r="B2817" s="408" t="s">
        <v>74</v>
      </c>
      <c r="C2817" s="409">
        <f>Return!R397</f>
        <v>3.2694526442915879E-3</v>
      </c>
    </row>
    <row r="2818" spans="1:3">
      <c r="A2818" s="406">
        <f>Return!A398</f>
        <v>45502</v>
      </c>
      <c r="B2818" s="408" t="s">
        <v>74</v>
      </c>
      <c r="C2818" s="409">
        <f>Return!R398</f>
        <v>7.1016894649169834E-4</v>
      </c>
    </row>
    <row r="2819" spans="1:3">
      <c r="A2819" s="406">
        <f>Return!A399</f>
        <v>45499</v>
      </c>
      <c r="B2819" s="408" t="s">
        <v>74</v>
      </c>
      <c r="C2819" s="409">
        <f>Return!R399</f>
        <v>6.9132099466534813E-3</v>
      </c>
    </row>
    <row r="2820" spans="1:3">
      <c r="A2820" s="406">
        <f>Return!A400</f>
        <v>45498</v>
      </c>
      <c r="B2820" s="408" t="s">
        <v>74</v>
      </c>
      <c r="C2820" s="409">
        <f>Return!R400</f>
        <v>1.7952943902881742E-3</v>
      </c>
    </row>
    <row r="2821" spans="1:3">
      <c r="A2821" s="406">
        <f>Return!A401</f>
        <v>45497</v>
      </c>
      <c r="B2821" s="408" t="s">
        <v>74</v>
      </c>
      <c r="C2821" s="409">
        <f>Return!R401</f>
        <v>9.4421893050776525E-3</v>
      </c>
    </row>
    <row r="2822" spans="1:3">
      <c r="A2822" s="406">
        <f>Return!A402</f>
        <v>45496</v>
      </c>
      <c r="B2822" s="408" t="s">
        <v>74</v>
      </c>
      <c r="C2822" s="409">
        <f>Return!R402</f>
        <v>1.1662670311528411E-2</v>
      </c>
    </row>
    <row r="2823" spans="1:3">
      <c r="A2823" s="406">
        <f>Return!A403</f>
        <v>45495</v>
      </c>
      <c r="B2823" s="408" t="s">
        <v>74</v>
      </c>
      <c r="C2823" s="409">
        <f>Return!R403</f>
        <v>1.522471060090342E-2</v>
      </c>
    </row>
    <row r="2824" spans="1:3">
      <c r="A2824" s="406">
        <f>Return!A404</f>
        <v>45492</v>
      </c>
      <c r="B2824" s="408" t="s">
        <v>74</v>
      </c>
      <c r="C2824" s="409">
        <f>Return!R404</f>
        <v>-6.3346920967111645E-3</v>
      </c>
    </row>
    <row r="2825" spans="1:3">
      <c r="A2825" s="406">
        <f>Return!A405</f>
        <v>45491</v>
      </c>
      <c r="B2825" s="408" t="s">
        <v>74</v>
      </c>
      <c r="C2825" s="409">
        <f>Return!R405</f>
        <v>3.1110529480667887E-3</v>
      </c>
    </row>
    <row r="2826" spans="1:3">
      <c r="A2826" s="406">
        <f>Return!A406</f>
        <v>45489</v>
      </c>
      <c r="B2826" s="408" t="s">
        <v>74</v>
      </c>
      <c r="C2826" s="409">
        <f>Return!R406</f>
        <v>3.7271150198897319E-4</v>
      </c>
    </row>
    <row r="2827" spans="1:3">
      <c r="A2827" s="406">
        <f>Return!A407</f>
        <v>45488</v>
      </c>
      <c r="B2827" s="408" t="s">
        <v>74</v>
      </c>
      <c r="C2827" s="409">
        <f>Return!R407</f>
        <v>1.4647856298600304E-3</v>
      </c>
    </row>
    <row r="2828" spans="1:3">
      <c r="A2828" s="406">
        <f>Return!A408</f>
        <v>45485</v>
      </c>
      <c r="B2828" s="408" t="s">
        <v>74</v>
      </c>
      <c r="C2828" s="409">
        <f>Return!R408</f>
        <v>-6.8354895090257648E-4</v>
      </c>
    </row>
    <row r="2829" spans="1:3">
      <c r="A2829" s="406">
        <f>Return!A409</f>
        <v>45484</v>
      </c>
      <c r="B2829" s="408" t="s">
        <v>74</v>
      </c>
      <c r="C2829" s="409">
        <f>Return!R409</f>
        <v>2.108241990548705E-3</v>
      </c>
    </row>
    <row r="2830" spans="1:3">
      <c r="A2830" s="406">
        <f>Return!A410</f>
        <v>45483</v>
      </c>
      <c r="B2830" s="408" t="s">
        <v>74</v>
      </c>
      <c r="C2830" s="409">
        <f>Return!R410</f>
        <v>3.5989767264091982E-3</v>
      </c>
    </row>
    <row r="2831" spans="1:3">
      <c r="A2831" s="406">
        <f>Return!A411</f>
        <v>45482</v>
      </c>
      <c r="B2831" s="408" t="s">
        <v>74</v>
      </c>
      <c r="C2831" s="409">
        <f>Return!R411</f>
        <v>1.3048848949594872E-3</v>
      </c>
    </row>
    <row r="2832" spans="1:3">
      <c r="A2832" s="406">
        <f>Return!A412</f>
        <v>45481</v>
      </c>
      <c r="B2832" s="408" t="s">
        <v>74</v>
      </c>
      <c r="C2832" s="409">
        <f>Return!R412</f>
        <v>-5.2209883489560396E-3</v>
      </c>
    </row>
    <row r="2833" spans="1:3">
      <c r="A2833" s="406">
        <f>Return!A413</f>
        <v>45478</v>
      </c>
      <c r="B2833" s="408" t="s">
        <v>74</v>
      </c>
      <c r="C2833" s="409">
        <f>Return!R413</f>
        <v>1.0531033428596043E-2</v>
      </c>
    </row>
    <row r="2834" spans="1:3">
      <c r="A2834" s="406">
        <f>Return!A414</f>
        <v>45477</v>
      </c>
      <c r="B2834" s="408" t="s">
        <v>74</v>
      </c>
      <c r="C2834" s="409">
        <f>Return!R414</f>
        <v>2.1685574797581184E-2</v>
      </c>
    </row>
    <row r="2835" spans="1:3">
      <c r="A2835" s="406">
        <f>Return!A415</f>
        <v>45476</v>
      </c>
      <c r="B2835" s="408" t="s">
        <v>74</v>
      </c>
      <c r="C2835" s="409">
        <f>Return!R415</f>
        <v>2.1983593421114177E-3</v>
      </c>
    </row>
    <row r="2836" spans="1:3">
      <c r="A2836" s="406">
        <f>Return!A416</f>
        <v>45475</v>
      </c>
      <c r="B2836" s="408" t="s">
        <v>74</v>
      </c>
      <c r="C2836" s="409">
        <f>Return!R416</f>
        <v>6.5696357856859424E-3</v>
      </c>
    </row>
    <row r="2837" spans="1:3">
      <c r="A2837" s="406">
        <f>Return!A417</f>
        <v>45474</v>
      </c>
      <c r="B2837" s="408" t="s">
        <v>74</v>
      </c>
      <c r="C2837" s="409">
        <f>Return!R417</f>
        <v>6.3009369501992657E-3</v>
      </c>
    </row>
    <row r="2838" spans="1:3">
      <c r="A2838" s="406">
        <f>Return!A418</f>
        <v>45471</v>
      </c>
      <c r="B2838" s="408" t="s">
        <v>74</v>
      </c>
      <c r="C2838" s="409">
        <f>Return!R418</f>
        <v>3.2565856345728103E-3</v>
      </c>
    </row>
    <row r="2839" spans="1:3">
      <c r="A2839" s="406">
        <f>Return!A419</f>
        <v>45470</v>
      </c>
      <c r="B2839" s="408" t="s">
        <v>74</v>
      </c>
      <c r="C2839" s="409">
        <f>Return!R419</f>
        <v>-2.8128017311173977E-3</v>
      </c>
    </row>
    <row r="2840" spans="1:3">
      <c r="A2840" s="406">
        <f>Return!A420</f>
        <v>45469</v>
      </c>
      <c r="B2840" s="408" t="s">
        <v>74</v>
      </c>
      <c r="C2840" s="409">
        <f>Return!R420</f>
        <v>5.5899426795608942E-3</v>
      </c>
    </row>
    <row r="2841" spans="1:3">
      <c r="A2841" s="406">
        <f>Return!A421</f>
        <v>45468</v>
      </c>
      <c r="B2841" s="408" t="s">
        <v>74</v>
      </c>
      <c r="C2841" s="409">
        <f>Return!R421</f>
        <v>-1.7877467497678431E-3</v>
      </c>
    </row>
    <row r="2842" spans="1:3">
      <c r="A2842" s="406">
        <f>Return!A422</f>
        <v>45467</v>
      </c>
      <c r="B2842" s="408" t="s">
        <v>74</v>
      </c>
      <c r="C2842" s="409">
        <f>Return!R422</f>
        <v>-6.8570121211352251E-3</v>
      </c>
    </row>
    <row r="2843" spans="1:3">
      <c r="A2843" s="406">
        <f>Return!A423</f>
        <v>45464</v>
      </c>
      <c r="B2843" s="408" t="s">
        <v>74</v>
      </c>
      <c r="C2843" s="409">
        <f>Return!R423</f>
        <v>7.0334244553218479E-3</v>
      </c>
    </row>
    <row r="2844" spans="1:3">
      <c r="A2844" s="406">
        <f>Return!A424</f>
        <v>45463</v>
      </c>
      <c r="B2844" s="408" t="s">
        <v>74</v>
      </c>
      <c r="C2844" s="409">
        <f>Return!R424</f>
        <v>1.5520574572045354E-3</v>
      </c>
    </row>
    <row r="2845" spans="1:3">
      <c r="A2845" s="406">
        <f>Return!A425</f>
        <v>45462</v>
      </c>
      <c r="B2845" s="408" t="s">
        <v>74</v>
      </c>
      <c r="C2845" s="409">
        <f>Return!R425</f>
        <v>-3.5982001181200408E-3</v>
      </c>
    </row>
    <row r="2846" spans="1:3">
      <c r="A2846" s="406">
        <f>Return!A426</f>
        <v>45461</v>
      </c>
      <c r="B2846" s="408" t="s">
        <v>74</v>
      </c>
      <c r="C2846" s="409">
        <f>Return!R426</f>
        <v>-7.27188523692451E-3</v>
      </c>
    </row>
    <row r="2847" spans="1:3">
      <c r="A2847" s="406">
        <f>Return!A427</f>
        <v>45457</v>
      </c>
      <c r="B2847" s="408" t="s">
        <v>74</v>
      </c>
      <c r="C2847" s="409">
        <f>Return!R427</f>
        <v>-4.4530635072320534E-3</v>
      </c>
    </row>
    <row r="2848" spans="1:3">
      <c r="A2848" s="406">
        <f>Return!A428</f>
        <v>45456</v>
      </c>
      <c r="B2848" s="408" t="s">
        <v>74</v>
      </c>
      <c r="C2848" s="409">
        <f>Return!R428</f>
        <v>-6.7125793365896058E-3</v>
      </c>
    </row>
    <row r="2849" spans="1:3">
      <c r="A2849" s="406">
        <f>Return!A429</f>
        <v>45455</v>
      </c>
      <c r="B2849" s="408" t="s">
        <v>74</v>
      </c>
      <c r="C2849" s="409">
        <f>Return!R429</f>
        <v>4.0010652984261803E-3</v>
      </c>
    </row>
    <row r="2850" spans="1:3">
      <c r="A2850" s="406">
        <f>Return!A430</f>
        <v>45454</v>
      </c>
      <c r="B2850" s="408" t="s">
        <v>74</v>
      </c>
      <c r="C2850" s="409">
        <f>Return!R430</f>
        <v>3.3800756730059732E-3</v>
      </c>
    </row>
    <row r="2851" spans="1:3">
      <c r="A2851" s="406">
        <f>Return!A431</f>
        <v>45453</v>
      </c>
      <c r="B2851" s="408" t="s">
        <v>74</v>
      </c>
      <c r="C2851" s="409">
        <f>Return!R431</f>
        <v>1.0251842634057491E-2</v>
      </c>
    </row>
    <row r="2852" spans="1:3">
      <c r="A2852" s="406">
        <f>Return!A432</f>
        <v>45450</v>
      </c>
      <c r="B2852" s="408" t="s">
        <v>74</v>
      </c>
      <c r="C2852" s="409">
        <f>Return!R432</f>
        <v>5.7107105357665309E-3</v>
      </c>
    </row>
    <row r="2853" spans="1:3">
      <c r="A2853" s="406">
        <f>Return!A433</f>
        <v>45449</v>
      </c>
      <c r="B2853" s="408" t="s">
        <v>74</v>
      </c>
      <c r="C2853" s="409">
        <f>Return!R433</f>
        <v>-2.1874834201211567E-3</v>
      </c>
    </row>
    <row r="2854" spans="1:3">
      <c r="A2854" s="406">
        <f>Return!A434</f>
        <v>45448</v>
      </c>
      <c r="B2854" s="408" t="s">
        <v>74</v>
      </c>
      <c r="C2854" s="409">
        <f>Return!R434</f>
        <v>1.8844234080635139E-2</v>
      </c>
    </row>
    <row r="2855" spans="1:3">
      <c r="A2855" s="406">
        <f>Return!A435</f>
        <v>45447</v>
      </c>
      <c r="B2855" s="408" t="s">
        <v>74</v>
      </c>
      <c r="C2855" s="409">
        <f>Return!R435</f>
        <v>1.3591359898379066E-2</v>
      </c>
    </row>
    <row r="2856" spans="1:3">
      <c r="A2856" s="406">
        <f>Return!A436</f>
        <v>45446</v>
      </c>
      <c r="B2856" s="408" t="s">
        <v>74</v>
      </c>
      <c r="C2856" s="409">
        <f>Return!R436</f>
        <v>3.4120170454992388E-3</v>
      </c>
    </row>
    <row r="2857" spans="1:3">
      <c r="A2857" s="406">
        <f>Return!A437</f>
        <v>45443</v>
      </c>
      <c r="B2857" s="408" t="s">
        <v>74</v>
      </c>
      <c r="C2857" s="409">
        <f>Return!R437</f>
        <v>1.4354561554442558E-2</v>
      </c>
    </row>
    <row r="2858" spans="1:3">
      <c r="A2858" s="406">
        <f>Return!A438</f>
        <v>45442</v>
      </c>
      <c r="B2858" s="408" t="s">
        <v>74</v>
      </c>
      <c r="C2858" s="409">
        <f>Return!R438</f>
        <v>-1.0950534822379248E-2</v>
      </c>
    </row>
    <row r="2859" spans="1:3">
      <c r="A2859" s="406">
        <f>Return!A439</f>
        <v>45441</v>
      </c>
      <c r="B2859" s="408" t="s">
        <v>74</v>
      </c>
      <c r="C2859" s="409">
        <f>Return!R439</f>
        <v>-3.0957154171030142E-3</v>
      </c>
    </row>
    <row r="2860" spans="1:3">
      <c r="A2860" s="406">
        <f>Return!A440</f>
        <v>45440</v>
      </c>
      <c r="B2860" s="408" t="s">
        <v>74</v>
      </c>
      <c r="C2860" s="409">
        <f>Return!R440</f>
        <v>-8.8246450106208157E-3</v>
      </c>
    </row>
    <row r="2861" spans="1:3">
      <c r="A2861" s="406">
        <f>Return!A441</f>
        <v>45439</v>
      </c>
      <c r="B2861" s="408" t="s">
        <v>74</v>
      </c>
      <c r="C2861" s="409">
        <f>Return!R441</f>
        <v>-1.7502828702553829E-2</v>
      </c>
    </row>
    <row r="2862" spans="1:3">
      <c r="A2862" s="406">
        <f>Return!A442</f>
        <v>45436</v>
      </c>
      <c r="B2862" s="408" t="s">
        <v>74</v>
      </c>
      <c r="C2862" s="409">
        <f>Return!R442</f>
        <v>2.7442537840972232E-3</v>
      </c>
    </row>
    <row r="2863" spans="1:3">
      <c r="A2863" s="406">
        <f>Return!A443</f>
        <v>45435</v>
      </c>
      <c r="B2863" s="408" t="s">
        <v>74</v>
      </c>
      <c r="C2863" s="409">
        <f>Return!R443</f>
        <v>-9.9010125502240354E-4</v>
      </c>
    </row>
    <row r="2864" spans="1:3">
      <c r="A2864" s="406">
        <f>Return!A444</f>
        <v>45434</v>
      </c>
      <c r="B2864" s="408" t="s">
        <v>74</v>
      </c>
      <c r="C2864" s="409">
        <f>Return!R444</f>
        <v>-6.1623533323748808E-3</v>
      </c>
    </row>
    <row r="2865" spans="1:3">
      <c r="A2865" s="406">
        <f>Return!A445</f>
        <v>45433</v>
      </c>
      <c r="B2865" s="408" t="s">
        <v>74</v>
      </c>
      <c r="C2865" s="409">
        <f>Return!R445</f>
        <v>-5.2923411165354158E-3</v>
      </c>
    </row>
    <row r="2866" spans="1:3">
      <c r="A2866" s="406">
        <f>Return!A446</f>
        <v>45430</v>
      </c>
      <c r="B2866" s="408" t="s">
        <v>74</v>
      </c>
      <c r="C2866" s="409">
        <f>Return!R446</f>
        <v>7.9698853625691408E-3</v>
      </c>
    </row>
    <row r="2867" spans="1:3">
      <c r="A2867" s="406">
        <f>Return!A447</f>
        <v>45429</v>
      </c>
      <c r="B2867" s="408" t="s">
        <v>74</v>
      </c>
      <c r="C2867" s="409">
        <f>Return!R447</f>
        <v>7.4394884048077465E-3</v>
      </c>
    </row>
    <row r="2868" spans="1:3">
      <c r="A2868" s="406">
        <f>Return!A448</f>
        <v>45428</v>
      </c>
      <c r="B2868" s="408" t="s">
        <v>74</v>
      </c>
      <c r="C2868" s="409">
        <f>Return!R448</f>
        <v>3.2189486246876524E-3</v>
      </c>
    </row>
    <row r="2869" spans="1:3">
      <c r="A2869" s="406">
        <f>Return!A449</f>
        <v>45427</v>
      </c>
      <c r="B2869" s="408" t="s">
        <v>74</v>
      </c>
      <c r="C2869" s="409">
        <f>Return!R449</f>
        <v>2.7351509450815898E-3</v>
      </c>
    </row>
    <row r="2870" spans="1:3">
      <c r="A2870" s="406">
        <f>Return!A450</f>
        <v>45426</v>
      </c>
      <c r="B2870" s="408" t="s">
        <v>74</v>
      </c>
      <c r="C2870" s="409">
        <f>Return!R450</f>
        <v>1.6172053300106469E-4</v>
      </c>
    </row>
    <row r="2871" spans="1:3">
      <c r="A2871" s="406">
        <f>Return!A451</f>
        <v>45425</v>
      </c>
      <c r="B2871" s="408" t="s">
        <v>74</v>
      </c>
      <c r="C2871" s="409">
        <f>Return!R451</f>
        <v>1.302108608714311E-2</v>
      </c>
    </row>
    <row r="2872" spans="1:3">
      <c r="A2872" s="406">
        <f>Return!A452</f>
        <v>45422</v>
      </c>
      <c r="B2872" s="408" t="s">
        <v>74</v>
      </c>
      <c r="C2872" s="409">
        <f>Return!R452</f>
        <v>4.9810605950683217E-3</v>
      </c>
    </row>
    <row r="2873" spans="1:3">
      <c r="A2873" s="406">
        <f>Return!A453</f>
        <v>45421</v>
      </c>
      <c r="B2873" s="408" t="s">
        <v>74</v>
      </c>
      <c r="C2873" s="409">
        <f>Return!R453</f>
        <v>-1.3687543327610069E-3</v>
      </c>
    </row>
    <row r="2874" spans="1:3">
      <c r="A2874" s="406">
        <f>Return!A454</f>
        <v>45420</v>
      </c>
      <c r="B2874" s="408" t="s">
        <v>74</v>
      </c>
      <c r="C2874" s="409">
        <f>Return!R454</f>
        <v>9.8742152749955025E-3</v>
      </c>
    </row>
    <row r="2875" spans="1:3">
      <c r="A2875" s="406">
        <f>Return!A455</f>
        <v>45419</v>
      </c>
      <c r="B2875" s="408" t="s">
        <v>74</v>
      </c>
      <c r="C2875" s="409">
        <f>Return!R455</f>
        <v>-2.1831903184921721E-3</v>
      </c>
    </row>
    <row r="2876" spans="1:3">
      <c r="A2876" s="406">
        <f>Return!A456</f>
        <v>45418</v>
      </c>
      <c r="B2876" s="408" t="s">
        <v>74</v>
      </c>
      <c r="C2876" s="409">
        <f>Return!R456</f>
        <v>-1.4913908165407965E-2</v>
      </c>
    </row>
    <row r="2877" spans="1:3">
      <c r="A2877" s="406">
        <f>Return!A457</f>
        <v>45415</v>
      </c>
      <c r="B2877" s="408" t="s">
        <v>74</v>
      </c>
      <c r="C2877" s="409">
        <f>Return!R457</f>
        <v>7.9181262191916008E-4</v>
      </c>
    </row>
    <row r="2878" spans="1:3">
      <c r="A2878" s="406">
        <f>Return!A458</f>
        <v>45414</v>
      </c>
      <c r="B2878" s="408" t="s">
        <v>74</v>
      </c>
      <c r="C2878" s="409">
        <f>Return!R458</f>
        <v>4.3750475603251716E-3</v>
      </c>
    </row>
    <row r="2879" spans="1:3">
      <c r="A2879" s="406">
        <f>Return!A459</f>
        <v>45412</v>
      </c>
      <c r="B2879" s="408" t="s">
        <v>74</v>
      </c>
      <c r="C2879" s="409">
        <f>Return!R459</f>
        <v>1.262232583443188E-2</v>
      </c>
    </row>
    <row r="2880" spans="1:3">
      <c r="A2880" s="406">
        <f>Return!A460</f>
        <v>45411</v>
      </c>
      <c r="B2880" s="408" t="s">
        <v>74</v>
      </c>
      <c r="C2880" s="409">
        <f>Return!R460</f>
        <v>6.3138565317708605E-3</v>
      </c>
    </row>
    <row r="2881" spans="1:3">
      <c r="A2881" s="406">
        <f>Return!A461</f>
        <v>45408</v>
      </c>
      <c r="B2881" s="408" t="s">
        <v>74</v>
      </c>
      <c r="C2881" s="409">
        <f>Return!R461</f>
        <v>4.76200180846915E-4</v>
      </c>
    </row>
    <row r="2882" spans="1:3">
      <c r="A2882" s="406">
        <f>Return!A462</f>
        <v>45407</v>
      </c>
      <c r="B2882" s="408" t="s">
        <v>74</v>
      </c>
      <c r="C2882" s="409">
        <f>Return!R462</f>
        <v>1.3727042668352504E-4</v>
      </c>
    </row>
    <row r="2883" spans="1:3">
      <c r="A2883" s="406">
        <f>Return!A463</f>
        <v>45406</v>
      </c>
      <c r="B2883" s="408" t="s">
        <v>74</v>
      </c>
      <c r="C2883" s="409">
        <f>Return!R463</f>
        <v>-4.3075398232286328E-3</v>
      </c>
    </row>
    <row r="2884" spans="1:3">
      <c r="A2884" s="406">
        <f>Return!A464</f>
        <v>45405</v>
      </c>
      <c r="B2884" s="408" t="s">
        <v>74</v>
      </c>
      <c r="C2884" s="409">
        <f>Return!R464</f>
        <v>3.4418190870910692E-3</v>
      </c>
    </row>
    <row r="2885" spans="1:3">
      <c r="A2885" s="406">
        <f>Return!A465</f>
        <v>45404</v>
      </c>
      <c r="B2885" s="408" t="s">
        <v>74</v>
      </c>
      <c r="C2885" s="409">
        <f>Return!R465</f>
        <v>2.1912977042420186E-2</v>
      </c>
    </row>
    <row r="2886" spans="1:3">
      <c r="A2886" s="406">
        <f>Return!A466</f>
        <v>45401</v>
      </c>
      <c r="B2886" s="408" t="s">
        <v>74</v>
      </c>
      <c r="C2886" s="409">
        <f>Return!R466</f>
        <v>1.6503040905192651E-3</v>
      </c>
    </row>
    <row r="2887" spans="1:3">
      <c r="A2887" s="406">
        <f>Return!A467</f>
        <v>45400</v>
      </c>
      <c r="B2887" s="408" t="s">
        <v>74</v>
      </c>
      <c r="C2887" s="409">
        <f>Return!R467</f>
        <v>-1.0648795667926245E-2</v>
      </c>
    </row>
    <row r="2888" spans="1:3">
      <c r="A2888" s="406">
        <f>Return!A468</f>
        <v>45398</v>
      </c>
      <c r="B2888" s="408" t="s">
        <v>74</v>
      </c>
      <c r="C2888" s="409">
        <f>Return!R468</f>
        <v>1.1139872936561511E-2</v>
      </c>
    </row>
    <row r="2889" spans="1:3">
      <c r="A2889" s="406">
        <f>Return!A469</f>
        <v>45397</v>
      </c>
      <c r="B2889" s="408" t="s">
        <v>74</v>
      </c>
      <c r="C2889" s="409">
        <f>Return!R469</f>
        <v>-5.9842584743628894E-3</v>
      </c>
    </row>
    <row r="2890" spans="1:3">
      <c r="A2890" s="406">
        <f>Return!A470</f>
        <v>45394</v>
      </c>
      <c r="B2890" s="408" t="s">
        <v>74</v>
      </c>
      <c r="C2890" s="409">
        <f>Return!R470</f>
        <v>-1.8278169384720048E-2</v>
      </c>
    </row>
    <row r="2891" spans="1:3">
      <c r="A2891" s="406">
        <f>Return!A471</f>
        <v>45392</v>
      </c>
      <c r="B2891" s="408" t="s">
        <v>74</v>
      </c>
      <c r="C2891" s="409">
        <f>Return!R471</f>
        <v>4.002585904692337E-3</v>
      </c>
    </row>
    <row r="2892" spans="1:3">
      <c r="A2892" s="406">
        <f>Return!A472</f>
        <v>45391</v>
      </c>
      <c r="B2892" s="408" t="s">
        <v>74</v>
      </c>
      <c r="C2892" s="409">
        <f>Return!R472</f>
        <v>-4.6504476153622762E-3</v>
      </c>
    </row>
    <row r="2893" spans="1:3">
      <c r="A2893" s="406">
        <f>Return!A473</f>
        <v>45390</v>
      </c>
      <c r="B2893" s="408" t="s">
        <v>74</v>
      </c>
      <c r="C2893" s="409">
        <f>Return!R473</f>
        <v>-1.5763204961300906E-2</v>
      </c>
    </row>
    <row r="2894" spans="1:3">
      <c r="A2894" s="406">
        <f>Return!A474</f>
        <v>45387</v>
      </c>
      <c r="B2894" s="408" t="s">
        <v>74</v>
      </c>
      <c r="C2894" s="409">
        <f>Return!R474</f>
        <v>5.1402168269608448E-4</v>
      </c>
    </row>
    <row r="2895" spans="1:3">
      <c r="A2895" s="406">
        <f>Return!A475</f>
        <v>45386</v>
      </c>
      <c r="B2895" s="408" t="s">
        <v>74</v>
      </c>
      <c r="C2895" s="409">
        <f>Return!R475</f>
        <v>1.8216843367897001E-4</v>
      </c>
    </row>
    <row r="2896" spans="1:3">
      <c r="A2896" s="406">
        <f>Return!A476</f>
        <v>45385</v>
      </c>
      <c r="B2896" s="408" t="s">
        <v>74</v>
      </c>
      <c r="C2896" s="409">
        <f>Return!R476</f>
        <v>-7.2541008296528042E-3</v>
      </c>
    </row>
    <row r="2897" spans="1:3">
      <c r="A2897" s="406">
        <f>Return!A477</f>
        <v>45384</v>
      </c>
      <c r="B2897" s="408" t="s">
        <v>74</v>
      </c>
      <c r="C2897" s="409">
        <f>Return!R477</f>
        <v>-4.0797822490956908E-3</v>
      </c>
    </row>
    <row r="2898" spans="1:3">
      <c r="A2898" s="406">
        <f>Return!A478</f>
        <v>45383</v>
      </c>
      <c r="B2898" s="408" t="s">
        <v>74</v>
      </c>
      <c r="C2898" s="409">
        <f>Return!R478</f>
        <v>-4.2034115818131946E-4</v>
      </c>
    </row>
    <row r="2899" spans="1:3">
      <c r="A2899" s="406">
        <f>Return!A479</f>
        <v>45379</v>
      </c>
      <c r="B2899" s="408" t="s">
        <v>74</v>
      </c>
      <c r="C2899" s="409">
        <f>Return!R479</f>
        <v>5.0257566207354172E-3</v>
      </c>
    </row>
    <row r="2900" spans="1:3">
      <c r="A2900" s="406">
        <f>Return!A480</f>
        <v>45378</v>
      </c>
      <c r="B2900" s="408" t="s">
        <v>74</v>
      </c>
      <c r="C2900" s="409">
        <f>Return!R480</f>
        <v>-3.0149023041417897E-3</v>
      </c>
    </row>
    <row r="2901" spans="1:3">
      <c r="A2901" s="406">
        <f>Return!A481</f>
        <v>45377</v>
      </c>
      <c r="B2901" s="408" t="s">
        <v>74</v>
      </c>
      <c r="C2901" s="409">
        <f>Return!R481</f>
        <v>8.5607793421911948E-3</v>
      </c>
    </row>
    <row r="2902" spans="1:3">
      <c r="A2902" s="406">
        <f>Return!A482</f>
        <v>45373</v>
      </c>
      <c r="B2902" s="408" t="s">
        <v>74</v>
      </c>
      <c r="C2902" s="409">
        <f>Return!R482</f>
        <v>-1.2617110058597246E-3</v>
      </c>
    </row>
    <row r="2903" spans="1:3">
      <c r="A2903" s="406">
        <f>Return!A483</f>
        <v>45372</v>
      </c>
      <c r="B2903" s="408" t="s">
        <v>74</v>
      </c>
      <c r="C2903" s="409">
        <f>Return!R483</f>
        <v>6.9989766595044143E-3</v>
      </c>
    </row>
    <row r="2904" spans="1:3">
      <c r="A2904" s="406">
        <f>Return!A484</f>
        <v>45371</v>
      </c>
      <c r="B2904" s="408" t="s">
        <v>74</v>
      </c>
      <c r="C2904" s="409">
        <f>Return!R484</f>
        <v>5.4131470160217639E-3</v>
      </c>
    </row>
    <row r="2905" spans="1:3">
      <c r="A2905" s="406">
        <f>Return!A485</f>
        <v>45370</v>
      </c>
      <c r="B2905" s="408" t="s">
        <v>74</v>
      </c>
      <c r="C2905" s="409">
        <f>Return!R485</f>
        <v>1.8566753465868084E-3</v>
      </c>
    </row>
    <row r="2906" spans="1:3">
      <c r="A2906" s="406">
        <f>Return!A486</f>
        <v>45369</v>
      </c>
      <c r="B2906" s="408" t="s">
        <v>74</v>
      </c>
      <c r="C2906" s="409">
        <f>Return!R486</f>
        <v>1.741377364090628E-3</v>
      </c>
    </row>
    <row r="2907" spans="1:3">
      <c r="A2907" s="406">
        <f>Return!A487</f>
        <v>45366</v>
      </c>
      <c r="B2907" s="408" t="s">
        <v>74</v>
      </c>
      <c r="C2907" s="409">
        <f>Return!R487</f>
        <v>-4.781615769336358E-3</v>
      </c>
    </row>
    <row r="2908" spans="1:3">
      <c r="A2908" s="406">
        <f>Return!A488</f>
        <v>45365</v>
      </c>
      <c r="B2908" s="408" t="s">
        <v>74</v>
      </c>
      <c r="C2908" s="409">
        <f>Return!R488</f>
        <v>-3.3813996275514476E-3</v>
      </c>
    </row>
    <row r="2909" spans="1:3">
      <c r="A2909" s="406">
        <f>Return!A489</f>
        <v>45364</v>
      </c>
      <c r="B2909" s="408" t="s">
        <v>74</v>
      </c>
      <c r="C2909" s="409">
        <f>Return!R489</f>
        <v>-1.4787031086338988E-3</v>
      </c>
    </row>
    <row r="2910" spans="1:3">
      <c r="A2910" s="406">
        <f>Return!A490</f>
        <v>45363</v>
      </c>
      <c r="B2910" s="408" t="s">
        <v>74</v>
      </c>
      <c r="C2910" s="409">
        <f>Return!R490</f>
        <v>-3.8155362520006127E-3</v>
      </c>
    </row>
    <row r="2911" spans="1:3">
      <c r="A2911" s="406">
        <f>Return!A491</f>
        <v>45362</v>
      </c>
      <c r="B2911" s="408" t="s">
        <v>74</v>
      </c>
      <c r="C2911" s="409">
        <f>Return!R491</f>
        <v>3.1031147242977647E-3</v>
      </c>
    </row>
    <row r="2912" spans="1:3">
      <c r="A2912" s="406">
        <f>Return!A492</f>
        <v>45358</v>
      </c>
      <c r="B2912" s="408" t="s">
        <v>74</v>
      </c>
      <c r="C2912" s="409">
        <f>Return!R492</f>
        <v>-2.7616365003596695E-3</v>
      </c>
    </row>
    <row r="2913" spans="1:3">
      <c r="A2913" s="406">
        <f>Return!A493</f>
        <v>45357</v>
      </c>
      <c r="B2913" s="408" t="s">
        <v>74</v>
      </c>
      <c r="C2913" s="409">
        <f>Return!R493</f>
        <v>-7.0701592432663614E-3</v>
      </c>
    </row>
    <row r="2914" spans="1:3">
      <c r="A2914" s="406">
        <f>Return!A494</f>
        <v>45356</v>
      </c>
      <c r="B2914" s="408" t="s">
        <v>74</v>
      </c>
      <c r="C2914" s="409">
        <f>Return!R494</f>
        <v>-2.9976533189617644E-3</v>
      </c>
    </row>
    <row r="2915" spans="1:3">
      <c r="A2915" s="406">
        <f>Return!A495</f>
        <v>45355</v>
      </c>
      <c r="B2915" s="408" t="s">
        <v>74</v>
      </c>
      <c r="C2915" s="409">
        <f>Return!R495</f>
        <v>9.1671504038252731E-4</v>
      </c>
    </row>
    <row r="2916" spans="1:3">
      <c r="A2916" s="406">
        <f>Return!A496</f>
        <v>45353</v>
      </c>
      <c r="B2916" s="408" t="s">
        <v>74</v>
      </c>
      <c r="C2916" s="409">
        <f>Return!R496</f>
        <v>8.3553488870252903E-3</v>
      </c>
    </row>
    <row r="2917" spans="1:3">
      <c r="A2917" s="406">
        <f>Return!A497</f>
        <v>45352</v>
      </c>
      <c r="B2917" s="408" t="s">
        <v>74</v>
      </c>
      <c r="C2917" s="409">
        <f>Return!R497</f>
        <v>1.6377771455944176E-3</v>
      </c>
    </row>
    <row r="2918" spans="1:3">
      <c r="A2918" s="406">
        <f>Return!A498</f>
        <v>45351</v>
      </c>
      <c r="B2918" s="408" t="s">
        <v>74</v>
      </c>
      <c r="C2918" s="409">
        <f>Return!R498</f>
        <v>2.8985163119824168E-3</v>
      </c>
    </row>
    <row r="2919" spans="1:3">
      <c r="A2919" s="406">
        <f>Return!A499</f>
        <v>45350</v>
      </c>
      <c r="B2919" s="408" t="s">
        <v>74</v>
      </c>
      <c r="C2919" s="409">
        <f>Return!R499</f>
        <v>-5.4900941940651616E-3</v>
      </c>
    </row>
    <row r="2920" spans="1:3">
      <c r="A2920" s="406">
        <f>Return!A500</f>
        <v>45349</v>
      </c>
      <c r="B2920" s="408" t="s">
        <v>74</v>
      </c>
      <c r="C2920" s="409">
        <f>Return!R500</f>
        <v>3.7161681046003634E-4</v>
      </c>
    </row>
    <row r="2921" spans="1:3">
      <c r="A2921" s="406">
        <f>Return!A501</f>
        <v>45348</v>
      </c>
      <c r="B2921" s="408" t="s">
        <v>74</v>
      </c>
      <c r="C2921" s="409">
        <f>Return!R501</f>
        <v>7.0932926141775371E-3</v>
      </c>
    </row>
    <row r="2922" spans="1:3">
      <c r="A2922" s="406">
        <f>Return!A502</f>
        <v>45345</v>
      </c>
      <c r="B2922" s="408" t="s">
        <v>74</v>
      </c>
      <c r="C2922" s="409">
        <f>Return!R502</f>
        <v>-1.3761504738604583E-3</v>
      </c>
    </row>
    <row r="2923" spans="1:3">
      <c r="A2923" s="406">
        <f>Return!A503</f>
        <v>45344</v>
      </c>
      <c r="B2923" s="408" t="s">
        <v>74</v>
      </c>
      <c r="C2923" s="409">
        <f>Return!R503</f>
        <v>3.1405576732650843E-3</v>
      </c>
    </row>
    <row r="2924" spans="1:3">
      <c r="A2924" s="406">
        <f>Return!A504</f>
        <v>45343</v>
      </c>
      <c r="B2924" s="408" t="s">
        <v>74</v>
      </c>
      <c r="C2924" s="409">
        <f>Return!R504</f>
        <v>-1.3265251026493959E-2</v>
      </c>
    </row>
    <row r="2925" spans="1:3">
      <c r="A2925" s="406">
        <f>Return!A505</f>
        <v>45342</v>
      </c>
      <c r="B2925" s="408" t="s">
        <v>74</v>
      </c>
      <c r="C2925" s="409">
        <f>Return!R505</f>
        <v>-4.585817141773918E-3</v>
      </c>
    </row>
    <row r="2926" spans="1:3">
      <c r="A2926" s="406">
        <f>Return!A506</f>
        <v>45341</v>
      </c>
      <c r="B2926" s="408" t="s">
        <v>74</v>
      </c>
      <c r="C2926" s="409">
        <f>Return!R506</f>
        <v>4.0568022326192112E-3</v>
      </c>
    </row>
    <row r="2927" spans="1:3">
      <c r="A2927" s="406">
        <f>Return!A507</f>
        <v>45338</v>
      </c>
      <c r="B2927" s="408" t="s">
        <v>74</v>
      </c>
      <c r="C2927" s="409">
        <f>Return!R507</f>
        <v>6.3085229685064985E-3</v>
      </c>
    </row>
    <row r="2928" spans="1:3">
      <c r="A2928" s="406">
        <f>Return!A508</f>
        <v>45337</v>
      </c>
      <c r="B2928" s="408" t="s">
        <v>74</v>
      </c>
      <c r="C2928" s="409">
        <f>Return!R508</f>
        <v>-1.6954664729381069E-3</v>
      </c>
    </row>
    <row r="2929" spans="1:3">
      <c r="A2929" s="406">
        <f>Return!A509</f>
        <v>45336</v>
      </c>
      <c r="B2929" s="408" t="s">
        <v>74</v>
      </c>
      <c r="C2929" s="409">
        <f>Return!R509</f>
        <v>1.0810637889162983E-2</v>
      </c>
    </row>
    <row r="2930" spans="1:3">
      <c r="A2930" s="406">
        <f>Return!A510</f>
        <v>45335</v>
      </c>
      <c r="B2930" s="408" t="s">
        <v>74</v>
      </c>
      <c r="C2930" s="409">
        <f>Return!R510</f>
        <v>6.0343158843809202E-3</v>
      </c>
    </row>
    <row r="2931" spans="1:3">
      <c r="A2931" s="406">
        <f>Return!A511</f>
        <v>45334</v>
      </c>
      <c r="B2931" s="408" t="s">
        <v>74</v>
      </c>
      <c r="C2931" s="409">
        <f>Return!R511</f>
        <v>1.2826795625467185E-2</v>
      </c>
    </row>
    <row r="2932" spans="1:3">
      <c r="A2932" s="406">
        <f>Return!A512</f>
        <v>45331</v>
      </c>
      <c r="B2932" s="408" t="s">
        <v>74</v>
      </c>
      <c r="C2932" s="409">
        <f>Return!R512</f>
        <v>-5.8168570824494318E-3</v>
      </c>
    </row>
    <row r="2933" spans="1:3">
      <c r="A2933" s="406">
        <f>Return!A513</f>
        <v>45330</v>
      </c>
      <c r="B2933" s="408" t="s">
        <v>74</v>
      </c>
      <c r="C2933" s="409">
        <f>Return!R513</f>
        <v>5.5944637932403944E-3</v>
      </c>
    </row>
    <row r="2934" spans="1:3">
      <c r="A2934" s="406">
        <f>Return!A514</f>
        <v>45329</v>
      </c>
      <c r="B2934" s="408" t="s">
        <v>74</v>
      </c>
      <c r="C2934" s="409">
        <f>Return!R514</f>
        <v>-5.5260098614616504E-3</v>
      </c>
    </row>
    <row r="2935" spans="1:3">
      <c r="A2935" s="406">
        <f>Return!A515</f>
        <v>45328</v>
      </c>
      <c r="B2935" s="408" t="s">
        <v>74</v>
      </c>
      <c r="C2935" s="409">
        <f>Return!R515</f>
        <v>1.669852211743604E-2</v>
      </c>
    </row>
    <row r="2936" spans="1:3">
      <c r="A2936" s="406">
        <f>Return!A516</f>
        <v>45327</v>
      </c>
      <c r="B2936" s="408" t="s">
        <v>74</v>
      </c>
      <c r="C2936" s="409">
        <f>Return!R516</f>
        <v>8.6694530368436294E-3</v>
      </c>
    </row>
    <row r="2937" spans="1:3">
      <c r="A2937" s="406">
        <f>Return!A517</f>
        <v>45324</v>
      </c>
      <c r="B2937" s="408" t="s">
        <v>74</v>
      </c>
      <c r="C2937" s="409">
        <f>Return!R517</f>
        <v>1.4478204854987273E-2</v>
      </c>
    </row>
    <row r="2938" spans="1:3">
      <c r="A2938" s="406">
        <f>Return!A518</f>
        <v>45323</v>
      </c>
      <c r="B2938" s="408" t="s">
        <v>74</v>
      </c>
      <c r="C2938" s="409">
        <f>Return!R518</f>
        <v>1.2663625265139212E-2</v>
      </c>
    </row>
    <row r="2939" spans="1:3">
      <c r="A2939" s="406">
        <f>Return!A519</f>
        <v>45322</v>
      </c>
      <c r="B2939" s="408" t="s">
        <v>74</v>
      </c>
      <c r="C2939" s="409">
        <f>Return!R519</f>
        <v>1.2040011480146917E-2</v>
      </c>
    </row>
    <row r="2940" spans="1:3">
      <c r="A2940" s="406">
        <f>Return!A520</f>
        <v>45321</v>
      </c>
      <c r="B2940" s="408" t="s">
        <v>74</v>
      </c>
      <c r="C2940" s="409">
        <f>Return!R520</f>
        <v>4.7838377945792019E-3</v>
      </c>
    </row>
    <row r="2941" spans="1:3">
      <c r="A2941" s="406">
        <f>Return!A521</f>
        <v>45320</v>
      </c>
      <c r="B2941" s="408" t="s">
        <v>74</v>
      </c>
      <c r="C2941" s="409">
        <f>Return!R521</f>
        <v>3.0428559447469288E-3</v>
      </c>
    </row>
    <row r="2942" spans="1:3">
      <c r="A2942" s="406">
        <f>Return!A522</f>
        <v>45316</v>
      </c>
      <c r="B2942" s="408" t="s">
        <v>74</v>
      </c>
      <c r="C2942" s="409">
        <f>Return!R522</f>
        <v>6.4577363999645124E-3</v>
      </c>
    </row>
    <row r="2943" spans="1:3">
      <c r="A2943" s="406">
        <f>Return!A523</f>
        <v>45315</v>
      </c>
      <c r="B2943" s="408" t="s">
        <v>74</v>
      </c>
      <c r="C2943" s="409">
        <f>Return!R523</f>
        <v>1.3731961463047183E-3</v>
      </c>
    </row>
    <row r="2944" spans="1:3">
      <c r="A2944" s="406">
        <f>Return!A524</f>
        <v>45314</v>
      </c>
      <c r="B2944" s="408" t="s">
        <v>74</v>
      </c>
      <c r="C2944" s="409">
        <f>Return!R524</f>
        <v>1.0646137764909561E-2</v>
      </c>
    </row>
    <row r="2945" spans="1:3">
      <c r="A2945" s="406">
        <f>Return!A525</f>
        <v>45311</v>
      </c>
      <c r="B2945" s="408" t="s">
        <v>74</v>
      </c>
      <c r="C2945" s="409">
        <f>Return!R525</f>
        <v>-9.5732746782689945E-3</v>
      </c>
    </row>
    <row r="2946" spans="1:3">
      <c r="A2946" s="406">
        <f>Return!A526</f>
        <v>45310</v>
      </c>
      <c r="B2946" s="408" t="s">
        <v>74</v>
      </c>
      <c r="C2946" s="409">
        <f>Return!R526</f>
        <v>-8.9133709928395895E-4</v>
      </c>
    </row>
    <row r="2947" spans="1:3">
      <c r="A2947" s="406">
        <f>Return!A527</f>
        <v>45309</v>
      </c>
      <c r="B2947" s="408" t="s">
        <v>74</v>
      </c>
      <c r="C2947" s="409">
        <f>Return!R527</f>
        <v>1.142532239552467E-2</v>
      </c>
    </row>
    <row r="2948" spans="1:3">
      <c r="A2948" s="406">
        <f>Return!A528</f>
        <v>45308</v>
      </c>
      <c r="B2948" s="408" t="s">
        <v>74</v>
      </c>
      <c r="C2948" s="409">
        <f>Return!R528</f>
        <v>9.5396781439017718E-3</v>
      </c>
    </row>
    <row r="2949" spans="1:3">
      <c r="A2949" s="406">
        <f>Return!A529</f>
        <v>45307</v>
      </c>
      <c r="B2949" s="408" t="s">
        <v>74</v>
      </c>
      <c r="C2949" s="409">
        <f>Return!R529</f>
        <v>-1.0647867796749894E-2</v>
      </c>
    </row>
    <row r="2950" spans="1:3">
      <c r="A2950" s="406">
        <f>Return!A530</f>
        <v>45306</v>
      </c>
      <c r="B2950" s="408" t="s">
        <v>74</v>
      </c>
      <c r="C2950" s="409">
        <f>Return!R530</f>
        <v>6.4896136879219919E-3</v>
      </c>
    </row>
    <row r="2951" spans="1:3">
      <c r="A2951" s="406">
        <f>Return!A531</f>
        <v>45303</v>
      </c>
      <c r="B2951" s="408" t="s">
        <v>74</v>
      </c>
      <c r="C2951" s="409">
        <f>Return!R531</f>
        <v>3.0711353252990078E-3</v>
      </c>
    </row>
    <row r="2952" spans="1:3">
      <c r="A2952" s="406">
        <f>Return!A532</f>
        <v>45302</v>
      </c>
      <c r="B2952" s="408" t="s">
        <v>74</v>
      </c>
      <c r="C2952" s="409">
        <f>Return!R532</f>
        <v>-2.829045565805482E-4</v>
      </c>
    </row>
    <row r="2953" spans="1:3">
      <c r="A2953" s="406">
        <f>Return!A533</f>
        <v>45301</v>
      </c>
      <c r="B2953" s="408" t="s">
        <v>74</v>
      </c>
      <c r="C2953" s="409">
        <f>Return!R533</f>
        <v>-3.9139568279410704E-3</v>
      </c>
    </row>
    <row r="2954" spans="1:3">
      <c r="A2954" s="406">
        <f>Return!A534</f>
        <v>45300</v>
      </c>
      <c r="B2954" s="408" t="s">
        <v>74</v>
      </c>
      <c r="C2954" s="409">
        <f>Return!R534</f>
        <v>9.2604164442365751E-3</v>
      </c>
    </row>
    <row r="2955" spans="1:3">
      <c r="A2955" s="406">
        <f>Return!A535</f>
        <v>45299</v>
      </c>
      <c r="B2955" s="408" t="s">
        <v>74</v>
      </c>
      <c r="C2955" s="409">
        <f>Return!R535</f>
        <v>-5.4595885515939537E-4</v>
      </c>
    </row>
    <row r="2956" spans="1:3">
      <c r="A2956" s="406">
        <f>Return!A536</f>
        <v>45296</v>
      </c>
      <c r="B2956" s="408" t="s">
        <v>74</v>
      </c>
      <c r="C2956" s="409">
        <f>Return!R536</f>
        <v>-4.4448013664752421E-4</v>
      </c>
    </row>
    <row r="2957" spans="1:3">
      <c r="A2957" s="406">
        <f>Return!A537</f>
        <v>45295</v>
      </c>
      <c r="B2957" s="408" t="s">
        <v>74</v>
      </c>
      <c r="C2957" s="409">
        <f>Return!R537</f>
        <v>-4.885790355363441E-3</v>
      </c>
    </row>
    <row r="2958" spans="1:3">
      <c r="A2958" s="406">
        <f>Return!A538</f>
        <v>45294</v>
      </c>
      <c r="B2958" s="408" t="s">
        <v>74</v>
      </c>
      <c r="C2958" s="409">
        <f>Return!R538</f>
        <v>4.4770251144285959E-3</v>
      </c>
    </row>
    <row r="2959" spans="1:3">
      <c r="A2959" s="406">
        <f>Return!A539</f>
        <v>45293</v>
      </c>
      <c r="B2959" s="408" t="s">
        <v>74</v>
      </c>
      <c r="C2959" s="409">
        <f>Return!R539</f>
        <v>4.647650063975035E-3</v>
      </c>
    </row>
    <row r="2960" spans="1:3">
      <c r="A2960" s="406">
        <f>Return!A540</f>
        <v>45292</v>
      </c>
      <c r="B2960" s="408" t="s">
        <v>74</v>
      </c>
      <c r="C2960" s="409">
        <f>Return!R540</f>
        <v>-1.268064480416354E-3</v>
      </c>
    </row>
    <row r="2961" spans="1:3">
      <c r="A2961" s="406">
        <f>Return!A541</f>
        <v>45289</v>
      </c>
      <c r="B2961" s="408" t="s">
        <v>74</v>
      </c>
      <c r="C2961" s="409">
        <f>Return!R541</f>
        <v>7.8462487007880857E-3</v>
      </c>
    </row>
    <row r="2962" spans="1:3">
      <c r="A2962" s="406">
        <f>Return!A542</f>
        <v>45288</v>
      </c>
      <c r="B2962" s="408" t="s">
        <v>74</v>
      </c>
      <c r="C2962" s="409">
        <f>Return!R542</f>
        <v>2.4211542965514887E-3</v>
      </c>
    </row>
    <row r="2963" spans="1:3">
      <c r="A2963" s="406">
        <f>Return!A543</f>
        <v>45287</v>
      </c>
      <c r="B2963" s="408" t="s">
        <v>74</v>
      </c>
      <c r="C2963" s="409">
        <f>Return!R543</f>
        <v>1.8478203810030087E-2</v>
      </c>
    </row>
    <row r="2964" spans="1:3">
      <c r="A2964" s="406">
        <f>Return!A544</f>
        <v>45286</v>
      </c>
      <c r="B2964" s="408" t="s">
        <v>74</v>
      </c>
      <c r="C2964" s="409">
        <f>Return!R544</f>
        <v>-3.6479869693799884E-3</v>
      </c>
    </row>
    <row r="2965" spans="1:3">
      <c r="A2965" s="406">
        <f>Return!A545</f>
        <v>45282</v>
      </c>
      <c r="B2965" s="408" t="s">
        <v>74</v>
      </c>
      <c r="C2965" s="409">
        <f>Return!R545</f>
        <v>4.2711578243381544E-3</v>
      </c>
    </row>
    <row r="2966" spans="1:3">
      <c r="A2966" s="406">
        <f>Return!A546</f>
        <v>45281</v>
      </c>
      <c r="B2966" s="408" t="s">
        <v>74</v>
      </c>
      <c r="C2966" s="409">
        <f>Return!R546</f>
        <v>1.1653102076797432E-2</v>
      </c>
    </row>
    <row r="2967" spans="1:3">
      <c r="A2967" s="406">
        <f>Return!A547</f>
        <v>45280</v>
      </c>
      <c r="B2967" s="408" t="s">
        <v>74</v>
      </c>
      <c r="C2967" s="409">
        <f>Return!R547</f>
        <v>-2.8713837375834638E-3</v>
      </c>
    </row>
    <row r="2968" spans="1:3">
      <c r="A2968" s="406">
        <f>Return!A548</f>
        <v>45279</v>
      </c>
      <c r="B2968" s="408" t="s">
        <v>74</v>
      </c>
      <c r="C2968" s="409">
        <f>Return!R548</f>
        <v>1.2102433774604592E-2</v>
      </c>
    </row>
    <row r="2969" spans="1:3">
      <c r="A2969" s="406">
        <f>Return!A549</f>
        <v>45278</v>
      </c>
      <c r="B2969" s="408" t="s">
        <v>74</v>
      </c>
      <c r="C2969" s="409">
        <f>Return!R549</f>
        <v>1.1594599787683174E-2</v>
      </c>
    </row>
    <row r="2970" spans="1:3">
      <c r="A2970" s="406">
        <f>Return!A550</f>
        <v>45275</v>
      </c>
      <c r="B2970" s="408" t="s">
        <v>74</v>
      </c>
      <c r="C2970" s="409">
        <f>Return!R550</f>
        <v>3.3866588400603649E-3</v>
      </c>
    </row>
    <row r="2971" spans="1:3">
      <c r="A2971" s="406">
        <f>Return!A551</f>
        <v>45274</v>
      </c>
      <c r="B2971" s="408" t="s">
        <v>74</v>
      </c>
      <c r="C2971" s="409">
        <f>Return!R551</f>
        <v>-4.6345452075361076E-3</v>
      </c>
    </row>
    <row r="2972" spans="1:3">
      <c r="A2972" s="406">
        <f>Return!A552</f>
        <v>45273</v>
      </c>
      <c r="B2972" s="408" t="s">
        <v>74</v>
      </c>
      <c r="C2972" s="409">
        <f>Return!R552</f>
        <v>1.3832929317547584E-3</v>
      </c>
    </row>
    <row r="2973" spans="1:3">
      <c r="A2973" s="406">
        <f>Return!A553</f>
        <v>45272</v>
      </c>
      <c r="B2973" s="408" t="s">
        <v>74</v>
      </c>
      <c r="C2973" s="409">
        <f>Return!R553</f>
        <v>3.8325077790211269E-3</v>
      </c>
    </row>
    <row r="2974" spans="1:3">
      <c r="A2974" s="406">
        <f>Return!A554</f>
        <v>45271</v>
      </c>
      <c r="B2974" s="408" t="s">
        <v>74</v>
      </c>
      <c r="C2974" s="409">
        <f>Return!R554</f>
        <v>5.8440140643450872E-3</v>
      </c>
    </row>
    <row r="2975" spans="1:3">
      <c r="A2975" s="406">
        <f>Return!A555</f>
        <v>45268</v>
      </c>
      <c r="B2975" s="408" t="s">
        <v>74</v>
      </c>
      <c r="C2975" s="409">
        <f>Return!R555</f>
        <v>-8.1421249882826091E-3</v>
      </c>
    </row>
    <row r="2976" spans="1:3">
      <c r="A2976" s="406">
        <f>Return!A556</f>
        <v>45267</v>
      </c>
      <c r="B2976" s="408" t="s">
        <v>74</v>
      </c>
      <c r="C2976" s="409">
        <f>Return!R556</f>
        <v>1.2557211339684713E-2</v>
      </c>
    </row>
    <row r="2977" spans="1:3">
      <c r="A2977" s="406">
        <f>Return!A557</f>
        <v>45266</v>
      </c>
      <c r="B2977" s="408" t="s">
        <v>74</v>
      </c>
      <c r="C2977" s="409">
        <f>Return!R557</f>
        <v>-4.9274680784818867E-3</v>
      </c>
    </row>
    <row r="2978" spans="1:3">
      <c r="A2978" s="406">
        <f>Return!A558</f>
        <v>45265</v>
      </c>
      <c r="B2978" s="408" t="s">
        <v>74</v>
      </c>
      <c r="C2978" s="409">
        <f>Return!R558</f>
        <v>-2.4619380889167857E-3</v>
      </c>
    </row>
    <row r="2979" spans="1:3">
      <c r="A2979" s="406">
        <f>Return!A559</f>
        <v>45264</v>
      </c>
      <c r="B2979" s="408" t="s">
        <v>74</v>
      </c>
      <c r="C2979" s="409">
        <f>Return!R559</f>
        <v>-1.0180909928093954E-2</v>
      </c>
    </row>
    <row r="2980" spans="1:3">
      <c r="A2980" s="406">
        <f>Return!A560</f>
        <v>45261</v>
      </c>
      <c r="B2980" s="408" t="s">
        <v>74</v>
      </c>
      <c r="C2980" s="409">
        <f>Return!R560</f>
        <v>4.947819539889535E-3</v>
      </c>
    </row>
    <row r="2981" spans="1:3">
      <c r="A2981" s="406">
        <f>Return!A561</f>
        <v>45260</v>
      </c>
      <c r="B2981" s="408" t="s">
        <v>74</v>
      </c>
      <c r="C2981" s="409">
        <f>Return!R561</f>
        <v>3.9040313582830062E-3</v>
      </c>
    </row>
    <row r="2982" spans="1:3">
      <c r="A2982" s="406">
        <f>Return!A562</f>
        <v>45259</v>
      </c>
      <c r="B2982" s="408" t="s">
        <v>74</v>
      </c>
      <c r="C2982" s="409">
        <f>Return!R562</f>
        <v>3.6360901457195283E-3</v>
      </c>
    </row>
    <row r="2983" spans="1:3">
      <c r="A2983" s="406">
        <f>Return!A563</f>
        <v>45258</v>
      </c>
      <c r="B2983" s="408" t="s">
        <v>74</v>
      </c>
      <c r="C2983" s="409">
        <f>Return!R563</f>
        <v>-3.0741984563392387E-3</v>
      </c>
    </row>
    <row r="2984" spans="1:3">
      <c r="A2984" s="406">
        <f>Return!A564</f>
        <v>45254</v>
      </c>
      <c r="B2984" s="408" t="s">
        <v>74</v>
      </c>
      <c r="C2984" s="409">
        <f>Return!R564</f>
        <v>1.8496499233431616E-3</v>
      </c>
    </row>
    <row r="2985" spans="1:3">
      <c r="A2985" s="406">
        <f>Return!A565</f>
        <v>45253</v>
      </c>
      <c r="B2985" s="408" t="s">
        <v>74</v>
      </c>
      <c r="C2985" s="409">
        <f>Return!R565</f>
        <v>9.8112090974701131E-3</v>
      </c>
    </row>
    <row r="2986" spans="1:3">
      <c r="A2986" s="406">
        <f>Return!A566</f>
        <v>45252</v>
      </c>
      <c r="B2986" s="408" t="s">
        <v>74</v>
      </c>
      <c r="C2986" s="409">
        <f>Return!R566</f>
        <v>2.1343318522644506E-3</v>
      </c>
    </row>
    <row r="2987" spans="1:3">
      <c r="A2987" s="406">
        <f>Return!A567</f>
        <v>45251</v>
      </c>
      <c r="B2987" s="408" t="s">
        <v>74</v>
      </c>
      <c r="C2987" s="409">
        <f>Return!R567</f>
        <v>-1.3537282701704145E-3</v>
      </c>
    </row>
    <row r="2988" spans="1:3">
      <c r="A2988" s="406">
        <f>Return!A568</f>
        <v>45250</v>
      </c>
      <c r="B2988" s="408" t="s">
        <v>74</v>
      </c>
      <c r="C2988" s="409">
        <f>Return!R568</f>
        <v>5.293494044722586E-3</v>
      </c>
    </row>
    <row r="2989" spans="1:3">
      <c r="A2989" s="406">
        <f>Return!A569</f>
        <v>45247</v>
      </c>
      <c r="B2989" s="408" t="s">
        <v>74</v>
      </c>
      <c r="C2989" s="409">
        <f>Return!R569</f>
        <v>-3.0698762380894221E-4</v>
      </c>
    </row>
    <row r="2990" spans="1:3">
      <c r="A2990" s="406">
        <f>Return!A570</f>
        <v>45246</v>
      </c>
      <c r="B2990" s="408" t="s">
        <v>74</v>
      </c>
      <c r="C2990" s="409">
        <f>Return!R570</f>
        <v>8.5508282706314911E-3</v>
      </c>
    </row>
    <row r="2991" spans="1:3">
      <c r="A2991" s="406">
        <f>Return!A571</f>
        <v>45245</v>
      </c>
      <c r="B2991" s="408" t="s">
        <v>74</v>
      </c>
      <c r="C2991" s="409">
        <f>Return!R571</f>
        <v>1.0278169599275374E-2</v>
      </c>
    </row>
    <row r="2992" spans="1:3">
      <c r="A2992" s="406">
        <f>Return!A572</f>
        <v>45243</v>
      </c>
      <c r="B2992" s="408" t="s">
        <v>74</v>
      </c>
      <c r="C2992" s="409">
        <f>Return!R572</f>
        <v>-6.6804659057583199E-3</v>
      </c>
    </row>
    <row r="2993" spans="1:3">
      <c r="A2993" s="406">
        <f>Return!A573</f>
        <v>45242</v>
      </c>
      <c r="B2993" s="408" t="s">
        <v>74</v>
      </c>
      <c r="C2993" s="409">
        <f>Return!R573</f>
        <v>7.2935693697069688E-3</v>
      </c>
    </row>
    <row r="2994" spans="1:3">
      <c r="A2994" s="406">
        <f>Return!A574</f>
        <v>45240</v>
      </c>
      <c r="B2994" s="408" t="s">
        <v>74</v>
      </c>
      <c r="C2994" s="409">
        <f>Return!R574</f>
        <v>3.5294396244971195E-3</v>
      </c>
    </row>
    <row r="2995" spans="1:3">
      <c r="A2995" s="406">
        <f>Return!A575</f>
        <v>45239</v>
      </c>
      <c r="B2995" s="408" t="s">
        <v>74</v>
      </c>
      <c r="C2995" s="409">
        <f>Return!R575</f>
        <v>-1.5684847071548856E-3</v>
      </c>
    </row>
    <row r="2996" spans="1:3">
      <c r="A2996" s="406">
        <f>Return!A576</f>
        <v>45238</v>
      </c>
      <c r="B2996" s="408" t="s">
        <v>74</v>
      </c>
      <c r="C2996" s="409">
        <f>Return!R576</f>
        <v>9.0426936827547599E-3</v>
      </c>
    </row>
    <row r="2997" spans="1:3">
      <c r="A2997" s="406">
        <f>Return!A577</f>
        <v>45237</v>
      </c>
      <c r="B2997" s="408" t="s">
        <v>74</v>
      </c>
      <c r="C2997" s="409">
        <f>Return!R577</f>
        <v>8.8867099876960946E-3</v>
      </c>
    </row>
    <row r="2998" spans="1:3">
      <c r="A2998" s="406">
        <f>Return!A578</f>
        <v>45236</v>
      </c>
      <c r="B2998" s="408" t="s">
        <v>74</v>
      </c>
      <c r="C2998" s="409">
        <f>Return!R578</f>
        <v>6.9984216854161547E-3</v>
      </c>
    </row>
    <row r="2999" spans="1:3">
      <c r="A2999" s="406">
        <f>Return!A579</f>
        <v>45233</v>
      </c>
      <c r="B2999" s="408" t="s">
        <v>74</v>
      </c>
      <c r="C2999" s="409">
        <f>Return!R579</f>
        <v>9.1663591169858262E-3</v>
      </c>
    </row>
    <row r="3000" spans="1:3">
      <c r="A3000" s="406">
        <f>Return!A580</f>
        <v>45232</v>
      </c>
      <c r="B3000" s="408" t="s">
        <v>74</v>
      </c>
      <c r="C3000" s="409">
        <f>Return!R580</f>
        <v>1.4457220374974945E-2</v>
      </c>
    </row>
    <row r="3001" spans="1:3">
      <c r="A3001" s="406">
        <f>Return!A581</f>
        <v>45231</v>
      </c>
      <c r="B3001" s="408" t="s">
        <v>74</v>
      </c>
      <c r="C3001" s="409">
        <f>Return!R581</f>
        <v>1.5185043015583448E-2</v>
      </c>
    </row>
    <row r="3002" spans="1:3">
      <c r="A3002" s="406">
        <f>Return!A582</f>
        <v>45230</v>
      </c>
      <c r="B3002" s="408" t="s">
        <v>74</v>
      </c>
      <c r="C3002" s="409">
        <f>Return!R582</f>
        <v>4.7962053744515579E-3</v>
      </c>
    </row>
    <row r="3003" spans="1:3">
      <c r="A3003" s="406">
        <f>Return!A583</f>
        <v>45229</v>
      </c>
      <c r="B3003" s="408" t="s">
        <v>74</v>
      </c>
      <c r="C3003" s="409">
        <f>Return!R583</f>
        <v>2.8912711650047034E-3</v>
      </c>
    </row>
    <row r="3004" spans="1:3">
      <c r="A3004" s="406">
        <f>Return!A584</f>
        <v>45226</v>
      </c>
      <c r="B3004" s="408" t="s">
        <v>74</v>
      </c>
      <c r="C3004" s="409">
        <f>Return!R584</f>
        <v>1.0731552434003984E-2</v>
      </c>
    </row>
    <row r="3005" spans="1:3">
      <c r="A3005" s="406">
        <f>Return!A585</f>
        <v>45225</v>
      </c>
      <c r="B3005" s="408" t="s">
        <v>74</v>
      </c>
      <c r="C3005" s="409">
        <f>Return!R585</f>
        <v>3.0970485292491764E-3</v>
      </c>
    </row>
    <row r="3006" spans="1:3">
      <c r="A3006" s="406">
        <f>Return!A586</f>
        <v>45224</v>
      </c>
      <c r="B3006" s="408" t="s">
        <v>74</v>
      </c>
      <c r="C3006" s="409">
        <f>Return!R586</f>
        <v>-2.9932249429213912E-3</v>
      </c>
    </row>
    <row r="3007" spans="1:3">
      <c r="A3007" s="406">
        <f>Return!A587</f>
        <v>45222</v>
      </c>
      <c r="B3007" s="408" t="s">
        <v>74</v>
      </c>
      <c r="C3007" s="409">
        <f>Return!R587</f>
        <v>-2.2265506151687769E-3</v>
      </c>
    </row>
    <row r="3008" spans="1:3">
      <c r="A3008" s="406">
        <f>Return!A588</f>
        <v>45219</v>
      </c>
      <c r="B3008" s="408" t="s">
        <v>74</v>
      </c>
      <c r="C3008" s="409">
        <f>Return!R588</f>
        <v>7.700291349314283E-3</v>
      </c>
    </row>
    <row r="3009" spans="1:3">
      <c r="A3009" s="406">
        <f>Return!A589</f>
        <v>45218</v>
      </c>
      <c r="B3009" s="408" t="s">
        <v>74</v>
      </c>
      <c r="C3009" s="409">
        <f>Return!R589</f>
        <v>-3.805037761901154E-3</v>
      </c>
    </row>
    <row r="3010" spans="1:3">
      <c r="A3010" s="406">
        <f>Return!A590</f>
        <v>45217</v>
      </c>
      <c r="B3010" s="408" t="s">
        <v>74</v>
      </c>
      <c r="C3010" s="409">
        <f>Return!R590</f>
        <v>-3.6456383170831346E-3</v>
      </c>
    </row>
    <row r="3011" spans="1:3">
      <c r="A3011" s="406">
        <f>Return!A591</f>
        <v>45216</v>
      </c>
      <c r="B3011" s="408" t="s">
        <v>74</v>
      </c>
      <c r="C3011" s="409">
        <f>Return!R591</f>
        <v>-9.7304526092303733E-3</v>
      </c>
    </row>
    <row r="3012" spans="1:3">
      <c r="A3012" s="406">
        <f>Return!A592</f>
        <v>45215</v>
      </c>
      <c r="B3012" s="408" t="s">
        <v>74</v>
      </c>
      <c r="C3012" s="409">
        <f>Return!R592</f>
        <v>-3.3592697840775232E-3</v>
      </c>
    </row>
    <row r="3013" spans="1:3">
      <c r="A3013" s="406">
        <f>Return!A593</f>
        <v>45212</v>
      </c>
      <c r="B3013" s="408" t="s">
        <v>74</v>
      </c>
      <c r="C3013" s="409">
        <f>Return!R593</f>
        <v>-2.4771641131651127E-3</v>
      </c>
    </row>
    <row r="3014" spans="1:3">
      <c r="A3014" s="406">
        <f>Return!A594</f>
        <v>45211</v>
      </c>
      <c r="B3014" s="408" t="s">
        <v>74</v>
      </c>
      <c r="C3014" s="409">
        <f>Return!R594</f>
        <v>3.9196166151581171E-3</v>
      </c>
    </row>
    <row r="3015" spans="1:3">
      <c r="A3015" s="406">
        <f>Return!A595</f>
        <v>45210</v>
      </c>
      <c r="B3015" s="408" t="s">
        <v>74</v>
      </c>
      <c r="C3015" s="409">
        <f>Return!R595</f>
        <v>-4.7560260760634349E-4</v>
      </c>
    </row>
    <row r="3016" spans="1:3">
      <c r="A3016" s="406">
        <f>Return!A596</f>
        <v>45209</v>
      </c>
      <c r="B3016" s="408" t="s">
        <v>74</v>
      </c>
      <c r="C3016" s="409">
        <f>Return!R596</f>
        <v>-6.0499264920379821E-3</v>
      </c>
    </row>
    <row r="3017" spans="1:3">
      <c r="A3017" s="406">
        <f>Return!A597</f>
        <v>45208</v>
      </c>
      <c r="B3017" s="408" t="s">
        <v>74</v>
      </c>
      <c r="C3017" s="409">
        <f>Return!R597</f>
        <v>4.4102370021306724E-3</v>
      </c>
    </row>
    <row r="3018" spans="1:3">
      <c r="A3018" s="406">
        <f>Return!A598</f>
        <v>45205</v>
      </c>
      <c r="B3018" s="408" t="s">
        <v>74</v>
      </c>
      <c r="C3018" s="409">
        <f>Return!R598</f>
        <v>2.2523130733316386E-3</v>
      </c>
    </row>
    <row r="3019" spans="1:3">
      <c r="A3019" s="406">
        <f>Return!A599</f>
        <v>45204</v>
      </c>
      <c r="B3019" s="408" t="s">
        <v>74</v>
      </c>
      <c r="C3019" s="409">
        <f>Return!R599</f>
        <v>4.0511127889211453E-4</v>
      </c>
    </row>
    <row r="3020" spans="1:3">
      <c r="A3020" s="406">
        <f>Return!A600</f>
        <v>45203</v>
      </c>
      <c r="B3020" s="408" t="s">
        <v>74</v>
      </c>
      <c r="C3020" s="409">
        <f>Return!R600</f>
        <v>1.8738870425462685E-3</v>
      </c>
    </row>
    <row r="3021" spans="1:3">
      <c r="A3021" s="406">
        <f>Return!A601</f>
        <v>45202</v>
      </c>
      <c r="B3021" s="408" t="s">
        <v>74</v>
      </c>
      <c r="C3021" s="409">
        <f>Return!R601</f>
        <v>-2.0942302238739045E-3</v>
      </c>
    </row>
    <row r="3022" spans="1:3">
      <c r="A3022" s="406">
        <f>Return!A602</f>
        <v>45198</v>
      </c>
      <c r="B3022" s="408" t="s">
        <v>74</v>
      </c>
      <c r="C3022" s="409">
        <f>Return!R602</f>
        <v>1.2590220924477334E-2</v>
      </c>
    </row>
    <row r="3023" spans="1:3">
      <c r="A3023" s="406">
        <f>Return!A603</f>
        <v>45197</v>
      </c>
      <c r="B3023" s="408" t="s">
        <v>74</v>
      </c>
      <c r="C3023" s="409">
        <f>Return!R603</f>
        <v>-8.7344541797933634E-3</v>
      </c>
    </row>
    <row r="3024" spans="1:3">
      <c r="A3024" s="406">
        <f>Return!A604</f>
        <v>45196</v>
      </c>
      <c r="B3024" s="408" t="s">
        <v>74</v>
      </c>
      <c r="C3024" s="409">
        <f>Return!R604</f>
        <v>-2.6652239693963514E-3</v>
      </c>
    </row>
    <row r="3025" spans="1:3">
      <c r="A3025" s="406">
        <f>Return!A605</f>
        <v>45195</v>
      </c>
      <c r="B3025" s="408" t="s">
        <v>74</v>
      </c>
      <c r="C3025" s="409">
        <f>Return!R605</f>
        <v>-7.0252328215036743E-3</v>
      </c>
    </row>
    <row r="3026" spans="1:3">
      <c r="A3026" s="406">
        <f>Return!A606</f>
        <v>45194</v>
      </c>
      <c r="B3026" s="408" t="s">
        <v>74</v>
      </c>
      <c r="C3026" s="409">
        <f>Return!R606</f>
        <v>1.7251223263253339E-2</v>
      </c>
    </row>
    <row r="3027" spans="1:3">
      <c r="A3027" s="406">
        <f>Return!A607</f>
        <v>45191</v>
      </c>
      <c r="B3027" s="408" t="s">
        <v>74</v>
      </c>
      <c r="C3027" s="409">
        <f>Return!R607</f>
        <v>-1.4113914328626943E-2</v>
      </c>
    </row>
    <row r="3028" spans="1:3">
      <c r="A3028" s="406">
        <f>Return!A608</f>
        <v>45190</v>
      </c>
      <c r="B3028" s="408" t="s">
        <v>74</v>
      </c>
      <c r="C3028" s="409">
        <f>Return!R608</f>
        <v>6.6628337938631006E-4</v>
      </c>
    </row>
    <row r="3029" spans="1:3">
      <c r="A3029" s="406">
        <f>Return!A609</f>
        <v>45189</v>
      </c>
      <c r="B3029" s="408" t="s">
        <v>74</v>
      </c>
      <c r="C3029" s="409">
        <f>Return!R609</f>
        <v>-8.3722680825295027E-3</v>
      </c>
    </row>
    <row r="3030" spans="1:3">
      <c r="A3030" s="406">
        <f>Return!A610</f>
        <v>45187</v>
      </c>
      <c r="B3030" s="408" t="s">
        <v>74</v>
      </c>
      <c r="C3030" s="409">
        <f>Return!R610</f>
        <v>-2.3552288471555462E-3</v>
      </c>
    </row>
    <row r="3031" spans="1:3">
      <c r="A3031" s="406">
        <f>Return!A611</f>
        <v>45184</v>
      </c>
      <c r="B3031" s="408" t="s">
        <v>74</v>
      </c>
      <c r="C3031" s="409">
        <f>Return!R611</f>
        <v>-6.5849891698088713E-3</v>
      </c>
    </row>
    <row r="3032" spans="1:3">
      <c r="A3032" s="406">
        <f>Return!A612</f>
        <v>45183</v>
      </c>
      <c r="B3032" s="408" t="s">
        <v>74</v>
      </c>
      <c r="C3032" s="409">
        <f>Return!R612</f>
        <v>-6.073543199823974E-3</v>
      </c>
    </row>
    <row r="3033" spans="1:3">
      <c r="A3033" s="406">
        <f>Return!A613</f>
        <v>45182</v>
      </c>
      <c r="B3033" s="408" t="s">
        <v>74</v>
      </c>
      <c r="C3033" s="409">
        <f>Return!R613</f>
        <v>9.1916010281029754E-3</v>
      </c>
    </row>
    <row r="3034" spans="1:3">
      <c r="A3034" s="406">
        <f>Return!A614</f>
        <v>45181</v>
      </c>
      <c r="B3034" s="408" t="s">
        <v>74</v>
      </c>
      <c r="C3034" s="409">
        <f>Return!R614</f>
        <v>-4.2592681363899463E-3</v>
      </c>
    </row>
    <row r="3035" spans="1:3">
      <c r="A3035" s="406">
        <f>Return!A615</f>
        <v>45180</v>
      </c>
      <c r="B3035" s="408" t="s">
        <v>74</v>
      </c>
      <c r="C3035" s="409">
        <f>Return!R615</f>
        <v>1.0056060826655782E-3</v>
      </c>
    </row>
    <row r="3036" spans="1:3">
      <c r="A3036" s="406">
        <f>Return!A616</f>
        <v>45177</v>
      </c>
      <c r="B3036" s="408" t="s">
        <v>74</v>
      </c>
      <c r="C3036" s="409">
        <f>Return!R616</f>
        <v>-2.757625238432264E-3</v>
      </c>
    </row>
    <row r="3037" spans="1:3">
      <c r="A3037" s="406">
        <f>Return!A617</f>
        <v>45176</v>
      </c>
      <c r="B3037" s="408" t="s">
        <v>74</v>
      </c>
      <c r="C3037" s="409">
        <f>Return!R617</f>
        <v>4.0662367513375052E-3</v>
      </c>
    </row>
    <row r="3038" spans="1:3">
      <c r="A3038" s="406">
        <f>Return!A618</f>
        <v>45175</v>
      </c>
      <c r="B3038" s="408" t="s">
        <v>74</v>
      </c>
      <c r="C3038" s="409">
        <f>Return!R618</f>
        <v>4.2552465309650131E-3</v>
      </c>
    </row>
    <row r="3039" spans="1:3">
      <c r="A3039" s="406">
        <f>Return!A619</f>
        <v>45174</v>
      </c>
      <c r="B3039" s="408" t="s">
        <v>74</v>
      </c>
      <c r="C3039" s="409">
        <f>Return!R619</f>
        <v>7.4114486089851654E-3</v>
      </c>
    </row>
    <row r="3040" spans="1:3">
      <c r="A3040" s="406">
        <f>Return!A620</f>
        <v>45173</v>
      </c>
      <c r="B3040" s="408" t="s">
        <v>74</v>
      </c>
      <c r="C3040" s="409">
        <f>Return!R620</f>
        <v>1.0947178611447473E-3</v>
      </c>
    </row>
    <row r="3041" spans="1:3">
      <c r="A3041" s="406">
        <f>Return!A621</f>
        <v>45170</v>
      </c>
      <c r="B3041" s="408" t="s">
        <v>74</v>
      </c>
      <c r="C3041" s="409">
        <f>Return!R621</f>
        <v>-6.0749899714526391E-3</v>
      </c>
    </row>
    <row r="3042" spans="1:3">
      <c r="A3042" s="406">
        <f>Return!A622</f>
        <v>45169</v>
      </c>
      <c r="B3042" s="408" t="s">
        <v>74</v>
      </c>
      <c r="C3042" s="409">
        <f>Return!R622</f>
        <v>5.5734657590570435E-3</v>
      </c>
    </row>
    <row r="3043" spans="1:3">
      <c r="A3043" s="406">
        <f>Return!A623</f>
        <v>45168</v>
      </c>
      <c r="B3043" s="408" t="s">
        <v>74</v>
      </c>
      <c r="C3043" s="409">
        <f>Return!R623</f>
        <v>5.0970359361967883E-4</v>
      </c>
    </row>
    <row r="3044" spans="1:3">
      <c r="A3044" s="406">
        <f>Return!A624</f>
        <v>45167</v>
      </c>
      <c r="B3044" s="408" t="s">
        <v>74</v>
      </c>
      <c r="C3044" s="409">
        <f>Return!R624</f>
        <v>-4.1671519142242874E-3</v>
      </c>
    </row>
    <row r="3045" spans="1:3">
      <c r="A3045" s="406">
        <f>Return!A625</f>
        <v>45166</v>
      </c>
      <c r="B3045" s="408" t="s">
        <v>74</v>
      </c>
      <c r="C3045" s="409">
        <f>Return!R625</f>
        <v>-7.4778484537241783E-4</v>
      </c>
    </row>
    <row r="3046" spans="1:3">
      <c r="A3046" s="406">
        <f>Return!A626</f>
        <v>45163</v>
      </c>
      <c r="B3046" s="408" t="s">
        <v>74</v>
      </c>
      <c r="C3046" s="409">
        <f>Return!R626</f>
        <v>-6.483221829404028E-3</v>
      </c>
    </row>
    <row r="3047" spans="1:3">
      <c r="A3047" s="406">
        <f>Return!A627</f>
        <v>45162</v>
      </c>
      <c r="B3047" s="408" t="s">
        <v>74</v>
      </c>
      <c r="C3047" s="409">
        <f>Return!R627</f>
        <v>-5.1862998015987465E-4</v>
      </c>
    </row>
    <row r="3048" spans="1:3">
      <c r="A3048" s="406">
        <f>Return!A628</f>
        <v>45161</v>
      </c>
      <c r="B3048" s="408" t="s">
        <v>74</v>
      </c>
      <c r="C3048" s="409">
        <f>Return!R628</f>
        <v>-5.9302336118814414E-3</v>
      </c>
    </row>
    <row r="3049" spans="1:3">
      <c r="A3049" s="406">
        <f>Return!A629</f>
        <v>45160</v>
      </c>
      <c r="B3049" s="408" t="s">
        <v>74</v>
      </c>
      <c r="C3049" s="409">
        <f>Return!R629</f>
        <v>5.3577060302015542E-3</v>
      </c>
    </row>
    <row r="3050" spans="1:3">
      <c r="A3050" s="406">
        <f>Return!A630</f>
        <v>45159</v>
      </c>
      <c r="B3050" s="408" t="s">
        <v>74</v>
      </c>
      <c r="C3050" s="409">
        <f>Return!R630</f>
        <v>-6.0222816794322934E-3</v>
      </c>
    </row>
    <row r="3051" spans="1:3">
      <c r="A3051" s="406">
        <f>Return!A631</f>
        <v>45156</v>
      </c>
      <c r="B3051" s="408" t="s">
        <v>74</v>
      </c>
      <c r="C3051" s="409">
        <f>Return!R631</f>
        <v>-5.4678715689428113E-3</v>
      </c>
    </row>
    <row r="3052" spans="1:3">
      <c r="A3052" s="406">
        <f>Return!A632</f>
        <v>45155</v>
      </c>
      <c r="B3052" s="408" t="s">
        <v>74</v>
      </c>
      <c r="C3052" s="409">
        <f>Return!R632</f>
        <v>-6.4965716341636309E-3</v>
      </c>
    </row>
    <row r="3053" spans="1:3">
      <c r="A3053" s="406">
        <f>Return!A633</f>
        <v>45154</v>
      </c>
      <c r="B3053" s="408" t="s">
        <v>74</v>
      </c>
      <c r="C3053" s="409">
        <f>Return!R633</f>
        <v>1.7270882601855722E-3</v>
      </c>
    </row>
    <row r="3054" spans="1:3">
      <c r="A3054" s="406">
        <f>Return!A634</f>
        <v>45152</v>
      </c>
      <c r="B3054" s="408" t="s">
        <v>74</v>
      </c>
      <c r="C3054" s="409">
        <f>Return!R634</f>
        <v>-1.1161391162744893E-3</v>
      </c>
    </row>
    <row r="3055" spans="1:3">
      <c r="A3055" s="406">
        <f>Return!A635</f>
        <v>45149</v>
      </c>
      <c r="B3055" s="408" t="s">
        <v>74</v>
      </c>
      <c r="C3055" s="409">
        <f>Return!R635</f>
        <v>-3.2332209701991612E-3</v>
      </c>
    </row>
    <row r="3056" spans="1:3">
      <c r="A3056" s="406">
        <f>Return!A636</f>
        <v>45148</v>
      </c>
      <c r="B3056" s="408" t="s">
        <v>74</v>
      </c>
      <c r="C3056" s="409">
        <f>Return!R636</f>
        <v>-2.6225226877873509E-3</v>
      </c>
    </row>
    <row r="3057" spans="1:3">
      <c r="A3057" s="406">
        <f>Return!A637</f>
        <v>45147</v>
      </c>
      <c r="B3057" s="408" t="s">
        <v>74</v>
      </c>
      <c r="C3057" s="409">
        <f>Return!R637</f>
        <v>1.0298262365953739E-3</v>
      </c>
    </row>
    <row r="3058" spans="1:3">
      <c r="A3058" s="406">
        <f>Return!A638</f>
        <v>45146</v>
      </c>
      <c r="B3058" s="408" t="s">
        <v>74</v>
      </c>
      <c r="C3058" s="409">
        <f>Return!R638</f>
        <v>-3.5202037060520037E-3</v>
      </c>
    </row>
    <row r="3059" spans="1:3">
      <c r="A3059" s="406">
        <f>Return!A639</f>
        <v>45145</v>
      </c>
      <c r="B3059" s="408" t="s">
        <v>74</v>
      </c>
      <c r="C3059" s="409">
        <f>Return!R639</f>
        <v>-1.5471280194381003E-2</v>
      </c>
    </row>
    <row r="3060" spans="1:3">
      <c r="A3060" s="406">
        <f>Return!A640</f>
        <v>45142</v>
      </c>
      <c r="B3060" s="408" t="s">
        <v>74</v>
      </c>
      <c r="C3060" s="409">
        <f>Return!R640</f>
        <v>-6.2344196436727234E-3</v>
      </c>
    </row>
    <row r="3061" spans="1:3">
      <c r="A3061" s="406">
        <f>Return!A641</f>
        <v>45141</v>
      </c>
      <c r="B3061" s="408" t="s">
        <v>74</v>
      </c>
      <c r="C3061" s="409">
        <f>Return!R641</f>
        <v>8.1020499389518972E-3</v>
      </c>
    </row>
    <row r="3062" spans="1:3">
      <c r="A3062" s="406">
        <f>Return!A642</f>
        <v>45140</v>
      </c>
      <c r="B3062" s="408" t="s">
        <v>74</v>
      </c>
      <c r="C3062" s="409">
        <f>Return!R642</f>
        <v>9.1353783897524547E-5</v>
      </c>
    </row>
    <row r="3063" spans="1:3">
      <c r="A3063" s="406">
        <f>Return!A643</f>
        <v>45139</v>
      </c>
      <c r="B3063" s="408" t="s">
        <v>74</v>
      </c>
      <c r="C3063" s="409">
        <f>Return!R643</f>
        <v>1.2192460648899766E-2</v>
      </c>
    </row>
    <row r="3064" spans="1:3">
      <c r="A3064" s="406">
        <f>Return!A644</f>
        <v>45138</v>
      </c>
      <c r="B3064" s="408" t="s">
        <v>74</v>
      </c>
      <c r="C3064" s="409">
        <f>Return!R644</f>
        <v>1.8274266406880287E-3</v>
      </c>
    </row>
    <row r="3065" spans="1:3">
      <c r="A3065" s="406">
        <f>Return!A645</f>
        <v>45135</v>
      </c>
      <c r="B3065" s="408" t="s">
        <v>74</v>
      </c>
      <c r="C3065" s="409">
        <f>Return!R645</f>
        <v>5.1659625645518216E-3</v>
      </c>
    </row>
    <row r="3066" spans="1:3">
      <c r="A3066" s="406">
        <f>Return!A646</f>
        <v>45134</v>
      </c>
      <c r="B3066" s="408" t="s">
        <v>74</v>
      </c>
      <c r="C3066" s="409">
        <f>Return!R646</f>
        <v>8.6491596130872633E-3</v>
      </c>
    </row>
    <row r="3067" spans="1:3">
      <c r="A3067" s="406">
        <f>Return!A647</f>
        <v>45133</v>
      </c>
      <c r="B3067" s="408" t="s">
        <v>74</v>
      </c>
      <c r="C3067" s="409">
        <f>Return!R647</f>
        <v>-2.0965412516220795E-4</v>
      </c>
    </row>
    <row r="3068" spans="1:3">
      <c r="A3068" s="406">
        <f>Return!A648</f>
        <v>45132</v>
      </c>
      <c r="B3068" s="408" t="s">
        <v>74</v>
      </c>
      <c r="C3068" s="409">
        <f>Return!R648</f>
        <v>1.9282476335400144E-3</v>
      </c>
    </row>
    <row r="3069" spans="1:3">
      <c r="A3069" s="406">
        <f>Return!A649</f>
        <v>45131</v>
      </c>
      <c r="B3069" s="408" t="s">
        <v>74</v>
      </c>
      <c r="C3069" s="409">
        <f>Return!R649</f>
        <v>-3.4329040645231115E-4</v>
      </c>
    </row>
    <row r="3070" spans="1:3">
      <c r="A3070" s="406">
        <f>Return!A650</f>
        <v>45128</v>
      </c>
      <c r="B3070" s="408" t="s">
        <v>74</v>
      </c>
      <c r="C3070" s="409">
        <f>Return!R650</f>
        <v>9.0060074024843843E-3</v>
      </c>
    </row>
    <row r="3071" spans="1:3">
      <c r="A3071" s="406">
        <f>Return!A651</f>
        <v>45127</v>
      </c>
      <c r="B3071" s="408" t="s">
        <v>74</v>
      </c>
      <c r="C3071" s="409">
        <f>Return!R651</f>
        <v>1.0559220062577715E-2</v>
      </c>
    </row>
    <row r="3072" spans="1:3">
      <c r="A3072" s="406">
        <f>Return!A652</f>
        <v>45126</v>
      </c>
      <c r="B3072" s="408" t="s">
        <v>74</v>
      </c>
      <c r="C3072" s="409">
        <f>Return!R652</f>
        <v>1.0704789435090307E-2</v>
      </c>
    </row>
    <row r="3073" spans="1:3">
      <c r="A3073" s="406">
        <f>Return!A653</f>
        <v>45125</v>
      </c>
      <c r="B3073" s="408" t="s">
        <v>74</v>
      </c>
      <c r="C3073" s="409">
        <f>Return!R653</f>
        <v>7.0790087131143795E-3</v>
      </c>
    </row>
    <row r="3074" spans="1:3">
      <c r="A3074" s="406">
        <f>Return!A654</f>
        <v>45124</v>
      </c>
      <c r="B3074" s="408" t="s">
        <v>74</v>
      </c>
      <c r="C3074" s="409">
        <f>Return!R654</f>
        <v>1.8695995432108383E-3</v>
      </c>
    </row>
    <row r="3075" spans="1:3">
      <c r="A3075" s="406">
        <f>Return!A655</f>
        <v>45121</v>
      </c>
      <c r="B3075" s="408" t="s">
        <v>74</v>
      </c>
      <c r="C3075" s="409">
        <f>Return!R655</f>
        <v>7.3914780703291721E-3</v>
      </c>
    </row>
    <row r="3076" spans="1:3">
      <c r="A3076" s="406">
        <f>Return!A656</f>
        <v>45120</v>
      </c>
      <c r="B3076" s="408" t="s">
        <v>74</v>
      </c>
      <c r="C3076" s="409">
        <f>Return!R656</f>
        <v>1.6050215317290973E-3</v>
      </c>
    </row>
    <row r="3077" spans="1:3">
      <c r="A3077" s="406">
        <f>Return!A657</f>
        <v>45119</v>
      </c>
      <c r="B3077" s="408" t="s">
        <v>74</v>
      </c>
      <c r="C3077" s="409">
        <f>Return!R657</f>
        <v>1.026469940052887E-3</v>
      </c>
    </row>
    <row r="3078" spans="1:3">
      <c r="A3078" s="406">
        <f>Return!A658</f>
        <v>45118</v>
      </c>
      <c r="B3078" s="408" t="s">
        <v>74</v>
      </c>
      <c r="C3078" s="409">
        <f>Return!R658</f>
        <v>8.4634213860023278E-3</v>
      </c>
    </row>
    <row r="3079" spans="1:3">
      <c r="A3079" s="406">
        <f>Return!A659</f>
        <v>45117</v>
      </c>
      <c r="B3079" s="408" t="s">
        <v>74</v>
      </c>
      <c r="C3079" s="409">
        <f>Return!R659</f>
        <v>6.2401666041477031E-4</v>
      </c>
    </row>
    <row r="3080" spans="1:3">
      <c r="A3080" s="406">
        <f>Return!A660</f>
        <v>45114</v>
      </c>
      <c r="B3080" s="408" t="s">
        <v>74</v>
      </c>
      <c r="C3080" s="409">
        <f>Return!R660</f>
        <v>-3.7079063221522267E-3</v>
      </c>
    </row>
    <row r="3081" spans="1:3">
      <c r="A3081" s="406">
        <f>Return!A661</f>
        <v>45113</v>
      </c>
      <c r="B3081" s="408" t="s">
        <v>74</v>
      </c>
      <c r="C3081" s="409">
        <f>Return!R661</f>
        <v>5.9956450994626447E-3</v>
      </c>
    </row>
    <row r="3082" spans="1:3">
      <c r="A3082" s="406">
        <f>Return!A662</f>
        <v>45112</v>
      </c>
      <c r="B3082" s="408" t="s">
        <v>74</v>
      </c>
      <c r="C3082" s="409">
        <f>Return!R662</f>
        <v>1.1538055780089528E-2</v>
      </c>
    </row>
    <row r="3083" spans="1:3">
      <c r="A3083" s="406">
        <f>Return!A663</f>
        <v>45111</v>
      </c>
      <c r="B3083" s="408" t="s">
        <v>74</v>
      </c>
      <c r="C3083" s="409">
        <f>Return!R663</f>
        <v>1.4434806787035426E-3</v>
      </c>
    </row>
    <row r="3084" spans="1:3">
      <c r="A3084" s="406">
        <f>Return!A664</f>
        <v>45110</v>
      </c>
      <c r="B3084" s="408" t="s">
        <v>74</v>
      </c>
      <c r="C3084" s="409">
        <f>Return!R664</f>
        <v>-6.4643221957378753E-3</v>
      </c>
    </row>
    <row r="3085" spans="1:3">
      <c r="A3085" s="406">
        <f>Return!A665</f>
        <v>45107</v>
      </c>
      <c r="B3085" s="408" t="s">
        <v>74</v>
      </c>
      <c r="C3085" s="409">
        <f>Return!R665</f>
        <v>1.3608468543322223E-3</v>
      </c>
    </row>
    <row r="3086" spans="1:3">
      <c r="A3086" s="406">
        <f>Return!A666</f>
        <v>45105</v>
      </c>
      <c r="B3086" s="408" t="s">
        <v>74</v>
      </c>
      <c r="C3086" s="409">
        <f>Return!R666</f>
        <v>9.4996291309001075E-3</v>
      </c>
    </row>
    <row r="3087" spans="1:3">
      <c r="A3087" s="406">
        <f>Return!A667</f>
        <v>45104</v>
      </c>
      <c r="B3087" s="408" t="s">
        <v>74</v>
      </c>
      <c r="C3087" s="409">
        <f>Return!R667</f>
        <v>2.5676582774732159E-3</v>
      </c>
    </row>
    <row r="3088" spans="1:3">
      <c r="A3088" s="406">
        <f>Return!A668</f>
        <v>45103</v>
      </c>
      <c r="B3088" s="408" t="s">
        <v>74</v>
      </c>
      <c r="C3088" s="409">
        <f>Return!R668</f>
        <v>1.6067125493140363E-3</v>
      </c>
    </row>
    <row r="3089" spans="1:3">
      <c r="A3089" s="406">
        <f>Return!A669</f>
        <v>45100</v>
      </c>
      <c r="B3089" s="408" t="s">
        <v>74</v>
      </c>
      <c r="C3089" s="409">
        <f>Return!R669</f>
        <v>1.3034689933552191E-2</v>
      </c>
    </row>
    <row r="3090" spans="1:3">
      <c r="A3090" s="406">
        <f>Return!A670</f>
        <v>45099</v>
      </c>
      <c r="B3090" s="408" t="s">
        <v>74</v>
      </c>
      <c r="C3090" s="409">
        <f>Return!R670</f>
        <v>6.489740875086269E-3</v>
      </c>
    </row>
    <row r="3091" spans="1:3">
      <c r="A3091" s="406">
        <f>Return!A671</f>
        <v>45098</v>
      </c>
      <c r="B3091" s="408" t="s">
        <v>74</v>
      </c>
      <c r="C3091" s="409">
        <f>Return!R671</f>
        <v>2.5745615579021303E-3</v>
      </c>
    </row>
    <row r="3092" spans="1:3">
      <c r="A3092" s="406">
        <f>Return!A672</f>
        <v>45097</v>
      </c>
      <c r="B3092" s="408" t="s">
        <v>74</v>
      </c>
      <c r="C3092" s="409">
        <f>Return!R672</f>
        <v>6.4259251462475391E-3</v>
      </c>
    </row>
    <row r="3093" spans="1:3">
      <c r="A3093" s="406">
        <f>Return!A673</f>
        <v>45096</v>
      </c>
      <c r="B3093" s="408" t="s">
        <v>74</v>
      </c>
      <c r="C3093" s="409">
        <f>Return!R673</f>
        <v>1.4006435847898199E-3</v>
      </c>
    </row>
    <row r="3094" spans="1:3">
      <c r="A3094" s="406">
        <f>Return!A674</f>
        <v>45093</v>
      </c>
      <c r="B3094" s="408" t="s">
        <v>74</v>
      </c>
      <c r="C3094" s="409">
        <f>Return!R674</f>
        <v>3.3204856725692865E-4</v>
      </c>
    </row>
    <row r="3095" spans="1:3">
      <c r="A3095" s="406">
        <f>Return!A675</f>
        <v>45092</v>
      </c>
      <c r="B3095" s="408" t="s">
        <v>74</v>
      </c>
      <c r="C3095" s="409">
        <f>Return!R675</f>
        <v>5.9319978460525688E-3</v>
      </c>
    </row>
    <row r="3096" spans="1:3">
      <c r="A3096" s="406">
        <f>Return!A676</f>
        <v>45091</v>
      </c>
      <c r="B3096" s="408" t="s">
        <v>74</v>
      </c>
      <c r="C3096" s="409">
        <f>Return!R676</f>
        <v>1.5559741614735133E-3</v>
      </c>
    </row>
    <row r="3097" spans="1:3">
      <c r="A3097" s="406">
        <f>Return!A677</f>
        <v>45090</v>
      </c>
      <c r="B3097" s="408" t="s">
        <v>74</v>
      </c>
      <c r="C3097" s="409">
        <f>Return!R677</f>
        <v>7.9281169266466698E-3</v>
      </c>
    </row>
    <row r="3098" spans="1:3">
      <c r="A3098" s="406">
        <f>Return!A678</f>
        <v>45089</v>
      </c>
      <c r="B3098" s="408" t="s">
        <v>74</v>
      </c>
      <c r="C3098" s="409">
        <f>Return!R678</f>
        <v>3.7961373630852487E-3</v>
      </c>
    </row>
    <row r="3099" spans="1:3">
      <c r="A3099" s="406">
        <f>Return!A679</f>
        <v>45086</v>
      </c>
      <c r="B3099" s="408" t="s">
        <v>74</v>
      </c>
      <c r="C3099" s="409">
        <f>Return!R679</f>
        <v>5.028748340390873E-3</v>
      </c>
    </row>
    <row r="3100" spans="1:3">
      <c r="A3100" s="406">
        <f>Return!A680</f>
        <v>45085</v>
      </c>
      <c r="B3100" s="408" t="s">
        <v>74</v>
      </c>
      <c r="C3100" s="409">
        <f>Return!R680</f>
        <v>-3.4623695125246897E-3</v>
      </c>
    </row>
    <row r="3101" spans="1:3">
      <c r="A3101" s="406">
        <f>Return!A681</f>
        <v>45084</v>
      </c>
      <c r="B3101" s="408" t="s">
        <v>74</v>
      </c>
      <c r="C3101" s="409">
        <f>Return!R681</f>
        <v>5.8082219055800091E-3</v>
      </c>
    </row>
    <row r="3102" spans="1:3">
      <c r="A3102" s="406">
        <f>Return!A682</f>
        <v>45083</v>
      </c>
      <c r="B3102" s="408" t="s">
        <v>74</v>
      </c>
      <c r="C3102" s="409">
        <f>Return!R682</f>
        <v>-2.3141988625825119E-3</v>
      </c>
    </row>
    <row r="3103" spans="1:3">
      <c r="A3103" s="406">
        <f>Return!A683</f>
        <v>45082</v>
      </c>
      <c r="B3103" s="408" t="s">
        <v>74</v>
      </c>
      <c r="C3103" s="409">
        <f>Return!R683</f>
        <v>-5.6756069624262565E-3</v>
      </c>
    </row>
    <row r="3104" spans="1:3">
      <c r="A3104" s="406">
        <f>Return!A684</f>
        <v>45079</v>
      </c>
      <c r="B3104" s="408" t="s">
        <v>74</v>
      </c>
      <c r="C3104" s="409">
        <f>Return!R684</f>
        <v>-1.2260386989289141E-3</v>
      </c>
    </row>
    <row r="3105" spans="1:3">
      <c r="A3105" s="406">
        <f>Return!A685</f>
        <v>45078</v>
      </c>
      <c r="B3105" s="408" t="s">
        <v>74</v>
      </c>
      <c r="C3105" s="409">
        <f>Return!R685</f>
        <v>3.3789809730151886E-3</v>
      </c>
    </row>
    <row r="3106" spans="1:3">
      <c r="A3106" s="406">
        <f>Return!A686</f>
        <v>45077</v>
      </c>
      <c r="B3106" s="408" t="s">
        <v>74</v>
      </c>
      <c r="C3106" s="409">
        <f>Return!R686</f>
        <v>2.5837109201985926E-4</v>
      </c>
    </row>
    <row r="3107" spans="1:3">
      <c r="A3107" s="406">
        <f>Return!A687</f>
        <v>45076</v>
      </c>
      <c r="B3107" s="408" t="s">
        <v>74</v>
      </c>
      <c r="C3107" s="409">
        <f>Return!R687</f>
        <v>-9.4713617626466086E-4</v>
      </c>
    </row>
    <row r="3108" spans="1:3">
      <c r="A3108" s="406">
        <f>Return!A688</f>
        <v>45075</v>
      </c>
      <c r="B3108" s="408" t="s">
        <v>74</v>
      </c>
      <c r="C3108" s="409">
        <f>Return!R688</f>
        <v>1.0521020460593274E-2</v>
      </c>
    </row>
    <row r="3109" spans="1:3">
      <c r="A3109" s="406">
        <f>Return!A689</f>
        <v>45072</v>
      </c>
      <c r="B3109" s="408" t="s">
        <v>74</v>
      </c>
      <c r="C3109" s="409">
        <f>Return!R689</f>
        <v>8.9880924919782008E-3</v>
      </c>
    </row>
    <row r="3110" spans="1:3">
      <c r="A3110" s="406">
        <f>Return!A690</f>
        <v>45071</v>
      </c>
      <c r="B3110" s="408" t="s">
        <v>74</v>
      </c>
      <c r="C3110" s="409">
        <f>Return!R690</f>
        <v>6.8780321700920664E-3</v>
      </c>
    </row>
    <row r="3111" spans="1:3">
      <c r="A3111" s="406">
        <f>Return!A691</f>
        <v>45070</v>
      </c>
      <c r="B3111" s="408" t="s">
        <v>74</v>
      </c>
      <c r="C3111" s="409">
        <f>Return!R691</f>
        <v>-3.0811824271783652E-3</v>
      </c>
    </row>
    <row r="3112" spans="1:3">
      <c r="A3112" s="406">
        <f>Return!A692</f>
        <v>45069</v>
      </c>
      <c r="B3112" s="408" t="s">
        <v>74</v>
      </c>
      <c r="C3112" s="409">
        <f>Return!R692</f>
        <v>9.1255017735429426E-4</v>
      </c>
    </row>
    <row r="3113" spans="1:3">
      <c r="A3113" s="406">
        <f>Return!A693</f>
        <v>45068</v>
      </c>
      <c r="B3113" s="408" t="s">
        <v>74</v>
      </c>
      <c r="C3113" s="409">
        <f>Return!R693</f>
        <v>1.7037361546319105E-2</v>
      </c>
    </row>
    <row r="3114" spans="1:3">
      <c r="A3114" s="406">
        <f>Return!A694</f>
        <v>45065</v>
      </c>
      <c r="B3114" s="408" t="s">
        <v>74</v>
      </c>
      <c r="C3114" s="409">
        <f>Return!R694</f>
        <v>-2.6693944067640216E-3</v>
      </c>
    </row>
    <row r="3115" spans="1:3">
      <c r="A3115" s="406">
        <f>Return!A695</f>
        <v>45064</v>
      </c>
      <c r="B3115" s="408" t="s">
        <v>74</v>
      </c>
      <c r="C3115" s="409">
        <f>Return!R695</f>
        <v>5.1970478409235849E-3</v>
      </c>
    </row>
    <row r="3116" spans="1:3">
      <c r="A3116" s="406">
        <f>Return!A696</f>
        <v>45063</v>
      </c>
      <c r="B3116" s="408" t="s">
        <v>74</v>
      </c>
      <c r="C3116" s="409">
        <f>Return!R696</f>
        <v>3.4527590208810327E-3</v>
      </c>
    </row>
    <row r="3117" spans="1:3">
      <c r="A3117" s="406">
        <f>Return!A697</f>
        <v>45062</v>
      </c>
      <c r="B3117" s="408" t="s">
        <v>74</v>
      </c>
      <c r="C3117" s="409">
        <f>Return!R697</f>
        <v>3.2881348248892024E-3</v>
      </c>
    </row>
    <row r="3118" spans="1:3">
      <c r="A3118" s="406">
        <f>Return!A698</f>
        <v>45061</v>
      </c>
      <c r="B3118" s="408" t="s">
        <v>74</v>
      </c>
      <c r="C3118" s="409">
        <f>Return!R698</f>
        <v>-1.0621469614656466E-3</v>
      </c>
    </row>
    <row r="3119" spans="1:3">
      <c r="A3119" s="406">
        <f>Return!A699</f>
        <v>45058</v>
      </c>
      <c r="B3119" s="408" t="s">
        <v>74</v>
      </c>
      <c r="C3119" s="409">
        <f>Return!R699</f>
        <v>-1.058766395038635E-2</v>
      </c>
    </row>
    <row r="3120" spans="1:3">
      <c r="A3120" s="406">
        <f>Return!A700</f>
        <v>45057</v>
      </c>
      <c r="B3120" s="408" t="s">
        <v>74</v>
      </c>
      <c r="C3120" s="409">
        <f>Return!R700</f>
        <v>-6.2882313664087783E-3</v>
      </c>
    </row>
    <row r="3121" spans="1:3">
      <c r="A3121" s="406">
        <f>Return!A701</f>
        <v>45056</v>
      </c>
      <c r="B3121" s="408" t="s">
        <v>74</v>
      </c>
      <c r="C3121" s="409">
        <f>Return!R701</f>
        <v>-7.5738455800046338E-3</v>
      </c>
    </row>
    <row r="3122" spans="1:3">
      <c r="A3122" s="406">
        <f>Return!A702</f>
        <v>45055</v>
      </c>
      <c r="B3122" s="408" t="s">
        <v>74</v>
      </c>
      <c r="C3122" s="409">
        <f>Return!R702</f>
        <v>-7.5601986191113531E-3</v>
      </c>
    </row>
    <row r="3123" spans="1:3">
      <c r="A3123" s="406">
        <f>Return!A703</f>
        <v>45054</v>
      </c>
      <c r="B3123" s="408" t="s">
        <v>74</v>
      </c>
      <c r="C3123" s="409">
        <f>Return!R703</f>
        <v>-4.7093680000344076E-3</v>
      </c>
    </row>
    <row r="3124" spans="1:3">
      <c r="A3124" s="406">
        <f>Return!A704</f>
        <v>45051</v>
      </c>
      <c r="B3124" s="408" t="s">
        <v>74</v>
      </c>
      <c r="C3124" s="409">
        <f>Return!R704</f>
        <v>-6.7760259388710111E-3</v>
      </c>
    </row>
    <row r="3125" spans="1:3">
      <c r="A3125" s="406">
        <f>Return!A705</f>
        <v>45050</v>
      </c>
      <c r="B3125" s="408" t="s">
        <v>74</v>
      </c>
      <c r="C3125" s="409">
        <f>Return!R705</f>
        <v>-1.7337276757067172E-4</v>
      </c>
    </row>
    <row r="3126" spans="1:3">
      <c r="A3126" s="406">
        <f>Return!A706</f>
        <v>45049</v>
      </c>
      <c r="B3126" s="408" t="s">
        <v>74</v>
      </c>
      <c r="C3126" s="409">
        <f>Return!R706</f>
        <v>8.5276138867043348E-3</v>
      </c>
    </row>
    <row r="3127" spans="1:3">
      <c r="A3127" s="406">
        <f>Return!A707</f>
        <v>45048</v>
      </c>
      <c r="B3127" s="408" t="s">
        <v>74</v>
      </c>
      <c r="C3127" s="409">
        <f>Return!R707</f>
        <v>4.8644206500829987E-4</v>
      </c>
    </row>
    <row r="3128" spans="1:3">
      <c r="A3128" s="406">
        <f>Return!A708</f>
        <v>45044</v>
      </c>
      <c r="B3128" s="408" t="s">
        <v>74</v>
      </c>
      <c r="C3128" s="409">
        <f>Return!R708</f>
        <v>6.7402278375625958E-4</v>
      </c>
    </row>
    <row r="3129" spans="1:3">
      <c r="A3129" s="406">
        <f>Return!A709</f>
        <v>45043</v>
      </c>
      <c r="B3129" s="408" t="s">
        <v>74</v>
      </c>
      <c r="C3129" s="409">
        <f>Return!R709</f>
        <v>2.7094909827481004E-4</v>
      </c>
    </row>
    <row r="3130" spans="1:3">
      <c r="A3130" s="406">
        <f>Return!A710</f>
        <v>45042</v>
      </c>
      <c r="B3130" s="408" t="s">
        <v>74</v>
      </c>
      <c r="C3130" s="409">
        <f>Return!R710</f>
        <v>-9.725199534441867E-4</v>
      </c>
    </row>
    <row r="3131" spans="1:3">
      <c r="A3131" s="406">
        <f>Return!A711</f>
        <v>45041</v>
      </c>
      <c r="B3131" s="408" t="s">
        <v>74</v>
      </c>
      <c r="C3131" s="409">
        <f>Return!R711</f>
        <v>-3.1794810126501267E-3</v>
      </c>
    </row>
    <row r="3132" spans="1:3">
      <c r="A3132" s="406">
        <f>Return!A712</f>
        <v>45040</v>
      </c>
      <c r="B3132" s="408" t="s">
        <v>74</v>
      </c>
      <c r="C3132" s="409">
        <f>Return!R712</f>
        <v>6.1550892510429415E-3</v>
      </c>
    </row>
    <row r="3133" spans="1:3">
      <c r="A3133" s="406">
        <f>Return!A713</f>
        <v>45037</v>
      </c>
      <c r="B3133" s="408" t="s">
        <v>74</v>
      </c>
      <c r="C3133" s="409">
        <f>Return!R713</f>
        <v>5.466277467346548E-3</v>
      </c>
    </row>
    <row r="3134" spans="1:3">
      <c r="A3134" s="406">
        <f>Return!A714</f>
        <v>45036</v>
      </c>
      <c r="B3134" s="408" t="s">
        <v>74</v>
      </c>
      <c r="C3134" s="409">
        <f>Return!R714</f>
        <v>-1.9158228330657542E-3</v>
      </c>
    </row>
    <row r="3135" spans="1:3">
      <c r="A3135" s="406">
        <f>Return!A715</f>
        <v>45035</v>
      </c>
      <c r="B3135" s="408" t="s">
        <v>74</v>
      </c>
      <c r="C3135" s="409">
        <f>Return!R715</f>
        <v>2.4183654103890244E-3</v>
      </c>
    </row>
    <row r="3136" spans="1:3">
      <c r="A3136" s="406">
        <f>Return!A716</f>
        <v>45034</v>
      </c>
      <c r="B3136" s="408" t="s">
        <v>74</v>
      </c>
      <c r="C3136" s="409">
        <f>Return!R716</f>
        <v>6.3247046960467871E-4</v>
      </c>
    </row>
    <row r="3137" spans="1:3">
      <c r="A3137" s="406">
        <f>Return!A717</f>
        <v>45033</v>
      </c>
      <c r="B3137" s="408" t="s">
        <v>74</v>
      </c>
      <c r="C3137" s="409">
        <f>Return!R717</f>
        <v>4.5097365253438416E-3</v>
      </c>
    </row>
    <row r="3138" spans="1:3">
      <c r="A3138" s="406">
        <f>Return!A718</f>
        <v>45029</v>
      </c>
      <c r="B3138" s="408" t="s">
        <v>74</v>
      </c>
      <c r="C3138" s="409">
        <f>Return!R718</f>
        <v>-4.7999102485671097E-3</v>
      </c>
    </row>
    <row r="3139" spans="1:3">
      <c r="A3139" s="406">
        <f>Return!A719</f>
        <v>45028</v>
      </c>
      <c r="B3139" s="408" t="s">
        <v>74</v>
      </c>
      <c r="C3139" s="409">
        <f>Return!R719</f>
        <v>-1.5674405023013561E-3</v>
      </c>
    </row>
    <row r="3140" spans="1:3">
      <c r="A3140" s="406">
        <f>Return!A720</f>
        <v>45027</v>
      </c>
      <c r="B3140" s="408" t="s">
        <v>74</v>
      </c>
      <c r="C3140" s="409">
        <f>Return!R720</f>
        <v>7.4538519702469219E-3</v>
      </c>
    </row>
    <row r="3141" spans="1:3">
      <c r="A3141" s="406">
        <f>Return!A721</f>
        <v>45026</v>
      </c>
      <c r="B3141" s="408" t="s">
        <v>74</v>
      </c>
      <c r="C3141" s="409">
        <f>Return!R721</f>
        <v>8.4795272755918815E-4</v>
      </c>
    </row>
    <row r="3142" spans="1:3">
      <c r="A3142" s="406">
        <f>Return!A722</f>
        <v>45022</v>
      </c>
      <c r="B3142" s="408" t="s">
        <v>74</v>
      </c>
      <c r="C3142" s="409">
        <f>Return!R722</f>
        <v>-4.4725754287025668E-3</v>
      </c>
    </row>
    <row r="3143" spans="1:3">
      <c r="A3143" s="406">
        <f>Return!A723</f>
        <v>45021</v>
      </c>
      <c r="B3143" s="408" t="s">
        <v>74</v>
      </c>
      <c r="C3143" s="409">
        <f>Return!R723</f>
        <v>1.5495419462467302E-2</v>
      </c>
    </row>
    <row r="3144" spans="1:3">
      <c r="A3144" s="406">
        <f>Return!A724</f>
        <v>45019</v>
      </c>
      <c r="B3144" s="408" t="s">
        <v>74</v>
      </c>
      <c r="C3144" s="409">
        <f>Return!R724</f>
        <v>1.9363366220961366E-4</v>
      </c>
    </row>
    <row r="3145" spans="1:3">
      <c r="A3145" s="406">
        <f>Return!A725</f>
        <v>45016</v>
      </c>
      <c r="B3145" s="408" t="s">
        <v>74</v>
      </c>
      <c r="C3145" s="409">
        <f>Return!R725</f>
        <v>1.8864759603573053E-3</v>
      </c>
    </row>
    <row r="3146" spans="1:3">
      <c r="A3146" s="406">
        <f>Return!A726</f>
        <v>45014</v>
      </c>
      <c r="B3146" s="408" t="s">
        <v>74</v>
      </c>
      <c r="C3146" s="409">
        <f>Return!R726</f>
        <v>8.1656883641571462E-3</v>
      </c>
    </row>
    <row r="3147" spans="1:3">
      <c r="A3147" s="406">
        <f>Return!A727</f>
        <v>45013</v>
      </c>
      <c r="B3147" s="408" t="s">
        <v>74</v>
      </c>
      <c r="C3147" s="409">
        <f>Return!R727</f>
        <v>8.1319288659949564E-3</v>
      </c>
    </row>
    <row r="3148" spans="1:3">
      <c r="A3148" s="406">
        <f>Return!A728</f>
        <v>45012</v>
      </c>
      <c r="B3148" s="408" t="s">
        <v>74</v>
      </c>
      <c r="C3148" s="409">
        <f>Return!R728</f>
        <v>2.615744375699479E-3</v>
      </c>
    </row>
    <row r="3149" spans="1:3">
      <c r="A3149" s="406">
        <f>Return!A729</f>
        <v>45009</v>
      </c>
      <c r="B3149" s="408" t="s">
        <v>74</v>
      </c>
      <c r="C3149" s="409">
        <f>Return!R729</f>
        <v>1.6552589150982643E-3</v>
      </c>
    </row>
    <row r="3150" spans="1:3">
      <c r="A3150" s="406">
        <f>Return!A730</f>
        <v>45008</v>
      </c>
      <c r="B3150" s="408" t="s">
        <v>74</v>
      </c>
      <c r="C3150" s="409">
        <f>Return!R730</f>
        <v>9.0040583661823784E-3</v>
      </c>
    </row>
    <row r="3151" spans="1:3">
      <c r="A3151" s="406">
        <f>Return!A731</f>
        <v>45007</v>
      </c>
      <c r="B3151" s="408" t="s">
        <v>74</v>
      </c>
      <c r="C3151" s="409">
        <f>Return!R731</f>
        <v>1.2101671936353504E-3</v>
      </c>
    </row>
    <row r="3152" spans="1:3">
      <c r="A3152" s="406">
        <f>Return!A732</f>
        <v>45006</v>
      </c>
      <c r="B3152" s="408" t="s">
        <v>74</v>
      </c>
      <c r="C3152" s="409">
        <f>Return!R732</f>
        <v>9.7099752456249414E-3</v>
      </c>
    </row>
    <row r="3153" spans="1:3">
      <c r="A3153" s="406">
        <f>Return!A733</f>
        <v>45005</v>
      </c>
      <c r="B3153" s="408" t="s">
        <v>74</v>
      </c>
      <c r="C3153" s="409">
        <f>Return!R733</f>
        <v>2.5350457423335437E-3</v>
      </c>
    </row>
    <row r="3154" spans="1:3">
      <c r="A3154" s="406">
        <f>Return!A734</f>
        <v>45002</v>
      </c>
      <c r="B3154" s="408" t="s">
        <v>74</v>
      </c>
      <c r="C3154" s="409">
        <f>Return!R734</f>
        <v>-1.8154741924052051E-3</v>
      </c>
    </row>
    <row r="3155" spans="1:3">
      <c r="A3155" s="406">
        <f>Return!A735</f>
        <v>45001</v>
      </c>
      <c r="B3155" s="408" t="s">
        <v>74</v>
      </c>
      <c r="C3155" s="409">
        <f>Return!R735</f>
        <v>1.4186060924183562E-2</v>
      </c>
    </row>
    <row r="3156" spans="1:3">
      <c r="A3156" s="406">
        <f>Return!A736</f>
        <v>45000</v>
      </c>
      <c r="B3156" s="408" t="s">
        <v>74</v>
      </c>
      <c r="C3156" s="409">
        <f>Return!R736</f>
        <v>-1.891344339645024E-3</v>
      </c>
    </row>
    <row r="3157" spans="1:3">
      <c r="A3157" s="406">
        <f>Return!A737</f>
        <v>44999</v>
      </c>
      <c r="B3157" s="408" t="s">
        <v>74</v>
      </c>
      <c r="C3157" s="409">
        <f>Return!R737</f>
        <v>4.0537159891269733E-3</v>
      </c>
    </row>
    <row r="3158" spans="1:3">
      <c r="A3158" s="406">
        <f>Return!A738</f>
        <v>44998</v>
      </c>
      <c r="B3158" s="408" t="s">
        <v>74</v>
      </c>
      <c r="C3158" s="409">
        <f>Return!R738</f>
        <v>-8.6026478225126601E-3</v>
      </c>
    </row>
    <row r="3159" spans="1:3">
      <c r="A3159" s="406">
        <f>Return!A739</f>
        <v>44995</v>
      </c>
      <c r="B3159" s="408" t="s">
        <v>74</v>
      </c>
      <c r="C3159" s="409">
        <f>Return!R739</f>
        <v>1.1891507106426179E-2</v>
      </c>
    </row>
    <row r="3160" spans="1:3">
      <c r="A3160" s="406">
        <f>Return!A740</f>
        <v>44994</v>
      </c>
      <c r="B3160" s="408" t="s">
        <v>74</v>
      </c>
      <c r="C3160" s="409">
        <f>Return!R740</f>
        <v>-2.1446418902863239E-3</v>
      </c>
    </row>
    <row r="3161" spans="1:3">
      <c r="A3161" s="406">
        <f>Return!A741</f>
        <v>44993</v>
      </c>
      <c r="B3161" s="408" t="s">
        <v>74</v>
      </c>
      <c r="C3161" s="409">
        <f>Return!R741</f>
        <v>1.2703308359042079E-3</v>
      </c>
    </row>
    <row r="3162" spans="1:3">
      <c r="A3162" s="406">
        <f>Return!A742</f>
        <v>44991</v>
      </c>
      <c r="B3162" s="408" t="s">
        <v>74</v>
      </c>
      <c r="C3162" s="409">
        <f>Return!R742</f>
        <v>-3.7493867868175859E-3</v>
      </c>
    </row>
    <row r="3163" spans="1:3">
      <c r="A3163" s="406">
        <f>Return!A743</f>
        <v>44988</v>
      </c>
      <c r="B3163" s="408" t="s">
        <v>74</v>
      </c>
      <c r="C3163" s="409">
        <f>Return!R743</f>
        <v>2.0616742502903001E-3</v>
      </c>
    </row>
    <row r="3164" spans="1:3">
      <c r="A3164" s="406">
        <f>Return!A744</f>
        <v>44987</v>
      </c>
      <c r="B3164" s="408" t="s">
        <v>74</v>
      </c>
      <c r="C3164" s="409">
        <f>Return!R744</f>
        <v>-4.2744345687005247E-3</v>
      </c>
    </row>
    <row r="3165" spans="1:3">
      <c r="A3165" s="406">
        <f>Return!A745</f>
        <v>44986</v>
      </c>
      <c r="B3165" s="408" t="s">
        <v>74</v>
      </c>
      <c r="C3165" s="409">
        <f>Return!R745</f>
        <v>5.5488216778438375E-4</v>
      </c>
    </row>
    <row r="3166" spans="1:3">
      <c r="A3166" s="406">
        <f>Return!A746</f>
        <v>44985</v>
      </c>
      <c r="B3166" s="408" t="s">
        <v>74</v>
      </c>
      <c r="C3166" s="409">
        <f>Return!R746</f>
        <v>2.4820943418210383E-3</v>
      </c>
    </row>
    <row r="3167" spans="1:3">
      <c r="A3167" s="406">
        <f>Return!A747</f>
        <v>44984</v>
      </c>
      <c r="B3167" s="408" t="s">
        <v>74</v>
      </c>
      <c r="C3167" s="409">
        <f>Return!R747</f>
        <v>2.4658842902683968E-3</v>
      </c>
    </row>
    <row r="3168" spans="1:3">
      <c r="A3168" s="406">
        <f>Return!A748</f>
        <v>44981</v>
      </c>
      <c r="B3168" s="408" t="s">
        <v>74</v>
      </c>
      <c r="C3168" s="409">
        <f>Return!R748</f>
        <v>-2.4874338687655984E-3</v>
      </c>
    </row>
    <row r="3169" spans="1:3">
      <c r="A3169" s="406">
        <f>Return!A749</f>
        <v>44980</v>
      </c>
      <c r="B3169" s="408" t="s">
        <v>74</v>
      </c>
      <c r="C3169" s="409">
        <f>Return!R749</f>
        <v>-2.560686416129246E-4</v>
      </c>
    </row>
    <row r="3170" spans="1:3">
      <c r="A3170" s="406">
        <f>Return!A750</f>
        <v>44979</v>
      </c>
      <c r="B3170" s="408" t="s">
        <v>74</v>
      </c>
      <c r="C3170" s="409">
        <f>Return!R750</f>
        <v>-1.0314136800480189E-2</v>
      </c>
    </row>
    <row r="3171" spans="1:3">
      <c r="A3171" s="406">
        <f>Return!A751</f>
        <v>44978</v>
      </c>
      <c r="B3171" s="408" t="s">
        <v>74</v>
      </c>
      <c r="C3171" s="409">
        <f>Return!R751</f>
        <v>-3.9915255676407453E-3</v>
      </c>
    </row>
    <row r="3172" spans="1:3">
      <c r="A3172" s="406">
        <f>Return!A752</f>
        <v>44977</v>
      </c>
      <c r="B3172" s="408" t="s">
        <v>74</v>
      </c>
      <c r="C3172" s="409">
        <f>Return!R752</f>
        <v>-1.0988957664423147E-3</v>
      </c>
    </row>
    <row r="3173" spans="1:3">
      <c r="A3173" s="406">
        <f>Return!A753</f>
        <v>44974</v>
      </c>
      <c r="B3173" s="408" t="s">
        <v>74</v>
      </c>
      <c r="C3173" s="409">
        <f>Return!R753</f>
        <v>-3.8968865927026435E-3</v>
      </c>
    </row>
    <row r="3174" spans="1:3">
      <c r="A3174" s="406">
        <f>Return!A754</f>
        <v>44973</v>
      </c>
      <c r="B3174" s="408" t="s">
        <v>74</v>
      </c>
      <c r="C3174" s="409">
        <f>Return!R754</f>
        <v>2.2179239120949205E-3</v>
      </c>
    </row>
    <row r="3175" spans="1:3">
      <c r="A3175" s="406">
        <f>Return!A755</f>
        <v>44972</v>
      </c>
      <c r="B3175" s="408" t="s">
        <v>74</v>
      </c>
      <c r="C3175" s="409">
        <f>Return!R755</f>
        <v>-6.1473567628068408E-3</v>
      </c>
    </row>
    <row r="3176" spans="1:3">
      <c r="A3176" s="406">
        <f>Return!A756</f>
        <v>44971</v>
      </c>
      <c r="B3176" s="408" t="s">
        <v>74</v>
      </c>
      <c r="C3176" s="409">
        <f>Return!R756</f>
        <v>1.7384067030941561E-3</v>
      </c>
    </row>
    <row r="3177" spans="1:3">
      <c r="A3177" s="406">
        <f>Return!A757</f>
        <v>44970</v>
      </c>
      <c r="B3177" s="408" t="s">
        <v>74</v>
      </c>
      <c r="C3177" s="409">
        <f>Return!R757</f>
        <v>-1.0867895539123583E-2</v>
      </c>
    </row>
    <row r="3178" spans="1:3">
      <c r="A3178" s="406">
        <f>Return!A758</f>
        <v>44967</v>
      </c>
      <c r="B3178" s="408" t="s">
        <v>74</v>
      </c>
      <c r="C3178" s="409">
        <f>Return!R758</f>
        <v>3.6781800708338185E-4</v>
      </c>
    </row>
    <row r="3179" spans="1:3">
      <c r="A3179" s="406">
        <f>Return!A759</f>
        <v>44966</v>
      </c>
      <c r="B3179" s="408" t="s">
        <v>74</v>
      </c>
      <c r="C3179" s="409">
        <f>Return!R759</f>
        <v>-2.5679351318122416E-3</v>
      </c>
    </row>
    <row r="3180" spans="1:3">
      <c r="A3180" s="406">
        <f>Return!A760</f>
        <v>44965</v>
      </c>
      <c r="B3180" s="408" t="s">
        <v>74</v>
      </c>
      <c r="C3180" s="409">
        <f>Return!R760</f>
        <v>-9.0963354927597071E-4</v>
      </c>
    </row>
    <row r="3181" spans="1:3">
      <c r="A3181" s="406">
        <f>Return!A761</f>
        <v>44964</v>
      </c>
      <c r="B3181" s="408" t="s">
        <v>74</v>
      </c>
      <c r="C3181" s="409">
        <f>Return!R761</f>
        <v>1.7369090086084887E-3</v>
      </c>
    </row>
    <row r="3182" spans="1:3">
      <c r="A3182" s="406">
        <f>Return!A762</f>
        <v>44963</v>
      </c>
      <c r="B3182" s="408" t="s">
        <v>74</v>
      </c>
      <c r="C3182" s="409">
        <f>Return!R762</f>
        <v>1.904017131047946E-2</v>
      </c>
    </row>
    <row r="3183" spans="1:3">
      <c r="A3183" s="406">
        <f>Return!A763</f>
        <v>44960</v>
      </c>
      <c r="B3183" s="408" t="s">
        <v>74</v>
      </c>
      <c r="C3183" s="409">
        <f>Return!R763</f>
        <v>5.0667525623012584E-3</v>
      </c>
    </row>
    <row r="3184" spans="1:3">
      <c r="A3184" s="406">
        <f>Return!A764</f>
        <v>44959</v>
      </c>
      <c r="B3184" s="408" t="s">
        <v>74</v>
      </c>
      <c r="C3184" s="409">
        <f>Return!R764</f>
        <v>9.0451239671576443E-3</v>
      </c>
    </row>
    <row r="3185" spans="1:3">
      <c r="A3185" s="406">
        <f>Return!A765</f>
        <v>44958</v>
      </c>
      <c r="B3185" s="408" t="s">
        <v>74</v>
      </c>
      <c r="C3185" s="409">
        <f>Return!R765</f>
        <v>-5.066761754242091E-3</v>
      </c>
    </row>
    <row r="3186" spans="1:3">
      <c r="A3186" s="406">
        <f>Return!A766</f>
        <v>44957</v>
      </c>
      <c r="B3186" s="408" t="s">
        <v>74</v>
      </c>
      <c r="C3186" s="409">
        <f>Return!R766</f>
        <v>-2.35677971014857E-3</v>
      </c>
    </row>
    <row r="3187" spans="1:3">
      <c r="A3187" s="406">
        <f>Return!A767</f>
        <v>44956</v>
      </c>
      <c r="B3187" s="408" t="s">
        <v>74</v>
      </c>
      <c r="C3187" s="409">
        <f>Return!R767</f>
        <v>-7.5845347020929675E-3</v>
      </c>
    </row>
    <row r="3188" spans="1:3">
      <c r="A3188" s="406">
        <f>Return!A768</f>
        <v>44953</v>
      </c>
      <c r="B3188" s="408" t="s">
        <v>74</v>
      </c>
      <c r="C3188" s="409">
        <f>Return!R768</f>
        <v>-2.4775502286462567E-3</v>
      </c>
    </row>
    <row r="3189" spans="1:3">
      <c r="A3189" s="406">
        <f>Return!A769</f>
        <v>44951</v>
      </c>
      <c r="B3189" s="408" t="s">
        <v>74</v>
      </c>
      <c r="C3189" s="409">
        <f>Return!R769</f>
        <v>-7.27361778192143E-3</v>
      </c>
    </row>
    <row r="3190" spans="1:3">
      <c r="A3190" s="406">
        <f>Return!A770</f>
        <v>44950</v>
      </c>
      <c r="B3190" s="408" t="s">
        <v>74</v>
      </c>
      <c r="C3190" s="409">
        <f>Return!R770</f>
        <v>-9.8864904431291388E-3</v>
      </c>
    </row>
    <row r="3191" spans="1:3">
      <c r="A3191" s="406">
        <f>Return!A771</f>
        <v>44949</v>
      </c>
      <c r="B3191" s="408" t="s">
        <v>74</v>
      </c>
      <c r="C3191" s="409">
        <f>Return!R771</f>
        <v>1.0174129755603414E-3</v>
      </c>
    </row>
    <row r="3192" spans="1:3">
      <c r="A3192" s="406">
        <f>Return!A772</f>
        <v>44946</v>
      </c>
      <c r="B3192" s="408" t="s">
        <v>74</v>
      </c>
      <c r="C3192" s="409">
        <f>Return!R772</f>
        <v>-2.9096648755395395E-3</v>
      </c>
    </row>
    <row r="3193" spans="1:3">
      <c r="A3193" s="406">
        <f>Return!A773</f>
        <v>44945</v>
      </c>
      <c r="B3193" s="408" t="s">
        <v>74</v>
      </c>
      <c r="C3193" s="409">
        <f>Return!R773</f>
        <v>-1.6804853705515573E-4</v>
      </c>
    </row>
    <row r="3194" spans="1:3">
      <c r="A3194" s="406">
        <f>Return!A774</f>
        <v>44944</v>
      </c>
      <c r="B3194" s="408" t="s">
        <v>74</v>
      </c>
      <c r="C3194" s="409">
        <f>Return!R774</f>
        <v>-9.8026143786122955E-5</v>
      </c>
    </row>
    <row r="3195" spans="1:3">
      <c r="A3195" s="406">
        <f>Return!A775</f>
        <v>44943</v>
      </c>
      <c r="B3195" s="408" t="s">
        <v>74</v>
      </c>
      <c r="C3195" s="409">
        <f>Return!R775</f>
        <v>5.8707809374072438E-4</v>
      </c>
    </row>
    <row r="3196" spans="1:3">
      <c r="A3196" s="406">
        <f>Return!A776</f>
        <v>44942</v>
      </c>
      <c r="B3196" s="408" t="s">
        <v>74</v>
      </c>
      <c r="C3196" s="409">
        <f>Return!R776</f>
        <v>-3.8187027573307972E-3</v>
      </c>
    </row>
    <row r="3197" spans="1:3">
      <c r="A3197" s="406">
        <f>Return!A777</f>
        <v>44939</v>
      </c>
      <c r="B3197" s="408" t="s">
        <v>74</v>
      </c>
      <c r="C3197" s="409">
        <f>Return!R777</f>
        <v>-2.1999731881334693E-3</v>
      </c>
    </row>
    <row r="3198" spans="1:3">
      <c r="A3198" s="406">
        <f>Return!A778</f>
        <v>44938</v>
      </c>
      <c r="B3198" s="408" t="s">
        <v>74</v>
      </c>
      <c r="C3198" s="409">
        <f>Return!R778</f>
        <v>4.1471763654558642E-3</v>
      </c>
    </row>
    <row r="3199" spans="1:3">
      <c r="A3199" s="406">
        <f>Return!A779</f>
        <v>44937</v>
      </c>
      <c r="B3199" s="408" t="s">
        <v>74</v>
      </c>
      <c r="C3199" s="409">
        <f>Return!R779</f>
        <v>-1.0495221677084112E-3</v>
      </c>
    </row>
    <row r="3200" spans="1:3">
      <c r="A3200" s="406">
        <f>Return!A780</f>
        <v>44936</v>
      </c>
      <c r="B3200" s="408" t="s">
        <v>74</v>
      </c>
      <c r="C3200" s="409">
        <f>Return!R780</f>
        <v>4.5366606277947663E-3</v>
      </c>
    </row>
    <row r="3201" spans="1:3">
      <c r="A3201" s="406">
        <f>Return!A781</f>
        <v>44935</v>
      </c>
      <c r="B3201" s="408" t="s">
        <v>74</v>
      </c>
      <c r="C3201" s="409">
        <f>Return!R781</f>
        <v>2.1923202100761026E-3</v>
      </c>
    </row>
    <row r="3202" spans="1:3">
      <c r="A3202" s="406">
        <f>Return!A782</f>
        <v>44932</v>
      </c>
      <c r="B3202" s="408" t="s">
        <v>74</v>
      </c>
      <c r="C3202" s="409">
        <f>Return!R782</f>
        <v>9.4368288649327673E-4</v>
      </c>
    </row>
    <row r="3203" spans="1:3">
      <c r="A3203" s="406">
        <f>Return!A783</f>
        <v>44931</v>
      </c>
      <c r="B3203" s="408" t="s">
        <v>74</v>
      </c>
      <c r="C3203" s="409">
        <f>Return!R783</f>
        <v>4.2754204307352585E-3</v>
      </c>
    </row>
    <row r="3204" spans="1:3">
      <c r="A3204" s="406">
        <f>Return!A784</f>
        <v>44930</v>
      </c>
      <c r="B3204" s="408" t="s">
        <v>74</v>
      </c>
      <c r="C3204" s="409">
        <f>Return!R784</f>
        <v>1.4601714951894245E-3</v>
      </c>
    </row>
    <row r="3205" spans="1:3">
      <c r="A3205" s="406">
        <f>Return!A785</f>
        <v>44929</v>
      </c>
      <c r="B3205" s="408" t="s">
        <v>74</v>
      </c>
      <c r="C3205" s="409">
        <f>Return!R785</f>
        <v>8.6729939370159843E-3</v>
      </c>
    </row>
    <row r="3206" spans="1:3">
      <c r="A3206" s="406">
        <f>Return!A786</f>
        <v>44928</v>
      </c>
      <c r="B3206" s="408" t="s">
        <v>74</v>
      </c>
      <c r="C3206" s="409">
        <f>Return!R786</f>
        <v>-2.7859824993057654E-3</v>
      </c>
    </row>
    <row r="3207" spans="1:3">
      <c r="A3207" s="406">
        <f>Return!A787</f>
        <v>44925</v>
      </c>
      <c r="B3207" s="408" t="s">
        <v>74</v>
      </c>
      <c r="C3207" s="409">
        <f>Return!R787</f>
        <v>4.1815270040483511E-3</v>
      </c>
    </row>
    <row r="3208" spans="1:3">
      <c r="A3208" s="406">
        <f>Return!A788</f>
        <v>44924</v>
      </c>
      <c r="B3208" s="408" t="s">
        <v>74</v>
      </c>
      <c r="C3208" s="409">
        <f>Return!R788</f>
        <v>3.8621229918951727E-4</v>
      </c>
    </row>
    <row r="3209" spans="1:3">
      <c r="A3209" s="406">
        <f>Return!A789</f>
        <v>44923</v>
      </c>
      <c r="B3209" s="408" t="s">
        <v>74</v>
      </c>
      <c r="C3209" s="409">
        <f>Return!R789</f>
        <v>3.1822190440478921E-3</v>
      </c>
    </row>
    <row r="3210" spans="1:3">
      <c r="A3210" s="406">
        <f>Return!A790</f>
        <v>44922</v>
      </c>
      <c r="B3210" s="408" t="s">
        <v>74</v>
      </c>
      <c r="C3210" s="409">
        <f>Return!R790</f>
        <v>-4.9153289392723587E-3</v>
      </c>
    </row>
    <row r="3211" spans="1:3">
      <c r="A3211" s="406">
        <f>Return!A791</f>
        <v>44921</v>
      </c>
      <c r="B3211" s="408" t="s">
        <v>74</v>
      </c>
      <c r="C3211" s="409">
        <f>Return!R791</f>
        <v>-4.5445476652795767E-4</v>
      </c>
    </row>
    <row r="3212" spans="1:3">
      <c r="A3212" s="406">
        <f>Return!A792</f>
        <v>44918</v>
      </c>
      <c r="B3212" s="408" t="s">
        <v>74</v>
      </c>
      <c r="C3212" s="409">
        <f>Return!R792</f>
        <v>-1.2355903885626087E-3</v>
      </c>
    </row>
    <row r="3213" spans="1:3">
      <c r="A3213" s="406">
        <f>Return!A793</f>
        <v>44917</v>
      </c>
      <c r="B3213" s="408" t="s">
        <v>74</v>
      </c>
      <c r="C3213" s="409">
        <f>Return!R793</f>
        <v>-2.7058416632377959E-3</v>
      </c>
    </row>
    <row r="3214" spans="1:3">
      <c r="A3214" s="406">
        <f>Return!A794</f>
        <v>44916</v>
      </c>
      <c r="B3214" s="408" t="s">
        <v>74</v>
      </c>
      <c r="C3214" s="409">
        <f>Return!R794</f>
        <v>6.6042697882967094E-3</v>
      </c>
    </row>
    <row r="3215" spans="1:3">
      <c r="A3215" s="406">
        <f>Return!A795</f>
        <v>44915</v>
      </c>
      <c r="B3215" s="408" t="s">
        <v>74</v>
      </c>
      <c r="C3215" s="409">
        <f>Return!R795</f>
        <v>3.5971731679385879E-4</v>
      </c>
    </row>
    <row r="3216" spans="1:3">
      <c r="A3216" s="406">
        <f>Return!A796</f>
        <v>44914</v>
      </c>
      <c r="B3216" s="408" t="s">
        <v>74</v>
      </c>
      <c r="C3216" s="409">
        <f>Return!R796</f>
        <v>-2.0704433635705373E-3</v>
      </c>
    </row>
    <row r="3217" spans="1:3">
      <c r="A3217" s="406">
        <f>Return!A797</f>
        <v>44911</v>
      </c>
      <c r="B3217" s="408" t="s">
        <v>74</v>
      </c>
      <c r="C3217" s="409">
        <f>Return!R797</f>
        <v>1.5045986780359215E-3</v>
      </c>
    </row>
    <row r="3218" spans="1:3">
      <c r="A3218" s="406">
        <f>Return!A798</f>
        <v>44910</v>
      </c>
      <c r="B3218" s="408" t="s">
        <v>74</v>
      </c>
      <c r="C3218" s="409">
        <f>Return!R798</f>
        <v>1.2606439539672942E-2</v>
      </c>
    </row>
    <row r="3219" spans="1:3">
      <c r="A3219" s="406">
        <f>Return!A799</f>
        <v>44909</v>
      </c>
      <c r="B3219" s="408" t="s">
        <v>74</v>
      </c>
      <c r="C3219" s="409">
        <f>Return!R799</f>
        <v>-1.8628347256742543E-3</v>
      </c>
    </row>
    <row r="3220" spans="1:3">
      <c r="A3220" s="406">
        <f>Return!A800</f>
        <v>44908</v>
      </c>
      <c r="B3220" s="408" t="s">
        <v>74</v>
      </c>
      <c r="C3220" s="409">
        <f>Return!R800</f>
        <v>-2.8800564279983665E-3</v>
      </c>
    </row>
    <row r="3221" spans="1:3">
      <c r="A3221" s="406">
        <f>Return!A801</f>
        <v>44907</v>
      </c>
      <c r="B3221" s="408" t="s">
        <v>74</v>
      </c>
      <c r="C3221" s="409">
        <f>Return!R801</f>
        <v>-4.6177771113713271E-3</v>
      </c>
    </row>
    <row r="3222" spans="1:3">
      <c r="A3222" s="406">
        <f>Return!A802</f>
        <v>44904</v>
      </c>
      <c r="B3222" s="408" t="s">
        <v>74</v>
      </c>
      <c r="C3222" s="409">
        <f>Return!R802</f>
        <v>-2.99424384947586E-3</v>
      </c>
    </row>
    <row r="3223" spans="1:3">
      <c r="A3223" s="406">
        <f>Return!A803</f>
        <v>44903</v>
      </c>
      <c r="B3223" s="408" t="s">
        <v>74</v>
      </c>
      <c r="C3223" s="409">
        <f>Return!R803</f>
        <v>5.9956764731997321E-3</v>
      </c>
    </row>
    <row r="3224" spans="1:3">
      <c r="A3224" s="406">
        <f>Return!A804</f>
        <v>44902</v>
      </c>
      <c r="B3224" s="408" t="s">
        <v>74</v>
      </c>
      <c r="C3224" s="409">
        <f>Return!R804</f>
        <v>-8.9168265793027274E-5</v>
      </c>
    </row>
    <row r="3225" spans="1:3">
      <c r="A3225" s="406">
        <f>Return!A805</f>
        <v>44901</v>
      </c>
      <c r="B3225" s="408" t="s">
        <v>74</v>
      </c>
      <c r="C3225" s="409">
        <f>Return!R805</f>
        <v>-2.1058571240864573E-3</v>
      </c>
    </row>
    <row r="3226" spans="1:3">
      <c r="A3226" s="406">
        <f>Return!A806</f>
        <v>44900</v>
      </c>
      <c r="B3226" s="408" t="s">
        <v>74</v>
      </c>
      <c r="C3226" s="409">
        <f>Return!R806</f>
        <v>4.2127475711257372E-3</v>
      </c>
    </row>
    <row r="3227" spans="1:3">
      <c r="A3227" s="406">
        <f>Return!A807</f>
        <v>44897</v>
      </c>
      <c r="B3227" s="408" t="s">
        <v>74</v>
      </c>
      <c r="C3227" s="409">
        <f>Return!R807</f>
        <v>-1.1027990477905291E-2</v>
      </c>
    </row>
    <row r="3228" spans="1:3">
      <c r="A3228" s="406">
        <f>Return!A808</f>
        <v>44896</v>
      </c>
      <c r="B3228" s="408" t="s">
        <v>74</v>
      </c>
      <c r="C3228" s="409">
        <f>Return!R808</f>
        <v>-3.3973760085878493E-3</v>
      </c>
    </row>
    <row r="3229" spans="1:3">
      <c r="A3229" s="406">
        <f>Return!A809</f>
        <v>44895</v>
      </c>
      <c r="B3229" s="408" t="s">
        <v>74</v>
      </c>
      <c r="C3229" s="409">
        <f>Return!R809</f>
        <v>-1.8620388239393079E-3</v>
      </c>
    </row>
    <row r="3230" spans="1:3">
      <c r="A3230" s="406">
        <f>Return!A810</f>
        <v>44894</v>
      </c>
      <c r="B3230" s="408" t="s">
        <v>74</v>
      </c>
      <c r="C3230" s="409">
        <f>Return!R810</f>
        <v>1.0763387116552996E-3</v>
      </c>
    </row>
    <row r="3231" spans="1:3">
      <c r="A3231" s="406">
        <f>Return!A811</f>
        <v>44893</v>
      </c>
      <c r="B3231" s="408" t="s">
        <v>74</v>
      </c>
      <c r="C3231" s="409">
        <f>Return!R811</f>
        <v>-3.3806317917478069E-3</v>
      </c>
    </row>
    <row r="3232" spans="1:3">
      <c r="A3232" s="406">
        <f>Return!A812</f>
        <v>44890</v>
      </c>
      <c r="B3232" s="408" t="s">
        <v>74</v>
      </c>
      <c r="C3232" s="409">
        <f>Return!R812</f>
        <v>4.5260399150636827E-3</v>
      </c>
    </row>
    <row r="3233" spans="1:3">
      <c r="A3233" s="406">
        <f>Return!A813</f>
        <v>44889</v>
      </c>
      <c r="B3233" s="408" t="s">
        <v>74</v>
      </c>
      <c r="C3233" s="409">
        <f>Return!R813</f>
        <v>1.6448637683100535E-3</v>
      </c>
    </row>
    <row r="3234" spans="1:3">
      <c r="A3234" s="406">
        <f>Return!A814</f>
        <v>44888</v>
      </c>
      <c r="B3234" s="408" t="s">
        <v>74</v>
      </c>
      <c r="C3234" s="409">
        <f>Return!R814</f>
        <v>1.0749949676379858E-2</v>
      </c>
    </row>
    <row r="3235" spans="1:3">
      <c r="A3235" s="406">
        <f>Return!A815</f>
        <v>44887</v>
      </c>
      <c r="B3235" s="408" t="s">
        <v>74</v>
      </c>
      <c r="C3235" s="409">
        <f>Return!R815</f>
        <v>2.727848305532517E-4</v>
      </c>
    </row>
    <row r="3236" spans="1:3">
      <c r="A3236" s="406">
        <f>Return!A816</f>
        <v>44886</v>
      </c>
      <c r="B3236" s="408" t="s">
        <v>74</v>
      </c>
      <c r="C3236" s="409">
        <f>Return!R816</f>
        <v>-4.3789365801676057E-3</v>
      </c>
    </row>
    <row r="3237" spans="1:3">
      <c r="A3237" s="406">
        <f>Return!A817</f>
        <v>44883</v>
      </c>
      <c r="B3237" s="408" t="s">
        <v>74</v>
      </c>
      <c r="C3237" s="409">
        <f>Return!R817</f>
        <v>2.1947301326335667E-3</v>
      </c>
    </row>
    <row r="3238" spans="1:3">
      <c r="A3238" s="406">
        <f>Return!A818</f>
        <v>44882</v>
      </c>
      <c r="B3238" s="408" t="s">
        <v>74</v>
      </c>
      <c r="C3238" s="409">
        <f>Return!R818</f>
        <v>1.0025903147858185E-3</v>
      </c>
    </row>
    <row r="3239" spans="1:3">
      <c r="A3239" s="406">
        <f>Return!A819</f>
        <v>44881</v>
      </c>
      <c r="B3239" s="408" t="s">
        <v>74</v>
      </c>
      <c r="C3239" s="409">
        <f>Return!R819</f>
        <v>9.3778801263091644E-4</v>
      </c>
    </row>
    <row r="3240" spans="1:3">
      <c r="A3240" s="406">
        <f>Return!A820</f>
        <v>44880</v>
      </c>
      <c r="B3240" s="408" t="s">
        <v>74</v>
      </c>
      <c r="C3240" s="409">
        <f>Return!R820</f>
        <v>-8.6677782350001488E-3</v>
      </c>
    </row>
    <row r="3241" spans="1:3">
      <c r="A3241" s="406">
        <f>Return!A821</f>
        <v>44879</v>
      </c>
      <c r="B3241" s="408" t="s">
        <v>74</v>
      </c>
      <c r="C3241" s="409">
        <f>Return!R821</f>
        <v>-2.3250097889240362E-3</v>
      </c>
    </row>
    <row r="3242" spans="1:3">
      <c r="A3242" s="406">
        <f>Return!A822</f>
        <v>44876</v>
      </c>
      <c r="B3242" s="408" t="s">
        <v>74</v>
      </c>
      <c r="C3242" s="409">
        <f>Return!R822</f>
        <v>-2.2651560431073167E-3</v>
      </c>
    </row>
    <row r="3243" spans="1:3">
      <c r="A3243" s="406">
        <f>Return!A823</f>
        <v>44875</v>
      </c>
      <c r="B3243" s="408" t="s">
        <v>74</v>
      </c>
      <c r="C3243" s="409">
        <f>Return!R823</f>
        <v>-4.2740128101672239E-3</v>
      </c>
    </row>
    <row r="3244" spans="1:3">
      <c r="A3244" s="406">
        <f>Return!A824</f>
        <v>44874</v>
      </c>
      <c r="B3244" s="408" t="s">
        <v>74</v>
      </c>
      <c r="C3244" s="409">
        <f>Return!R824</f>
        <v>-3.1757685075318497E-3</v>
      </c>
    </row>
    <row r="3245" spans="1:3">
      <c r="A3245" s="406">
        <f>Return!A825</f>
        <v>44872</v>
      </c>
      <c r="B3245" s="408" t="s">
        <v>74</v>
      </c>
      <c r="C3245" s="409">
        <f>Return!R825</f>
        <v>5.8520189428564622E-4</v>
      </c>
    </row>
    <row r="3246" spans="1:3">
      <c r="A3246" s="406">
        <f>Return!A826</f>
        <v>44869</v>
      </c>
      <c r="B3246" s="408" t="s">
        <v>74</v>
      </c>
      <c r="C3246" s="409">
        <f>Return!R826</f>
        <v>-2.1214160519820342E-3</v>
      </c>
    </row>
    <row r="3247" spans="1:3">
      <c r="A3247" s="406">
        <f>Return!A827</f>
        <v>44868</v>
      </c>
      <c r="B3247" s="408" t="s">
        <v>74</v>
      </c>
      <c r="C3247" s="409">
        <f>Return!R827</f>
        <v>5.673816939165986E-4</v>
      </c>
    </row>
    <row r="3248" spans="1:3">
      <c r="A3248" s="406">
        <f>Return!A828</f>
        <v>44867</v>
      </c>
      <c r="B3248" s="408" t="s">
        <v>74</v>
      </c>
      <c r="C3248" s="409">
        <f>Return!R828</f>
        <v>-1.8660459092921533E-3</v>
      </c>
    </row>
    <row r="3249" spans="1:3">
      <c r="A3249" s="406">
        <f>Return!A829</f>
        <v>44866</v>
      </c>
      <c r="B3249" s="408" t="s">
        <v>74</v>
      </c>
      <c r="C3249" s="409">
        <f>Return!R829</f>
        <v>-7.21824362989704E-3</v>
      </c>
    </row>
    <row r="3250" spans="1:3">
      <c r="A3250" s="406">
        <f>Return!A830</f>
        <v>44865</v>
      </c>
      <c r="B3250" s="408" t="s">
        <v>74</v>
      </c>
      <c r="C3250" s="409">
        <f>Return!R830</f>
        <v>-9.5972216424156046E-3</v>
      </c>
    </row>
    <row r="3251" spans="1:3">
      <c r="A3251" s="406">
        <f>Return!A831</f>
        <v>44862</v>
      </c>
      <c r="B3251" s="408" t="s">
        <v>74</v>
      </c>
      <c r="C3251" s="409">
        <f>Return!R831</f>
        <v>-6.009193551122928E-3</v>
      </c>
    </row>
    <row r="3252" spans="1:3">
      <c r="A3252" s="406">
        <f>Return!A832</f>
        <v>44861</v>
      </c>
      <c r="B3252" s="408" t="s">
        <v>74</v>
      </c>
      <c r="C3252" s="409">
        <f>Return!R832</f>
        <v>1.657377803806126E-2</v>
      </c>
    </row>
    <row r="3253" spans="1:3">
      <c r="A3253" s="406">
        <f>Return!A833</f>
        <v>44859</v>
      </c>
      <c r="B3253" s="408" t="s">
        <v>74</v>
      </c>
      <c r="C3253" s="409">
        <f>Return!R833</f>
        <v>8.4166699286744272E-3</v>
      </c>
    </row>
    <row r="3254" spans="1:3">
      <c r="A3254" s="406">
        <f>Return!A834</f>
        <v>44858</v>
      </c>
      <c r="B3254" s="408" t="s">
        <v>74</v>
      </c>
      <c r="C3254" s="409">
        <f>Return!R834</f>
        <v>8.0119217186272896E-3</v>
      </c>
    </row>
    <row r="3255" spans="1:3">
      <c r="A3255" s="406">
        <f>Return!A835</f>
        <v>44855</v>
      </c>
      <c r="B3255" s="408" t="s">
        <v>74</v>
      </c>
      <c r="C3255" s="409">
        <f>Return!R835</f>
        <v>1.114756785191023E-2</v>
      </c>
    </row>
    <row r="3256" spans="1:3">
      <c r="A3256" s="406">
        <f>Return!A836</f>
        <v>44854</v>
      </c>
      <c r="B3256" s="408" t="s">
        <v>74</v>
      </c>
      <c r="C3256" s="409">
        <f>Return!R836</f>
        <v>1.137879072801436E-2</v>
      </c>
    </row>
    <row r="3257" spans="1:3">
      <c r="A3257" s="406">
        <f>Return!A837</f>
        <v>44853</v>
      </c>
      <c r="B3257" s="408" t="s">
        <v>74</v>
      </c>
      <c r="C3257" s="409">
        <f>Return!R837</f>
        <v>-6.6886925927958554E-3</v>
      </c>
    </row>
    <row r="3258" spans="1:3">
      <c r="A3258" s="406">
        <f>Return!A838</f>
        <v>44852</v>
      </c>
      <c r="B3258" s="408" t="s">
        <v>74</v>
      </c>
      <c r="C3258" s="409">
        <f>Return!R838</f>
        <v>5.4303233626581526E-3</v>
      </c>
    </row>
    <row r="3259" spans="1:3">
      <c r="A3259" s="406">
        <f>Return!A839</f>
        <v>44851</v>
      </c>
      <c r="B3259" s="408" t="s">
        <v>74</v>
      </c>
      <c r="C3259" s="409">
        <f>Return!R839</f>
        <v>2.0391883516569518E-3</v>
      </c>
    </row>
    <row r="3260" spans="1:3">
      <c r="A3260" s="406">
        <f>Return!A840</f>
        <v>44848</v>
      </c>
      <c r="B3260" s="408" t="s">
        <v>74</v>
      </c>
      <c r="C3260" s="409">
        <f>Return!R840</f>
        <v>2.1916569411172303E-3</v>
      </c>
    </row>
    <row r="3261" spans="1:3">
      <c r="A3261" s="406">
        <f>Return!A841</f>
        <v>44847</v>
      </c>
      <c r="B3261" s="408" t="s">
        <v>74</v>
      </c>
      <c r="C3261" s="409">
        <f>Return!R841</f>
        <v>-4.1559272532032971E-3</v>
      </c>
    </row>
    <row r="3262" spans="1:3">
      <c r="A3262" s="406">
        <f>Return!A842</f>
        <v>44846</v>
      </c>
      <c r="B3262" s="408" t="s">
        <v>74</v>
      </c>
      <c r="C3262" s="409">
        <f>Return!R842</f>
        <v>-7.1863054961036248E-4</v>
      </c>
    </row>
    <row r="3263" spans="1:3">
      <c r="A3263" s="406">
        <f>Return!A843</f>
        <v>44845</v>
      </c>
      <c r="B3263" s="408" t="s">
        <v>74</v>
      </c>
      <c r="C3263" s="409">
        <f>Return!R843</f>
        <v>-3.2509951213305459E-3</v>
      </c>
    </row>
    <row r="3264" spans="1:3">
      <c r="A3264" s="406">
        <f>Return!A844</f>
        <v>44844</v>
      </c>
      <c r="B3264" s="408" t="s">
        <v>74</v>
      </c>
      <c r="C3264" s="409">
        <f>Return!R844</f>
        <v>-9.4385824564776418E-4</v>
      </c>
    </row>
    <row r="3265" spans="1:3">
      <c r="A3265" s="406">
        <f>Return!A845</f>
        <v>44841</v>
      </c>
      <c r="B3265" s="408" t="s">
        <v>74</v>
      </c>
      <c r="C3265" s="409">
        <f>Return!R845</f>
        <v>-2.0166104409809985E-3</v>
      </c>
    </row>
    <row r="3266" spans="1:3">
      <c r="A3266" s="406">
        <f>Return!A846</f>
        <v>44840</v>
      </c>
      <c r="B3266" s="408" t="s">
        <v>74</v>
      </c>
      <c r="C3266" s="409">
        <f>Return!R846</f>
        <v>1.881553404458735E-5</v>
      </c>
    </row>
    <row r="3267" spans="1:3">
      <c r="A3267" s="406">
        <f>Return!A847</f>
        <v>44838</v>
      </c>
      <c r="B3267" s="408" t="s">
        <v>74</v>
      </c>
      <c r="C3267" s="409">
        <f>Return!R847</f>
        <v>5.6316364311587387E-3</v>
      </c>
    </row>
    <row r="3268" spans="1:3">
      <c r="A3268" s="406">
        <f>Return!A848</f>
        <v>44837</v>
      </c>
      <c r="B3268" s="408" t="s">
        <v>74</v>
      </c>
      <c r="C3268" s="409">
        <f>Return!R848</f>
        <v>9.4517836685208429E-3</v>
      </c>
    </row>
    <row r="3269" spans="1:3">
      <c r="A3269" s="406">
        <f>Return!A849</f>
        <v>44834</v>
      </c>
      <c r="B3269" s="408" t="s">
        <v>74</v>
      </c>
      <c r="C3269" s="409">
        <f>Return!R849</f>
        <v>-6.7731856688625349E-3</v>
      </c>
    </row>
    <row r="3270" spans="1:3">
      <c r="A3270" s="406">
        <f>Return!A850</f>
        <v>44833</v>
      </c>
      <c r="B3270" s="408" t="s">
        <v>74</v>
      </c>
      <c r="C3270" s="409">
        <f>Return!R850</f>
        <v>1.4387254260157807E-2</v>
      </c>
    </row>
    <row r="3271" spans="1:3">
      <c r="A3271" s="406">
        <f>Return!A851</f>
        <v>44832</v>
      </c>
      <c r="B3271" s="408" t="s">
        <v>74</v>
      </c>
      <c r="C3271" s="409">
        <f>Return!R851</f>
        <v>9.1873810151908621E-3</v>
      </c>
    </row>
    <row r="3272" spans="1:3">
      <c r="A3272" s="406">
        <f>Return!A852</f>
        <v>44831</v>
      </c>
      <c r="B3272" s="408" t="s">
        <v>74</v>
      </c>
      <c r="C3272" s="409">
        <f>Return!R852</f>
        <v>1.3810910941346344E-3</v>
      </c>
    </row>
    <row r="3273" spans="1:3">
      <c r="A3273" s="406">
        <f>Return!A853</f>
        <v>44830</v>
      </c>
      <c r="B3273" s="408" t="s">
        <v>74</v>
      </c>
      <c r="C3273" s="409">
        <f>Return!R853</f>
        <v>1.5367053375552875E-3</v>
      </c>
    </row>
    <row r="3274" spans="1:3">
      <c r="A3274" s="406">
        <f>Return!A854</f>
        <v>44827</v>
      </c>
      <c r="B3274" s="408" t="s">
        <v>74</v>
      </c>
      <c r="C3274" s="409">
        <f>Return!R854</f>
        <v>-5.1780534782139495E-3</v>
      </c>
    </row>
    <row r="3275" spans="1:3">
      <c r="A3275" s="406">
        <f>Return!A855</f>
        <v>44826</v>
      </c>
      <c r="B3275" s="408" t="s">
        <v>74</v>
      </c>
      <c r="C3275" s="409">
        <f>Return!R855</f>
        <v>6.5776289535329976E-3</v>
      </c>
    </row>
    <row r="3276" spans="1:3">
      <c r="A3276" s="406">
        <f>Return!A856</f>
        <v>44825</v>
      </c>
      <c r="B3276" s="408" t="s">
        <v>74</v>
      </c>
      <c r="C3276" s="409">
        <f>Return!R856</f>
        <v>-6.0360046623132929E-3</v>
      </c>
    </row>
    <row r="3277" spans="1:3">
      <c r="A3277" s="406">
        <f>Return!A857</f>
        <v>44824</v>
      </c>
      <c r="B3277" s="408" t="s">
        <v>74</v>
      </c>
      <c r="C3277" s="409">
        <f>Return!R857</f>
        <v>1.574545043924994E-2</v>
      </c>
    </row>
    <row r="3278" spans="1:3">
      <c r="A3278" s="406">
        <f>Return!A858</f>
        <v>44823</v>
      </c>
      <c r="B3278" s="408" t="s">
        <v>74</v>
      </c>
      <c r="C3278" s="409">
        <f>Return!R858</f>
        <v>-4.4530790215895335E-3</v>
      </c>
    </row>
    <row r="3279" spans="1:3">
      <c r="A3279" s="406">
        <f>Return!A859</f>
        <v>44820</v>
      </c>
      <c r="B3279" s="408" t="s">
        <v>74</v>
      </c>
      <c r="C3279" s="409">
        <f>Return!R859</f>
        <v>-4.484615963953136E-4</v>
      </c>
    </row>
    <row r="3280" spans="1:3">
      <c r="A3280" s="406">
        <f>Return!A860</f>
        <v>44819</v>
      </c>
      <c r="B3280" s="408" t="s">
        <v>74</v>
      </c>
      <c r="C3280" s="409">
        <f>Return!R860</f>
        <v>-4.0027162260130775E-5</v>
      </c>
    </row>
    <row r="3281" spans="1:3">
      <c r="A3281" s="406">
        <f>Return!A861</f>
        <v>44818</v>
      </c>
      <c r="B3281" s="408" t="s">
        <v>74</v>
      </c>
      <c r="C3281" s="409">
        <f>Return!R861</f>
        <v>1.0366174288197813E-2</v>
      </c>
    </row>
    <row r="3282" spans="1:3">
      <c r="A3282" s="406">
        <f>Return!A862</f>
        <v>44817</v>
      </c>
      <c r="B3282" s="408" t="s">
        <v>74</v>
      </c>
      <c r="C3282" s="409">
        <f>Return!R862</f>
        <v>4.5924604691282428E-3</v>
      </c>
    </row>
    <row r="3283" spans="1:3">
      <c r="A3283" s="406">
        <f>Return!A863</f>
        <v>44816</v>
      </c>
      <c r="B3283" s="408" t="s">
        <v>74</v>
      </c>
      <c r="C3283" s="409">
        <f>Return!R863</f>
        <v>-8.1330834112693356E-3</v>
      </c>
    </row>
    <row r="3284" spans="1:3">
      <c r="A3284" s="406">
        <f>Return!A864</f>
        <v>44813</v>
      </c>
      <c r="B3284" s="408" t="s">
        <v>74</v>
      </c>
      <c r="C3284" s="409">
        <f>Return!R864</f>
        <v>2.8138616863244981E-3</v>
      </c>
    </row>
    <row r="3285" spans="1:3">
      <c r="A3285" s="406">
        <f>Return!A865</f>
        <v>44812</v>
      </c>
      <c r="B3285" s="408" t="s">
        <v>74</v>
      </c>
      <c r="C3285" s="409">
        <f>Return!R865</f>
        <v>-6.9341203646673612E-4</v>
      </c>
    </row>
    <row r="3286" spans="1:3">
      <c r="A3286" s="406">
        <f>Return!A866</f>
        <v>44811</v>
      </c>
      <c r="B3286" s="408" t="s">
        <v>74</v>
      </c>
      <c r="C3286" s="409">
        <f>Return!R866</f>
        <v>-7.3972277650021889E-4</v>
      </c>
    </row>
    <row r="3287" spans="1:3">
      <c r="A3287" s="406">
        <f>Return!A867</f>
        <v>44810</v>
      </c>
      <c r="B3287" s="408" t="s">
        <v>74</v>
      </c>
      <c r="C3287" s="409">
        <f>Return!R867</f>
        <v>9.7323528967321899E-3</v>
      </c>
    </row>
    <row r="3288" spans="1:3">
      <c r="A3288" s="406">
        <f>Return!A868</f>
        <v>44809</v>
      </c>
      <c r="B3288" s="408" t="s">
        <v>74</v>
      </c>
      <c r="C3288" s="409">
        <f>Return!R868</f>
        <v>2.0042773290821539E-3</v>
      </c>
    </row>
    <row r="3289" spans="1:3">
      <c r="A3289" s="406">
        <f>Return!A869</f>
        <v>44806</v>
      </c>
      <c r="B3289" s="408" t="s">
        <v>74</v>
      </c>
      <c r="C3289" s="409">
        <f>Return!R869</f>
        <v>1.1986080608240531E-3</v>
      </c>
    </row>
    <row r="3290" spans="1:3">
      <c r="A3290" s="406">
        <f>Return!A870</f>
        <v>44805</v>
      </c>
      <c r="B3290" s="408" t="s">
        <v>74</v>
      </c>
      <c r="C3290" s="409">
        <f>Return!R870</f>
        <v>-2.5224701598550951E-3</v>
      </c>
    </row>
    <row r="3291" spans="1:3">
      <c r="A3291" s="406">
        <f>Return!A871</f>
        <v>44803</v>
      </c>
      <c r="B3291" s="408" t="s">
        <v>74</v>
      </c>
      <c r="C3291" s="409">
        <f>Return!R871</f>
        <v>1.6386883331114513E-3</v>
      </c>
    </row>
    <row r="3292" spans="1:3">
      <c r="A3292" s="406">
        <f>Return!A872</f>
        <v>44802</v>
      </c>
      <c r="B3292" s="408" t="s">
        <v>74</v>
      </c>
      <c r="C3292" s="409">
        <f>Return!R872</f>
        <v>2.1002255740126836E-3</v>
      </c>
    </row>
    <row r="3293" spans="1:3">
      <c r="A3293" s="406">
        <f>Return!A873</f>
        <v>44799</v>
      </c>
      <c r="B3293" s="408" t="s">
        <v>74</v>
      </c>
      <c r="C3293" s="409">
        <f>Return!R873</f>
        <v>-1.4074045416430979E-3</v>
      </c>
    </row>
    <row r="3294" spans="1:3">
      <c r="A3294" s="406">
        <f>Return!A874</f>
        <v>44798</v>
      </c>
      <c r="B3294" s="408" t="s">
        <v>74</v>
      </c>
      <c r="C3294" s="409">
        <f>Return!R874</f>
        <v>-7.3860324767866768E-3</v>
      </c>
    </row>
    <row r="3295" spans="1:3">
      <c r="A3295" s="406">
        <f>Return!A875</f>
        <v>44797</v>
      </c>
      <c r="B3295" s="408" t="s">
        <v>74</v>
      </c>
      <c r="C3295" s="409">
        <f>Return!R875</f>
        <v>9.0892958559657313E-3</v>
      </c>
    </row>
    <row r="3296" spans="1:3">
      <c r="A3296" s="406">
        <f>Return!A876</f>
        <v>44796</v>
      </c>
      <c r="B3296" s="408" t="s">
        <v>74</v>
      </c>
      <c r="C3296" s="409">
        <f>Return!R876</f>
        <v>3.2127704355808689E-3</v>
      </c>
    </row>
    <row r="3297" spans="1:3">
      <c r="A3297" s="406">
        <f>Return!A877</f>
        <v>44795</v>
      </c>
      <c r="B3297" s="408" t="s">
        <v>74</v>
      </c>
      <c r="C3297" s="409">
        <f>Return!R877</f>
        <v>-5.3962295212212031E-3</v>
      </c>
    </row>
    <row r="3298" spans="1:3">
      <c r="A3298" s="406">
        <f>Return!A878</f>
        <v>44792</v>
      </c>
      <c r="B3298" s="408" t="s">
        <v>74</v>
      </c>
      <c r="C3298" s="409">
        <f>Return!R878</f>
        <v>2.2158976795144851E-3</v>
      </c>
    </row>
    <row r="3299" spans="1:3">
      <c r="A3299" s="406">
        <f>Return!A879</f>
        <v>44791</v>
      </c>
      <c r="B3299" s="408" t="s">
        <v>74</v>
      </c>
      <c r="C3299" s="409">
        <f>Return!R879</f>
        <v>-5.9003247040491039E-3</v>
      </c>
    </row>
    <row r="3300" spans="1:3">
      <c r="A3300" s="406">
        <f>Return!A880</f>
        <v>44790</v>
      </c>
      <c r="B3300" s="408" t="s">
        <v>74</v>
      </c>
      <c r="C3300" s="409">
        <f>Return!R880</f>
        <v>-1.8421393314930685E-3</v>
      </c>
    </row>
    <row r="3301" spans="1:3">
      <c r="A3301" s="406">
        <f>Return!A881</f>
        <v>44789</v>
      </c>
      <c r="B3301" s="408" t="s">
        <v>74</v>
      </c>
      <c r="C3301" s="409">
        <f>Return!R881</f>
        <v>1.2011127986912696E-2</v>
      </c>
    </row>
    <row r="3302" spans="1:3">
      <c r="A3302" s="406">
        <f>Return!A882</f>
        <v>44785</v>
      </c>
      <c r="B3302" s="408" t="s">
        <v>74</v>
      </c>
      <c r="C3302" s="409">
        <f>Return!R882</f>
        <v>-8.0291482573902171E-4</v>
      </c>
    </row>
    <row r="3303" spans="1:3">
      <c r="A3303" s="406">
        <f>Return!A883</f>
        <v>44784</v>
      </c>
      <c r="B3303" s="408" t="s">
        <v>74</v>
      </c>
      <c r="C3303" s="409">
        <f>Return!R883</f>
        <v>3.7770994715604516E-4</v>
      </c>
    </row>
    <row r="3304" spans="1:3">
      <c r="A3304" s="406">
        <f>Return!A884</f>
        <v>44783</v>
      </c>
      <c r="B3304" s="408" t="s">
        <v>74</v>
      </c>
      <c r="C3304" s="409">
        <f>Return!R884</f>
        <v>-7.8299369122143674E-3</v>
      </c>
    </row>
    <row r="3305" spans="1:3">
      <c r="A3305" s="406">
        <f>Return!A885</f>
        <v>44781</v>
      </c>
      <c r="B3305" s="408" t="s">
        <v>74</v>
      </c>
      <c r="C3305" s="409">
        <f>Return!R885</f>
        <v>-4.3640175069875227E-3</v>
      </c>
    </row>
    <row r="3306" spans="1:3">
      <c r="A3306" s="406">
        <f>Return!A886</f>
        <v>44778</v>
      </c>
      <c r="B3306" s="408" t="s">
        <v>74</v>
      </c>
      <c r="C3306" s="409">
        <f>Return!R886</f>
        <v>6.1508192141128035E-4</v>
      </c>
    </row>
    <row r="3307" spans="1:3">
      <c r="A3307" s="406">
        <f>Return!A887</f>
        <v>44777</v>
      </c>
      <c r="B3307" s="408" t="s">
        <v>74</v>
      </c>
      <c r="C3307" s="409">
        <f>Return!R887</f>
        <v>2.9894867655756632E-3</v>
      </c>
    </row>
    <row r="3308" spans="1:3">
      <c r="A3308" s="406">
        <f>Return!A888</f>
        <v>44776</v>
      </c>
      <c r="B3308" s="408" t="s">
        <v>74</v>
      </c>
      <c r="C3308" s="409">
        <f>Return!R888</f>
        <v>-6.5847100511065683E-3</v>
      </c>
    </row>
    <row r="3309" spans="1:3">
      <c r="A3309" s="406">
        <f>Return!A889</f>
        <v>44775</v>
      </c>
      <c r="B3309" s="408" t="s">
        <v>74</v>
      </c>
      <c r="C3309" s="409">
        <f>Return!R889</f>
        <v>-1.5136225472170143E-2</v>
      </c>
    </row>
    <row r="3310" spans="1:3">
      <c r="A3310" s="406">
        <f>Return!A890</f>
        <v>44774</v>
      </c>
      <c r="B3310" s="408" t="s">
        <v>74</v>
      </c>
      <c r="C3310" s="409">
        <f>Return!R890</f>
        <v>4.7393219862031724E-3</v>
      </c>
    </row>
    <row r="3311" spans="1:3">
      <c r="A3311" s="406">
        <f>Return!A891</f>
        <v>44771</v>
      </c>
      <c r="B3311" s="408" t="s">
        <v>74</v>
      </c>
      <c r="C3311" s="409">
        <f>Return!R891</f>
        <v>4.1093388874499127E-3</v>
      </c>
    </row>
    <row r="3312" spans="1:3">
      <c r="A3312" s="406">
        <f>Return!A892</f>
        <v>44770</v>
      </c>
      <c r="B3312" s="408" t="s">
        <v>74</v>
      </c>
      <c r="C3312" s="409">
        <f>Return!R892</f>
        <v>-8.5458107752536521E-3</v>
      </c>
    </row>
    <row r="3313" spans="1:3">
      <c r="A3313" s="406">
        <f>Return!A893</f>
        <v>44769</v>
      </c>
      <c r="B3313" s="408" t="s">
        <v>74</v>
      </c>
      <c r="C3313" s="409">
        <f>Return!R893</f>
        <v>1.0139230726087774E-2</v>
      </c>
    </row>
    <row r="3314" spans="1:3">
      <c r="A3314" s="406">
        <f>Return!A894</f>
        <v>44768</v>
      </c>
      <c r="B3314" s="408" t="s">
        <v>74</v>
      </c>
      <c r="C3314" s="409">
        <f>Return!R894</f>
        <v>-2.762916229255538E-3</v>
      </c>
    </row>
    <row r="3315" spans="1:3">
      <c r="A3315" s="406">
        <f>Return!A895</f>
        <v>44767</v>
      </c>
      <c r="B3315" s="408" t="s">
        <v>74</v>
      </c>
      <c r="C3315" s="409">
        <f>Return!R895</f>
        <v>-2.2711490742380173E-3</v>
      </c>
    </row>
    <row r="3316" spans="1:3">
      <c r="A3316" s="406">
        <f>Return!A896</f>
        <v>44764</v>
      </c>
      <c r="B3316" s="408" t="s">
        <v>74</v>
      </c>
      <c r="C3316" s="409">
        <f>Return!R896</f>
        <v>2.9250270225418913E-3</v>
      </c>
    </row>
    <row r="3317" spans="1:3">
      <c r="A3317" s="406">
        <f>Return!A897</f>
        <v>44763</v>
      </c>
      <c r="B3317" s="408" t="s">
        <v>74</v>
      </c>
      <c r="C3317" s="409">
        <f>Return!R897</f>
        <v>3.2213406225347152E-3</v>
      </c>
    </row>
    <row r="3318" spans="1:3">
      <c r="A3318" s="406">
        <f>Return!A898</f>
        <v>44762</v>
      </c>
      <c r="B3318" s="408" t="s">
        <v>74</v>
      </c>
      <c r="C3318" s="409">
        <f>Return!R898</f>
        <v>6.4674951843830793E-3</v>
      </c>
    </row>
    <row r="3319" spans="1:3">
      <c r="A3319" s="406">
        <f>Return!A899</f>
        <v>44761</v>
      </c>
      <c r="B3319" s="408" t="s">
        <v>74</v>
      </c>
      <c r="C3319" s="409">
        <f>Return!R899</f>
        <v>-7.3311906206462354E-3</v>
      </c>
    </row>
    <row r="3320" spans="1:3">
      <c r="A3320" s="406">
        <f>Return!A900</f>
        <v>44760</v>
      </c>
      <c r="B3320" s="408" t="s">
        <v>74</v>
      </c>
      <c r="C3320" s="409">
        <f>Return!R900</f>
        <v>-8.6317259143617719E-3</v>
      </c>
    </row>
    <row r="3321" spans="1:3">
      <c r="A3321" s="406">
        <f>Return!A901</f>
        <v>44757</v>
      </c>
      <c r="B3321" s="408" t="s">
        <v>74</v>
      </c>
      <c r="C3321" s="409">
        <f>Return!R901</f>
        <v>-2.5570111797502655E-4</v>
      </c>
    </row>
    <row r="3322" spans="1:3">
      <c r="A3322" s="406">
        <f>Return!A902</f>
        <v>44756</v>
      </c>
      <c r="B3322" s="408" t="s">
        <v>74</v>
      </c>
      <c r="C3322" s="409">
        <f>Return!R902</f>
        <v>8.4912347234082763E-3</v>
      </c>
    </row>
    <row r="3323" spans="1:3">
      <c r="A3323" s="406">
        <f>Return!A903</f>
        <v>44755</v>
      </c>
      <c r="B3323" s="408" t="s">
        <v>74</v>
      </c>
      <c r="C3323" s="409">
        <f>Return!R903</f>
        <v>1.514815022456551E-3</v>
      </c>
    </row>
    <row r="3324" spans="1:3">
      <c r="A3324" s="406">
        <f>Return!A904</f>
        <v>44754</v>
      </c>
      <c r="B3324" s="408" t="s">
        <v>74</v>
      </c>
      <c r="C3324" s="409">
        <f>Return!R904</f>
        <v>6.0304419044532346E-3</v>
      </c>
    </row>
    <row r="3325" spans="1:3">
      <c r="A3325" s="406">
        <f>Return!A905</f>
        <v>44753</v>
      </c>
      <c r="B3325" s="408" t="s">
        <v>74</v>
      </c>
      <c r="C3325" s="409">
        <f>Return!R905</f>
        <v>2.5564785382899825E-3</v>
      </c>
    </row>
    <row r="3326" spans="1:3">
      <c r="A3326" s="406">
        <f>Return!A906</f>
        <v>44750</v>
      </c>
      <c r="B3326" s="408" t="s">
        <v>74</v>
      </c>
      <c r="C3326" s="409">
        <f>Return!R906</f>
        <v>1.9736850437464828E-3</v>
      </c>
    </row>
    <row r="3327" spans="1:3">
      <c r="A3327" s="406">
        <f>Return!A907</f>
        <v>44749</v>
      </c>
      <c r="B3327" s="408" t="s">
        <v>74</v>
      </c>
      <c r="C3327" s="409">
        <f>Return!R907</f>
        <v>3.7012522915441477E-3</v>
      </c>
    </row>
    <row r="3328" spans="1:3">
      <c r="A3328" s="406">
        <f>Return!A908</f>
        <v>44748</v>
      </c>
      <c r="B3328" s="408" t="s">
        <v>74</v>
      </c>
      <c r="C3328" s="409">
        <f>Return!R908</f>
        <v>3.495827191871788E-3</v>
      </c>
    </row>
    <row r="3329" spans="1:3">
      <c r="A3329" s="406">
        <f>Return!A909</f>
        <v>44747</v>
      </c>
      <c r="B3329" s="408" t="s">
        <v>74</v>
      </c>
      <c r="C3329" s="409">
        <f>Return!R909</f>
        <v>3.2349088581625518E-3</v>
      </c>
    </row>
    <row r="3330" spans="1:3">
      <c r="A3330" s="406">
        <f>Return!A910</f>
        <v>44746</v>
      </c>
      <c r="B3330" s="408" t="s">
        <v>74</v>
      </c>
      <c r="C3330" s="409">
        <f>Return!R910</f>
        <v>-1.2540933047692484E-3</v>
      </c>
    </row>
    <row r="3331" spans="1:3">
      <c r="A3331" s="406">
        <f>Return!A911</f>
        <v>44743</v>
      </c>
      <c r="B3331" s="408" t="s">
        <v>74</v>
      </c>
      <c r="C3331" s="409">
        <f>Return!R911</f>
        <v>2.5619224590193368E-3</v>
      </c>
    </row>
    <row r="3332" spans="1:3">
      <c r="A3332" s="406">
        <f>Return!A912</f>
        <v>44742</v>
      </c>
      <c r="B3332" s="408" t="s">
        <v>74</v>
      </c>
      <c r="C3332" s="409">
        <f>Return!R912</f>
        <v>6.2618904260327065E-3</v>
      </c>
    </row>
    <row r="3333" spans="1:3">
      <c r="A3333" s="406">
        <f>Return!A913</f>
        <v>44741</v>
      </c>
      <c r="B3333" s="408" t="s">
        <v>74</v>
      </c>
      <c r="C3333" s="409">
        <f>Return!R913</f>
        <v>-4.8510029289083614E-2</v>
      </c>
    </row>
    <row r="3334" spans="1:3">
      <c r="A3334" s="406">
        <f>Return!A914</f>
        <v>44740</v>
      </c>
      <c r="B3334" s="408" t="s">
        <v>74</v>
      </c>
      <c r="C3334" s="409">
        <f>Return!R914</f>
        <v>1.3135171854123062E-2</v>
      </c>
    </row>
    <row r="3335" spans="1:3">
      <c r="A3335" s="406">
        <f>Return!A915</f>
        <v>44739</v>
      </c>
      <c r="B3335" s="408" t="s">
        <v>74</v>
      </c>
      <c r="C3335" s="409">
        <f>Return!R915</f>
        <v>4.5607167936259248E-3</v>
      </c>
    </row>
    <row r="3336" spans="1:3">
      <c r="A3336" s="406">
        <f>Return!A916</f>
        <v>44736</v>
      </c>
      <c r="B3336" s="408" t="s">
        <v>74</v>
      </c>
      <c r="C3336" s="409">
        <f>Return!R916</f>
        <v>3.5758371872090665E-3</v>
      </c>
    </row>
    <row r="3337" spans="1:3">
      <c r="A3337" s="406">
        <f>Return!A917</f>
        <v>44735</v>
      </c>
      <c r="B3337" s="408" t="s">
        <v>74</v>
      </c>
      <c r="C3337" s="409">
        <f>Return!R917</f>
        <v>1.6929827772425277E-3</v>
      </c>
    </row>
    <row r="3338" spans="1:3">
      <c r="A3338" s="406">
        <f>Return!A918</f>
        <v>44734</v>
      </c>
      <c r="B3338" s="408" t="s">
        <v>74</v>
      </c>
      <c r="C3338" s="409">
        <f>Return!R918</f>
        <v>-1.6200599346070344E-3</v>
      </c>
    </row>
    <row r="3339" spans="1:3">
      <c r="A3339" s="406">
        <f>Return!A919</f>
        <v>44733</v>
      </c>
      <c r="B3339" s="408" t="s">
        <v>74</v>
      </c>
      <c r="C3339" s="409">
        <f>Return!R919</f>
        <v>1.3217461456640574E-2</v>
      </c>
    </row>
    <row r="3340" spans="1:3">
      <c r="A3340" s="406">
        <f>Return!A920</f>
        <v>44732</v>
      </c>
      <c r="B3340" s="408" t="s">
        <v>74</v>
      </c>
      <c r="C3340" s="409">
        <f>Return!R920</f>
        <v>-2.9676041221789878E-3</v>
      </c>
    </row>
    <row r="3341" spans="1:3">
      <c r="A3341" s="406">
        <f>Return!A921</f>
        <v>44729</v>
      </c>
      <c r="B3341" s="408" t="s">
        <v>74</v>
      </c>
      <c r="C3341" s="409">
        <f>Return!R921</f>
        <v>2.873126226312213E-3</v>
      </c>
    </row>
    <row r="3342" spans="1:3">
      <c r="A3342" s="406">
        <f>Return!A922</f>
        <v>44728</v>
      </c>
      <c r="B3342" s="408" t="s">
        <v>74</v>
      </c>
      <c r="C3342" s="409">
        <f>Return!R922</f>
        <v>-1.0714180104538515E-2</v>
      </c>
    </row>
    <row r="3343" spans="1:3">
      <c r="A3343" s="406">
        <f>Return!A923</f>
        <v>44727</v>
      </c>
      <c r="B3343" s="408" t="s">
        <v>74</v>
      </c>
      <c r="C3343" s="409">
        <f>Return!R923</f>
        <v>-1.4527664097749888E-3</v>
      </c>
    </row>
    <row r="3344" spans="1:3">
      <c r="A3344" s="406">
        <f>Return!A924</f>
        <v>44726</v>
      </c>
      <c r="B3344" s="408" t="s">
        <v>74</v>
      </c>
      <c r="C3344" s="409">
        <f>Return!R924</f>
        <v>-1.0255323501568579E-3</v>
      </c>
    </row>
    <row r="3345" spans="1:3">
      <c r="A3345" s="406">
        <f>Return!A925</f>
        <v>44725</v>
      </c>
      <c r="B3345" s="408" t="s">
        <v>74</v>
      </c>
      <c r="C3345" s="409">
        <f>Return!R925</f>
        <v>4.6911823695442936E-4</v>
      </c>
    </row>
    <row r="3346" spans="1:3">
      <c r="A3346" s="406">
        <f>Return!A926</f>
        <v>44722</v>
      </c>
      <c r="B3346" s="408" t="s">
        <v>74</v>
      </c>
      <c r="C3346" s="409">
        <f>Return!R926</f>
        <v>5.6569842469236125E-4</v>
      </c>
    </row>
    <row r="3347" spans="1:3">
      <c r="A3347" s="406">
        <f>Return!A927</f>
        <v>44721</v>
      </c>
      <c r="B3347" s="408" t="s">
        <v>74</v>
      </c>
      <c r="C3347" s="409">
        <f>Return!R927</f>
        <v>6.1959570316800156E-3</v>
      </c>
    </row>
    <row r="3348" spans="1:3">
      <c r="A3348" s="406">
        <f>Return!A928</f>
        <v>44720</v>
      </c>
      <c r="B3348" s="408" t="s">
        <v>74</v>
      </c>
      <c r="C3348" s="409">
        <f>Return!R928</f>
        <v>4.6488549140238792E-4</v>
      </c>
    </row>
    <row r="3349" spans="1:3">
      <c r="A3349" s="406">
        <f>Return!A929</f>
        <v>44719</v>
      </c>
      <c r="B3349" s="408" t="s">
        <v>74</v>
      </c>
      <c r="C3349" s="409">
        <f>Return!R929</f>
        <v>-2.3309541357558914E-4</v>
      </c>
    </row>
    <row r="3350" spans="1:3">
      <c r="A3350" s="406">
        <f>Return!A930</f>
        <v>44718</v>
      </c>
      <c r="B3350" s="408" t="s">
        <v>74</v>
      </c>
      <c r="C3350" s="409">
        <f>Return!R930</f>
        <v>-5.7355909222072121E-3</v>
      </c>
    </row>
    <row r="3351" spans="1:3">
      <c r="A3351" s="406">
        <f>Return!A931</f>
        <v>44715</v>
      </c>
      <c r="B3351" s="408" t="s">
        <v>74</v>
      </c>
      <c r="C3351" s="409">
        <f>Return!R931</f>
        <v>-3.5846742395523176E-3</v>
      </c>
    </row>
    <row r="3352" spans="1:3">
      <c r="A3352" s="406">
        <f>Return!A932</f>
        <v>44714</v>
      </c>
      <c r="B3352" s="408" t="s">
        <v>74</v>
      </c>
      <c r="C3352" s="409">
        <f>Return!R932</f>
        <v>5.6802657223289435E-3</v>
      </c>
    </row>
    <row r="3353" spans="1:3">
      <c r="A3353" s="406">
        <f>Return!A933</f>
        <v>44713</v>
      </c>
      <c r="B3353" s="408" t="s">
        <v>74</v>
      </c>
      <c r="C3353" s="409">
        <f>Return!R933</f>
        <v>-5.85095646217575E-3</v>
      </c>
    </row>
    <row r="3354" spans="1:3">
      <c r="A3354" s="406">
        <f>Return!A934</f>
        <v>44712</v>
      </c>
      <c r="B3354" s="408" t="s">
        <v>74</v>
      </c>
      <c r="C3354" s="409">
        <f>Return!R934</f>
        <v>-3.7836769480081097E-4</v>
      </c>
    </row>
    <row r="3355" spans="1:3">
      <c r="A3355" s="406">
        <f>Return!A935</f>
        <v>44711</v>
      </c>
      <c r="B3355" s="408" t="s">
        <v>74</v>
      </c>
      <c r="C3355" s="409">
        <f>Return!R935</f>
        <v>2.9325725508076192E-3</v>
      </c>
    </row>
    <row r="3356" spans="1:3">
      <c r="A3356" s="406">
        <f>Return!A936</f>
        <v>44708</v>
      </c>
      <c r="B3356" s="408" t="s">
        <v>74</v>
      </c>
      <c r="C3356" s="409">
        <f>Return!R936</f>
        <v>-1.1696778681034388E-3</v>
      </c>
    </row>
    <row r="3357" spans="1:3">
      <c r="A3357" s="406">
        <f>Return!A937</f>
        <v>44707</v>
      </c>
      <c r="B3357" s="408" t="s">
        <v>74</v>
      </c>
      <c r="C3357" s="409">
        <f>Return!R937</f>
        <v>-7.3111179278889816E-3</v>
      </c>
    </row>
    <row r="3358" spans="1:3">
      <c r="A3358" s="406">
        <f>Return!A938</f>
        <v>44706</v>
      </c>
      <c r="B3358" s="408" t="s">
        <v>74</v>
      </c>
      <c r="C3358" s="409">
        <f>Return!R938</f>
        <v>-2.6106689592311776E-3</v>
      </c>
    </row>
    <row r="3359" spans="1:3">
      <c r="A3359" s="406">
        <f>Return!A939</f>
        <v>44705</v>
      </c>
      <c r="B3359" s="408" t="s">
        <v>74</v>
      </c>
      <c r="C3359" s="409">
        <f>Return!R939</f>
        <v>1.2372488066369532E-2</v>
      </c>
    </row>
    <row r="3360" spans="1:3">
      <c r="A3360" s="406">
        <f>Return!A940</f>
        <v>44704</v>
      </c>
      <c r="B3360" s="408" t="s">
        <v>74</v>
      </c>
      <c r="C3360" s="409">
        <f>Return!R940</f>
        <v>-8.7940024368192936E-4</v>
      </c>
    </row>
    <row r="3361" spans="1:3">
      <c r="A3361" s="406">
        <f>Return!A941</f>
        <v>44701</v>
      </c>
      <c r="B3361" s="408" t="s">
        <v>74</v>
      </c>
      <c r="C3361" s="409">
        <f>Return!R941</f>
        <v>4.8353015852775792E-3</v>
      </c>
    </row>
    <row r="3362" spans="1:3">
      <c r="A3362" s="406">
        <f>Return!A942</f>
        <v>44700</v>
      </c>
      <c r="B3362" s="408" t="s">
        <v>74</v>
      </c>
      <c r="C3362" s="409">
        <f>Return!R942</f>
        <v>-4.3646476603409487E-3</v>
      </c>
    </row>
    <row r="3363" spans="1:3">
      <c r="A3363" s="406">
        <f>Return!A943</f>
        <v>44699</v>
      </c>
      <c r="B3363" s="408" t="s">
        <v>74</v>
      </c>
      <c r="C3363" s="409">
        <f>Return!R943</f>
        <v>1.7372257457994597E-3</v>
      </c>
    </row>
    <row r="3364" spans="1:3">
      <c r="A3364" s="406">
        <f>Return!A944</f>
        <v>44698</v>
      </c>
      <c r="B3364" s="408" t="s">
        <v>74</v>
      </c>
      <c r="C3364" s="409">
        <f>Return!R944</f>
        <v>2.8982354614363881E-2</v>
      </c>
    </row>
    <row r="3365" spans="1:3">
      <c r="A3365" s="406">
        <f>Return!A945</f>
        <v>44697</v>
      </c>
      <c r="B3365" s="408" t="s">
        <v>74</v>
      </c>
      <c r="C3365" s="409">
        <f>Return!R945</f>
        <v>3.9599295181706375E-3</v>
      </c>
    </row>
    <row r="3366" spans="1:3">
      <c r="A3366" s="406">
        <f>Return!A946</f>
        <v>44694</v>
      </c>
      <c r="B3366" s="408" t="s">
        <v>74</v>
      </c>
      <c r="C3366" s="409">
        <f>Return!R946</f>
        <v>-1.1000934737366561E-2</v>
      </c>
    </row>
    <row r="3367" spans="1:3">
      <c r="A3367" s="406">
        <f>Return!A947</f>
        <v>44693</v>
      </c>
      <c r="B3367" s="408" t="s">
        <v>74</v>
      </c>
      <c r="C3367" s="409">
        <f>Return!R947</f>
        <v>-4.0388168650108457E-3</v>
      </c>
    </row>
    <row r="3368" spans="1:3">
      <c r="A3368" s="406">
        <f>Return!A948</f>
        <v>44692</v>
      </c>
      <c r="B3368" s="408" t="s">
        <v>74</v>
      </c>
      <c r="C3368" s="409">
        <f>Return!R948</f>
        <v>1.99805160325518E-3</v>
      </c>
    </row>
    <row r="3369" spans="1:3">
      <c r="A3369" s="406">
        <f>Return!A949</f>
        <v>44691</v>
      </c>
      <c r="B3369" s="408" t="s">
        <v>74</v>
      </c>
      <c r="C3369" s="409">
        <f>Return!R949</f>
        <v>-1.6936176610643741E-2</v>
      </c>
    </row>
    <row r="3370" spans="1:3">
      <c r="A3370" s="406">
        <f>Return!A950</f>
        <v>44690</v>
      </c>
      <c r="B3370" s="408" t="s">
        <v>74</v>
      </c>
      <c r="C3370" s="409">
        <f>Return!R950</f>
        <v>-1.2617118261027517E-3</v>
      </c>
    </row>
    <row r="3371" spans="1:3">
      <c r="A3371" s="406">
        <f>Return!A951</f>
        <v>44687</v>
      </c>
      <c r="B3371" s="408" t="s">
        <v>74</v>
      </c>
      <c r="C3371" s="409">
        <f>Return!R951</f>
        <v>-3.2760865695972562E-3</v>
      </c>
    </row>
    <row r="3372" spans="1:3">
      <c r="A3372" s="406">
        <f>Return!A952</f>
        <v>44686</v>
      </c>
      <c r="B3372" s="408" t="s">
        <v>74</v>
      </c>
      <c r="C3372" s="409">
        <f>Return!R952</f>
        <v>1.5199806408508023E-3</v>
      </c>
    </row>
    <row r="3373" spans="1:3">
      <c r="A3373" s="406">
        <f>Return!A953</f>
        <v>44685</v>
      </c>
      <c r="B3373" s="408" t="s">
        <v>74</v>
      </c>
      <c r="C3373" s="409">
        <f>Return!R953</f>
        <v>-1.0844191805826674E-3</v>
      </c>
    </row>
    <row r="3374" spans="1:3">
      <c r="A3374" s="406">
        <f>Return!A954</f>
        <v>44683</v>
      </c>
      <c r="B3374" s="408" t="s">
        <v>74</v>
      </c>
      <c r="C3374" s="409">
        <f>Return!R954</f>
        <v>-8.9677756307457428E-3</v>
      </c>
    </row>
    <row r="3375" spans="1:3">
      <c r="A3375" s="406">
        <f>Return!A955</f>
        <v>44680</v>
      </c>
      <c r="B3375" s="408" t="s">
        <v>74</v>
      </c>
      <c r="C3375" s="409">
        <f>Return!R955</f>
        <v>-5.0577947335077372E-3</v>
      </c>
    </row>
    <row r="3376" spans="1:3">
      <c r="A3376" s="406">
        <f>Return!A956</f>
        <v>44679</v>
      </c>
      <c r="B3376" s="408" t="s">
        <v>74</v>
      </c>
      <c r="C3376" s="409">
        <f>Return!R956</f>
        <v>5.5468893414373894E-4</v>
      </c>
    </row>
    <row r="3377" spans="1:3">
      <c r="A3377" s="406">
        <f>Return!A957</f>
        <v>44678</v>
      </c>
      <c r="B3377" s="408" t="s">
        <v>74</v>
      </c>
      <c r="C3377" s="409">
        <f>Return!R957</f>
        <v>-8.7571225719396354E-3</v>
      </c>
    </row>
    <row r="3378" spans="1:3">
      <c r="A3378" s="406">
        <f>Return!A958</f>
        <v>44677</v>
      </c>
      <c r="B3378" s="408" t="s">
        <v>74</v>
      </c>
      <c r="C3378" s="409">
        <f>Return!R958</f>
        <v>1.3356667979906579E-2</v>
      </c>
    </row>
    <row r="3379" spans="1:3">
      <c r="A3379" s="406">
        <f>Return!A959</f>
        <v>44676</v>
      </c>
      <c r="B3379" s="408" t="s">
        <v>74</v>
      </c>
      <c r="C3379" s="409">
        <f>Return!R959</f>
        <v>-8.1100470568604283E-3</v>
      </c>
    </row>
    <row r="3380" spans="1:3">
      <c r="A3380" s="406">
        <f>Return!A960</f>
        <v>44673</v>
      </c>
      <c r="B3380" s="408" t="s">
        <v>74</v>
      </c>
      <c r="C3380" s="409">
        <f>Return!R960</f>
        <v>-1.4534267530273114E-2</v>
      </c>
    </row>
    <row r="3381" spans="1:3">
      <c r="A3381" s="406">
        <f>Return!A961</f>
        <v>44672</v>
      </c>
      <c r="B3381" s="408" t="s">
        <v>74</v>
      </c>
      <c r="C3381" s="409">
        <f>Return!R961</f>
        <v>-2.5331343427732762E-3</v>
      </c>
    </row>
    <row r="3382" spans="1:3">
      <c r="A3382" s="406">
        <f>Return!A962</f>
        <v>44671</v>
      </c>
      <c r="B3382" s="408" t="s">
        <v>74</v>
      </c>
      <c r="C3382" s="409">
        <f>Return!R962</f>
        <v>-1.1657357382574124E-3</v>
      </c>
    </row>
    <row r="3383" spans="1:3">
      <c r="A3383" s="406">
        <f>Return!A963</f>
        <v>44670</v>
      </c>
      <c r="B3383" s="408" t="s">
        <v>74</v>
      </c>
      <c r="C3383" s="409">
        <f>Return!R963</f>
        <v>-5.3786746989482213E-3</v>
      </c>
    </row>
    <row r="3384" spans="1:3">
      <c r="A3384" s="406">
        <f>Return!A964</f>
        <v>44669</v>
      </c>
      <c r="B3384" s="408" t="s">
        <v>74</v>
      </c>
      <c r="C3384" s="409">
        <f>Return!R964</f>
        <v>-1.447862687896561E-2</v>
      </c>
    </row>
    <row r="3385" spans="1:3">
      <c r="A3385" s="406">
        <f>Return!A965</f>
        <v>44664</v>
      </c>
      <c r="B3385" s="408" t="s">
        <v>74</v>
      </c>
      <c r="C3385" s="409">
        <f>Return!R965</f>
        <v>-4.5529044274475903E-3</v>
      </c>
    </row>
    <row r="3386" spans="1:3">
      <c r="A3386" s="406">
        <f>Return!A966</f>
        <v>44663</v>
      </c>
      <c r="B3386" s="408" t="s">
        <v>74</v>
      </c>
      <c r="C3386" s="409">
        <f>Return!R966</f>
        <v>-6.2108540003469404E-3</v>
      </c>
    </row>
    <row r="3387" spans="1:3">
      <c r="A3387" s="406">
        <f>Return!A967</f>
        <v>44662</v>
      </c>
      <c r="B3387" s="408" t="s">
        <v>74</v>
      </c>
      <c r="C3387" s="409">
        <f>Return!R967</f>
        <v>-1.6030347614744565E-3</v>
      </c>
    </row>
    <row r="3388" spans="1:3">
      <c r="A3388" s="406">
        <f>Return!A968</f>
        <v>44659</v>
      </c>
      <c r="B3388" s="408" t="s">
        <v>74</v>
      </c>
      <c r="C3388" s="409">
        <f>Return!R968</f>
        <v>1.3835678159313438E-3</v>
      </c>
    </row>
    <row r="3389" spans="1:3">
      <c r="A3389" s="406">
        <f>Return!A969</f>
        <v>44658</v>
      </c>
      <c r="B3389" s="408" t="s">
        <v>74</v>
      </c>
      <c r="C3389" s="409">
        <f>Return!R969</f>
        <v>-1.7109773468187534E-3</v>
      </c>
    </row>
    <row r="3390" spans="1:3">
      <c r="A3390" s="406">
        <f>Return!A970</f>
        <v>44657</v>
      </c>
      <c r="B3390" s="408" t="s">
        <v>74</v>
      </c>
      <c r="C3390" s="409">
        <f>Return!R970</f>
        <v>5.4660917942885873E-3</v>
      </c>
    </row>
    <row r="3391" spans="1:3">
      <c r="A3391" s="406">
        <f>Return!A971</f>
        <v>44656</v>
      </c>
      <c r="B3391" s="408" t="s">
        <v>74</v>
      </c>
      <c r="C3391" s="409">
        <f>Return!R971</f>
        <v>-3.8417322614204244E-3</v>
      </c>
    </row>
    <row r="3392" spans="1:3">
      <c r="A3392" s="406">
        <f>Return!A972</f>
        <v>44655</v>
      </c>
      <c r="B3392" s="408" t="s">
        <v>74</v>
      </c>
      <c r="C3392" s="409">
        <f>Return!R972</f>
        <v>-4.3604061382007953E-3</v>
      </c>
    </row>
    <row r="3393" spans="1:3">
      <c r="A3393" s="406">
        <f>Return!A973</f>
        <v>44652</v>
      </c>
      <c r="B3393" s="408" t="s">
        <v>74</v>
      </c>
      <c r="C3393" s="409">
        <f>Return!R973</f>
        <v>8.3043942940165798E-3</v>
      </c>
    </row>
    <row r="3394" spans="1:3">
      <c r="A3394" s="406">
        <f>Return!A974</f>
        <v>44651</v>
      </c>
      <c r="B3394" s="408" t="s">
        <v>74</v>
      </c>
      <c r="C3394" s="409">
        <f>Return!R974</f>
        <v>-1.1485855573077001E-4</v>
      </c>
    </row>
    <row r="3395" spans="1:3">
      <c r="A3395" s="406">
        <f>Return!A975</f>
        <v>44650</v>
      </c>
      <c r="B3395" s="408" t="s">
        <v>74</v>
      </c>
      <c r="C3395" s="409">
        <f>Return!R975</f>
        <v>4.6347029493933106E-3</v>
      </c>
    </row>
    <row r="3396" spans="1:3">
      <c r="A3396" s="406">
        <f>Return!A976</f>
        <v>44649</v>
      </c>
      <c r="B3396" s="408" t="s">
        <v>74</v>
      </c>
      <c r="C3396" s="409">
        <f>Return!R976</f>
        <v>4.7106332438232139E-3</v>
      </c>
    </row>
    <row r="3397" spans="1:3">
      <c r="A3397" s="406">
        <f>Return!A977</f>
        <v>44648</v>
      </c>
      <c r="B3397" s="408" t="s">
        <v>74</v>
      </c>
      <c r="C3397" s="409">
        <f>Return!R977</f>
        <v>-5.506620032565258E-3</v>
      </c>
    </row>
    <row r="3398" spans="1:3">
      <c r="A3398" s="406">
        <f>Return!A978</f>
        <v>44645</v>
      </c>
      <c r="B3398" s="408" t="s">
        <v>74</v>
      </c>
      <c r="C3398" s="409">
        <f>Return!R978</f>
        <v>-1.0515591553533248E-2</v>
      </c>
    </row>
    <row r="3399" spans="1:3">
      <c r="A3399" s="406">
        <f>Return!A979</f>
        <v>44644</v>
      </c>
      <c r="B3399" s="408" t="s">
        <v>74</v>
      </c>
      <c r="C3399" s="409">
        <f>Return!R979</f>
        <v>-1.544442685278433E-4</v>
      </c>
    </row>
    <row r="3400" spans="1:3">
      <c r="A3400" s="406">
        <f>Return!A980</f>
        <v>44643</v>
      </c>
      <c r="B3400" s="408" t="s">
        <v>74</v>
      </c>
      <c r="C3400" s="409">
        <f>Return!R980</f>
        <v>3.3328204858940795E-3</v>
      </c>
    </row>
    <row r="3401" spans="1:3">
      <c r="A3401" s="406">
        <f>Return!A981</f>
        <v>44642</v>
      </c>
      <c r="B3401" s="408" t="s">
        <v>74</v>
      </c>
      <c r="C3401" s="409">
        <f>Return!R981</f>
        <v>-6.3396348148530316E-3</v>
      </c>
    </row>
    <row r="3402" spans="1:3">
      <c r="A3402" s="406">
        <f>Return!A982</f>
        <v>44641</v>
      </c>
      <c r="B3402" s="408" t="s">
        <v>74</v>
      </c>
      <c r="C3402" s="409">
        <f>Return!R982</f>
        <v>-2.5853603804633619E-3</v>
      </c>
    </row>
    <row r="3403" spans="1:3">
      <c r="A3403" s="406">
        <f>Return!A983</f>
        <v>44637</v>
      </c>
      <c r="B3403" s="408" t="s">
        <v>74</v>
      </c>
      <c r="C3403" s="409">
        <f>Return!R983</f>
        <v>-2.2640583461360844E-3</v>
      </c>
    </row>
    <row r="3404" spans="1:3">
      <c r="A3404" s="406">
        <f>Return!A984</f>
        <v>44636</v>
      </c>
      <c r="B3404" s="408" t="s">
        <v>74</v>
      </c>
      <c r="C3404" s="409">
        <f>Return!R984</f>
        <v>1.1347852713460808E-2</v>
      </c>
    </row>
    <row r="3405" spans="1:3">
      <c r="A3405" s="406">
        <f>Return!A985</f>
        <v>44635</v>
      </c>
      <c r="B3405" s="408" t="s">
        <v>74</v>
      </c>
      <c r="C3405" s="409">
        <f>Return!R985</f>
        <v>4.8794027151895783E-3</v>
      </c>
    </row>
    <row r="3406" spans="1:3">
      <c r="A3406" s="406">
        <f>Return!A986</f>
        <v>44634</v>
      </c>
      <c r="B3406" s="408" t="s">
        <v>74</v>
      </c>
      <c r="C3406" s="409">
        <f>Return!R986</f>
        <v>-1.1247191513067813E-3</v>
      </c>
    </row>
    <row r="3407" spans="1:3">
      <c r="A3407" s="406">
        <f>Return!A987</f>
        <v>44631</v>
      </c>
      <c r="B3407" s="408" t="s">
        <v>74</v>
      </c>
      <c r="C3407" s="409">
        <f>Return!R987</f>
        <v>4.2510725419183572E-3</v>
      </c>
    </row>
    <row r="3408" spans="1:3">
      <c r="A3408" s="406">
        <f>Return!A988</f>
        <v>44630</v>
      </c>
      <c r="B3408" s="408" t="s">
        <v>74</v>
      </c>
      <c r="C3408" s="409">
        <f>Return!R988</f>
        <v>5.9199898375017733E-3</v>
      </c>
    </row>
    <row r="3409" spans="1:3">
      <c r="A3409" s="406">
        <f>Return!A989</f>
        <v>44629</v>
      </c>
      <c r="B3409" s="408" t="s">
        <v>74</v>
      </c>
      <c r="C3409" s="409">
        <f>Return!R989</f>
        <v>6.222579588819499E-3</v>
      </c>
    </row>
    <row r="3410" spans="1:3">
      <c r="A3410" s="406">
        <f>Return!A990</f>
        <v>44628</v>
      </c>
      <c r="B3410" s="408" t="s">
        <v>74</v>
      </c>
      <c r="C3410" s="409">
        <f>Return!R990</f>
        <v>2.558895314172588E-3</v>
      </c>
    </row>
    <row r="3411" spans="1:3">
      <c r="A3411" s="406">
        <f>Return!A991</f>
        <v>44627</v>
      </c>
      <c r="B3411" s="408" t="s">
        <v>74</v>
      </c>
      <c r="C3411" s="409">
        <f>Return!R991</f>
        <v>3.8491840474751179E-3</v>
      </c>
    </row>
    <row r="3412" spans="1:3">
      <c r="A3412" s="406">
        <f>Return!A992</f>
        <v>44624</v>
      </c>
      <c r="B3412" s="408" t="s">
        <v>74</v>
      </c>
      <c r="C3412" s="409">
        <f>Return!R992</f>
        <v>-1.8712275834431354E-3</v>
      </c>
    </row>
    <row r="3413" spans="1:3">
      <c r="A3413" s="406">
        <f>Return!A993</f>
        <v>44623</v>
      </c>
      <c r="B3413" s="408" t="s">
        <v>74</v>
      </c>
      <c r="C3413" s="409">
        <f>Return!R993</f>
        <v>8.1459453987325057E-4</v>
      </c>
    </row>
    <row r="3414" spans="1:3">
      <c r="A3414" s="406">
        <f>Return!A994</f>
        <v>44622</v>
      </c>
      <c r="B3414" s="408" t="s">
        <v>74</v>
      </c>
      <c r="C3414" s="409">
        <f>Return!R994</f>
        <v>-8.059932177157769E-4</v>
      </c>
    </row>
    <row r="3415" spans="1:3">
      <c r="A3415" s="406">
        <f>Return!A995</f>
        <v>44620</v>
      </c>
      <c r="B3415" s="408" t="s">
        <v>74</v>
      </c>
      <c r="C3415" s="409">
        <f>Return!R995</f>
        <v>1.5415979458125048E-2</v>
      </c>
    </row>
    <row r="3416" spans="1:3">
      <c r="A3416" s="406">
        <f>Return!A996</f>
        <v>44617</v>
      </c>
      <c r="B3416" s="408" t="s">
        <v>74</v>
      </c>
      <c r="C3416" s="409">
        <f>Return!R996</f>
        <v>9.1834807890111905E-3</v>
      </c>
    </row>
    <row r="3417" spans="1:3">
      <c r="A3417" s="406">
        <f>Return!A997</f>
        <v>44616</v>
      </c>
      <c r="B3417" s="408" t="s">
        <v>74</v>
      </c>
      <c r="C3417" s="409">
        <f>Return!R997</f>
        <v>-9.7190167559888397E-3</v>
      </c>
    </row>
    <row r="3418" spans="1:3">
      <c r="A3418" s="406">
        <f>Return!A998</f>
        <v>44615</v>
      </c>
      <c r="B3418" s="408" t="s">
        <v>74</v>
      </c>
      <c r="C3418" s="409">
        <f>Return!R998</f>
        <v>1.000421836452881E-3</v>
      </c>
    </row>
    <row r="3419" spans="1:3">
      <c r="A3419" s="406">
        <f>Return!A999</f>
        <v>44614</v>
      </c>
      <c r="B3419" s="408" t="s">
        <v>74</v>
      </c>
      <c r="C3419" s="409">
        <f>Return!R999</f>
        <v>1.1019476820168763E-2</v>
      </c>
    </row>
    <row r="3420" spans="1:3">
      <c r="A3420" s="406">
        <f>Return!A1000</f>
        <v>44613</v>
      </c>
      <c r="B3420" s="408" t="s">
        <v>74</v>
      </c>
      <c r="C3420" s="409">
        <f>Return!R1000</f>
        <v>4.9260888696093727E-3</v>
      </c>
    </row>
    <row r="3421" spans="1:3">
      <c r="A3421" s="406">
        <f>Return!A1001</f>
        <v>44610</v>
      </c>
      <c r="B3421" s="408" t="s">
        <v>74</v>
      </c>
      <c r="C3421" s="409">
        <f>Return!R1001</f>
        <v>-9.4980873875632494E-3</v>
      </c>
    </row>
    <row r="3422" spans="1:3">
      <c r="A3422" s="406">
        <f>Return!A1002</f>
        <v>44609</v>
      </c>
      <c r="B3422" s="408" t="s">
        <v>74</v>
      </c>
      <c r="C3422" s="409">
        <f>Return!R1002</f>
        <v>8.2088503518035275E-3</v>
      </c>
    </row>
    <row r="3423" spans="1:3">
      <c r="A3423" s="406">
        <f>Return!A1003</f>
        <v>44608</v>
      </c>
      <c r="B3423" s="408" t="s">
        <v>74</v>
      </c>
      <c r="C3423" s="409">
        <f>Return!R1003</f>
        <v>-1.833533550445186E-3</v>
      </c>
    </row>
    <row r="3424" spans="1:3">
      <c r="A3424" s="406">
        <f>Return!A1004</f>
        <v>44607</v>
      </c>
      <c r="B3424" s="408" t="s">
        <v>74</v>
      </c>
      <c r="C3424" s="409">
        <f>Return!R1004</f>
        <v>6.6124051255620798E-3</v>
      </c>
    </row>
    <row r="3425" spans="1:3">
      <c r="A3425" s="406">
        <f>Return!A1005</f>
        <v>44606</v>
      </c>
      <c r="B3425" s="408" t="s">
        <v>74</v>
      </c>
      <c r="C3425" s="409">
        <f>Return!R1005</f>
        <v>-4.0677627477867396E-3</v>
      </c>
    </row>
    <row r="3426" spans="1:3">
      <c r="A3426" s="406">
        <f>Return!A1006</f>
        <v>44603</v>
      </c>
      <c r="B3426" s="408" t="s">
        <v>74</v>
      </c>
      <c r="C3426" s="409">
        <f>Return!R1006</f>
        <v>-1.4518045759360644E-2</v>
      </c>
    </row>
    <row r="3427" spans="1:3">
      <c r="A3427" s="406">
        <f>Return!A1007</f>
        <v>44602</v>
      </c>
      <c r="B3427" s="408" t="s">
        <v>74</v>
      </c>
      <c r="C3427" s="409">
        <f>Return!R1007</f>
        <v>-9.2905857324605606E-4</v>
      </c>
    </row>
    <row r="3428" spans="1:3">
      <c r="A3428" s="406">
        <f>Return!A1008</f>
        <v>44601</v>
      </c>
      <c r="B3428" s="408" t="s">
        <v>74</v>
      </c>
      <c r="C3428" s="409">
        <f>Return!R1008</f>
        <v>1.8889918777554533E-2</v>
      </c>
    </row>
    <row r="3429" spans="1:3">
      <c r="A3429" s="406">
        <f>Return!A1009</f>
        <v>44600</v>
      </c>
      <c r="B3429" s="408" t="s">
        <v>74</v>
      </c>
      <c r="C3429" s="409">
        <f>Return!R1009</f>
        <v>-1.4472337970786592E-2</v>
      </c>
    </row>
    <row r="3430" spans="1:3">
      <c r="A3430" s="406">
        <f>Return!A1010</f>
        <v>44599</v>
      </c>
      <c r="B3430" s="408" t="s">
        <v>74</v>
      </c>
      <c r="C3430" s="409">
        <f>Return!R1010</f>
        <v>-1.1753834389437353E-2</v>
      </c>
    </row>
    <row r="3431" spans="1:3">
      <c r="A3431" s="406">
        <f>Return!A1011</f>
        <v>44596</v>
      </c>
      <c r="B3431" s="408" t="s">
        <v>74</v>
      </c>
      <c r="C3431" s="409">
        <f>Return!R1011</f>
        <v>-6.3787945969904613E-5</v>
      </c>
    </row>
    <row r="3432" spans="1:3">
      <c r="A3432" s="406">
        <f>Return!A1012</f>
        <v>44595</v>
      </c>
      <c r="B3432" s="408" t="s">
        <v>74</v>
      </c>
      <c r="C3432" s="409">
        <f>Return!R1012</f>
        <v>-6.5729902717092063E-3</v>
      </c>
    </row>
    <row r="3433" spans="1:3">
      <c r="A3433" s="406">
        <f>Return!A1013</f>
        <v>44594</v>
      </c>
      <c r="B3433" s="408" t="s">
        <v>74</v>
      </c>
      <c r="C3433" s="409">
        <f>Return!R1013</f>
        <v>2.7747342149210584E-3</v>
      </c>
    </row>
    <row r="3434" spans="1:3">
      <c r="A3434" s="406">
        <f>Return!A1014</f>
        <v>44593</v>
      </c>
      <c r="B3434" s="408" t="s">
        <v>74</v>
      </c>
      <c r="C3434" s="409">
        <f>Return!R1014</f>
        <v>-2.99923172940199E-3</v>
      </c>
    </row>
    <row r="3435" spans="1:3">
      <c r="A3435" s="406">
        <f>Return!A1015</f>
        <v>44592</v>
      </c>
      <c r="B3435" s="408" t="s">
        <v>74</v>
      </c>
      <c r="C3435" s="409">
        <f>Return!R1015</f>
        <v>4.825338022914672E-4</v>
      </c>
    </row>
    <row r="3436" spans="1:3">
      <c r="A3436" s="406">
        <f>Return!A1016</f>
        <v>44589</v>
      </c>
      <c r="B3436" s="408" t="s">
        <v>74</v>
      </c>
      <c r="C3436" s="409">
        <f>Return!R1016</f>
        <v>5.9806657008856833E-3</v>
      </c>
    </row>
    <row r="3437" spans="1:3">
      <c r="A3437" s="406">
        <f>Return!A1017</f>
        <v>44588</v>
      </c>
      <c r="B3437" s="408" t="s">
        <v>74</v>
      </c>
      <c r="C3437" s="409">
        <f>Return!R1017</f>
        <v>-1.2830821121340447E-2</v>
      </c>
    </row>
    <row r="3438" spans="1:3">
      <c r="A3438" s="406">
        <f>Return!A1018</f>
        <v>44586</v>
      </c>
      <c r="B3438" s="408" t="s">
        <v>74</v>
      </c>
      <c r="C3438" s="409">
        <f>Return!R1018</f>
        <v>-1.3640005599522287E-3</v>
      </c>
    </row>
    <row r="3439" spans="1:3">
      <c r="A3439" s="406">
        <f>Return!A1019</f>
        <v>44585</v>
      </c>
      <c r="B3439" s="408" t="s">
        <v>74</v>
      </c>
      <c r="C3439" s="409">
        <f>Return!R1019</f>
        <v>-5.2396657742788148E-3</v>
      </c>
    </row>
    <row r="3440" spans="1:3">
      <c r="A3440" s="406">
        <f>Return!A1020</f>
        <v>44582</v>
      </c>
      <c r="B3440" s="408" t="s">
        <v>74</v>
      </c>
      <c r="C3440" s="409">
        <f>Return!R1020</f>
        <v>1.8503046990497E-3</v>
      </c>
    </row>
    <row r="3441" spans="1:3">
      <c r="A3441" s="406">
        <f>Return!A1021</f>
        <v>44581</v>
      </c>
      <c r="B3441" s="408" t="s">
        <v>74</v>
      </c>
      <c r="C3441" s="409">
        <f>Return!R1021</f>
        <v>-4.0637207097154529E-3</v>
      </c>
    </row>
    <row r="3442" spans="1:3">
      <c r="A3442" s="406">
        <f>Return!A1022</f>
        <v>44580</v>
      </c>
      <c r="B3442" s="408" t="s">
        <v>74</v>
      </c>
      <c r="C3442" s="409">
        <f>Return!R1022</f>
        <v>-1.0246644604413753E-3</v>
      </c>
    </row>
    <row r="3443" spans="1:3">
      <c r="A3443" s="406">
        <f>Return!A1023</f>
        <v>44579</v>
      </c>
      <c r="B3443" s="408" t="s">
        <v>74</v>
      </c>
      <c r="C3443" s="409">
        <f>Return!R1023</f>
        <v>-7.5529992269603961E-3</v>
      </c>
    </row>
    <row r="3444" spans="1:3">
      <c r="A3444" s="406">
        <f>Return!A1024</f>
        <v>44578</v>
      </c>
      <c r="B3444" s="408" t="s">
        <v>74</v>
      </c>
      <c r="C3444" s="409">
        <f>Return!R1024</f>
        <v>-1.7662026420013792E-2</v>
      </c>
    </row>
    <row r="3445" spans="1:3">
      <c r="A3445" s="406">
        <f>Return!A1025</f>
        <v>44575</v>
      </c>
      <c r="B3445" s="408" t="s">
        <v>74</v>
      </c>
      <c r="C3445" s="409">
        <f>Return!R1025</f>
        <v>4.0884715587767502E-4</v>
      </c>
    </row>
    <row r="3446" spans="1:3">
      <c r="A3446" s="406">
        <f>Return!A1026</f>
        <v>44574</v>
      </c>
      <c r="B3446" s="408" t="s">
        <v>74</v>
      </c>
      <c r="C3446" s="409">
        <f>Return!R1026</f>
        <v>1.4532157198960054E-2</v>
      </c>
    </row>
    <row r="3447" spans="1:3">
      <c r="A3447" s="406">
        <f>Return!A1027</f>
        <v>44573</v>
      </c>
      <c r="B3447" s="408" t="s">
        <v>74</v>
      </c>
      <c r="C3447" s="409">
        <f>Return!R1027</f>
        <v>-7.9905248623259578E-3</v>
      </c>
    </row>
    <row r="3448" spans="1:3">
      <c r="A3448" s="406">
        <f>Return!A1028</f>
        <v>44572</v>
      </c>
      <c r="B3448" s="408" t="s">
        <v>74</v>
      </c>
      <c r="C3448" s="409">
        <f>Return!R1028</f>
        <v>-3.8272248162383353E-3</v>
      </c>
    </row>
    <row r="3449" spans="1:3">
      <c r="A3449" s="406">
        <f>Return!A1029</f>
        <v>44571</v>
      </c>
      <c r="B3449" s="408" t="s">
        <v>74</v>
      </c>
      <c r="C3449" s="409">
        <f>Return!R1029</f>
        <v>-5.0659629832033905E-3</v>
      </c>
    </row>
    <row r="3450" spans="1:3">
      <c r="A3450" s="406">
        <f>Return!A1030</f>
        <v>44568</v>
      </c>
      <c r="B3450" s="408" t="s">
        <v>74</v>
      </c>
      <c r="C3450" s="409">
        <f>Return!R1030</f>
        <v>-5.8265967604058198E-3</v>
      </c>
    </row>
    <row r="3451" spans="1:3">
      <c r="A3451" s="406">
        <f>Return!A1031</f>
        <v>44567</v>
      </c>
      <c r="B3451" s="408" t="s">
        <v>74</v>
      </c>
      <c r="C3451" s="409">
        <f>Return!R1031</f>
        <v>-6.1557510115772462E-3</v>
      </c>
    </row>
    <row r="3452" spans="1:3">
      <c r="A3452" s="406">
        <f>Return!A1032</f>
        <v>44566</v>
      </c>
      <c r="B3452" s="408" t="s">
        <v>74</v>
      </c>
      <c r="C3452" s="409">
        <f>Return!R1032</f>
        <v>-1.0287795381110689E-2</v>
      </c>
    </row>
    <row r="3453" spans="1:3">
      <c r="A3453" s="406">
        <f>Return!A1033</f>
        <v>44565</v>
      </c>
      <c r="B3453" s="408" t="s">
        <v>74</v>
      </c>
      <c r="C3453" s="409">
        <f>Return!R1033</f>
        <v>-8.3422429699373905E-3</v>
      </c>
    </row>
    <row r="3454" spans="1:3">
      <c r="A3454" s="406">
        <f>Return!A1034</f>
        <v>44564</v>
      </c>
      <c r="B3454" s="408" t="s">
        <v>74</v>
      </c>
      <c r="C3454" s="409">
        <f>Return!R1034</f>
        <v>-4.0139169786615496E-3</v>
      </c>
    </row>
    <row r="3455" spans="1:3">
      <c r="A3455" s="406">
        <f>Return!A1035</f>
        <v>44561</v>
      </c>
      <c r="B3455" s="408" t="s">
        <v>74</v>
      </c>
      <c r="C3455" s="409">
        <f>Return!R1035</f>
        <v>5.9793389030518562E-3</v>
      </c>
    </row>
    <row r="3456" spans="1:3">
      <c r="A3456" s="406">
        <f>Return!A1036</f>
        <v>44560</v>
      </c>
      <c r="B3456" s="408" t="s">
        <v>74</v>
      </c>
      <c r="C3456" s="409">
        <f>Return!R1036</f>
        <v>3.708121075066255E-4</v>
      </c>
    </row>
    <row r="3457" spans="1:3">
      <c r="A3457" s="406">
        <f>Return!A1037</f>
        <v>44559</v>
      </c>
      <c r="B3457" s="408" t="s">
        <v>74</v>
      </c>
      <c r="C3457" s="409">
        <f>Return!R1037</f>
        <v>3.2123793984363759E-3</v>
      </c>
    </row>
    <row r="3458" spans="1:3">
      <c r="A3458" s="406">
        <f>Return!A1038</f>
        <v>44558</v>
      </c>
      <c r="B3458" s="408" t="s">
        <v>74</v>
      </c>
      <c r="C3458" s="409">
        <f>Return!R1038</f>
        <v>8.7255824109128653E-3</v>
      </c>
    </row>
    <row r="3459" spans="1:3">
      <c r="A3459" s="406">
        <f>Return!A1039</f>
        <v>44557</v>
      </c>
      <c r="B3459" s="408" t="s">
        <v>74</v>
      </c>
      <c r="C3459" s="409">
        <f>Return!R1039</f>
        <v>5.1921908521273758E-3</v>
      </c>
    </row>
    <row r="3460" spans="1:3">
      <c r="A3460" s="406">
        <f>Return!A1040</f>
        <v>44554</v>
      </c>
      <c r="B3460" s="408" t="s">
        <v>74</v>
      </c>
      <c r="C3460" s="409">
        <f>Return!R1040</f>
        <v>-1.6325591091102491E-3</v>
      </c>
    </row>
    <row r="3461" spans="1:3">
      <c r="A3461" s="406">
        <f>Return!A1041</f>
        <v>44553</v>
      </c>
      <c r="B3461" s="408" t="s">
        <v>74</v>
      </c>
      <c r="C3461" s="409">
        <f>Return!R1041</f>
        <v>1.7745720196052431E-3</v>
      </c>
    </row>
    <row r="3462" spans="1:3">
      <c r="A3462" s="406">
        <f>Return!A1042</f>
        <v>44552</v>
      </c>
      <c r="B3462" s="408" t="s">
        <v>74</v>
      </c>
      <c r="C3462" s="409">
        <f>Return!R1042</f>
        <v>8.8495133068545676E-3</v>
      </c>
    </row>
    <row r="3463" spans="1:3">
      <c r="A3463" s="406">
        <f>Return!A1043</f>
        <v>44551</v>
      </c>
      <c r="B3463" s="408" t="s">
        <v>74</v>
      </c>
      <c r="C3463" s="409">
        <f>Return!R1043</f>
        <v>2.4173798301726276E-3</v>
      </c>
    </row>
    <row r="3464" spans="1:3">
      <c r="A3464" s="406">
        <f>Return!A1044</f>
        <v>44550</v>
      </c>
      <c r="B3464" s="408" t="s">
        <v>74</v>
      </c>
      <c r="C3464" s="409">
        <f>Return!R1044</f>
        <v>-3.8210590877598817E-3</v>
      </c>
    </row>
    <row r="3465" spans="1:3">
      <c r="A3465" s="406">
        <f>Return!A1045</f>
        <v>44547</v>
      </c>
      <c r="B3465" s="408" t="s">
        <v>74</v>
      </c>
      <c r="C3465" s="409">
        <f>Return!R1045</f>
        <v>-6.3452214615159217E-3</v>
      </c>
    </row>
    <row r="3466" spans="1:3">
      <c r="A3466" s="406">
        <f>Return!A1046</f>
        <v>44546</v>
      </c>
      <c r="B3466" s="408" t="s">
        <v>74</v>
      </c>
      <c r="C3466" s="409">
        <f>Return!R1046</f>
        <v>6.9533035358858835E-3</v>
      </c>
    </row>
    <row r="3467" spans="1:3">
      <c r="A3467" s="406">
        <f>Return!A1047</f>
        <v>44545</v>
      </c>
      <c r="B3467" s="408" t="s">
        <v>74</v>
      </c>
      <c r="C3467" s="409">
        <f>Return!R1047</f>
        <v>4.5809554722526721E-3</v>
      </c>
    </row>
    <row r="3468" spans="1:3">
      <c r="A3468" s="406">
        <f>Return!A1048</f>
        <v>44544</v>
      </c>
      <c r="B3468" s="408" t="s">
        <v>74</v>
      </c>
      <c r="C3468" s="409">
        <f>Return!R1048</f>
        <v>1.3734755883740661E-3</v>
      </c>
    </row>
    <row r="3469" spans="1:3">
      <c r="A3469" s="406">
        <f>Return!A1049</f>
        <v>44543</v>
      </c>
      <c r="B3469" s="408" t="s">
        <v>74</v>
      </c>
      <c r="C3469" s="409">
        <f>Return!R1049</f>
        <v>3.3092896685285029E-3</v>
      </c>
    </row>
    <row r="3470" spans="1:3">
      <c r="A3470" s="406">
        <f>Return!A1050</f>
        <v>44540</v>
      </c>
      <c r="B3470" s="408" t="s">
        <v>74</v>
      </c>
      <c r="C3470" s="409">
        <f>Return!R1050</f>
        <v>6.4711686076356512E-3</v>
      </c>
    </row>
    <row r="3471" spans="1:3">
      <c r="A3471" s="406">
        <f>Return!A1051</f>
        <v>44539</v>
      </c>
      <c r="B3471" s="408" t="s">
        <v>74</v>
      </c>
      <c r="C3471" s="409">
        <f>Return!R1051</f>
        <v>3.5800391199153807E-3</v>
      </c>
    </row>
    <row r="3472" spans="1:3">
      <c r="A3472" s="406">
        <f>Return!A1052</f>
        <v>44538</v>
      </c>
      <c r="B3472" s="408" t="s">
        <v>74</v>
      </c>
      <c r="C3472" s="409">
        <f>Return!R1052</f>
        <v>3.8619189062304104E-3</v>
      </c>
    </row>
    <row r="3473" spans="1:3">
      <c r="A3473" s="406">
        <f>Return!A1053</f>
        <v>44537</v>
      </c>
      <c r="B3473" s="408" t="s">
        <v>74</v>
      </c>
      <c r="C3473" s="409">
        <f>Return!R1053</f>
        <v>-2.4773056766585308E-3</v>
      </c>
    </row>
    <row r="3474" spans="1:3">
      <c r="A3474" s="406">
        <f>Return!A1054</f>
        <v>44536</v>
      </c>
      <c r="B3474" s="408" t="s">
        <v>74</v>
      </c>
      <c r="C3474" s="409">
        <f>Return!R1054</f>
        <v>-4.180581268815018E-3</v>
      </c>
    </row>
    <row r="3475" spans="1:3">
      <c r="A3475" s="406">
        <f>Return!A1055</f>
        <v>44533</v>
      </c>
      <c r="B3475" s="408" t="s">
        <v>74</v>
      </c>
      <c r="C3475" s="409">
        <f>Return!R1055</f>
        <v>6.4570992476420935E-3</v>
      </c>
    </row>
    <row r="3476" spans="1:3">
      <c r="A3476" s="406">
        <f>Return!A1056</f>
        <v>44532</v>
      </c>
      <c r="B3476" s="408" t="s">
        <v>74</v>
      </c>
      <c r="C3476" s="409">
        <f>Return!R1056</f>
        <v>8.2244009589046182E-4</v>
      </c>
    </row>
    <row r="3477" spans="1:3">
      <c r="A3477" s="406">
        <f>Return!A1057</f>
        <v>44531</v>
      </c>
      <c r="B3477" s="408" t="s">
        <v>74</v>
      </c>
      <c r="C3477" s="409">
        <f>Return!R1057</f>
        <v>-7.6717151629703819E-4</v>
      </c>
    </row>
    <row r="3478" spans="1:3">
      <c r="A3478" s="406">
        <f>Return!A1058</f>
        <v>44530</v>
      </c>
      <c r="B3478" s="408" t="s">
        <v>74</v>
      </c>
      <c r="C3478" s="409">
        <f>Return!R1058</f>
        <v>-2.7816419153509483E-3</v>
      </c>
    </row>
    <row r="3479" spans="1:3">
      <c r="A3479" s="406">
        <f>Return!A1059</f>
        <v>44529</v>
      </c>
      <c r="B3479" s="408" t="s">
        <v>74</v>
      </c>
      <c r="C3479" s="409">
        <f>Return!R1059</f>
        <v>-2.9020799169620051E-3</v>
      </c>
    </row>
    <row r="3480" spans="1:3">
      <c r="A3480" s="406">
        <f>Return!A1060</f>
        <v>44526</v>
      </c>
      <c r="B3480" s="408" t="s">
        <v>74</v>
      </c>
      <c r="C3480" s="409">
        <f>Return!R1060</f>
        <v>1.0257402023242213E-2</v>
      </c>
    </row>
    <row r="3481" spans="1:3">
      <c r="A3481" s="406">
        <f>Return!A1061</f>
        <v>44525</v>
      </c>
      <c r="B3481" s="408" t="s">
        <v>74</v>
      </c>
      <c r="C3481" s="409">
        <f>Return!R1061</f>
        <v>-7.7713814903856643E-3</v>
      </c>
    </row>
    <row r="3482" spans="1:3">
      <c r="A3482" s="406">
        <f>Return!A1062</f>
        <v>44524</v>
      </c>
      <c r="B3482" s="408" t="s">
        <v>74</v>
      </c>
      <c r="C3482" s="409">
        <f>Return!R1062</f>
        <v>-8.9445135677254433E-4</v>
      </c>
    </row>
    <row r="3483" spans="1:3">
      <c r="A3483" s="406">
        <f>Return!A1063</f>
        <v>44523</v>
      </c>
      <c r="B3483" s="408" t="s">
        <v>74</v>
      </c>
      <c r="C3483" s="409">
        <f>Return!R1063</f>
        <v>-6.7002709410435139E-4</v>
      </c>
    </row>
    <row r="3484" spans="1:3">
      <c r="A3484" s="406">
        <f>Return!A1064</f>
        <v>44522</v>
      </c>
      <c r="B3484" s="408" t="s">
        <v>74</v>
      </c>
      <c r="C3484" s="409">
        <f>Return!R1064</f>
        <v>1.1696032186078233E-2</v>
      </c>
    </row>
    <row r="3485" spans="1:3">
      <c r="A3485" s="406">
        <f>Return!A1065</f>
        <v>44518</v>
      </c>
      <c r="B3485" s="408" t="s">
        <v>74</v>
      </c>
      <c r="C3485" s="409">
        <f>Return!R1065</f>
        <v>-9.481720983052055E-4</v>
      </c>
    </row>
    <row r="3486" spans="1:3">
      <c r="A3486" s="406">
        <f>Return!A1066</f>
        <v>44517</v>
      </c>
      <c r="B3486" s="408" t="s">
        <v>74</v>
      </c>
      <c r="C3486" s="409">
        <f>Return!R1066</f>
        <v>-1.3311355534935867E-2</v>
      </c>
    </row>
    <row r="3487" spans="1:3">
      <c r="A3487" s="406">
        <f>Return!A1067</f>
        <v>44516</v>
      </c>
      <c r="B3487" s="408" t="s">
        <v>74</v>
      </c>
      <c r="C3487" s="409">
        <f>Return!R1067</f>
        <v>-4.3491270271194728E-3</v>
      </c>
    </row>
    <row r="3488" spans="1:3">
      <c r="A3488" s="406">
        <f>Return!A1068</f>
        <v>44515</v>
      </c>
      <c r="B3488" s="408" t="s">
        <v>74</v>
      </c>
      <c r="C3488" s="409">
        <f>Return!R1068</f>
        <v>3.9713552045687779E-3</v>
      </c>
    </row>
    <row r="3489" spans="1:3">
      <c r="A3489" s="406">
        <f>Return!A1069</f>
        <v>44512</v>
      </c>
      <c r="B3489" s="408" t="s">
        <v>74</v>
      </c>
      <c r="C3489" s="409">
        <f>Return!R1069</f>
        <v>8.9384400983377266E-4</v>
      </c>
    </row>
    <row r="3490" spans="1:3">
      <c r="A3490" s="406">
        <f>Return!A1070</f>
        <v>44511</v>
      </c>
      <c r="B3490" s="408" t="s">
        <v>74</v>
      </c>
      <c r="C3490" s="409">
        <f>Return!R1070</f>
        <v>-1.4011937877375486E-3</v>
      </c>
    </row>
    <row r="3491" spans="1:3">
      <c r="A3491" s="406">
        <f>Return!A1071</f>
        <v>44510</v>
      </c>
      <c r="B3491" s="408" t="s">
        <v>74</v>
      </c>
      <c r="C3491" s="409">
        <f>Return!R1071</f>
        <v>-9.7788352570192718E-3</v>
      </c>
    </row>
    <row r="3492" spans="1:3">
      <c r="A3492" s="406">
        <f>Return!A1072</f>
        <v>44509</v>
      </c>
      <c r="B3492" s="408" t="s">
        <v>74</v>
      </c>
      <c r="C3492" s="409">
        <f>Return!R1072</f>
        <v>-1.6795010744669132E-3</v>
      </c>
    </row>
    <row r="3493" spans="1:3">
      <c r="A3493" s="406">
        <f>Return!A1073</f>
        <v>44508</v>
      </c>
      <c r="B3493" s="408" t="s">
        <v>74</v>
      </c>
      <c r="C3493" s="409">
        <f>Return!R1073</f>
        <v>5.7440131009493301E-4</v>
      </c>
    </row>
    <row r="3494" spans="1:3">
      <c r="A3494" s="406">
        <f>Return!A1074</f>
        <v>44504</v>
      </c>
      <c r="B3494" s="408" t="s">
        <v>74</v>
      </c>
      <c r="C3494" s="409">
        <f>Return!R1074</f>
        <v>-3.8819503891313928E-3</v>
      </c>
    </row>
    <row r="3495" spans="1:3">
      <c r="A3495" s="406">
        <f>Return!A1075</f>
        <v>44503</v>
      </c>
      <c r="B3495" s="408" t="s">
        <v>74</v>
      </c>
      <c r="C3495" s="409">
        <f>Return!R1075</f>
        <v>-5.4736514353343553E-4</v>
      </c>
    </row>
    <row r="3496" spans="1:3">
      <c r="A3496" s="406">
        <f>Return!A1076</f>
        <v>44502</v>
      </c>
      <c r="B3496" s="408" t="s">
        <v>74</v>
      </c>
      <c r="C3496" s="409">
        <f>Return!R1076</f>
        <v>-9.5209314755392137E-3</v>
      </c>
    </row>
    <row r="3497" spans="1:3">
      <c r="A3497" s="406">
        <f>Return!A1077</f>
        <v>44501</v>
      </c>
      <c r="B3497" s="408" t="s">
        <v>74</v>
      </c>
      <c r="C3497" s="409">
        <f>Return!R1077</f>
        <v>-1.6017663359763369E-3</v>
      </c>
    </row>
    <row r="3498" spans="1:3">
      <c r="A3498" s="406">
        <f>Return!A1078</f>
        <v>44498</v>
      </c>
      <c r="B3498" s="408" t="s">
        <v>74</v>
      </c>
      <c r="C3498" s="409">
        <f>Return!R1078</f>
        <v>1.1888538097920669E-3</v>
      </c>
    </row>
    <row r="3499" spans="1:3">
      <c r="A3499" s="406">
        <f>Return!A1079</f>
        <v>44497</v>
      </c>
      <c r="B3499" s="408" t="s">
        <v>74</v>
      </c>
      <c r="C3499" s="409">
        <f>Return!R1079</f>
        <v>-1.8707272634676548E-2</v>
      </c>
    </row>
    <row r="3500" spans="1:3">
      <c r="A3500" s="406">
        <f>Return!A1080</f>
        <v>44496</v>
      </c>
      <c r="B3500" s="408" t="s">
        <v>74</v>
      </c>
      <c r="C3500" s="409">
        <f>Return!R1080</f>
        <v>3.5171738431677342E-3</v>
      </c>
    </row>
    <row r="3501" spans="1:3">
      <c r="A3501" s="406">
        <f>Return!A1081</f>
        <v>44495</v>
      </c>
      <c r="B3501" s="408" t="s">
        <v>74</v>
      </c>
      <c r="C3501" s="409">
        <f>Return!R1081</f>
        <v>1.6988488574010453E-2</v>
      </c>
    </row>
    <row r="3502" spans="1:3">
      <c r="A3502" s="406">
        <f>Return!A1082</f>
        <v>44494</v>
      </c>
      <c r="B3502" s="408" t="s">
        <v>74</v>
      </c>
      <c r="C3502" s="409">
        <f>Return!R1082</f>
        <v>-1.7756839847105067E-2</v>
      </c>
    </row>
    <row r="3503" spans="1:3">
      <c r="A3503" s="406">
        <f>Return!A1083</f>
        <v>44491</v>
      </c>
      <c r="B3503" s="408" t="s">
        <v>74</v>
      </c>
      <c r="C3503" s="409">
        <f>Return!R1083</f>
        <v>-7.0461684982475927E-3</v>
      </c>
    </row>
    <row r="3504" spans="1:3">
      <c r="A3504" s="406">
        <f>Return!A1084</f>
        <v>44490</v>
      </c>
      <c r="B3504" s="408" t="s">
        <v>74</v>
      </c>
      <c r="C3504" s="409">
        <f>Return!R1084</f>
        <v>2.9654936386852232E-3</v>
      </c>
    </row>
    <row r="3505" spans="1:3">
      <c r="A3505" s="406">
        <f>Return!A1085</f>
        <v>44489</v>
      </c>
      <c r="B3505" s="408" t="s">
        <v>74</v>
      </c>
      <c r="C3505" s="409">
        <f>Return!R1085</f>
        <v>1.6801799762217002E-3</v>
      </c>
    </row>
    <row r="3506" spans="1:3">
      <c r="A3506" s="406">
        <f>Return!A1086</f>
        <v>44488</v>
      </c>
      <c r="B3506" s="408" t="s">
        <v>74</v>
      </c>
      <c r="C3506" s="409">
        <f>Return!R1086</f>
        <v>-7.5090804267270933E-3</v>
      </c>
    </row>
    <row r="3507" spans="1:3">
      <c r="A3507" s="406">
        <f>Return!A1087</f>
        <v>44487</v>
      </c>
      <c r="B3507" s="408" t="s">
        <v>74</v>
      </c>
      <c r="C3507" s="409">
        <f>Return!R1087</f>
        <v>-1.8166751210536788E-2</v>
      </c>
    </row>
    <row r="3508" spans="1:3">
      <c r="A3508" s="406">
        <f>Return!A1088</f>
        <v>44483</v>
      </c>
      <c r="B3508" s="408" t="s">
        <v>74</v>
      </c>
      <c r="C3508" s="409">
        <f>Return!R1088</f>
        <v>-7.6079269450944698E-3</v>
      </c>
    </row>
    <row r="3509" spans="1:3">
      <c r="A3509" s="406">
        <f>Return!A1089</f>
        <v>44482</v>
      </c>
      <c r="B3509" s="408" t="s">
        <v>74</v>
      </c>
      <c r="C3509" s="409">
        <f>Return!R1089</f>
        <v>1.2354089445933665E-2</v>
      </c>
    </row>
    <row r="3510" spans="1:3">
      <c r="A3510" s="406">
        <f>Return!A1090</f>
        <v>44481</v>
      </c>
      <c r="B3510" s="408" t="s">
        <v>74</v>
      </c>
      <c r="C3510" s="409">
        <f>Return!R1090</f>
        <v>-1.000099988477148E-2</v>
      </c>
    </row>
    <row r="3511" spans="1:3">
      <c r="A3511" s="406">
        <f>Return!A1091</f>
        <v>44480</v>
      </c>
      <c r="B3511" s="408" t="s">
        <v>74</v>
      </c>
      <c r="C3511" s="409">
        <f>Return!R1091</f>
        <v>-6.7066975938886589E-3</v>
      </c>
    </row>
    <row r="3512" spans="1:3">
      <c r="A3512" s="406">
        <f>Return!A1092</f>
        <v>44477</v>
      </c>
      <c r="B3512" s="408" t="s">
        <v>74</v>
      </c>
      <c r="C3512" s="409">
        <f>Return!R1092</f>
        <v>-4.1670365575996338E-3</v>
      </c>
    </row>
    <row r="3513" spans="1:3">
      <c r="A3513" s="406">
        <f>Return!A1093</f>
        <v>44476</v>
      </c>
      <c r="B3513" s="408" t="s">
        <v>74</v>
      </c>
      <c r="C3513" s="409">
        <f>Return!R1093</f>
        <v>-2.8207763122694344E-3</v>
      </c>
    </row>
    <row r="3514" spans="1:3">
      <c r="A3514" s="406">
        <f>Return!A1094</f>
        <v>44475</v>
      </c>
      <c r="B3514" s="408" t="s">
        <v>74</v>
      </c>
      <c r="C3514" s="409">
        <f>Return!R1094</f>
        <v>-1.2039468561181661E-2</v>
      </c>
    </row>
    <row r="3515" spans="1:3">
      <c r="A3515" s="406">
        <f>Return!A1095</f>
        <v>44474</v>
      </c>
      <c r="B3515" s="408" t="s">
        <v>74</v>
      </c>
      <c r="C3515" s="409">
        <f>Return!R1095</f>
        <v>-3.1029592485866523E-3</v>
      </c>
    </row>
    <row r="3516" spans="1:3">
      <c r="A3516" s="406">
        <f>Return!A1096</f>
        <v>44473</v>
      </c>
      <c r="B3516" s="408" t="s">
        <v>74</v>
      </c>
      <c r="C3516" s="409">
        <f>Return!R1096</f>
        <v>1.0485198186915469E-2</v>
      </c>
    </row>
    <row r="3517" spans="1:3">
      <c r="A3517" s="406">
        <f>Return!A1097</f>
        <v>44470</v>
      </c>
      <c r="B3517" s="408" t="s">
        <v>74</v>
      </c>
      <c r="C3517" s="409">
        <f>Return!R1097</f>
        <v>6.1707226540906445E-3</v>
      </c>
    </row>
    <row r="3518" spans="1:3">
      <c r="A3518" s="406">
        <f>Return!A1098</f>
        <v>44469</v>
      </c>
      <c r="B3518" s="408" t="s">
        <v>74</v>
      </c>
      <c r="C3518" s="409">
        <f>Return!R1098</f>
        <v>7.4841790362741439E-3</v>
      </c>
    </row>
    <row r="3519" spans="1:3">
      <c r="A3519" s="406">
        <f>Return!A1099</f>
        <v>44468</v>
      </c>
      <c r="B3519" s="408" t="s">
        <v>74</v>
      </c>
      <c r="C3519" s="409">
        <f>Return!R1099</f>
        <v>-8.568499728787515E-3</v>
      </c>
    </row>
    <row r="3520" spans="1:3">
      <c r="A3520" s="406">
        <f>Return!A1100</f>
        <v>44467</v>
      </c>
      <c r="B3520" s="408" t="s">
        <v>74</v>
      </c>
      <c r="C3520" s="409">
        <f>Return!R1100</f>
        <v>-5.2026049285924837E-3</v>
      </c>
    </row>
    <row r="3521" spans="1:3">
      <c r="A3521" s="406">
        <f>Return!A1101</f>
        <v>44466</v>
      </c>
      <c r="B3521" s="408" t="s">
        <v>74</v>
      </c>
      <c r="C3521" s="409">
        <f>Return!R1101</f>
        <v>-6.3115352657653234E-4</v>
      </c>
    </row>
    <row r="3522" spans="1:3">
      <c r="A3522" s="406">
        <f>Return!A1102</f>
        <v>44463</v>
      </c>
      <c r="B3522" s="408" t="s">
        <v>74</v>
      </c>
      <c r="C3522" s="409">
        <f>Return!R1102</f>
        <v>-5.9371583680542452E-4</v>
      </c>
    </row>
    <row r="3523" spans="1:3">
      <c r="A3523" s="406">
        <f>Return!A1103</f>
        <v>44462</v>
      </c>
      <c r="B3523" s="408" t="s">
        <v>74</v>
      </c>
      <c r="C3523" s="409">
        <f>Return!R1103</f>
        <v>1.8205510716659741E-3</v>
      </c>
    </row>
    <row r="3524" spans="1:3">
      <c r="A3524" s="406">
        <f>Return!A1104</f>
        <v>44461</v>
      </c>
      <c r="B3524" s="408" t="s">
        <v>74</v>
      </c>
      <c r="C3524" s="409">
        <f>Return!R1104</f>
        <v>4.8465571825668284E-3</v>
      </c>
    </row>
    <row r="3525" spans="1:3">
      <c r="A3525" s="406">
        <f>Return!A1105</f>
        <v>44460</v>
      </c>
      <c r="B3525" s="408" t="s">
        <v>74</v>
      </c>
      <c r="C3525" s="409">
        <f>Return!R1105</f>
        <v>1.6278027443962059E-2</v>
      </c>
    </row>
    <row r="3526" spans="1:3">
      <c r="A3526" s="406">
        <f>Return!A1106</f>
        <v>44459</v>
      </c>
      <c r="B3526" s="408" t="s">
        <v>74</v>
      </c>
      <c r="C3526" s="409">
        <f>Return!R1106</f>
        <v>-8.0003888909188255E-3</v>
      </c>
    </row>
    <row r="3527" spans="1:3">
      <c r="A3527" s="406">
        <f>Return!A1107</f>
        <v>44456</v>
      </c>
      <c r="B3527" s="408" t="s">
        <v>74</v>
      </c>
      <c r="C3527" s="409">
        <f>Return!R1107</f>
        <v>-2.731927561495635E-3</v>
      </c>
    </row>
    <row r="3528" spans="1:3">
      <c r="A3528" s="406">
        <f>Return!A1108</f>
        <v>44455</v>
      </c>
      <c r="B3528" s="408" t="s">
        <v>74</v>
      </c>
      <c r="C3528" s="409">
        <f>Return!R1108</f>
        <v>1.6933720150294162E-4</v>
      </c>
    </row>
    <row r="3529" spans="1:3">
      <c r="A3529" s="406">
        <f>Return!A1109</f>
        <v>44454</v>
      </c>
      <c r="B3529" s="408" t="s">
        <v>74</v>
      </c>
      <c r="C3529" s="409">
        <f>Return!R1109</f>
        <v>2.2931920954482148E-3</v>
      </c>
    </row>
    <row r="3530" spans="1:3">
      <c r="A3530" s="406">
        <f>Return!A1110</f>
        <v>44453</v>
      </c>
      <c r="B3530" s="408" t="s">
        <v>74</v>
      </c>
      <c r="C3530" s="409">
        <f>Return!R1110</f>
        <v>-8.213142147424227E-5</v>
      </c>
    </row>
    <row r="3531" spans="1:3">
      <c r="A3531" s="406">
        <f>Return!A1111</f>
        <v>44452</v>
      </c>
      <c r="B3531" s="408" t="s">
        <v>74</v>
      </c>
      <c r="C3531" s="409">
        <f>Return!R1111</f>
        <v>1.4932963633087735E-3</v>
      </c>
    </row>
    <row r="3532" spans="1:3">
      <c r="A3532" s="406">
        <f>Return!A1112</f>
        <v>44448</v>
      </c>
      <c r="B3532" s="408" t="s">
        <v>74</v>
      </c>
      <c r="C3532" s="409">
        <f>Return!R1112</f>
        <v>2.0950222113632937E-2</v>
      </c>
    </row>
    <row r="3533" spans="1:3">
      <c r="A3533" s="406">
        <f>Return!A1113</f>
        <v>44447</v>
      </c>
      <c r="B3533" s="408" t="s">
        <v>74</v>
      </c>
      <c r="C3533" s="409">
        <f>Return!R1113</f>
        <v>8.1858792876097399E-3</v>
      </c>
    </row>
    <row r="3534" spans="1:3">
      <c r="A3534" s="406">
        <f>Return!A1114</f>
        <v>44446</v>
      </c>
      <c r="B3534" s="408" t="s">
        <v>74</v>
      </c>
      <c r="C3534" s="409">
        <f>Return!R1114</f>
        <v>-3.858502962073412E-3</v>
      </c>
    </row>
    <row r="3535" spans="1:3">
      <c r="A3535" s="406">
        <f>Return!A1115</f>
        <v>44445</v>
      </c>
      <c r="B3535" s="408" t="s">
        <v>74</v>
      </c>
      <c r="C3535" s="409">
        <f>Return!R1115</f>
        <v>-6.0334955335603015E-4</v>
      </c>
    </row>
    <row r="3536" spans="1:3">
      <c r="A3536" s="406">
        <f>Return!A1116</f>
        <v>44442</v>
      </c>
      <c r="B3536" s="408" t="s">
        <v>74</v>
      </c>
      <c r="C3536" s="409">
        <f>Return!R1116</f>
        <v>1.5560838024472135E-4</v>
      </c>
    </row>
    <row r="3537" spans="1:3">
      <c r="A3537" s="406">
        <f>Return!A1117</f>
        <v>44441</v>
      </c>
      <c r="B3537" s="408" t="s">
        <v>74</v>
      </c>
      <c r="C3537" s="409">
        <f>Return!R1117</f>
        <v>-2.0918077249947126E-4</v>
      </c>
    </row>
    <row r="3538" spans="1:3">
      <c r="A3538" s="406">
        <f>Return!A1118</f>
        <v>44440</v>
      </c>
      <c r="B3538" s="408" t="s">
        <v>74</v>
      </c>
      <c r="C3538" s="409">
        <f>Return!R1118</f>
        <v>7.0386006474143182E-3</v>
      </c>
    </row>
    <row r="3539" spans="1:3">
      <c r="A3539" s="406">
        <f>Return!A1119</f>
        <v>44439</v>
      </c>
      <c r="B3539" s="408" t="s">
        <v>74</v>
      </c>
      <c r="C3539" s="409">
        <f>Return!R1119</f>
        <v>-3.0652724438739059E-3</v>
      </c>
    </row>
    <row r="3540" spans="1:3">
      <c r="A3540" s="406">
        <f>Return!A1120</f>
        <v>44438</v>
      </c>
      <c r="B3540" s="408" t="s">
        <v>74</v>
      </c>
      <c r="C3540" s="409">
        <f>Return!R1120</f>
        <v>-4.3719353916073503E-3</v>
      </c>
    </row>
    <row r="3541" spans="1:3">
      <c r="A3541" s="406">
        <f>Return!A1121</f>
        <v>44435</v>
      </c>
      <c r="B3541" s="408" t="s">
        <v>74</v>
      </c>
      <c r="C3541" s="409">
        <f>Return!R1121</f>
        <v>6.3321235969689164E-3</v>
      </c>
    </row>
    <row r="3542" spans="1:3">
      <c r="A3542" s="406">
        <f>Return!A1122</f>
        <v>44434</v>
      </c>
      <c r="B3542" s="408" t="s">
        <v>74</v>
      </c>
      <c r="C3542" s="409">
        <f>Return!R1122</f>
        <v>-5.5337661730538133E-3</v>
      </c>
    </row>
    <row r="3543" spans="1:3">
      <c r="A3543" s="406">
        <f>Return!A1123</f>
        <v>44433</v>
      </c>
      <c r="B3543" s="408" t="s">
        <v>74</v>
      </c>
      <c r="C3543" s="409">
        <f>Return!R1123</f>
        <v>-4.5410058025853158E-3</v>
      </c>
    </row>
    <row r="3544" spans="1:3">
      <c r="A3544" s="406">
        <f>Return!A1124</f>
        <v>44432</v>
      </c>
      <c r="B3544" s="408" t="s">
        <v>74</v>
      </c>
      <c r="C3544" s="409">
        <f>Return!R1124</f>
        <v>4.0727765055449004E-3</v>
      </c>
    </row>
    <row r="3545" spans="1:3">
      <c r="A3545" s="406">
        <f>Return!A1125</f>
        <v>44431</v>
      </c>
      <c r="B3545" s="408" t="s">
        <v>74</v>
      </c>
      <c r="C3545" s="409">
        <f>Return!R1125</f>
        <v>4.5645510186567723E-3</v>
      </c>
    </row>
    <row r="3546" spans="1:3">
      <c r="A3546" s="406">
        <f>Return!A1126</f>
        <v>44428</v>
      </c>
      <c r="B3546" s="408" t="s">
        <v>74</v>
      </c>
      <c r="C3546" s="409">
        <f>Return!R1126</f>
        <v>5.4313568617699974E-3</v>
      </c>
    </row>
    <row r="3547" spans="1:3">
      <c r="A3547" s="406">
        <f>Return!A1127</f>
        <v>44426</v>
      </c>
      <c r="B3547" s="408" t="s">
        <v>74</v>
      </c>
      <c r="C3547" s="409">
        <f>Return!R1127</f>
        <v>-6.2511130789159332E-4</v>
      </c>
    </row>
    <row r="3548" spans="1:3">
      <c r="A3548" s="406">
        <f>Return!A1128</f>
        <v>44425</v>
      </c>
      <c r="B3548" s="408" t="s">
        <v>74</v>
      </c>
      <c r="C3548" s="409">
        <f>Return!R1128</f>
        <v>3.095098863571337E-3</v>
      </c>
    </row>
    <row r="3549" spans="1:3">
      <c r="A3549" s="406">
        <f>Return!A1129</f>
        <v>44424</v>
      </c>
      <c r="B3549" s="408" t="s">
        <v>74</v>
      </c>
      <c r="C3549" s="409">
        <f>Return!R1129</f>
        <v>-4.0328898004845185E-3</v>
      </c>
    </row>
    <row r="3550" spans="1:3">
      <c r="A3550" s="406">
        <f>Return!A1130</f>
        <v>44421</v>
      </c>
      <c r="B3550" s="408" t="s">
        <v>74</v>
      </c>
      <c r="C3550" s="409">
        <f>Return!R1130</f>
        <v>9.0924675386159174E-3</v>
      </c>
    </row>
    <row r="3551" spans="1:3">
      <c r="A3551" s="406">
        <f>Return!A1131</f>
        <v>44420</v>
      </c>
      <c r="B3551" s="408" t="s">
        <v>74</v>
      </c>
      <c r="C3551" s="409">
        <f>Return!R1131</f>
        <v>6.4066752033450615E-5</v>
      </c>
    </row>
    <row r="3552" spans="1:3">
      <c r="A3552" s="406">
        <f>Return!A1132</f>
        <v>44419</v>
      </c>
      <c r="B3552" s="408" t="s">
        <v>74</v>
      </c>
      <c r="C3552" s="409">
        <f>Return!R1132</f>
        <v>-1.8249232531577788E-3</v>
      </c>
    </row>
    <row r="3553" spans="1:3">
      <c r="A3553" s="406">
        <f>Return!A1133</f>
        <v>44418</v>
      </c>
      <c r="B3553" s="408" t="s">
        <v>74</v>
      </c>
      <c r="C3553" s="409">
        <f>Return!R1133</f>
        <v>1.2003836082742516E-2</v>
      </c>
    </row>
    <row r="3554" spans="1:3">
      <c r="A3554" s="406">
        <f>Return!A1134</f>
        <v>44417</v>
      </c>
      <c r="B3554" s="408" t="s">
        <v>74</v>
      </c>
      <c r="C3554" s="409">
        <f>Return!R1134</f>
        <v>4.6890709548531809E-3</v>
      </c>
    </row>
    <row r="3555" spans="1:3">
      <c r="A3555" s="406">
        <f>Return!A1135</f>
        <v>44414</v>
      </c>
      <c r="B3555" s="408" t="s">
        <v>74</v>
      </c>
      <c r="C3555" s="409">
        <f>Return!R1135</f>
        <v>-8.1263056006970202E-3</v>
      </c>
    </row>
    <row r="3556" spans="1:3">
      <c r="A3556" s="406">
        <f>Return!A1136</f>
        <v>44413</v>
      </c>
      <c r="B3556" s="408" t="s">
        <v>74</v>
      </c>
      <c r="C3556" s="409">
        <f>Return!R1136</f>
        <v>5.849415179715445E-3</v>
      </c>
    </row>
    <row r="3557" spans="1:3">
      <c r="A3557" s="406">
        <f>Return!A1137</f>
        <v>44412</v>
      </c>
      <c r="B3557" s="408" t="s">
        <v>74</v>
      </c>
      <c r="C3557" s="409">
        <f>Return!R1137</f>
        <v>-3.5006064358629667E-3</v>
      </c>
    </row>
    <row r="3558" spans="1:3">
      <c r="A3558" s="406">
        <f>Return!A1138</f>
        <v>44411</v>
      </c>
      <c r="B3558" s="408" t="s">
        <v>74</v>
      </c>
      <c r="C3558" s="409">
        <f>Return!R1138</f>
        <v>-6.4705561751072246E-4</v>
      </c>
    </row>
    <row r="3559" spans="1:3">
      <c r="A3559" s="406">
        <f>Return!A1139</f>
        <v>44410</v>
      </c>
      <c r="B3559" s="408" t="s">
        <v>74</v>
      </c>
      <c r="C3559" s="409">
        <f>Return!R1139</f>
        <v>3.5380359731298173E-3</v>
      </c>
    </row>
    <row r="3560" spans="1:3">
      <c r="A3560" s="406">
        <f>Return!A1140</f>
        <v>44407</v>
      </c>
      <c r="B3560" s="408" t="s">
        <v>74</v>
      </c>
      <c r="C3560" s="409">
        <f>Return!R1140</f>
        <v>4.0321406889776675E-3</v>
      </c>
    </row>
    <row r="3561" spans="1:3">
      <c r="A3561" s="406">
        <f>Return!A1141</f>
        <v>44406</v>
      </c>
      <c r="B3561" s="408" t="s">
        <v>74</v>
      </c>
      <c r="C3561" s="409">
        <f>Return!R1141</f>
        <v>-7.4116428327878851E-3</v>
      </c>
    </row>
    <row r="3562" spans="1:3">
      <c r="A3562" s="406">
        <f>Return!A1142</f>
        <v>44405</v>
      </c>
      <c r="B3562" s="408" t="s">
        <v>74</v>
      </c>
      <c r="C3562" s="409">
        <f>Return!R1142</f>
        <v>-2.7248161671503111E-3</v>
      </c>
    </row>
    <row r="3563" spans="1:3">
      <c r="A3563" s="406">
        <f>Return!A1143</f>
        <v>44404</v>
      </c>
      <c r="B3563" s="408" t="s">
        <v>74</v>
      </c>
      <c r="C3563" s="409">
        <f>Return!R1143</f>
        <v>3.9452611500922428E-4</v>
      </c>
    </row>
    <row r="3564" spans="1:3">
      <c r="A3564" s="406">
        <f>Return!A1144</f>
        <v>44403</v>
      </c>
      <c r="B3564" s="408" t="s">
        <v>74</v>
      </c>
      <c r="C3564" s="409">
        <f>Return!R1144</f>
        <v>4.0930644028862326E-3</v>
      </c>
    </row>
    <row r="3565" spans="1:3">
      <c r="A3565" s="406">
        <f>Return!A1145</f>
        <v>44400</v>
      </c>
      <c r="B3565" s="408" t="s">
        <v>74</v>
      </c>
      <c r="C3565" s="409">
        <f>Return!R1145</f>
        <v>-8.1604114744265183E-3</v>
      </c>
    </row>
    <row r="3566" spans="1:3">
      <c r="A3566" s="406">
        <f>Return!A1146</f>
        <v>44399</v>
      </c>
      <c r="B3566" s="408" t="s">
        <v>74</v>
      </c>
      <c r="C3566" s="409">
        <f>Return!R1146</f>
        <v>8.8731277160264551E-4</v>
      </c>
    </row>
    <row r="3567" spans="1:3">
      <c r="A3567" s="406">
        <f>Return!A1147</f>
        <v>44397</v>
      </c>
      <c r="B3567" s="408" t="s">
        <v>74</v>
      </c>
      <c r="C3567" s="409">
        <f>Return!R1147</f>
        <v>-2.6344817988471821E-3</v>
      </c>
    </row>
    <row r="3568" spans="1:3">
      <c r="A3568" s="406">
        <f>Return!A1148</f>
        <v>44396</v>
      </c>
      <c r="B3568" s="408" t="s">
        <v>74</v>
      </c>
      <c r="C3568" s="409">
        <f>Return!R1148</f>
        <v>1.5062840478203159E-3</v>
      </c>
    </row>
    <row r="3569" spans="1:3">
      <c r="A3569" s="406">
        <f>Return!A1149</f>
        <v>44393</v>
      </c>
      <c r="B3569" s="408" t="s">
        <v>74</v>
      </c>
      <c r="C3569" s="409">
        <f>Return!R1149</f>
        <v>2.9222752550429301E-3</v>
      </c>
    </row>
    <row r="3570" spans="1:3">
      <c r="A3570" s="406">
        <f>Return!A1150</f>
        <v>44392</v>
      </c>
      <c r="B3570" s="408" t="s">
        <v>74</v>
      </c>
      <c r="C3570" s="409">
        <f>Return!R1150</f>
        <v>-2.9183758148814795E-3</v>
      </c>
    </row>
    <row r="3571" spans="1:3">
      <c r="A3571" s="406">
        <f>Return!A1151</f>
        <v>44391</v>
      </c>
      <c r="B3571" s="408" t="s">
        <v>74</v>
      </c>
      <c r="C3571" s="409">
        <f>Return!R1151</f>
        <v>-1.3041483674953189E-3</v>
      </c>
    </row>
    <row r="3572" spans="1:3">
      <c r="A3572" s="406">
        <f>Return!A1152</f>
        <v>44390</v>
      </c>
      <c r="B3572" s="408" t="s">
        <v>74</v>
      </c>
      <c r="C3572" s="409">
        <f>Return!R1152</f>
        <v>4.1343591164608399E-3</v>
      </c>
    </row>
    <row r="3573" spans="1:3">
      <c r="A3573" s="406">
        <f>Return!A1153</f>
        <v>44389</v>
      </c>
      <c r="B3573" s="408" t="s">
        <v>74</v>
      </c>
      <c r="C3573" s="409">
        <f>Return!R1153</f>
        <v>2.955253592276957E-2</v>
      </c>
    </row>
    <row r="3574" spans="1:3">
      <c r="A3574" s="406">
        <f>Return!A1154</f>
        <v>44386</v>
      </c>
      <c r="B3574" s="408" t="s">
        <v>74</v>
      </c>
      <c r="C3574" s="409">
        <f>Return!R1154</f>
        <v>9.9557289664680883E-3</v>
      </c>
    </row>
    <row r="3575" spans="1:3">
      <c r="A3575" s="406">
        <f>Return!A1155</f>
        <v>44385</v>
      </c>
      <c r="B3575" s="408" t="s">
        <v>74</v>
      </c>
      <c r="C3575" s="409">
        <f>Return!R1155</f>
        <v>-8.573529222666517E-3</v>
      </c>
    </row>
    <row r="3576" spans="1:3">
      <c r="A3576" s="406">
        <f>Return!A1156</f>
        <v>44384</v>
      </c>
      <c r="B3576" s="408" t="s">
        <v>74</v>
      </c>
      <c r="C3576" s="409">
        <f>Return!R1156</f>
        <v>4.6281252319356992E-3</v>
      </c>
    </row>
    <row r="3577" spans="1:3">
      <c r="A3577" s="406">
        <f>Return!A1157</f>
        <v>44383</v>
      </c>
      <c r="B3577" s="408" t="s">
        <v>74</v>
      </c>
      <c r="C3577" s="409">
        <f>Return!R1157</f>
        <v>-3.6430777762369955E-3</v>
      </c>
    </row>
    <row r="3578" spans="1:3">
      <c r="A3578" s="406">
        <f>Return!A1158</f>
        <v>44382</v>
      </c>
      <c r="B3578" s="408" t="s">
        <v>74</v>
      </c>
      <c r="C3578" s="409">
        <f>Return!R1158</f>
        <v>1.1440363500608779E-2</v>
      </c>
    </row>
    <row r="3579" spans="1:3">
      <c r="A3579" s="406">
        <f>Return!A1159</f>
        <v>44379</v>
      </c>
      <c r="B3579" s="408" t="s">
        <v>74</v>
      </c>
      <c r="C3579" s="409">
        <f>Return!R1159</f>
        <v>-2.1204584946826624E-3</v>
      </c>
    </row>
    <row r="3580" spans="1:3">
      <c r="A3580" s="406">
        <f>Return!A1160</f>
        <v>44378</v>
      </c>
      <c r="B3580" s="408" t="s">
        <v>74</v>
      </c>
      <c r="C3580" s="409">
        <f>Return!R1160</f>
        <v>3.3100208548071642E-4</v>
      </c>
    </row>
    <row r="3581" spans="1:3">
      <c r="A3581" s="406">
        <f>Return!A1161</f>
        <v>44377</v>
      </c>
      <c r="B3581" s="408" t="s">
        <v>74</v>
      </c>
      <c r="C3581" s="409">
        <f>Return!R1161</f>
        <v>7.961939552312133E-3</v>
      </c>
    </row>
    <row r="3582" spans="1:3">
      <c r="A3582" s="406">
        <f>Return!A1162</f>
        <v>44376</v>
      </c>
      <c r="B3582" s="408" t="s">
        <v>74</v>
      </c>
      <c r="C3582" s="409">
        <f>Return!R1162</f>
        <v>7.1533434889253329E-3</v>
      </c>
    </row>
    <row r="3583" spans="1:3">
      <c r="A3583" s="406">
        <f>Return!A1163</f>
        <v>44375</v>
      </c>
      <c r="B3583" s="408" t="s">
        <v>74</v>
      </c>
      <c r="C3583" s="409">
        <f>Return!R1163</f>
        <v>2.4520657040712364E-3</v>
      </c>
    </row>
    <row r="3584" spans="1:3">
      <c r="A3584" s="406">
        <f>Return!A1164</f>
        <v>44372</v>
      </c>
      <c r="B3584" s="408" t="s">
        <v>74</v>
      </c>
      <c r="C3584" s="409">
        <f>Return!R1164</f>
        <v>3.6857960680894831E-3</v>
      </c>
    </row>
    <row r="3585" spans="1:3">
      <c r="A3585" s="406">
        <f>Return!A1165</f>
        <v>44371</v>
      </c>
      <c r="B3585" s="408" t="s">
        <v>74</v>
      </c>
      <c r="C3585" s="409">
        <f>Return!R1165</f>
        <v>2.2801444544186201E-4</v>
      </c>
    </row>
    <row r="3586" spans="1:3">
      <c r="A3586" s="406">
        <f>Return!A1166</f>
        <v>44370</v>
      </c>
      <c r="B3586" s="408" t="s">
        <v>74</v>
      </c>
      <c r="C3586" s="409">
        <f>Return!R1166</f>
        <v>-2.3431372387252409E-3</v>
      </c>
    </row>
    <row r="3587" spans="1:3">
      <c r="A3587" s="406">
        <f>Return!A1167</f>
        <v>44369</v>
      </c>
      <c r="B3587" s="408" t="s">
        <v>74</v>
      </c>
      <c r="C3587" s="409">
        <f>Return!R1167</f>
        <v>2.9915016354644286E-3</v>
      </c>
    </row>
    <row r="3588" spans="1:3">
      <c r="A3588" s="406">
        <f>Return!A1168</f>
        <v>44368</v>
      </c>
      <c r="B3588" s="408" t="s">
        <v>74</v>
      </c>
      <c r="C3588" s="409">
        <f>Return!R1168</f>
        <v>1.4375882985178888E-2</v>
      </c>
    </row>
    <row r="3589" spans="1:3">
      <c r="A3589" s="406">
        <f>Return!A1169</f>
        <v>44365</v>
      </c>
      <c r="B3589" s="408" t="s">
        <v>74</v>
      </c>
      <c r="C3589" s="409">
        <f>Return!R1169</f>
        <v>-8.1325783128469598E-4</v>
      </c>
    </row>
    <row r="3590" spans="1:3">
      <c r="A3590" s="406">
        <f>Return!A1170</f>
        <v>44364</v>
      </c>
      <c r="B3590" s="408" t="s">
        <v>74</v>
      </c>
      <c r="C3590" s="409">
        <f>Return!R1170</f>
        <v>-2.9964455424467216E-3</v>
      </c>
    </row>
    <row r="3591" spans="1:3">
      <c r="A3591" s="406">
        <f>Return!A1171</f>
        <v>44363</v>
      </c>
      <c r="B3591" s="408" t="s">
        <v>74</v>
      </c>
      <c r="C3591" s="409">
        <f>Return!R1171</f>
        <v>-4.4954908349874251E-3</v>
      </c>
    </row>
    <row r="3592" spans="1:3">
      <c r="A3592" s="406">
        <f>Return!A1172</f>
        <v>44362</v>
      </c>
      <c r="B3592" s="408" t="s">
        <v>74</v>
      </c>
      <c r="C3592" s="409">
        <f>Return!R1172</f>
        <v>3.0818587287847928E-3</v>
      </c>
    </row>
    <row r="3593" spans="1:3">
      <c r="A3593" s="406">
        <f>Return!A1173</f>
        <v>44361</v>
      </c>
      <c r="B3593" s="408" t="s">
        <v>74</v>
      </c>
      <c r="C3593" s="409">
        <f>Return!R1173</f>
        <v>-7.0918789745071055E-3</v>
      </c>
    </row>
    <row r="3594" spans="1:3">
      <c r="A3594" s="406">
        <f>Return!A1174</f>
        <v>44358</v>
      </c>
      <c r="B3594" s="408" t="s">
        <v>74</v>
      </c>
      <c r="C3594" s="409">
        <f>Return!R1174</f>
        <v>3.7570551618197391E-3</v>
      </c>
    </row>
    <row r="3595" spans="1:3">
      <c r="A3595" s="406">
        <f>Return!A1175</f>
        <v>44357</v>
      </c>
      <c r="B3595" s="408" t="s">
        <v>74</v>
      </c>
      <c r="C3595" s="409">
        <f>Return!R1175</f>
        <v>1.3124671708965943E-3</v>
      </c>
    </row>
    <row r="3596" spans="1:3">
      <c r="A3596" s="406">
        <f>Return!A1176</f>
        <v>44356</v>
      </c>
      <c r="B3596" s="408" t="s">
        <v>74</v>
      </c>
      <c r="C3596" s="409">
        <f>Return!R1176</f>
        <v>4.6500002571314477E-3</v>
      </c>
    </row>
    <row r="3597" spans="1:3">
      <c r="A3597" s="406">
        <f>Return!A1177</f>
        <v>44355</v>
      </c>
      <c r="B3597" s="408" t="s">
        <v>74</v>
      </c>
      <c r="C3597" s="409">
        <f>Return!R1177</f>
        <v>-7.9001095767538274E-4</v>
      </c>
    </row>
    <row r="3598" spans="1:3">
      <c r="A3598" s="406">
        <f>Return!A1178</f>
        <v>44354</v>
      </c>
      <c r="B3598" s="408" t="s">
        <v>74</v>
      </c>
      <c r="C3598" s="409">
        <f>Return!R1178</f>
        <v>3.497258640253399E-3</v>
      </c>
    </row>
    <row r="3599" spans="1:3">
      <c r="A3599" s="406">
        <f>Return!A1179</f>
        <v>44351</v>
      </c>
      <c r="B3599" s="408" t="s">
        <v>74</v>
      </c>
      <c r="C3599" s="409">
        <f>Return!R1179</f>
        <v>2.3566598636650909E-3</v>
      </c>
    </row>
    <row r="3600" spans="1:3">
      <c r="A3600" s="406">
        <f>Return!A1180</f>
        <v>44350</v>
      </c>
      <c r="B3600" s="408" t="s">
        <v>74</v>
      </c>
      <c r="C3600" s="409">
        <f>Return!R1180</f>
        <v>-2.7993374998596171E-3</v>
      </c>
    </row>
    <row r="3601" spans="1:3">
      <c r="A3601" s="406">
        <f>Return!A1181</f>
        <v>44349</v>
      </c>
      <c r="B3601" s="408" t="s">
        <v>74</v>
      </c>
      <c r="C3601" s="409">
        <f>Return!R1181</f>
        <v>6.0817162922799746E-3</v>
      </c>
    </row>
    <row r="3602" spans="1:3">
      <c r="A3602" s="406">
        <f>Return!A1182</f>
        <v>44348</v>
      </c>
      <c r="B3602" s="408" t="s">
        <v>74</v>
      </c>
      <c r="C3602" s="409">
        <f>Return!R1182</f>
        <v>-4.7996827234812354E-5</v>
      </c>
    </row>
    <row r="3603" spans="1:3">
      <c r="A3603" s="406">
        <f>Return!A1183</f>
        <v>44347</v>
      </c>
      <c r="B3603" s="408" t="s">
        <v>74</v>
      </c>
      <c r="C3603" s="409">
        <f>Return!R1183</f>
        <v>-1.0280166893356835E-3</v>
      </c>
    </row>
    <row r="3604" spans="1:3">
      <c r="A3604" s="406">
        <f>Return!A1184</f>
        <v>44344</v>
      </c>
      <c r="B3604" s="408" t="s">
        <v>74</v>
      </c>
      <c r="C3604" s="409">
        <f>Return!R1184</f>
        <v>2.2850269267826618E-3</v>
      </c>
    </row>
    <row r="3605" spans="1:3">
      <c r="A3605" s="406">
        <f>Return!A1185</f>
        <v>44343</v>
      </c>
      <c r="B3605" s="408" t="s">
        <v>74</v>
      </c>
      <c r="C3605" s="409">
        <f>Return!R1185</f>
        <v>5.4224565682058331E-3</v>
      </c>
    </row>
    <row r="3606" spans="1:3">
      <c r="A3606" s="406">
        <f>Return!A1186</f>
        <v>44342</v>
      </c>
      <c r="B3606" s="408" t="s">
        <v>74</v>
      </c>
      <c r="C3606" s="409">
        <f>Return!R1186</f>
        <v>7.4702426339083175E-3</v>
      </c>
    </row>
    <row r="3607" spans="1:3">
      <c r="A3607" s="406">
        <f>Return!A1187</f>
        <v>44341</v>
      </c>
      <c r="B3607" s="408" t="s">
        <v>74</v>
      </c>
      <c r="C3607" s="409">
        <f>Return!R1187</f>
        <v>1.4754143468538438E-3</v>
      </c>
    </row>
    <row r="3608" spans="1:3">
      <c r="A3608" s="406">
        <f>Return!A1188</f>
        <v>44340</v>
      </c>
      <c r="B3608" s="408" t="s">
        <v>74</v>
      </c>
      <c r="C3608" s="409">
        <f>Return!R1188</f>
        <v>2.5397739237406763E-3</v>
      </c>
    </row>
    <row r="3609" spans="1:3">
      <c r="A3609" s="406">
        <f>Return!A1189</f>
        <v>44337</v>
      </c>
      <c r="B3609" s="408" t="s">
        <v>74</v>
      </c>
      <c r="C3609" s="409">
        <f>Return!R1189</f>
        <v>-1.4987200231057389E-3</v>
      </c>
    </row>
    <row r="3610" spans="1:3">
      <c r="A3610" s="406">
        <f>Return!A1190</f>
        <v>44336</v>
      </c>
      <c r="B3610" s="408" t="s">
        <v>74</v>
      </c>
      <c r="C3610" s="409">
        <f>Return!R1190</f>
        <v>5.4876204044396913E-3</v>
      </c>
    </row>
    <row r="3611" spans="1:3">
      <c r="A3611" s="406">
        <f>Return!A1191</f>
        <v>44335</v>
      </c>
      <c r="B3611" s="408" t="s">
        <v>74</v>
      </c>
      <c r="C3611" s="409">
        <f>Return!R1191</f>
        <v>7.8576668550103747E-5</v>
      </c>
    </row>
    <row r="3612" spans="1:3">
      <c r="A3612" s="406">
        <f>Return!A1192</f>
        <v>44334</v>
      </c>
      <c r="B3612" s="408" t="s">
        <v>74</v>
      </c>
      <c r="C3612" s="409">
        <f>Return!R1192</f>
        <v>-5.281164016653456E-3</v>
      </c>
    </row>
    <row r="3613" spans="1:3">
      <c r="A3613" s="406">
        <f>Return!A1193</f>
        <v>44333</v>
      </c>
      <c r="B3613" s="408" t="s">
        <v>74</v>
      </c>
      <c r="C3613" s="409">
        <f>Return!R1193</f>
        <v>3.0546289622515352E-3</v>
      </c>
    </row>
    <row r="3614" spans="1:3">
      <c r="A3614" s="406">
        <f>Return!A1194</f>
        <v>44330</v>
      </c>
      <c r="B3614" s="408" t="s">
        <v>74</v>
      </c>
      <c r="C3614" s="409">
        <f>Return!R1194</f>
        <v>-7.3301795332052352E-3</v>
      </c>
    </row>
    <row r="3615" spans="1:3">
      <c r="A3615" s="406">
        <f>Return!A1195</f>
        <v>44328</v>
      </c>
      <c r="B3615" s="408" t="s">
        <v>74</v>
      </c>
      <c r="C3615" s="409">
        <f>Return!R1195</f>
        <v>5.2578194508957326E-3</v>
      </c>
    </row>
    <row r="3616" spans="1:3">
      <c r="A3616" s="406">
        <f>Return!A1196</f>
        <v>44327</v>
      </c>
      <c r="B3616" s="408" t="s">
        <v>74</v>
      </c>
      <c r="C3616" s="409">
        <f>Return!R1196</f>
        <v>3.9993636579960663E-4</v>
      </c>
    </row>
    <row r="3617" spans="1:3">
      <c r="A3617" s="406">
        <f>Return!A1197</f>
        <v>44326</v>
      </c>
      <c r="B3617" s="408" t="s">
        <v>74</v>
      </c>
      <c r="C3617" s="409">
        <f>Return!R1197</f>
        <v>9.3533001593135417E-3</v>
      </c>
    </row>
    <row r="3618" spans="1:3">
      <c r="A3618" s="406">
        <f>Return!A1198</f>
        <v>44323</v>
      </c>
      <c r="B3618" s="408" t="s">
        <v>74</v>
      </c>
      <c r="C3618" s="409">
        <f>Return!R1198</f>
        <v>4.0751574672325437E-3</v>
      </c>
    </row>
    <row r="3619" spans="1:3">
      <c r="A3619" s="406">
        <f>Return!A1199</f>
        <v>44322</v>
      </c>
      <c r="B3619" s="408" t="s">
        <v>74</v>
      </c>
      <c r="C3619" s="409">
        <f>Return!R1199</f>
        <v>-1.0670380736575874E-3</v>
      </c>
    </row>
    <row r="3620" spans="1:3">
      <c r="A3620" s="406">
        <f>Return!A1200</f>
        <v>44321</v>
      </c>
      <c r="B3620" s="408" t="s">
        <v>74</v>
      </c>
      <c r="C3620" s="409">
        <f>Return!R1200</f>
        <v>-8.9136123593385223E-4</v>
      </c>
    </row>
    <row r="3621" spans="1:3">
      <c r="A3621" s="406">
        <f>Return!A1201</f>
        <v>44320</v>
      </c>
      <c r="B3621" s="408" t="s">
        <v>74</v>
      </c>
      <c r="C3621" s="409">
        <f>Return!R1201</f>
        <v>7.0737399014727531E-3</v>
      </c>
    </row>
    <row r="3622" spans="1:3">
      <c r="A3622" s="406">
        <f>Return!A1202</f>
        <v>44319</v>
      </c>
      <c r="B3622" s="408" t="s">
        <v>74</v>
      </c>
      <c r="C3622" s="409">
        <f>Return!R1202</f>
        <v>8.4508311833131171E-3</v>
      </c>
    </row>
    <row r="3623" spans="1:3">
      <c r="A3623" s="406">
        <f>Return!A1203</f>
        <v>44316</v>
      </c>
      <c r="B3623" s="408" t="s">
        <v>74</v>
      </c>
      <c r="C3623" s="409">
        <f>Return!R1203</f>
        <v>2.4562718855608776E-3</v>
      </c>
    </row>
    <row r="3624" spans="1:3">
      <c r="A3624" s="406">
        <f>Return!A1204</f>
        <v>44315</v>
      </c>
      <c r="B3624" s="408" t="s">
        <v>74</v>
      </c>
      <c r="C3624" s="409">
        <f>Return!R1204</f>
        <v>2.2700813024660212E-3</v>
      </c>
    </row>
    <row r="3625" spans="1:3">
      <c r="A3625" s="406">
        <f>Return!A1205</f>
        <v>44314</v>
      </c>
      <c r="B3625" s="408" t="s">
        <v>74</v>
      </c>
      <c r="C3625" s="409">
        <f>Return!R1205</f>
        <v>9.4373849912022419E-3</v>
      </c>
    </row>
    <row r="3626" spans="1:3">
      <c r="A3626" s="406">
        <f>Return!A1206</f>
        <v>44313</v>
      </c>
      <c r="B3626" s="408" t="s">
        <v>74</v>
      </c>
      <c r="C3626" s="409">
        <f>Return!R1206</f>
        <v>-3.3842291804408783E-3</v>
      </c>
    </row>
    <row r="3627" spans="1:3">
      <c r="A3627" s="406">
        <f>Return!A1207</f>
        <v>44312</v>
      </c>
      <c r="B3627" s="408" t="s">
        <v>74</v>
      </c>
      <c r="C3627" s="409">
        <f>Return!R1207</f>
        <v>3.1129128252106696E-3</v>
      </c>
    </row>
    <row r="3628" spans="1:3">
      <c r="A3628" s="406">
        <f>Return!A1208</f>
        <v>44309</v>
      </c>
      <c r="B3628" s="408" t="s">
        <v>74</v>
      </c>
      <c r="C3628" s="409">
        <f>Return!R1208</f>
        <v>1.1369906244729137E-2</v>
      </c>
    </row>
    <row r="3629" spans="1:3">
      <c r="A3629" s="406">
        <f>Return!A1209</f>
        <v>44308</v>
      </c>
      <c r="B3629" s="408" t="s">
        <v>74</v>
      </c>
      <c r="C3629" s="409">
        <f>Return!R1209</f>
        <v>3.4832474434638543E-4</v>
      </c>
    </row>
    <row r="3630" spans="1:3">
      <c r="A3630" s="406">
        <f>Return!A1210</f>
        <v>44306</v>
      </c>
      <c r="B3630" s="408" t="s">
        <v>74</v>
      </c>
      <c r="C3630" s="409">
        <f>Return!R1210</f>
        <v>2.9812182484222362E-3</v>
      </c>
    </row>
    <row r="3631" spans="1:3">
      <c r="A3631" s="406">
        <f>Return!A1211</f>
        <v>44305</v>
      </c>
      <c r="B3631" s="408" t="s">
        <v>74</v>
      </c>
      <c r="C3631" s="409">
        <f>Return!R1211</f>
        <v>-2.963949377685674E-3</v>
      </c>
    </row>
    <row r="3632" spans="1:3">
      <c r="A3632" s="406">
        <f>Return!A2</f>
        <v>46080</v>
      </c>
      <c r="B3632" s="408" t="s">
        <v>75</v>
      </c>
      <c r="C3632" s="409">
        <f>Return!S2</f>
        <v>-9.5233018354747845E-3</v>
      </c>
    </row>
    <row r="3633" spans="1:3">
      <c r="A3633" s="406">
        <f>Return!A3</f>
        <v>46079</v>
      </c>
      <c r="B3633" s="408" t="s">
        <v>75</v>
      </c>
      <c r="C3633" s="409">
        <f>Return!S3</f>
        <v>9.7906098035955846E-3</v>
      </c>
    </row>
    <row r="3634" spans="1:3">
      <c r="A3634" s="406">
        <f>Return!A4</f>
        <v>46078</v>
      </c>
      <c r="B3634" s="408" t="s">
        <v>75</v>
      </c>
      <c r="C3634" s="409">
        <f>Return!S4</f>
        <v>1.4099026969014328E-2</v>
      </c>
    </row>
    <row r="3635" spans="1:3">
      <c r="A3635" s="406">
        <f>Return!A5</f>
        <v>46077</v>
      </c>
      <c r="B3635" s="408" t="s">
        <v>75</v>
      </c>
      <c r="C3635" s="409">
        <f>Return!S5</f>
        <v>1.7823087881385646E-4</v>
      </c>
    </row>
    <row r="3636" spans="1:3">
      <c r="A3636" s="406">
        <f>Return!A6</f>
        <v>46076</v>
      </c>
      <c r="B3636" s="408" t="s">
        <v>75</v>
      </c>
      <c r="C3636" s="409">
        <f>Return!S6</f>
        <v>7.1517250706236712E-3</v>
      </c>
    </row>
    <row r="3637" spans="1:3">
      <c r="A3637" s="406">
        <f>Return!A7</f>
        <v>46073</v>
      </c>
      <c r="B3637" s="408" t="s">
        <v>75</v>
      </c>
      <c r="C3637" s="409">
        <f>Return!S7</f>
        <v>-9.96600821396465E-4</v>
      </c>
    </row>
    <row r="3638" spans="1:3">
      <c r="A3638" s="406">
        <f>Return!A8</f>
        <v>46072</v>
      </c>
      <c r="B3638" s="408" t="s">
        <v>75</v>
      </c>
      <c r="C3638" s="409">
        <f>Return!S8</f>
        <v>-5.7607957701141799E-3</v>
      </c>
    </row>
    <row r="3639" spans="1:3">
      <c r="A3639" s="406">
        <f>Return!A9</f>
        <v>46071</v>
      </c>
      <c r="B3639" s="408" t="s">
        <v>75</v>
      </c>
      <c r="C3639" s="409">
        <f>Return!S9</f>
        <v>2.5793796062104635E-3</v>
      </c>
    </row>
    <row r="3640" spans="1:3">
      <c r="A3640" s="406">
        <f>Return!A10</f>
        <v>46070</v>
      </c>
      <c r="B3640" s="408" t="s">
        <v>75</v>
      </c>
      <c r="C3640" s="409">
        <f>Return!S10</f>
        <v>5.7398687827617811E-3</v>
      </c>
    </row>
    <row r="3641" spans="1:3">
      <c r="A3641" s="406">
        <f>Return!A11</f>
        <v>46069</v>
      </c>
      <c r="B3641" s="408" t="s">
        <v>75</v>
      </c>
      <c r="C3641" s="409">
        <f>Return!S11</f>
        <v>6.1809536552368538E-3</v>
      </c>
    </row>
    <row r="3642" spans="1:3">
      <c r="A3642" s="406">
        <f>Return!A12</f>
        <v>46066</v>
      </c>
      <c r="B3642" s="408" t="s">
        <v>75</v>
      </c>
      <c r="C3642" s="409">
        <f>Return!S12</f>
        <v>-9.0132486087619035E-3</v>
      </c>
    </row>
    <row r="3643" spans="1:3">
      <c r="A3643" s="406">
        <f>Return!A13</f>
        <v>46065</v>
      </c>
      <c r="B3643" s="408" t="s">
        <v>75</v>
      </c>
      <c r="C3643" s="409">
        <f>Return!S13</f>
        <v>-4.6897441479273327E-3</v>
      </c>
    </row>
    <row r="3644" spans="1:3">
      <c r="A3644" s="406">
        <f>Return!A14</f>
        <v>46064</v>
      </c>
      <c r="B3644" s="408" t="s">
        <v>75</v>
      </c>
      <c r="C3644" s="409">
        <f>Return!S14</f>
        <v>1.0459643258066809E-2</v>
      </c>
    </row>
    <row r="3645" spans="1:3">
      <c r="A3645" s="406">
        <f>Return!A15</f>
        <v>46063</v>
      </c>
      <c r="B3645" s="408" t="s">
        <v>75</v>
      </c>
      <c r="C3645" s="409">
        <f>Return!S15</f>
        <v>4.9293135667527466E-3</v>
      </c>
    </row>
    <row r="3646" spans="1:3">
      <c r="A3646" s="406">
        <f>Return!A16</f>
        <v>46062</v>
      </c>
      <c r="B3646" s="408" t="s">
        <v>75</v>
      </c>
      <c r="C3646" s="409">
        <f>Return!S16</f>
        <v>1.2546622545695274E-2</v>
      </c>
    </row>
    <row r="3647" spans="1:3">
      <c r="A3647" s="406">
        <f>Return!A17</f>
        <v>46059</v>
      </c>
      <c r="B3647" s="408" t="s">
        <v>75</v>
      </c>
      <c r="C3647" s="409">
        <f>Return!S17</f>
        <v>-4.3914047013898783E-4</v>
      </c>
    </row>
    <row r="3648" spans="1:3">
      <c r="A3648" s="406">
        <f>Return!A18</f>
        <v>46058</v>
      </c>
      <c r="B3648" s="408" t="s">
        <v>75</v>
      </c>
      <c r="C3648" s="409">
        <f>Return!S18</f>
        <v>7.6318146062903658E-5</v>
      </c>
    </row>
    <row r="3649" spans="1:3">
      <c r="A3649" s="406">
        <f>Return!A19</f>
        <v>46057</v>
      </c>
      <c r="B3649" s="408" t="s">
        <v>75</v>
      </c>
      <c r="C3649" s="409">
        <f>Return!S19</f>
        <v>-3.7369297106576438E-3</v>
      </c>
    </row>
    <row r="3650" spans="1:3">
      <c r="A3650" s="406">
        <f>Return!A20</f>
        <v>46056</v>
      </c>
      <c r="B3650" s="408" t="s">
        <v>75</v>
      </c>
      <c r="C3650" s="409">
        <f>Return!S20</f>
        <v>2.5435814344453966E-2</v>
      </c>
    </row>
    <row r="3651" spans="1:3">
      <c r="A3651" s="406">
        <f>Return!A21</f>
        <v>46055</v>
      </c>
      <c r="B3651" s="408" t="s">
        <v>75</v>
      </c>
      <c r="C3651" s="409">
        <f>Return!S21</f>
        <v>-5.3230863671182571E-3</v>
      </c>
    </row>
    <row r="3652" spans="1:3">
      <c r="A3652" s="406">
        <f>Return!A22</f>
        <v>46054</v>
      </c>
      <c r="B3652" s="408" t="s">
        <v>75</v>
      </c>
      <c r="C3652" s="409">
        <f>Return!S22</f>
        <v>5.763996055729248E-3</v>
      </c>
    </row>
    <row r="3653" spans="1:3">
      <c r="A3653" s="406">
        <f>Return!A23</f>
        <v>46052</v>
      </c>
      <c r="B3653" s="408" t="s">
        <v>75</v>
      </c>
      <c r="C3653" s="409">
        <f>Return!S23</f>
        <v>-1.1330759556230641E-3</v>
      </c>
    </row>
    <row r="3654" spans="1:3">
      <c r="A3654" s="406">
        <f>Return!A24</f>
        <v>46051</v>
      </c>
      <c r="B3654" s="408" t="s">
        <v>75</v>
      </c>
      <c r="C3654" s="409">
        <f>Return!S24</f>
        <v>-1.9789759007883267E-3</v>
      </c>
    </row>
    <row r="3655" spans="1:3">
      <c r="A3655" s="406">
        <f>Return!A25</f>
        <v>46050</v>
      </c>
      <c r="B3655" s="408" t="s">
        <v>75</v>
      </c>
      <c r="C3655" s="409">
        <f>Return!S25</f>
        <v>1.445756361047934E-3</v>
      </c>
    </row>
    <row r="3656" spans="1:3">
      <c r="A3656" s="406">
        <f>Return!A26</f>
        <v>46049</v>
      </c>
      <c r="B3656" s="408" t="s">
        <v>75</v>
      </c>
      <c r="C3656" s="409">
        <f>Return!S26</f>
        <v>-5.161111505765259E-3</v>
      </c>
    </row>
    <row r="3657" spans="1:3">
      <c r="A3657" s="406">
        <f>Return!A27</f>
        <v>46045</v>
      </c>
      <c r="B3657" s="408" t="s">
        <v>75</v>
      </c>
      <c r="C3657" s="409">
        <f>Return!S27</f>
        <v>1.6325635974518415E-3</v>
      </c>
    </row>
    <row r="3658" spans="1:3">
      <c r="A3658" s="406">
        <f>Return!A28</f>
        <v>46044</v>
      </c>
      <c r="B3658" s="408" t="s">
        <v>75</v>
      </c>
      <c r="C3658" s="409">
        <f>Return!S28</f>
        <v>3.4771528983261746E-3</v>
      </c>
    </row>
    <row r="3659" spans="1:3">
      <c r="A3659" s="406">
        <f>Return!A29</f>
        <v>46043</v>
      </c>
      <c r="B3659" s="408" t="s">
        <v>75</v>
      </c>
      <c r="C3659" s="409">
        <f>Return!S29</f>
        <v>-1.0369201541784168E-2</v>
      </c>
    </row>
    <row r="3660" spans="1:3">
      <c r="A3660" s="406">
        <f>Return!A30</f>
        <v>46042</v>
      </c>
      <c r="B3660" s="408" t="s">
        <v>75</v>
      </c>
      <c r="C3660" s="409">
        <f>Return!S30</f>
        <v>-1.4426220642158261E-2</v>
      </c>
    </row>
    <row r="3661" spans="1:3">
      <c r="A3661" s="406">
        <f>Return!A31</f>
        <v>46041</v>
      </c>
      <c r="B3661" s="408" t="s">
        <v>75</v>
      </c>
      <c r="C3661" s="409">
        <f>Return!S31</f>
        <v>-9.9909876990340041E-3</v>
      </c>
    </row>
    <row r="3662" spans="1:3">
      <c r="A3662" s="406">
        <f>Return!A32</f>
        <v>46038</v>
      </c>
      <c r="B3662" s="408" t="s">
        <v>75</v>
      </c>
      <c r="C3662" s="409">
        <f>Return!S32</f>
        <v>-7.0419240428239993E-3</v>
      </c>
    </row>
    <row r="3663" spans="1:3">
      <c r="A3663" s="406">
        <f>Return!A33</f>
        <v>46036</v>
      </c>
      <c r="B3663" s="408" t="s">
        <v>75</v>
      </c>
      <c r="C3663" s="409">
        <f>Return!S33</f>
        <v>-6.3951050782157237E-4</v>
      </c>
    </row>
    <row r="3664" spans="1:3">
      <c r="A3664" s="406">
        <f>Return!A34</f>
        <v>46035</v>
      </c>
      <c r="B3664" s="408" t="s">
        <v>75</v>
      </c>
      <c r="C3664" s="409">
        <f>Return!S34</f>
        <v>-5.4244504924438885E-4</v>
      </c>
    </row>
    <row r="3665" spans="1:3">
      <c r="A3665" s="406">
        <f>Return!A35</f>
        <v>46034</v>
      </c>
      <c r="B3665" s="408" t="s">
        <v>75</v>
      </c>
      <c r="C3665" s="409">
        <f>Return!S35</f>
        <v>-4.6852361327808789E-3</v>
      </c>
    </row>
    <row r="3666" spans="1:3">
      <c r="A3666" s="406">
        <f>Return!A36</f>
        <v>46031</v>
      </c>
      <c r="B3666" s="408" t="s">
        <v>75</v>
      </c>
      <c r="C3666" s="409">
        <f>Return!S36</f>
        <v>-1.1660531563263521E-2</v>
      </c>
    </row>
    <row r="3667" spans="1:3">
      <c r="A3667" s="406">
        <f>Return!A37</f>
        <v>46030</v>
      </c>
      <c r="B3667" s="408" t="s">
        <v>75</v>
      </c>
      <c r="C3667" s="409">
        <f>Return!S37</f>
        <v>-4.4255733666874186E-3</v>
      </c>
    </row>
    <row r="3668" spans="1:3">
      <c r="A3668" s="406">
        <f>Return!A38</f>
        <v>46029</v>
      </c>
      <c r="B3668" s="408" t="s">
        <v>75</v>
      </c>
      <c r="C3668" s="409">
        <f>Return!S38</f>
        <v>9.2505807876023249E-3</v>
      </c>
    </row>
    <row r="3669" spans="1:3">
      <c r="A3669" s="406">
        <f>Return!A39</f>
        <v>46028</v>
      </c>
      <c r="B3669" s="408" t="s">
        <v>75</v>
      </c>
      <c r="C3669" s="409">
        <f>Return!S39</f>
        <v>5.2655296435665799E-3</v>
      </c>
    </row>
    <row r="3670" spans="1:3">
      <c r="A3670" s="406">
        <f>Return!A40</f>
        <v>46027</v>
      </c>
      <c r="B3670" s="408" t="s">
        <v>75</v>
      </c>
      <c r="C3670" s="409">
        <f>Return!S40</f>
        <v>2.4244663457174132E-3</v>
      </c>
    </row>
    <row r="3671" spans="1:3">
      <c r="A3671" s="406">
        <f>Return!A41</f>
        <v>46024</v>
      </c>
      <c r="B3671" s="408" t="s">
        <v>75</v>
      </c>
      <c r="C3671" s="409">
        <f>Return!S41</f>
        <v>3.9156085585310141E-3</v>
      </c>
    </row>
    <row r="3672" spans="1:3">
      <c r="A3672" s="406">
        <f>Return!A42</f>
        <v>46023</v>
      </c>
      <c r="B3672" s="408" t="s">
        <v>75</v>
      </c>
      <c r="C3672" s="409">
        <f>Return!S42</f>
        <v>3.9630078970617766E-3</v>
      </c>
    </row>
    <row r="3673" spans="1:3">
      <c r="A3673" s="406">
        <f>Return!A43</f>
        <v>46022</v>
      </c>
      <c r="B3673" s="408" t="s">
        <v>75</v>
      </c>
      <c r="C3673" s="409">
        <f>Return!S43</f>
        <v>3.4041072145899465E-3</v>
      </c>
    </row>
    <row r="3674" spans="1:3">
      <c r="A3674" s="406">
        <f>Return!A44</f>
        <v>46021</v>
      </c>
      <c r="B3674" s="408" t="s">
        <v>75</v>
      </c>
      <c r="C3674" s="409">
        <f>Return!S44</f>
        <v>-4.6012428362214863E-3</v>
      </c>
    </row>
    <row r="3675" spans="1:3">
      <c r="A3675" s="406">
        <f>Return!A45</f>
        <v>46020</v>
      </c>
      <c r="B3675" s="408" t="s">
        <v>75</v>
      </c>
      <c r="C3675" s="409">
        <f>Return!S45</f>
        <v>-4.3527828873980434E-3</v>
      </c>
    </row>
    <row r="3676" spans="1:3">
      <c r="A3676" s="406">
        <f>Return!A46</f>
        <v>46017</v>
      </c>
      <c r="B3676" s="408" t="s">
        <v>75</v>
      </c>
      <c r="C3676" s="409">
        <f>Return!S46</f>
        <v>-2.4580955625659318E-3</v>
      </c>
    </row>
    <row r="3677" spans="1:3">
      <c r="A3677" s="406">
        <f>Return!A47</f>
        <v>46015</v>
      </c>
      <c r="B3677" s="408" t="s">
        <v>75</v>
      </c>
      <c r="C3677" s="409">
        <f>Return!S47</f>
        <v>-3.4649162957351987E-3</v>
      </c>
    </row>
    <row r="3678" spans="1:3">
      <c r="A3678" s="406">
        <f>Return!A48</f>
        <v>46014</v>
      </c>
      <c r="B3678" s="408" t="s">
        <v>75</v>
      </c>
      <c r="C3678" s="409">
        <f>Return!S48</f>
        <v>2.128305025831001E-3</v>
      </c>
    </row>
    <row r="3679" spans="1:3">
      <c r="A3679" s="406">
        <f>Return!A49</f>
        <v>46013</v>
      </c>
      <c r="B3679" s="408" t="s">
        <v>75</v>
      </c>
      <c r="C3679" s="409">
        <f>Return!S49</f>
        <v>6.4823028337762656E-3</v>
      </c>
    </row>
    <row r="3680" spans="1:3">
      <c r="A3680" s="406">
        <f>Return!A50</f>
        <v>46010</v>
      </c>
      <c r="B3680" s="408" t="s">
        <v>75</v>
      </c>
      <c r="C3680" s="409">
        <f>Return!S50</f>
        <v>3.9199320681937433E-3</v>
      </c>
    </row>
    <row r="3681" spans="1:3">
      <c r="A3681" s="406">
        <f>Return!A51</f>
        <v>46009</v>
      </c>
      <c r="B3681" s="408" t="s">
        <v>75</v>
      </c>
      <c r="C3681" s="409">
        <f>Return!S51</f>
        <v>-3.0351982195868654E-3</v>
      </c>
    </row>
    <row r="3682" spans="1:3">
      <c r="A3682" s="406">
        <f>Return!A52</f>
        <v>46008</v>
      </c>
      <c r="B3682" s="408" t="s">
        <v>75</v>
      </c>
      <c r="C3682" s="409">
        <f>Return!S52</f>
        <v>-4.4057267092044161E-3</v>
      </c>
    </row>
    <row r="3683" spans="1:3">
      <c r="A3683" s="406">
        <f>Return!A53</f>
        <v>46007</v>
      </c>
      <c r="B3683" s="408" t="s">
        <v>75</v>
      </c>
      <c r="C3683" s="409">
        <f>Return!S53</f>
        <v>-3.8821705881807445E-3</v>
      </c>
    </row>
    <row r="3684" spans="1:3">
      <c r="A3684" s="406">
        <f>Return!A54</f>
        <v>46006</v>
      </c>
      <c r="B3684" s="408" t="s">
        <v>75</v>
      </c>
      <c r="C3684" s="409">
        <f>Return!S54</f>
        <v>-4.7202553474295916E-4</v>
      </c>
    </row>
    <row r="3685" spans="1:3">
      <c r="A3685" s="406">
        <f>Return!A55</f>
        <v>46003</v>
      </c>
      <c r="B3685" s="408" t="s">
        <v>75</v>
      </c>
      <c r="C3685" s="409">
        <f>Return!S55</f>
        <v>4.995536418146318E-3</v>
      </c>
    </row>
    <row r="3686" spans="1:3">
      <c r="A3686" s="406">
        <f>Return!A56</f>
        <v>46002</v>
      </c>
      <c r="B3686" s="408" t="s">
        <v>75</v>
      </c>
      <c r="C3686" s="409">
        <f>Return!S56</f>
        <v>2.292236119992741E-3</v>
      </c>
    </row>
    <row r="3687" spans="1:3">
      <c r="A3687" s="406">
        <f>Return!A57</f>
        <v>46001</v>
      </c>
      <c r="B3687" s="408" t="s">
        <v>75</v>
      </c>
      <c r="C3687" s="409">
        <f>Return!S57</f>
        <v>-2.5552584260474243E-3</v>
      </c>
    </row>
    <row r="3688" spans="1:3">
      <c r="A3688" s="406">
        <f>Return!A58</f>
        <v>46000</v>
      </c>
      <c r="B3688" s="408" t="s">
        <v>75</v>
      </c>
      <c r="C3688" s="409">
        <f>Return!S58</f>
        <v>-4.4707766379027403E-3</v>
      </c>
    </row>
    <row r="3689" spans="1:3">
      <c r="A3689" s="406">
        <f>Return!A59</f>
        <v>45999</v>
      </c>
      <c r="B3689" s="408" t="s">
        <v>75</v>
      </c>
      <c r="C3689" s="409">
        <f>Return!S59</f>
        <v>-9.8496110475165821E-3</v>
      </c>
    </row>
    <row r="3690" spans="1:3">
      <c r="A3690" s="406">
        <f>Return!A60</f>
        <v>45996</v>
      </c>
      <c r="B3690" s="408" t="s">
        <v>75</v>
      </c>
      <c r="C3690" s="409">
        <f>Return!S60</f>
        <v>9.4006546422220616E-4</v>
      </c>
    </row>
    <row r="3691" spans="1:3">
      <c r="A3691" s="406">
        <f>Return!A61</f>
        <v>45995</v>
      </c>
      <c r="B3691" s="408" t="s">
        <v>75</v>
      </c>
      <c r="C3691" s="409">
        <f>Return!S61</f>
        <v>-1.6579181918760511E-3</v>
      </c>
    </row>
    <row r="3692" spans="1:3">
      <c r="A3692" s="406">
        <f>Return!A62</f>
        <v>45994</v>
      </c>
      <c r="B3692" s="408" t="s">
        <v>75</v>
      </c>
      <c r="C3692" s="409">
        <f>Return!S62</f>
        <v>-2.1085740041709156E-3</v>
      </c>
    </row>
    <row r="3693" spans="1:3">
      <c r="A3693" s="406">
        <f>Return!A63</f>
        <v>45993</v>
      </c>
      <c r="B3693" s="408" t="s">
        <v>75</v>
      </c>
      <c r="C3693" s="409">
        <f>Return!S63</f>
        <v>-5.1453268642769889E-3</v>
      </c>
    </row>
    <row r="3694" spans="1:3">
      <c r="A3694" s="406">
        <f>Return!A64</f>
        <v>45992</v>
      </c>
      <c r="B3694" s="408" t="s">
        <v>75</v>
      </c>
      <c r="C3694" s="409">
        <f>Return!S64</f>
        <v>-9.046509638507283E-4</v>
      </c>
    </row>
    <row r="3695" spans="1:3">
      <c r="A3695" s="406">
        <f>Return!A65</f>
        <v>45989</v>
      </c>
      <c r="B3695" s="408" t="s">
        <v>75</v>
      </c>
      <c r="C3695" s="409">
        <f>Return!S65</f>
        <v>-1.1717111747049369E-3</v>
      </c>
    </row>
    <row r="3696" spans="1:3">
      <c r="A3696" s="406">
        <f>Return!A66</f>
        <v>45988</v>
      </c>
      <c r="B3696" s="408" t="s">
        <v>75</v>
      </c>
      <c r="C3696" s="409">
        <f>Return!S66</f>
        <v>6.6289971364110745E-3</v>
      </c>
    </row>
    <row r="3697" spans="1:3">
      <c r="A3697" s="406">
        <f>Return!A67</f>
        <v>45987</v>
      </c>
      <c r="B3697" s="408" t="s">
        <v>75</v>
      </c>
      <c r="C3697" s="409">
        <f>Return!S67</f>
        <v>5.7583979968789389E-4</v>
      </c>
    </row>
    <row r="3698" spans="1:3">
      <c r="A3698" s="406">
        <f>Return!A68</f>
        <v>45986</v>
      </c>
      <c r="B3698" s="408" t="s">
        <v>75</v>
      </c>
      <c r="C3698" s="409">
        <f>Return!S68</f>
        <v>2.5944257801890913E-3</v>
      </c>
    </row>
    <row r="3699" spans="1:3">
      <c r="A3699" s="406">
        <f>Return!A69</f>
        <v>45985</v>
      </c>
      <c r="B3699" s="408" t="s">
        <v>75</v>
      </c>
      <c r="C3699" s="409">
        <f>Return!S69</f>
        <v>-2.0085493984187686E-3</v>
      </c>
    </row>
    <row r="3700" spans="1:3">
      <c r="A3700" s="406">
        <f>Return!A70</f>
        <v>45982</v>
      </c>
      <c r="B3700" s="408" t="s">
        <v>75</v>
      </c>
      <c r="C3700" s="409">
        <f>Return!S70</f>
        <v>5.3901908298570333E-5</v>
      </c>
    </row>
    <row r="3701" spans="1:3">
      <c r="A3701" s="406">
        <f>Return!A71</f>
        <v>45981</v>
      </c>
      <c r="B3701" s="408" t="s">
        <v>75</v>
      </c>
      <c r="C3701" s="409">
        <f>Return!S71</f>
        <v>-9.0607667955511229E-4</v>
      </c>
    </row>
    <row r="3702" spans="1:3">
      <c r="A3702" s="406">
        <f>Return!A72</f>
        <v>45980</v>
      </c>
      <c r="B3702" s="408" t="s">
        <v>75</v>
      </c>
      <c r="C3702" s="409">
        <f>Return!S72</f>
        <v>-2.9406518161328443E-3</v>
      </c>
    </row>
    <row r="3703" spans="1:3">
      <c r="A3703" s="406">
        <f>Return!A73</f>
        <v>45979</v>
      </c>
      <c r="B3703" s="408" t="s">
        <v>75</v>
      </c>
      <c r="C3703" s="409">
        <f>Return!S73</f>
        <v>1.2179850634857492E-3</v>
      </c>
    </row>
    <row r="3704" spans="1:3">
      <c r="A3704" s="406">
        <f>Return!A74</f>
        <v>45978</v>
      </c>
      <c r="B3704" s="408" t="s">
        <v>75</v>
      </c>
      <c r="C3704" s="409">
        <f>Return!S74</f>
        <v>-7.9893976933742561E-4</v>
      </c>
    </row>
    <row r="3705" spans="1:3">
      <c r="A3705" s="406">
        <f>Return!A75</f>
        <v>45975</v>
      </c>
      <c r="B3705" s="408" t="s">
        <v>75</v>
      </c>
      <c r="C3705" s="409">
        <f>Return!S75</f>
        <v>3.060489927841803E-3</v>
      </c>
    </row>
    <row r="3706" spans="1:3">
      <c r="A3706" s="406">
        <f>Return!A76</f>
        <v>45974</v>
      </c>
      <c r="B3706" s="408" t="s">
        <v>75</v>
      </c>
      <c r="C3706" s="409">
        <f>Return!S76</f>
        <v>4.5903899617414368E-3</v>
      </c>
    </row>
    <row r="3707" spans="1:3">
      <c r="A3707" s="406">
        <f>Return!A77</f>
        <v>45973</v>
      </c>
      <c r="B3707" s="408" t="s">
        <v>75</v>
      </c>
      <c r="C3707" s="409">
        <f>Return!S77</f>
        <v>-1.5763814302966472E-3</v>
      </c>
    </row>
    <row r="3708" spans="1:3">
      <c r="A3708" s="406">
        <f>Return!A78</f>
        <v>45972</v>
      </c>
      <c r="B3708" s="408" t="s">
        <v>75</v>
      </c>
      <c r="C3708" s="409">
        <f>Return!S78</f>
        <v>3.9670467940292609E-3</v>
      </c>
    </row>
    <row r="3709" spans="1:3">
      <c r="A3709" s="406">
        <f>Return!A79</f>
        <v>45971</v>
      </c>
      <c r="B3709" s="408" t="s">
        <v>75</v>
      </c>
      <c r="C3709" s="409">
        <f>Return!S79</f>
        <v>-3.0270593691330561E-3</v>
      </c>
    </row>
    <row r="3710" spans="1:3">
      <c r="A3710" s="406">
        <f>Return!A80</f>
        <v>45968</v>
      </c>
      <c r="B3710" s="408" t="s">
        <v>75</v>
      </c>
      <c r="C3710" s="409">
        <f>Return!S80</f>
        <v>-3.0793298280880066E-3</v>
      </c>
    </row>
    <row r="3711" spans="1:3">
      <c r="A3711" s="406">
        <f>Return!A81</f>
        <v>45967</v>
      </c>
      <c r="B3711" s="408" t="s">
        <v>75</v>
      </c>
      <c r="C3711" s="409">
        <f>Return!S81</f>
        <v>-3.0866659658536078E-3</v>
      </c>
    </row>
    <row r="3712" spans="1:3">
      <c r="A3712" s="406">
        <f>Return!A82</f>
        <v>45965</v>
      </c>
      <c r="B3712" s="408" t="s">
        <v>75</v>
      </c>
      <c r="C3712" s="409">
        <f>Return!S82</f>
        <v>2.9695873925988936E-3</v>
      </c>
    </row>
    <row r="3713" spans="1:3">
      <c r="A3713" s="406">
        <f>Return!A83</f>
        <v>45964</v>
      </c>
      <c r="B3713" s="408" t="s">
        <v>75</v>
      </c>
      <c r="C3713" s="409">
        <f>Return!S83</f>
        <v>-2.9498239748801947E-3</v>
      </c>
    </row>
    <row r="3714" spans="1:3">
      <c r="A3714" s="406">
        <f>Return!A84</f>
        <v>45961</v>
      </c>
      <c r="B3714" s="408" t="s">
        <v>75</v>
      </c>
      <c r="C3714" s="409">
        <f>Return!S84</f>
        <v>1.1567135038552667E-3</v>
      </c>
    </row>
    <row r="3715" spans="1:3">
      <c r="A3715" s="406">
        <f>Return!A85</f>
        <v>45960</v>
      </c>
      <c r="B3715" s="408" t="s">
        <v>75</v>
      </c>
      <c r="C3715" s="409">
        <f>Return!S85</f>
        <v>5.8209167615314028E-4</v>
      </c>
    </row>
    <row r="3716" spans="1:3">
      <c r="A3716" s="406">
        <f>Return!A86</f>
        <v>45959</v>
      </c>
      <c r="B3716" s="408" t="s">
        <v>75</v>
      </c>
      <c r="C3716" s="409">
        <f>Return!S86</f>
        <v>-2.0738640434777578E-3</v>
      </c>
    </row>
    <row r="3717" spans="1:3">
      <c r="A3717" s="406">
        <f>Return!A87</f>
        <v>45958</v>
      </c>
      <c r="B3717" s="408" t="s">
        <v>75</v>
      </c>
      <c r="C3717" s="409">
        <f>Return!S87</f>
        <v>1.8141886707974675E-3</v>
      </c>
    </row>
    <row r="3718" spans="1:3">
      <c r="A3718" s="406">
        <f>Return!A88</f>
        <v>45957</v>
      </c>
      <c r="B3718" s="408" t="s">
        <v>75</v>
      </c>
      <c r="C3718" s="409">
        <f>Return!S88</f>
        <v>-2.9592312887632422E-3</v>
      </c>
    </row>
    <row r="3719" spans="1:3">
      <c r="A3719" s="406">
        <f>Return!A89</f>
        <v>45954</v>
      </c>
      <c r="B3719" s="408" t="s">
        <v>75</v>
      </c>
      <c r="C3719" s="409">
        <f>Return!S89</f>
        <v>-1.9049765448296285E-3</v>
      </c>
    </row>
    <row r="3720" spans="1:3">
      <c r="A3720" s="406">
        <f>Return!A90</f>
        <v>45953</v>
      </c>
      <c r="B3720" s="408" t="s">
        <v>75</v>
      </c>
      <c r="C3720" s="409">
        <f>Return!S90</f>
        <v>2.4755910933710323E-4</v>
      </c>
    </row>
    <row r="3721" spans="1:3">
      <c r="A3721" s="406">
        <f>Return!A91</f>
        <v>45951</v>
      </c>
      <c r="B3721" s="408" t="s">
        <v>75</v>
      </c>
      <c r="C3721" s="409">
        <f>Return!S91</f>
        <v>7.2293715379123658E-4</v>
      </c>
    </row>
    <row r="3722" spans="1:3">
      <c r="A3722" s="406">
        <f>Return!A92</f>
        <v>45950</v>
      </c>
      <c r="B3722" s="408" t="s">
        <v>75</v>
      </c>
      <c r="C3722" s="409">
        <f>Return!S92</f>
        <v>5.1954390873170109E-3</v>
      </c>
    </row>
    <row r="3723" spans="1:3">
      <c r="A3723" s="406">
        <f>Return!A93</f>
        <v>45947</v>
      </c>
      <c r="B3723" s="408" t="s">
        <v>75</v>
      </c>
      <c r="C3723" s="409">
        <f>Return!S93</f>
        <v>3.2199423430472329E-3</v>
      </c>
    </row>
    <row r="3724" spans="1:3">
      <c r="A3724" s="406">
        <f>Return!A94</f>
        <v>45946</v>
      </c>
      <c r="B3724" s="408" t="s">
        <v>75</v>
      </c>
      <c r="C3724" s="409">
        <f>Return!S94</f>
        <v>-1.3098920007448278E-5</v>
      </c>
    </row>
    <row r="3725" spans="1:3">
      <c r="A3725" s="406">
        <f>Return!A95</f>
        <v>45945</v>
      </c>
      <c r="B3725" s="408" t="s">
        <v>75</v>
      </c>
      <c r="C3725" s="409">
        <f>Return!S95</f>
        <v>2.1552362258551172E-3</v>
      </c>
    </row>
    <row r="3726" spans="1:3">
      <c r="A3726" s="406">
        <f>Return!A96</f>
        <v>45944</v>
      </c>
      <c r="B3726" s="408" t="s">
        <v>75</v>
      </c>
      <c r="C3726" s="409">
        <f>Return!S96</f>
        <v>2.7017206239694502E-3</v>
      </c>
    </row>
    <row r="3727" spans="1:3">
      <c r="A3727" s="406">
        <f>Return!A97</f>
        <v>45943</v>
      </c>
      <c r="B3727" s="408" t="s">
        <v>75</v>
      </c>
      <c r="C3727" s="409">
        <f>Return!S97</f>
        <v>4.4353924558699909E-3</v>
      </c>
    </row>
    <row r="3728" spans="1:3">
      <c r="A3728" s="406">
        <f>Return!A98</f>
        <v>45940</v>
      </c>
      <c r="B3728" s="408" t="s">
        <v>75</v>
      </c>
      <c r="C3728" s="409">
        <f>Return!S98</f>
        <v>1.3671458831230887E-3</v>
      </c>
    </row>
    <row r="3729" spans="1:3">
      <c r="A3729" s="406">
        <f>Return!A99</f>
        <v>45939</v>
      </c>
      <c r="B3729" s="408" t="s">
        <v>75</v>
      </c>
      <c r="C3729" s="409">
        <f>Return!S99</f>
        <v>3.8632444572290758E-3</v>
      </c>
    </row>
    <row r="3730" spans="1:3">
      <c r="A3730" s="406">
        <f>Return!A100</f>
        <v>45938</v>
      </c>
      <c r="B3730" s="408" t="s">
        <v>75</v>
      </c>
      <c r="C3730" s="409">
        <f>Return!S100</f>
        <v>2.8969540902800128E-3</v>
      </c>
    </row>
    <row r="3731" spans="1:3">
      <c r="A3731" s="406">
        <f>Return!A101</f>
        <v>45937</v>
      </c>
      <c r="B3731" s="408" t="s">
        <v>75</v>
      </c>
      <c r="C3731" s="409">
        <f>Return!S101</f>
        <v>1.2739605005606669E-3</v>
      </c>
    </row>
    <row r="3732" spans="1:3">
      <c r="A3732" s="406">
        <f>Return!A102</f>
        <v>45936</v>
      </c>
      <c r="B3732" s="408" t="s">
        <v>75</v>
      </c>
      <c r="C3732" s="409">
        <f>Return!S102</f>
        <v>1.0181087070270323E-2</v>
      </c>
    </row>
    <row r="3733" spans="1:3">
      <c r="A3733" s="406">
        <f>Return!A103</f>
        <v>45933</v>
      </c>
      <c r="B3733" s="408" t="s">
        <v>75</v>
      </c>
      <c r="C3733" s="409">
        <f>Return!S103</f>
        <v>-2.2614334033532191E-3</v>
      </c>
    </row>
    <row r="3734" spans="1:3">
      <c r="A3734" s="406">
        <f>Return!A104</f>
        <v>45931</v>
      </c>
      <c r="B3734" s="408" t="s">
        <v>75</v>
      </c>
      <c r="C3734" s="409">
        <f>Return!S104</f>
        <v>4.1049588264148729E-3</v>
      </c>
    </row>
    <row r="3735" spans="1:3">
      <c r="A3735" s="406">
        <f>Return!A105</f>
        <v>45930</v>
      </c>
      <c r="B3735" s="408" t="s">
        <v>75</v>
      </c>
      <c r="C3735" s="409">
        <f>Return!S105</f>
        <v>-8.9117196391214626E-3</v>
      </c>
    </row>
    <row r="3736" spans="1:3">
      <c r="A3736" s="406">
        <f>Return!A106</f>
        <v>45929</v>
      </c>
      <c r="B3736" s="408" t="s">
        <v>75</v>
      </c>
      <c r="C3736" s="409">
        <f>Return!S106</f>
        <v>-4.287986926926779E-3</v>
      </c>
    </row>
    <row r="3737" spans="1:3">
      <c r="A3737" s="406">
        <f>Return!A107</f>
        <v>45926</v>
      </c>
      <c r="B3737" s="408" t="s">
        <v>75</v>
      </c>
      <c r="C3737" s="409">
        <f>Return!S107</f>
        <v>-1.2805986093304467E-2</v>
      </c>
    </row>
    <row r="3738" spans="1:3">
      <c r="A3738" s="406">
        <f>Return!A108</f>
        <v>45925</v>
      </c>
      <c r="B3738" s="408" t="s">
        <v>75</v>
      </c>
      <c r="C3738" s="409">
        <f>Return!S108</f>
        <v>-4.7512864740740235E-3</v>
      </c>
    </row>
    <row r="3739" spans="1:3">
      <c r="A3739" s="406">
        <f>Return!A109</f>
        <v>45924</v>
      </c>
      <c r="B3739" s="408" t="s">
        <v>75</v>
      </c>
      <c r="C3739" s="409">
        <f>Return!S109</f>
        <v>-8.8031535173122011E-3</v>
      </c>
    </row>
    <row r="3740" spans="1:3">
      <c r="A3740" s="406">
        <f>Return!A110</f>
        <v>45923</v>
      </c>
      <c r="B3740" s="408" t="s">
        <v>75</v>
      </c>
      <c r="C3740" s="409">
        <f>Return!S110</f>
        <v>-4.4765667534529818E-5</v>
      </c>
    </row>
    <row r="3741" spans="1:3">
      <c r="A3741" s="406">
        <f>Return!A111</f>
        <v>45922</v>
      </c>
      <c r="B3741" s="408" t="s">
        <v>75</v>
      </c>
      <c r="C3741" s="409">
        <f>Return!S111</f>
        <v>-1.0699006430686664E-3</v>
      </c>
    </row>
    <row r="3742" spans="1:3">
      <c r="A3742" s="406">
        <f>Return!A112</f>
        <v>45919</v>
      </c>
      <c r="B3742" s="408" t="s">
        <v>75</v>
      </c>
      <c r="C3742" s="409">
        <f>Return!S112</f>
        <v>1.3096283777783713E-3</v>
      </c>
    </row>
    <row r="3743" spans="1:3">
      <c r="A3743" s="406">
        <f>Return!A113</f>
        <v>45918</v>
      </c>
      <c r="B3743" s="408" t="s">
        <v>75</v>
      </c>
      <c r="C3743" s="409">
        <f>Return!S113</f>
        <v>5.5187850021528595E-3</v>
      </c>
    </row>
    <row r="3744" spans="1:3">
      <c r="A3744" s="406">
        <f>Return!A114</f>
        <v>45917</v>
      </c>
      <c r="B3744" s="408" t="s">
        <v>75</v>
      </c>
      <c r="C3744" s="409">
        <f>Return!S114</f>
        <v>-2.7029564788401683E-3</v>
      </c>
    </row>
    <row r="3745" spans="1:3">
      <c r="A3745" s="406">
        <f>Return!A115</f>
        <v>45916</v>
      </c>
      <c r="B3745" s="408" t="s">
        <v>75</v>
      </c>
      <c r="C3745" s="409">
        <f>Return!S115</f>
        <v>1.8809423808886505E-3</v>
      </c>
    </row>
    <row r="3746" spans="1:3">
      <c r="A3746" s="406">
        <f>Return!A116</f>
        <v>45915</v>
      </c>
      <c r="B3746" s="408" t="s">
        <v>75</v>
      </c>
      <c r="C3746" s="409">
        <f>Return!S116</f>
        <v>2.4063490574555146E-4</v>
      </c>
    </row>
    <row r="3747" spans="1:3">
      <c r="A3747" s="406">
        <f>Return!A117</f>
        <v>45912</v>
      </c>
      <c r="B3747" s="408" t="s">
        <v>75</v>
      </c>
      <c r="C3747" s="409">
        <f>Return!S117</f>
        <v>2.604128511988657E-3</v>
      </c>
    </row>
    <row r="3748" spans="1:3">
      <c r="A3748" s="406">
        <f>Return!A118</f>
        <v>45911</v>
      </c>
      <c r="B3748" s="408" t="s">
        <v>75</v>
      </c>
      <c r="C3748" s="409">
        <f>Return!S118</f>
        <v>2.9187745831779077E-3</v>
      </c>
    </row>
    <row r="3749" spans="1:3">
      <c r="A3749" s="406">
        <f>Return!A119</f>
        <v>45910</v>
      </c>
      <c r="B3749" s="408" t="s">
        <v>75</v>
      </c>
      <c r="C3749" s="409">
        <f>Return!S119</f>
        <v>-5.8150073140383896E-4</v>
      </c>
    </row>
    <row r="3750" spans="1:3">
      <c r="A3750" s="406">
        <f>Return!A120</f>
        <v>45909</v>
      </c>
      <c r="B3750" s="408" t="s">
        <v>75</v>
      </c>
      <c r="C3750" s="409">
        <f>Return!S120</f>
        <v>-1.5618574956377529E-4</v>
      </c>
    </row>
    <row r="3751" spans="1:3">
      <c r="A3751" s="406">
        <f>Return!A121</f>
        <v>45908</v>
      </c>
      <c r="B3751" s="408" t="s">
        <v>75</v>
      </c>
      <c r="C3751" s="409">
        <f>Return!S121</f>
        <v>2.0172290172404406E-4</v>
      </c>
    </row>
    <row r="3752" spans="1:3">
      <c r="A3752" s="406">
        <f>Return!A122</f>
        <v>45905</v>
      </c>
      <c r="B3752" s="408" t="s">
        <v>75</v>
      </c>
      <c r="C3752" s="409">
        <f>Return!S122</f>
        <v>5.7815476737347327E-3</v>
      </c>
    </row>
    <row r="3753" spans="1:3">
      <c r="A3753" s="406">
        <f>Return!A123</f>
        <v>45904</v>
      </c>
      <c r="B3753" s="408" t="s">
        <v>75</v>
      </c>
      <c r="C3753" s="409">
        <f>Return!S123</f>
        <v>-5.4988514543991007E-4</v>
      </c>
    </row>
    <row r="3754" spans="1:3">
      <c r="A3754" s="406">
        <f>Return!A124</f>
        <v>45903</v>
      </c>
      <c r="B3754" s="408" t="s">
        <v>75</v>
      </c>
      <c r="C3754" s="409">
        <f>Return!S124</f>
        <v>4.8985021196608081E-3</v>
      </c>
    </row>
    <row r="3755" spans="1:3">
      <c r="A3755" s="406">
        <f>Return!A125</f>
        <v>45902</v>
      </c>
      <c r="B3755" s="408" t="s">
        <v>75</v>
      </c>
      <c r="C3755" s="409">
        <f>Return!S125</f>
        <v>1.4251534470638427E-4</v>
      </c>
    </row>
    <row r="3756" spans="1:3">
      <c r="A3756" s="406">
        <f>Return!A126</f>
        <v>45901</v>
      </c>
      <c r="B3756" s="408" t="s">
        <v>75</v>
      </c>
      <c r="C3756" s="409">
        <f>Return!S126</f>
        <v>-3.8272085655113863E-3</v>
      </c>
    </row>
    <row r="3757" spans="1:3">
      <c r="A3757" s="406">
        <f>Return!A127</f>
        <v>45898</v>
      </c>
      <c r="B3757" s="408" t="s">
        <v>75</v>
      </c>
      <c r="C3757" s="409">
        <f>Return!S127</f>
        <v>-8.192247466614011E-3</v>
      </c>
    </row>
    <row r="3758" spans="1:3">
      <c r="A3758" s="406">
        <f>Return!A128</f>
        <v>45897</v>
      </c>
      <c r="B3758" s="408" t="s">
        <v>75</v>
      </c>
      <c r="C3758" s="409">
        <f>Return!S128</f>
        <v>5.2919771476311883E-5</v>
      </c>
    </row>
    <row r="3759" spans="1:3">
      <c r="A3759" s="406">
        <f>Return!A129</f>
        <v>45895</v>
      </c>
      <c r="B3759" s="408" t="s">
        <v>75</v>
      </c>
      <c r="C3759" s="409">
        <f>Return!S129</f>
        <v>-4.9842220596306719E-3</v>
      </c>
    </row>
    <row r="3760" spans="1:3">
      <c r="A3760" s="406">
        <f>Return!A130</f>
        <v>45894</v>
      </c>
      <c r="B3760" s="408" t="s">
        <v>75</v>
      </c>
      <c r="C3760" s="409">
        <f>Return!S130</f>
        <v>-3.8508722284155694E-3</v>
      </c>
    </row>
    <row r="3761" spans="1:3">
      <c r="A3761" s="406">
        <f>Return!A131</f>
        <v>45891</v>
      </c>
      <c r="B3761" s="408" t="s">
        <v>75</v>
      </c>
      <c r="C3761" s="409">
        <f>Return!S131</f>
        <v>-2.1102119168335265E-3</v>
      </c>
    </row>
    <row r="3762" spans="1:3">
      <c r="A3762" s="406">
        <f>Return!A132</f>
        <v>45890</v>
      </c>
      <c r="B3762" s="408" t="s">
        <v>75</v>
      </c>
      <c r="C3762" s="409">
        <f>Return!S132</f>
        <v>1.0180468220211125E-5</v>
      </c>
    </row>
    <row r="3763" spans="1:3">
      <c r="A3763" s="406">
        <f>Return!A133</f>
        <v>45889</v>
      </c>
      <c r="B3763" s="408" t="s">
        <v>75</v>
      </c>
      <c r="C3763" s="409">
        <f>Return!S133</f>
        <v>4.7494640506192676E-3</v>
      </c>
    </row>
    <row r="3764" spans="1:3">
      <c r="A3764" s="406">
        <f>Return!A134</f>
        <v>45888</v>
      </c>
      <c r="B3764" s="408" t="s">
        <v>75</v>
      </c>
      <c r="C3764" s="409">
        <f>Return!S134</f>
        <v>1.5095810097859319E-3</v>
      </c>
    </row>
    <row r="3765" spans="1:3">
      <c r="A3765" s="406">
        <f>Return!A135</f>
        <v>45887</v>
      </c>
      <c r="B3765" s="408" t="s">
        <v>75</v>
      </c>
      <c r="C3765" s="409">
        <f>Return!S135</f>
        <v>1.1336279489669532E-2</v>
      </c>
    </row>
    <row r="3766" spans="1:3">
      <c r="A3766" s="406">
        <f>Return!A136</f>
        <v>45883</v>
      </c>
      <c r="B3766" s="408" t="s">
        <v>75</v>
      </c>
      <c r="C3766" s="409">
        <f>Return!S136</f>
        <v>3.1878464458576783E-3</v>
      </c>
    </row>
    <row r="3767" spans="1:3">
      <c r="A3767" s="406">
        <f>Return!A137</f>
        <v>45882</v>
      </c>
      <c r="B3767" s="408" t="s">
        <v>75</v>
      </c>
      <c r="C3767" s="409">
        <f>Return!S137</f>
        <v>4.5636654792247655E-3</v>
      </c>
    </row>
    <row r="3768" spans="1:3">
      <c r="A3768" s="406">
        <f>Return!A138</f>
        <v>45881</v>
      </c>
      <c r="B3768" s="408" t="s">
        <v>75</v>
      </c>
      <c r="C3768" s="409">
        <f>Return!S138</f>
        <v>1.7528612366937146E-3</v>
      </c>
    </row>
    <row r="3769" spans="1:3">
      <c r="A3769" s="406">
        <f>Return!A139</f>
        <v>45880</v>
      </c>
      <c r="B3769" s="408" t="s">
        <v>75</v>
      </c>
      <c r="C3769" s="409">
        <f>Return!S139</f>
        <v>5.3270841469758023E-3</v>
      </c>
    </row>
    <row r="3770" spans="1:3">
      <c r="A3770" s="406">
        <f>Return!A140</f>
        <v>45877</v>
      </c>
      <c r="B3770" s="408" t="s">
        <v>75</v>
      </c>
      <c r="C3770" s="409">
        <f>Return!S140</f>
        <v>-4.214822151439257E-3</v>
      </c>
    </row>
    <row r="3771" spans="1:3">
      <c r="A3771" s="406">
        <f>Return!A141</f>
        <v>45876</v>
      </c>
      <c r="B3771" s="408" t="s">
        <v>75</v>
      </c>
      <c r="C3771" s="409">
        <f>Return!S141</f>
        <v>-1.1109948980146334E-2</v>
      </c>
    </row>
    <row r="3772" spans="1:3">
      <c r="A3772" s="406">
        <f>Return!A142</f>
        <v>45875</v>
      </c>
      <c r="B3772" s="408" t="s">
        <v>75</v>
      </c>
      <c r="C3772" s="409">
        <f>Return!S142</f>
        <v>2.0151238500768498E-3</v>
      </c>
    </row>
    <row r="3773" spans="1:3">
      <c r="A3773" s="406">
        <f>Return!A143</f>
        <v>45874</v>
      </c>
      <c r="B3773" s="408" t="s">
        <v>75</v>
      </c>
      <c r="C3773" s="409">
        <f>Return!S143</f>
        <v>-2.1281482545787822E-2</v>
      </c>
    </row>
    <row r="3774" spans="1:3">
      <c r="A3774" s="406">
        <f>Return!A144</f>
        <v>45873</v>
      </c>
      <c r="B3774" s="408" t="s">
        <v>75</v>
      </c>
      <c r="C3774" s="409">
        <f>Return!S144</f>
        <v>-7.4412858374000579E-3</v>
      </c>
    </row>
    <row r="3775" spans="1:3">
      <c r="A3775" s="406">
        <f>Return!A145</f>
        <v>45870</v>
      </c>
      <c r="B3775" s="408" t="s">
        <v>75</v>
      </c>
      <c r="C3775" s="409">
        <f>Return!S145</f>
        <v>3.6335543756859101E-3</v>
      </c>
    </row>
    <row r="3776" spans="1:3">
      <c r="A3776" s="406">
        <f>Return!A146</f>
        <v>45869</v>
      </c>
      <c r="B3776" s="408" t="s">
        <v>75</v>
      </c>
      <c r="C3776" s="409">
        <f>Return!S146</f>
        <v>-3.9970144726466095E-3</v>
      </c>
    </row>
    <row r="3777" spans="1:3">
      <c r="A3777" s="406">
        <f>Return!A147</f>
        <v>45868</v>
      </c>
      <c r="B3777" s="408" t="s">
        <v>75</v>
      </c>
      <c r="C3777" s="409">
        <f>Return!S147</f>
        <v>-3.594848616656654E-3</v>
      </c>
    </row>
    <row r="3778" spans="1:3">
      <c r="A3778" s="406">
        <f>Return!A148</f>
        <v>45867</v>
      </c>
      <c r="B3778" s="408" t="s">
        <v>75</v>
      </c>
      <c r="C3778" s="409">
        <f>Return!S148</f>
        <v>7.6680347669366711E-4</v>
      </c>
    </row>
    <row r="3779" spans="1:3">
      <c r="A3779" s="406">
        <f>Return!A149</f>
        <v>45866</v>
      </c>
      <c r="B3779" s="408" t="s">
        <v>75</v>
      </c>
      <c r="C3779" s="409">
        <f>Return!S149</f>
        <v>1.1256813711447156E-2</v>
      </c>
    </row>
    <row r="3780" spans="1:3">
      <c r="A3780" s="406">
        <f>Return!A150</f>
        <v>45863</v>
      </c>
      <c r="B3780" s="408" t="s">
        <v>75</v>
      </c>
      <c r="C3780" s="409">
        <f>Return!S150</f>
        <v>1.5745219427000801E-3</v>
      </c>
    </row>
    <row r="3781" spans="1:3">
      <c r="A3781" s="406">
        <f>Return!A151</f>
        <v>45862</v>
      </c>
      <c r="B3781" s="408" t="s">
        <v>75</v>
      </c>
      <c r="C3781" s="409">
        <f>Return!S151</f>
        <v>-3.9864148033489366E-3</v>
      </c>
    </row>
    <row r="3782" spans="1:3">
      <c r="A3782" s="406">
        <f>Return!A152</f>
        <v>45861</v>
      </c>
      <c r="B3782" s="408" t="s">
        <v>75</v>
      </c>
      <c r="C3782" s="409">
        <f>Return!S152</f>
        <v>1.7041070003851466E-3</v>
      </c>
    </row>
    <row r="3783" spans="1:3">
      <c r="A3783" s="406">
        <f>Return!A153</f>
        <v>45860</v>
      </c>
      <c r="B3783" s="408" t="s">
        <v>75</v>
      </c>
      <c r="C3783" s="409">
        <f>Return!S153</f>
        <v>1.6595292772711434E-3</v>
      </c>
    </row>
    <row r="3784" spans="1:3">
      <c r="A3784" s="406">
        <f>Return!A154</f>
        <v>45859</v>
      </c>
      <c r="B3784" s="408" t="s">
        <v>75</v>
      </c>
      <c r="C3784" s="409">
        <f>Return!S154</f>
        <v>-8.6983220786740478E-4</v>
      </c>
    </row>
    <row r="3785" spans="1:3">
      <c r="A3785" s="406">
        <f>Return!A155</f>
        <v>45856</v>
      </c>
      <c r="B3785" s="408" t="s">
        <v>75</v>
      </c>
      <c r="C3785" s="409">
        <f>Return!S155</f>
        <v>-1.3804579507387671E-3</v>
      </c>
    </row>
    <row r="3786" spans="1:3">
      <c r="A3786" s="406">
        <f>Return!A156</f>
        <v>45855</v>
      </c>
      <c r="B3786" s="408" t="s">
        <v>75</v>
      </c>
      <c r="C3786" s="409">
        <f>Return!S156</f>
        <v>2.8413854763165158E-3</v>
      </c>
    </row>
    <row r="3787" spans="1:3">
      <c r="A3787" s="406">
        <f>Return!A157</f>
        <v>45854</v>
      </c>
      <c r="B3787" s="408" t="s">
        <v>75</v>
      </c>
      <c r="C3787" s="409">
        <f>Return!S157</f>
        <v>4.2787904000284316E-3</v>
      </c>
    </row>
    <row r="3788" spans="1:3">
      <c r="A3788" s="406">
        <f>Return!A158</f>
        <v>45853</v>
      </c>
      <c r="B3788" s="408" t="s">
        <v>75</v>
      </c>
      <c r="C3788" s="409">
        <f>Return!S158</f>
        <v>1.7585099415389216E-3</v>
      </c>
    </row>
    <row r="3789" spans="1:3">
      <c r="A3789" s="406">
        <f>Return!A159</f>
        <v>45852</v>
      </c>
      <c r="B3789" s="408" t="s">
        <v>75</v>
      </c>
      <c r="C3789" s="409">
        <f>Return!S159</f>
        <v>4.7164488304529684E-4</v>
      </c>
    </row>
    <row r="3790" spans="1:3">
      <c r="A3790" s="406">
        <f>Return!A160</f>
        <v>45849</v>
      </c>
      <c r="B3790" s="408" t="s">
        <v>75</v>
      </c>
      <c r="C3790" s="409">
        <f>Return!S160</f>
        <v>5.2722062727720287E-3</v>
      </c>
    </row>
    <row r="3791" spans="1:3">
      <c r="A3791" s="406">
        <f>Return!A161</f>
        <v>45848</v>
      </c>
      <c r="B3791" s="408" t="s">
        <v>75</v>
      </c>
      <c r="C3791" s="409">
        <f>Return!S161</f>
        <v>-4.2597850781111446E-3</v>
      </c>
    </row>
    <row r="3792" spans="1:3">
      <c r="A3792" s="406">
        <f>Return!A162</f>
        <v>45847</v>
      </c>
      <c r="B3792" s="408" t="s">
        <v>75</v>
      </c>
      <c r="C3792" s="409">
        <f>Return!S162</f>
        <v>-2.8767112286757768E-3</v>
      </c>
    </row>
    <row r="3793" spans="1:3">
      <c r="A3793" s="406">
        <f>Return!A163</f>
        <v>45846</v>
      </c>
      <c r="B3793" s="408" t="s">
        <v>75</v>
      </c>
      <c r="C3793" s="409">
        <f>Return!S163</f>
        <v>3.5457530325584408E-3</v>
      </c>
    </row>
    <row r="3794" spans="1:3">
      <c r="A3794" s="406">
        <f>Return!A164</f>
        <v>45845</v>
      </c>
      <c r="B3794" s="408" t="s">
        <v>75</v>
      </c>
      <c r="C3794" s="409">
        <f>Return!S164</f>
        <v>-5.0782564510448713E-4</v>
      </c>
    </row>
    <row r="3795" spans="1:3">
      <c r="A3795" s="406">
        <f>Return!A165</f>
        <v>45842</v>
      </c>
      <c r="B3795" s="408" t="s">
        <v>75</v>
      </c>
      <c r="C3795" s="409">
        <f>Return!S165</f>
        <v>-8.2103343193712375E-4</v>
      </c>
    </row>
    <row r="3796" spans="1:3">
      <c r="A3796" s="406">
        <f>Return!A166</f>
        <v>45841</v>
      </c>
      <c r="B3796" s="408" t="s">
        <v>75</v>
      </c>
      <c r="C3796" s="409">
        <f>Return!S166</f>
        <v>1.7849697074868165E-3</v>
      </c>
    </row>
    <row r="3797" spans="1:3">
      <c r="A3797" s="406">
        <f>Return!A167</f>
        <v>45840</v>
      </c>
      <c r="B3797" s="408" t="s">
        <v>75</v>
      </c>
      <c r="C3797" s="409">
        <f>Return!S167</f>
        <v>4.1777782802159269E-3</v>
      </c>
    </row>
    <row r="3798" spans="1:3">
      <c r="A3798" s="406">
        <f>Return!A168</f>
        <v>45839</v>
      </c>
      <c r="B3798" s="408" t="s">
        <v>75</v>
      </c>
      <c r="C3798" s="409">
        <f>Return!S168</f>
        <v>5.7109910273653863E-3</v>
      </c>
    </row>
    <row r="3799" spans="1:3">
      <c r="A3799" s="406">
        <f>Return!A169</f>
        <v>45838</v>
      </c>
      <c r="B3799" s="408" t="s">
        <v>75</v>
      </c>
      <c r="C3799" s="409">
        <f>Return!S169</f>
        <v>4.4320700181971207E-4</v>
      </c>
    </row>
    <row r="3800" spans="1:3">
      <c r="A3800" s="406">
        <f>Return!A170</f>
        <v>45835</v>
      </c>
      <c r="B3800" s="408" t="s">
        <v>75</v>
      </c>
      <c r="C3800" s="409">
        <f>Return!S170</f>
        <v>1.0224491418125647E-2</v>
      </c>
    </row>
    <row r="3801" spans="1:3">
      <c r="A3801" s="406">
        <f>Return!A171</f>
        <v>45834</v>
      </c>
      <c r="B3801" s="408" t="s">
        <v>75</v>
      </c>
      <c r="C3801" s="409">
        <f>Return!S171</f>
        <v>3.539747398822346E-3</v>
      </c>
    </row>
    <row r="3802" spans="1:3">
      <c r="A3802" s="406">
        <f>Return!A172</f>
        <v>45833</v>
      </c>
      <c r="B3802" s="408" t="s">
        <v>75</v>
      </c>
      <c r="C3802" s="409">
        <f>Return!S172</f>
        <v>2.8080362863983632E-3</v>
      </c>
    </row>
    <row r="3803" spans="1:3">
      <c r="A3803" s="406">
        <f>Return!A173</f>
        <v>45832</v>
      </c>
      <c r="B3803" s="408" t="s">
        <v>75</v>
      </c>
      <c r="C3803" s="409">
        <f>Return!S173</f>
        <v>9.7409841269809894E-3</v>
      </c>
    </row>
    <row r="3804" spans="1:3">
      <c r="A3804" s="406">
        <f>Return!A174</f>
        <v>45831</v>
      </c>
      <c r="B3804" s="408" t="s">
        <v>75</v>
      </c>
      <c r="C3804" s="409">
        <f>Return!S174</f>
        <v>-3.8869984412857606E-3</v>
      </c>
    </row>
    <row r="3805" spans="1:3">
      <c r="A3805" s="406">
        <f>Return!A175</f>
        <v>45828</v>
      </c>
      <c r="B3805" s="408" t="s">
        <v>75</v>
      </c>
      <c r="C3805" s="409">
        <f>Return!S175</f>
        <v>-8.733199003311265E-4</v>
      </c>
    </row>
    <row r="3806" spans="1:3">
      <c r="A3806" s="406">
        <f>Return!A176</f>
        <v>45827</v>
      </c>
      <c r="B3806" s="408" t="s">
        <v>75</v>
      </c>
      <c r="C3806" s="409">
        <f>Return!S176</f>
        <v>-6.1504867760809323E-3</v>
      </c>
    </row>
    <row r="3807" spans="1:3">
      <c r="A3807" s="406">
        <f>Return!A177</f>
        <v>45826</v>
      </c>
      <c r="B3807" s="408" t="s">
        <v>75</v>
      </c>
      <c r="C3807" s="409">
        <f>Return!S177</f>
        <v>-3.041513884940561E-3</v>
      </c>
    </row>
    <row r="3808" spans="1:3">
      <c r="A3808" s="406">
        <f>Return!A178</f>
        <v>45825</v>
      </c>
      <c r="B3808" s="408" t="s">
        <v>75</v>
      </c>
      <c r="C3808" s="409">
        <f>Return!S178</f>
        <v>-3.0665216762070791E-3</v>
      </c>
    </row>
    <row r="3809" spans="1:3">
      <c r="A3809" s="406">
        <f>Return!A179</f>
        <v>45824</v>
      </c>
      <c r="B3809" s="408" t="s">
        <v>75</v>
      </c>
      <c r="C3809" s="409">
        <f>Return!S179</f>
        <v>-7.3809829758705869E-3</v>
      </c>
    </row>
    <row r="3810" spans="1:3">
      <c r="A3810" s="406">
        <f>Return!A180</f>
        <v>45821</v>
      </c>
      <c r="B3810" s="408" t="s">
        <v>75</v>
      </c>
      <c r="C3810" s="409">
        <f>Return!S180</f>
        <v>4.0444934276910871E-3</v>
      </c>
    </row>
    <row r="3811" spans="1:3">
      <c r="A3811" s="406">
        <f>Return!A181</f>
        <v>45820</v>
      </c>
      <c r="B3811" s="408" t="s">
        <v>75</v>
      </c>
      <c r="C3811" s="409">
        <f>Return!S181</f>
        <v>2.2339881413477869E-3</v>
      </c>
    </row>
    <row r="3812" spans="1:3">
      <c r="A3812" s="406">
        <f>Return!A182</f>
        <v>45819</v>
      </c>
      <c r="B3812" s="408" t="s">
        <v>75</v>
      </c>
      <c r="C3812" s="409">
        <f>Return!S182</f>
        <v>1.8594202509141233E-3</v>
      </c>
    </row>
    <row r="3813" spans="1:3">
      <c r="A3813" s="406">
        <f>Return!A183</f>
        <v>45818</v>
      </c>
      <c r="B3813" s="408" t="s">
        <v>75</v>
      </c>
      <c r="C3813" s="409">
        <f>Return!S183</f>
        <v>9.3179619382066647E-4</v>
      </c>
    </row>
    <row r="3814" spans="1:3">
      <c r="A3814" s="406">
        <f>Return!A184</f>
        <v>45817</v>
      </c>
      <c r="B3814" s="408" t="s">
        <v>75</v>
      </c>
      <c r="C3814" s="409">
        <f>Return!S184</f>
        <v>5.8154342565924777E-3</v>
      </c>
    </row>
    <row r="3815" spans="1:3">
      <c r="A3815" s="406">
        <f>Return!A185</f>
        <v>45814</v>
      </c>
      <c r="B3815" s="408" t="s">
        <v>75</v>
      </c>
      <c r="C3815" s="409">
        <f>Return!S185</f>
        <v>5.3739818187981125E-3</v>
      </c>
    </row>
    <row r="3816" spans="1:3">
      <c r="A3816" s="406">
        <f>Return!A186</f>
        <v>45813</v>
      </c>
      <c r="B3816" s="408" t="s">
        <v>75</v>
      </c>
      <c r="C3816" s="409">
        <f>Return!S186</f>
        <v>-3.9633383238241171E-4</v>
      </c>
    </row>
    <row r="3817" spans="1:3">
      <c r="A3817" s="406">
        <f>Return!A187</f>
        <v>45812</v>
      </c>
      <c r="B3817" s="408" t="s">
        <v>75</v>
      </c>
      <c r="C3817" s="409">
        <f>Return!S187</f>
        <v>3.1201301256893466E-3</v>
      </c>
    </row>
    <row r="3818" spans="1:3">
      <c r="A3818" s="406">
        <f>Return!A188</f>
        <v>45811</v>
      </c>
      <c r="B3818" s="408" t="s">
        <v>75</v>
      </c>
      <c r="C3818" s="409">
        <f>Return!S188</f>
        <v>4.9846518664203865E-4</v>
      </c>
    </row>
    <row r="3819" spans="1:3">
      <c r="A3819" s="406">
        <f>Return!A189</f>
        <v>45810</v>
      </c>
      <c r="B3819" s="408" t="s">
        <v>75</v>
      </c>
      <c r="C3819" s="409">
        <f>Return!S189</f>
        <v>1.7907606492041928E-3</v>
      </c>
    </row>
    <row r="3820" spans="1:3">
      <c r="A3820" s="406">
        <f>Return!A190</f>
        <v>45807</v>
      </c>
      <c r="B3820" s="408" t="s">
        <v>75</v>
      </c>
      <c r="C3820" s="409">
        <f>Return!S190</f>
        <v>-2.5141345512187385E-3</v>
      </c>
    </row>
    <row r="3821" spans="1:3">
      <c r="A3821" s="406">
        <f>Return!A191</f>
        <v>45806</v>
      </c>
      <c r="B3821" s="408" t="s">
        <v>75</v>
      </c>
      <c r="C3821" s="409">
        <f>Return!S191</f>
        <v>7.3342865572367799E-5</v>
      </c>
    </row>
    <row r="3822" spans="1:3">
      <c r="A3822" s="406">
        <f>Return!A192</f>
        <v>45805</v>
      </c>
      <c r="B3822" s="408" t="s">
        <v>75</v>
      </c>
      <c r="C3822" s="409">
        <f>Return!S192</f>
        <v>3.6623403345812378E-3</v>
      </c>
    </row>
    <row r="3823" spans="1:3">
      <c r="A3823" s="406">
        <f>Return!A193</f>
        <v>45804</v>
      </c>
      <c r="B3823" s="408" t="s">
        <v>75</v>
      </c>
      <c r="C3823" s="409">
        <f>Return!S193</f>
        <v>2.8074036729299756E-3</v>
      </c>
    </row>
    <row r="3824" spans="1:3">
      <c r="A3824" s="406">
        <f>Return!A194</f>
        <v>45803</v>
      </c>
      <c r="B3824" s="408" t="s">
        <v>75</v>
      </c>
      <c r="C3824" s="409">
        <f>Return!S194</f>
        <v>-4.4965444383579523E-3</v>
      </c>
    </row>
    <row r="3825" spans="1:3">
      <c r="A3825" s="406">
        <f>Return!A195</f>
        <v>45800</v>
      </c>
      <c r="B3825" s="408" t="s">
        <v>75</v>
      </c>
      <c r="C3825" s="409">
        <f>Return!S195</f>
        <v>7.2346133291550929E-3</v>
      </c>
    </row>
    <row r="3826" spans="1:3">
      <c r="A3826" s="406">
        <f>Return!A196</f>
        <v>45799</v>
      </c>
      <c r="B3826" s="408" t="s">
        <v>75</v>
      </c>
      <c r="C3826" s="409">
        <f>Return!S196</f>
        <v>-3.8441736789325831E-3</v>
      </c>
    </row>
    <row r="3827" spans="1:3">
      <c r="A3827" s="406">
        <f>Return!A197</f>
        <v>45798</v>
      </c>
      <c r="B3827" s="408" t="s">
        <v>75</v>
      </c>
      <c r="C3827" s="409">
        <f>Return!S197</f>
        <v>8.3479872604147465E-4</v>
      </c>
    </row>
    <row r="3828" spans="1:3">
      <c r="A3828" s="406">
        <f>Return!A198</f>
        <v>45797</v>
      </c>
      <c r="B3828" s="408" t="s">
        <v>75</v>
      </c>
      <c r="C3828" s="409">
        <f>Return!S198</f>
        <v>1.6958533472222204E-5</v>
      </c>
    </row>
    <row r="3829" spans="1:3">
      <c r="A3829" s="406">
        <f>Return!A199</f>
        <v>45796</v>
      </c>
      <c r="B3829" s="408" t="s">
        <v>75</v>
      </c>
      <c r="C3829" s="409">
        <f>Return!S199</f>
        <v>6.2518528517543359E-3</v>
      </c>
    </row>
    <row r="3830" spans="1:3">
      <c r="A3830" s="406">
        <f>Return!A200</f>
        <v>45793</v>
      </c>
      <c r="B3830" s="408" t="s">
        <v>75</v>
      </c>
      <c r="C3830" s="409">
        <f>Return!S200</f>
        <v>-2.1331208912405697E-3</v>
      </c>
    </row>
    <row r="3831" spans="1:3">
      <c r="A3831" s="406">
        <f>Return!A201</f>
        <v>45792</v>
      </c>
      <c r="B3831" s="408" t="s">
        <v>75</v>
      </c>
      <c r="C3831" s="409">
        <f>Return!S201</f>
        <v>8.5324976212213244E-3</v>
      </c>
    </row>
    <row r="3832" spans="1:3">
      <c r="A3832" s="406">
        <f>Return!A202</f>
        <v>45791</v>
      </c>
      <c r="B3832" s="408" t="s">
        <v>75</v>
      </c>
      <c r="C3832" s="409">
        <f>Return!S202</f>
        <v>2.1704899772695407E-3</v>
      </c>
    </row>
    <row r="3833" spans="1:3">
      <c r="A3833" s="406">
        <f>Return!A203</f>
        <v>45790</v>
      </c>
      <c r="B3833" s="408" t="s">
        <v>75</v>
      </c>
      <c r="C3833" s="409">
        <f>Return!S203</f>
        <v>1.8815496849739488E-3</v>
      </c>
    </row>
    <row r="3834" spans="1:3">
      <c r="A3834" s="406">
        <f>Return!A204</f>
        <v>45789</v>
      </c>
      <c r="B3834" s="408" t="s">
        <v>75</v>
      </c>
      <c r="C3834" s="409">
        <f>Return!S204</f>
        <v>-6.7078794953444043E-3</v>
      </c>
    </row>
    <row r="3835" spans="1:3">
      <c r="A3835" s="406">
        <f>Return!A205</f>
        <v>45786</v>
      </c>
      <c r="B3835" s="408" t="s">
        <v>75</v>
      </c>
      <c r="C3835" s="409">
        <f>Return!S205</f>
        <v>1.8111084619646389E-3</v>
      </c>
    </row>
    <row r="3836" spans="1:3">
      <c r="A3836" s="406">
        <f>Return!A206</f>
        <v>45785</v>
      </c>
      <c r="B3836" s="408" t="s">
        <v>75</v>
      </c>
      <c r="C3836" s="409">
        <f>Return!S206</f>
        <v>-3.0497332868822391E-3</v>
      </c>
    </row>
    <row r="3837" spans="1:3">
      <c r="A3837" s="406">
        <f>Return!A207</f>
        <v>45784</v>
      </c>
      <c r="B3837" s="408" t="s">
        <v>75</v>
      </c>
      <c r="C3837" s="409">
        <f>Return!S207</f>
        <v>2.471711728058934E-3</v>
      </c>
    </row>
    <row r="3838" spans="1:3">
      <c r="A3838" s="406">
        <f>Return!A208</f>
        <v>45783</v>
      </c>
      <c r="B3838" s="408" t="s">
        <v>75</v>
      </c>
      <c r="C3838" s="409">
        <f>Return!S208</f>
        <v>-1.047147571328555E-2</v>
      </c>
    </row>
    <row r="3839" spans="1:3">
      <c r="A3839" s="406">
        <f>Return!A209</f>
        <v>45782</v>
      </c>
      <c r="B3839" s="408" t="s">
        <v>75</v>
      </c>
      <c r="C3839" s="409">
        <f>Return!S209</f>
        <v>-7.3020749633956328E-4</v>
      </c>
    </row>
    <row r="3840" spans="1:3">
      <c r="A3840" s="406">
        <f>Return!A210</f>
        <v>45779</v>
      </c>
      <c r="B3840" s="408" t="s">
        <v>75</v>
      </c>
      <c r="C3840" s="409">
        <f>Return!S210</f>
        <v>-5.6137373619338238E-3</v>
      </c>
    </row>
    <row r="3841" spans="1:3">
      <c r="A3841" s="406">
        <f>Return!A211</f>
        <v>45777</v>
      </c>
      <c r="B3841" s="408" t="s">
        <v>75</v>
      </c>
      <c r="C3841" s="409">
        <f>Return!S211</f>
        <v>1.1266505844746089E-2</v>
      </c>
    </row>
    <row r="3842" spans="1:3">
      <c r="A3842" s="406">
        <f>Return!A212</f>
        <v>45776</v>
      </c>
      <c r="B3842" s="408" t="s">
        <v>75</v>
      </c>
      <c r="C3842" s="409">
        <f>Return!S212</f>
        <v>-1.1806703265379692E-2</v>
      </c>
    </row>
    <row r="3843" spans="1:3">
      <c r="A3843" s="406">
        <f>Return!A213</f>
        <v>45775</v>
      </c>
      <c r="B3843" s="408" t="s">
        <v>75</v>
      </c>
      <c r="C3843" s="409">
        <f>Return!S213</f>
        <v>3.9855900345480699E-3</v>
      </c>
    </row>
    <row r="3844" spans="1:3">
      <c r="A3844" s="406">
        <f>Return!A214</f>
        <v>45772</v>
      </c>
      <c r="B3844" s="408" t="s">
        <v>75</v>
      </c>
      <c r="C3844" s="409">
        <f>Return!S214</f>
        <v>1.0632533529648103E-3</v>
      </c>
    </row>
    <row r="3845" spans="1:3">
      <c r="A3845" s="406">
        <f>Return!A215</f>
        <v>45771</v>
      </c>
      <c r="B3845" s="408" t="s">
        <v>75</v>
      </c>
      <c r="C3845" s="409">
        <f>Return!S215</f>
        <v>9.9599507888035177E-3</v>
      </c>
    </row>
    <row r="3846" spans="1:3">
      <c r="A3846" s="406">
        <f>Return!A216</f>
        <v>45770</v>
      </c>
      <c r="B3846" s="408" t="s">
        <v>75</v>
      </c>
      <c r="C3846" s="409">
        <f>Return!S216</f>
        <v>-3.5921526735042675E-3</v>
      </c>
    </row>
    <row r="3847" spans="1:3">
      <c r="A3847" s="406">
        <f>Return!A217</f>
        <v>45769</v>
      </c>
      <c r="B3847" s="408" t="s">
        <v>75</v>
      </c>
      <c r="C3847" s="409">
        <f>Return!S217</f>
        <v>6.7532848709913607E-3</v>
      </c>
    </row>
    <row r="3848" spans="1:3">
      <c r="A3848" s="406">
        <f>Return!A218</f>
        <v>45768</v>
      </c>
      <c r="B3848" s="408" t="s">
        <v>75</v>
      </c>
      <c r="C3848" s="409">
        <f>Return!S218</f>
        <v>4.7169096177626102E-3</v>
      </c>
    </row>
    <row r="3849" spans="1:3">
      <c r="A3849" s="406">
        <f>Return!A219</f>
        <v>45764</v>
      </c>
      <c r="B3849" s="408" t="s">
        <v>75</v>
      </c>
      <c r="C3849" s="409">
        <f>Return!S219</f>
        <v>1.615300455879487E-2</v>
      </c>
    </row>
    <row r="3850" spans="1:3">
      <c r="A3850" s="406">
        <f>Return!A220</f>
        <v>45763</v>
      </c>
      <c r="B3850" s="408" t="s">
        <v>75</v>
      </c>
      <c r="C3850" s="409">
        <f>Return!S220</f>
        <v>1.3092956380816978E-2</v>
      </c>
    </row>
    <row r="3851" spans="1:3">
      <c r="A3851" s="406">
        <f>Return!A221</f>
        <v>45762</v>
      </c>
      <c r="B3851" s="408" t="s">
        <v>75</v>
      </c>
      <c r="C3851" s="409">
        <f>Return!S221</f>
        <v>-1.3633915622263681E-3</v>
      </c>
    </row>
    <row r="3852" spans="1:3">
      <c r="A3852" s="406">
        <f>Return!A222</f>
        <v>45758</v>
      </c>
      <c r="B3852" s="408" t="s">
        <v>75</v>
      </c>
      <c r="C3852" s="409">
        <f>Return!S222</f>
        <v>1.3691300055342359E-2</v>
      </c>
    </row>
    <row r="3853" spans="1:3">
      <c r="A3853" s="406">
        <f>Return!A223</f>
        <v>45756</v>
      </c>
      <c r="B3853" s="408" t="s">
        <v>75</v>
      </c>
      <c r="C3853" s="409">
        <f>Return!S223</f>
        <v>-5.1483926026772431E-3</v>
      </c>
    </row>
    <row r="3854" spans="1:3">
      <c r="A3854" s="406">
        <f>Return!A224</f>
        <v>45755</v>
      </c>
      <c r="B3854" s="408" t="s">
        <v>75</v>
      </c>
      <c r="C3854" s="409">
        <f>Return!S224</f>
        <v>-5.5937440329023591E-3</v>
      </c>
    </row>
    <row r="3855" spans="1:3">
      <c r="A3855" s="406">
        <f>Return!A225</f>
        <v>45754</v>
      </c>
      <c r="B3855" s="408" t="s">
        <v>75</v>
      </c>
      <c r="C3855" s="409">
        <f>Return!S225</f>
        <v>5.1054060084069763E-3</v>
      </c>
    </row>
    <row r="3856" spans="1:3">
      <c r="A3856" s="406">
        <f>Return!A226</f>
        <v>45751</v>
      </c>
      <c r="B3856" s="408" t="s">
        <v>75</v>
      </c>
      <c r="C3856" s="409">
        <f>Return!S226</f>
        <v>1.3592098680906051E-2</v>
      </c>
    </row>
    <row r="3857" spans="1:3">
      <c r="A3857" s="406">
        <f>Return!A227</f>
        <v>45750</v>
      </c>
      <c r="B3857" s="408" t="s">
        <v>75</v>
      </c>
      <c r="C3857" s="409">
        <f>Return!S227</f>
        <v>-2.2616649120950794E-2</v>
      </c>
    </row>
    <row r="3858" spans="1:3">
      <c r="A3858" s="406">
        <f>Return!A228</f>
        <v>45749</v>
      </c>
      <c r="B3858" s="408" t="s">
        <v>75</v>
      </c>
      <c r="C3858" s="409">
        <f>Return!S228</f>
        <v>-1.5757301788460853E-2</v>
      </c>
    </row>
    <row r="3859" spans="1:3">
      <c r="A3859" s="406">
        <f>Return!A229</f>
        <v>45748</v>
      </c>
      <c r="B3859" s="408" t="s">
        <v>75</v>
      </c>
      <c r="C3859" s="409">
        <f>Return!S229</f>
        <v>8.8357008884726307E-3</v>
      </c>
    </row>
    <row r="3860" spans="1:3">
      <c r="A3860" s="406">
        <f>Return!A230</f>
        <v>45744</v>
      </c>
      <c r="B3860" s="408" t="s">
        <v>75</v>
      </c>
      <c r="C3860" s="409">
        <f>Return!S230</f>
        <v>-1.2666729846644853E-3</v>
      </c>
    </row>
    <row r="3861" spans="1:3">
      <c r="A3861" s="406">
        <f>Return!A231</f>
        <v>45743</v>
      </c>
      <c r="B3861" s="408" t="s">
        <v>75</v>
      </c>
      <c r="C3861" s="409">
        <f>Return!S231</f>
        <v>-1.3268909886892055E-2</v>
      </c>
    </row>
    <row r="3862" spans="1:3">
      <c r="A3862" s="406">
        <f>Return!A232</f>
        <v>45742</v>
      </c>
      <c r="B3862" s="408" t="s">
        <v>75</v>
      </c>
      <c r="C3862" s="409">
        <f>Return!S232</f>
        <v>-4.2687823926527146E-3</v>
      </c>
    </row>
    <row r="3863" spans="1:3">
      <c r="A3863" s="406">
        <f>Return!A233</f>
        <v>45741</v>
      </c>
      <c r="B3863" s="408" t="s">
        <v>75</v>
      </c>
      <c r="C3863" s="409">
        <f>Return!S233</f>
        <v>4.6165566692404347E-3</v>
      </c>
    </row>
    <row r="3864" spans="1:3">
      <c r="A3864" s="406">
        <f>Return!A234</f>
        <v>45740</v>
      </c>
      <c r="B3864" s="408" t="s">
        <v>75</v>
      </c>
      <c r="C3864" s="409">
        <f>Return!S234</f>
        <v>4.5144098031993929E-3</v>
      </c>
    </row>
    <row r="3865" spans="1:3">
      <c r="A3865" s="406">
        <f>Return!A235</f>
        <v>45737</v>
      </c>
      <c r="B3865" s="408" t="s">
        <v>75</v>
      </c>
      <c r="C3865" s="409">
        <f>Return!S235</f>
        <v>-3.212112924660393E-3</v>
      </c>
    </row>
    <row r="3866" spans="1:3">
      <c r="A3866" s="406">
        <f>Return!A236</f>
        <v>45736</v>
      </c>
      <c r="B3866" s="408" t="s">
        <v>75</v>
      </c>
      <c r="C3866" s="409">
        <f>Return!S236</f>
        <v>1.3928236430210683E-3</v>
      </c>
    </row>
    <row r="3867" spans="1:3">
      <c r="A3867" s="406">
        <f>Return!A237</f>
        <v>45735</v>
      </c>
      <c r="B3867" s="408" t="s">
        <v>75</v>
      </c>
      <c r="C3867" s="409">
        <f>Return!S237</f>
        <v>1.0845262206577222E-2</v>
      </c>
    </row>
    <row r="3868" spans="1:3">
      <c r="A3868" s="406">
        <f>Return!A238</f>
        <v>45734</v>
      </c>
      <c r="B3868" s="408" t="s">
        <v>75</v>
      </c>
      <c r="C3868" s="409">
        <f>Return!S238</f>
        <v>1.3266068005816978E-2</v>
      </c>
    </row>
    <row r="3869" spans="1:3">
      <c r="A3869" s="406">
        <f>Return!A239</f>
        <v>45733</v>
      </c>
      <c r="B3869" s="408" t="s">
        <v>75</v>
      </c>
      <c r="C3869" s="409">
        <f>Return!S239</f>
        <v>4.1787966865465265E-3</v>
      </c>
    </row>
    <row r="3870" spans="1:3">
      <c r="A3870" s="406">
        <f>Return!A240</f>
        <v>45729</v>
      </c>
      <c r="B3870" s="408" t="s">
        <v>75</v>
      </c>
      <c r="C3870" s="409">
        <f>Return!S240</f>
        <v>5.7276280447610128E-3</v>
      </c>
    </row>
    <row r="3871" spans="1:3">
      <c r="A3871" s="406">
        <f>Return!A241</f>
        <v>45728</v>
      </c>
      <c r="B3871" s="408" t="s">
        <v>75</v>
      </c>
      <c r="C3871" s="409">
        <f>Return!S241</f>
        <v>5.3401772986353402E-3</v>
      </c>
    </row>
    <row r="3872" spans="1:3">
      <c r="A3872" s="406">
        <f>Return!A242</f>
        <v>45727</v>
      </c>
      <c r="B3872" s="408" t="s">
        <v>75</v>
      </c>
      <c r="C3872" s="409">
        <f>Return!S242</f>
        <v>1.1078932060970548E-3</v>
      </c>
    </row>
    <row r="3873" spans="1:3">
      <c r="A3873" s="406">
        <f>Return!A243</f>
        <v>45726</v>
      </c>
      <c r="B3873" s="408" t="s">
        <v>75</v>
      </c>
      <c r="C3873" s="409">
        <f>Return!S243</f>
        <v>-7.3008636221461032E-4</v>
      </c>
    </row>
    <row r="3874" spans="1:3">
      <c r="A3874" s="406">
        <f>Return!A244</f>
        <v>45723</v>
      </c>
      <c r="B3874" s="408" t="s">
        <v>75</v>
      </c>
      <c r="C3874" s="409">
        <f>Return!S244</f>
        <v>4.8422474771179225E-3</v>
      </c>
    </row>
    <row r="3875" spans="1:3">
      <c r="A3875" s="406">
        <f>Return!A245</f>
        <v>45722</v>
      </c>
      <c r="B3875" s="408" t="s">
        <v>75</v>
      </c>
      <c r="C3875" s="409">
        <f>Return!S245</f>
        <v>9.2291166504098188E-3</v>
      </c>
    </row>
    <row r="3876" spans="1:3">
      <c r="A3876" s="406">
        <f>Return!A246</f>
        <v>45721</v>
      </c>
      <c r="B3876" s="408" t="s">
        <v>75</v>
      </c>
      <c r="C3876" s="409">
        <f>Return!S246</f>
        <v>-3.5713824232634361E-3</v>
      </c>
    </row>
    <row r="3877" spans="1:3">
      <c r="A3877" s="406">
        <f>Return!A247</f>
        <v>45720</v>
      </c>
      <c r="B3877" s="408" t="s">
        <v>75</v>
      </c>
      <c r="C3877" s="409">
        <f>Return!S247</f>
        <v>2.2633675828888089E-3</v>
      </c>
    </row>
    <row r="3878" spans="1:3">
      <c r="A3878" s="406">
        <f>Return!A248</f>
        <v>45719</v>
      </c>
      <c r="B3878" s="408" t="s">
        <v>75</v>
      </c>
      <c r="C3878" s="409">
        <f>Return!S248</f>
        <v>-5.006397025961784E-3</v>
      </c>
    </row>
    <row r="3879" spans="1:3">
      <c r="A3879" s="406">
        <f>Return!A249</f>
        <v>45716</v>
      </c>
      <c r="B3879" s="408" t="s">
        <v>75</v>
      </c>
      <c r="C3879" s="409">
        <f>Return!S249</f>
        <v>6.1529351910011298E-3</v>
      </c>
    </row>
    <row r="3880" spans="1:3">
      <c r="A3880" s="406">
        <f>Return!A250</f>
        <v>45715</v>
      </c>
      <c r="B3880" s="408" t="s">
        <v>75</v>
      </c>
      <c r="C3880" s="409">
        <f>Return!S250</f>
        <v>6.0639280744086976E-3</v>
      </c>
    </row>
    <row r="3881" spans="1:3">
      <c r="A3881" s="406">
        <f>Return!A251</f>
        <v>45713</v>
      </c>
      <c r="B3881" s="408" t="s">
        <v>75</v>
      </c>
      <c r="C3881" s="409">
        <f>Return!S251</f>
        <v>9.6200420325209812E-5</v>
      </c>
    </row>
    <row r="3882" spans="1:3">
      <c r="A3882" s="406">
        <f>Return!A252</f>
        <v>45712</v>
      </c>
      <c r="B3882" s="408" t="s">
        <v>75</v>
      </c>
      <c r="C3882" s="409">
        <f>Return!S252</f>
        <v>-1.4580721237522132E-2</v>
      </c>
    </row>
    <row r="3883" spans="1:3">
      <c r="A3883" s="406">
        <f>Return!A253</f>
        <v>45709</v>
      </c>
      <c r="B3883" s="408" t="s">
        <v>75</v>
      </c>
      <c r="C3883" s="409">
        <f>Return!S253</f>
        <v>-3.1461382803164017E-3</v>
      </c>
    </row>
    <row r="3884" spans="1:3">
      <c r="A3884" s="406">
        <f>Return!A254</f>
        <v>45708</v>
      </c>
      <c r="B3884" s="408" t="s">
        <v>75</v>
      </c>
      <c r="C3884" s="409">
        <f>Return!S254</f>
        <v>2.7113048849160548E-3</v>
      </c>
    </row>
    <row r="3885" spans="1:3">
      <c r="A3885" s="406">
        <f>Return!A255</f>
        <v>45707</v>
      </c>
      <c r="B3885" s="408" t="s">
        <v>75</v>
      </c>
      <c r="C3885" s="409">
        <f>Return!S255</f>
        <v>-3.4279872238093811E-3</v>
      </c>
    </row>
    <row r="3886" spans="1:3">
      <c r="A3886" s="406">
        <f>Return!A256</f>
        <v>45706</v>
      </c>
      <c r="B3886" s="408" t="s">
        <v>75</v>
      </c>
      <c r="C3886" s="409">
        <f>Return!S256</f>
        <v>7.393675038622205E-4</v>
      </c>
    </row>
    <row r="3887" spans="1:3">
      <c r="A3887" s="406">
        <f>Return!A257</f>
        <v>45705</v>
      </c>
      <c r="B3887" s="408" t="s">
        <v>75</v>
      </c>
      <c r="C3887" s="409">
        <f>Return!S257</f>
        <v>-8.9807975423642494E-3</v>
      </c>
    </row>
    <row r="3888" spans="1:3">
      <c r="A3888" s="406">
        <f>Return!A258</f>
        <v>45702</v>
      </c>
      <c r="B3888" s="408" t="s">
        <v>75</v>
      </c>
      <c r="C3888" s="409">
        <f>Return!S258</f>
        <v>1.621705756111147E-3</v>
      </c>
    </row>
    <row r="3889" spans="1:3">
      <c r="A3889" s="406">
        <f>Return!A259</f>
        <v>45701</v>
      </c>
      <c r="B3889" s="408" t="s">
        <v>75</v>
      </c>
      <c r="C3889" s="409">
        <f>Return!S259</f>
        <v>-5.4939325559628105E-3</v>
      </c>
    </row>
    <row r="3890" spans="1:3">
      <c r="A3890" s="406">
        <f>Return!A260</f>
        <v>45700</v>
      </c>
      <c r="B3890" s="408" t="s">
        <v>75</v>
      </c>
      <c r="C3890" s="409">
        <f>Return!S260</f>
        <v>-8.7152236762016999E-3</v>
      </c>
    </row>
    <row r="3891" spans="1:3">
      <c r="A3891" s="406">
        <f>Return!A261</f>
        <v>45699</v>
      </c>
      <c r="B3891" s="408" t="s">
        <v>75</v>
      </c>
      <c r="C3891" s="409">
        <f>Return!S261</f>
        <v>-2.3185954141137166E-2</v>
      </c>
    </row>
    <row r="3892" spans="1:3">
      <c r="A3892" s="406">
        <f>Return!A262</f>
        <v>45698</v>
      </c>
      <c r="B3892" s="408" t="s">
        <v>75</v>
      </c>
      <c r="C3892" s="409">
        <f>Return!S262</f>
        <v>2.7188447750505773E-3</v>
      </c>
    </row>
    <row r="3893" spans="1:3">
      <c r="A3893" s="406">
        <f>Return!A263</f>
        <v>45695</v>
      </c>
      <c r="B3893" s="408" t="s">
        <v>75</v>
      </c>
      <c r="C3893" s="409">
        <f>Return!S263</f>
        <v>1.6342775381205654E-3</v>
      </c>
    </row>
    <row r="3894" spans="1:3">
      <c r="A3894" s="406">
        <f>Return!A264</f>
        <v>45694</v>
      </c>
      <c r="B3894" s="408" t="s">
        <v>75</v>
      </c>
      <c r="C3894" s="409">
        <f>Return!S264</f>
        <v>-7.0065817963074761E-3</v>
      </c>
    </row>
    <row r="3895" spans="1:3">
      <c r="A3895" s="406">
        <f>Return!A265</f>
        <v>45693</v>
      </c>
      <c r="B3895" s="408" t="s">
        <v>75</v>
      </c>
      <c r="C3895" s="409">
        <f>Return!S265</f>
        <v>-5.4507692786533446E-3</v>
      </c>
    </row>
    <row r="3896" spans="1:3">
      <c r="A3896" s="406">
        <f>Return!A266</f>
        <v>45692</v>
      </c>
      <c r="B3896" s="408" t="s">
        <v>75</v>
      </c>
      <c r="C3896" s="409">
        <f>Return!S266</f>
        <v>1.4413468300621957E-3</v>
      </c>
    </row>
    <row r="3897" spans="1:3">
      <c r="A3897" s="406">
        <f>Return!A267</f>
        <v>45691</v>
      </c>
      <c r="B3897" s="408" t="s">
        <v>75</v>
      </c>
      <c r="C3897" s="409">
        <f>Return!S267</f>
        <v>1.0320775315660891E-3</v>
      </c>
    </row>
    <row r="3898" spans="1:3">
      <c r="A3898" s="406">
        <f>Return!A268</f>
        <v>45689</v>
      </c>
      <c r="B3898" s="408" t="s">
        <v>75</v>
      </c>
      <c r="C3898" s="409">
        <f>Return!S268</f>
        <v>1.0729845257129722E-2</v>
      </c>
    </row>
    <row r="3899" spans="1:3">
      <c r="A3899" s="406">
        <f>Return!A269</f>
        <v>45688</v>
      </c>
      <c r="B3899" s="408" t="s">
        <v>75</v>
      </c>
      <c r="C3899" s="409">
        <f>Return!S269</f>
        <v>1.7499911387597433E-2</v>
      </c>
    </row>
    <row r="3900" spans="1:3">
      <c r="A3900" s="406">
        <f>Return!A270</f>
        <v>45687</v>
      </c>
      <c r="B3900" s="408" t="s">
        <v>75</v>
      </c>
      <c r="C3900" s="409">
        <f>Return!S270</f>
        <v>-6.1549193901081489E-3</v>
      </c>
    </row>
    <row r="3901" spans="1:3">
      <c r="A3901" s="406">
        <f>Return!A271</f>
        <v>45686</v>
      </c>
      <c r="B3901" s="408" t="s">
        <v>75</v>
      </c>
      <c r="C3901" s="409">
        <f>Return!S271</f>
        <v>-1.04324118856986E-2</v>
      </c>
    </row>
    <row r="3902" spans="1:3">
      <c r="A3902" s="406">
        <f>Return!A272</f>
        <v>45685</v>
      </c>
      <c r="B3902" s="408" t="s">
        <v>75</v>
      </c>
      <c r="C3902" s="409">
        <f>Return!S272</f>
        <v>-4.7904047937552541E-3</v>
      </c>
    </row>
    <row r="3903" spans="1:3">
      <c r="A3903" s="406">
        <f>Return!A273</f>
        <v>45684</v>
      </c>
      <c r="B3903" s="408" t="s">
        <v>75</v>
      </c>
      <c r="C3903" s="409">
        <f>Return!S273</f>
        <v>1.4979420892222595E-2</v>
      </c>
    </row>
    <row r="3904" spans="1:3">
      <c r="A3904" s="406">
        <f>Return!A274</f>
        <v>45681</v>
      </c>
      <c r="B3904" s="408" t="s">
        <v>75</v>
      </c>
      <c r="C3904" s="409">
        <f>Return!S274</f>
        <v>-8.9822239325106912E-3</v>
      </c>
    </row>
    <row r="3905" spans="1:3">
      <c r="A3905" s="406">
        <f>Return!A275</f>
        <v>45680</v>
      </c>
      <c r="B3905" s="408" t="s">
        <v>75</v>
      </c>
      <c r="C3905" s="409">
        <f>Return!S275</f>
        <v>-1.6333662675406702E-2</v>
      </c>
    </row>
    <row r="3906" spans="1:3">
      <c r="A3906" s="406">
        <f>Return!A276</f>
        <v>45679</v>
      </c>
      <c r="B3906" s="408" t="s">
        <v>75</v>
      </c>
      <c r="C3906" s="409">
        <f>Return!S276</f>
        <v>-5.9916924589255016E-3</v>
      </c>
    </row>
    <row r="3907" spans="1:3">
      <c r="A3907" s="406">
        <f>Return!A277</f>
        <v>45678</v>
      </c>
      <c r="B3907" s="408" t="s">
        <v>75</v>
      </c>
      <c r="C3907" s="409">
        <f>Return!S277</f>
        <v>6.8125448398120847E-3</v>
      </c>
    </row>
    <row r="3908" spans="1:3">
      <c r="A3908" s="406">
        <f>Return!A278</f>
        <v>45677</v>
      </c>
      <c r="B3908" s="408" t="s">
        <v>75</v>
      </c>
      <c r="C3908" s="409">
        <f>Return!S278</f>
        <v>-2.4791585155389817E-3</v>
      </c>
    </row>
    <row r="3909" spans="1:3">
      <c r="A3909" s="406">
        <f>Return!A279</f>
        <v>45674</v>
      </c>
      <c r="B3909" s="408" t="s">
        <v>75</v>
      </c>
      <c r="C3909" s="409">
        <f>Return!S279</f>
        <v>-7.9939562651163421E-3</v>
      </c>
    </row>
    <row r="3910" spans="1:3">
      <c r="A3910" s="406">
        <f>Return!A280</f>
        <v>45673</v>
      </c>
      <c r="B3910" s="408" t="s">
        <v>75</v>
      </c>
      <c r="C3910" s="409">
        <f>Return!S280</f>
        <v>6.9560376581879746E-3</v>
      </c>
    </row>
    <row r="3911" spans="1:3">
      <c r="A3911" s="406">
        <f>Return!A281</f>
        <v>45672</v>
      </c>
      <c r="B3911" s="408" t="s">
        <v>75</v>
      </c>
      <c r="C3911" s="409">
        <f>Return!S281</f>
        <v>-1.2298540033506111E-2</v>
      </c>
    </row>
    <row r="3912" spans="1:3">
      <c r="A3912" s="406">
        <f>Return!A282</f>
        <v>45671</v>
      </c>
      <c r="B3912" s="408" t="s">
        <v>75</v>
      </c>
      <c r="C3912" s="409">
        <f>Return!S282</f>
        <v>-7.8869914233740124E-3</v>
      </c>
    </row>
    <row r="3913" spans="1:3">
      <c r="A3913" s="406">
        <f>Return!A283</f>
        <v>45670</v>
      </c>
      <c r="B3913" s="408" t="s">
        <v>75</v>
      </c>
      <c r="C3913" s="409">
        <f>Return!S283</f>
        <v>-8.5865666480892111E-3</v>
      </c>
    </row>
    <row r="3914" spans="1:3">
      <c r="A3914" s="406">
        <f>Return!A284</f>
        <v>45667</v>
      </c>
      <c r="B3914" s="408" t="s">
        <v>75</v>
      </c>
      <c r="C3914" s="409">
        <f>Return!S284</f>
        <v>-2.0340464238945977E-3</v>
      </c>
    </row>
    <row r="3915" spans="1:3">
      <c r="A3915" s="406">
        <f>Return!A285</f>
        <v>45666</v>
      </c>
      <c r="B3915" s="408" t="s">
        <v>75</v>
      </c>
      <c r="C3915" s="409">
        <f>Return!S285</f>
        <v>-8.1778174199792497E-3</v>
      </c>
    </row>
    <row r="3916" spans="1:3">
      <c r="A3916" s="406">
        <f>Return!A286</f>
        <v>45665</v>
      </c>
      <c r="B3916" s="408" t="s">
        <v>75</v>
      </c>
      <c r="C3916" s="409">
        <f>Return!S286</f>
        <v>-1.2478571812739869E-2</v>
      </c>
    </row>
    <row r="3917" spans="1:3">
      <c r="A3917" s="406">
        <f>Return!A287</f>
        <v>45664</v>
      </c>
      <c r="B3917" s="408" t="s">
        <v>75</v>
      </c>
      <c r="C3917" s="409">
        <f>Return!S287</f>
        <v>-7.3803889401788392E-3</v>
      </c>
    </row>
    <row r="3918" spans="1:3">
      <c r="A3918" s="406">
        <f>Return!A288</f>
        <v>45663</v>
      </c>
      <c r="B3918" s="408" t="s">
        <v>75</v>
      </c>
      <c r="C3918" s="409">
        <f>Return!S288</f>
        <v>-1.1663386789942387E-3</v>
      </c>
    </row>
    <row r="3919" spans="1:3">
      <c r="A3919" s="406">
        <f>Return!A289</f>
        <v>45660</v>
      </c>
      <c r="B3919" s="408" t="s">
        <v>75</v>
      </c>
      <c r="C3919" s="409">
        <f>Return!S289</f>
        <v>9.252039754543584E-3</v>
      </c>
    </row>
    <row r="3920" spans="1:3">
      <c r="A3920" s="406">
        <f>Return!A290</f>
        <v>45659</v>
      </c>
      <c r="B3920" s="408" t="s">
        <v>75</v>
      </c>
      <c r="C3920" s="409">
        <f>Return!S290</f>
        <v>-1.5292504279340591E-3</v>
      </c>
    </row>
    <row r="3921" spans="1:3">
      <c r="A3921" s="406">
        <f>Return!A291</f>
        <v>45658</v>
      </c>
      <c r="B3921" s="408" t="s">
        <v>75</v>
      </c>
      <c r="C3921" s="409">
        <f>Return!S291</f>
        <v>4.4128702938302511E-3</v>
      </c>
    </row>
    <row r="3922" spans="1:3">
      <c r="A3922" s="406">
        <f>Return!A292</f>
        <v>45657</v>
      </c>
      <c r="B3922" s="408" t="s">
        <v>75</v>
      </c>
      <c r="C3922" s="409">
        <f>Return!S292</f>
        <v>7.3319932413858924E-3</v>
      </c>
    </row>
    <row r="3923" spans="1:3">
      <c r="A3923" s="406">
        <f>Return!A293</f>
        <v>45656</v>
      </c>
      <c r="B3923" s="408" t="s">
        <v>75</v>
      </c>
      <c r="C3923" s="409">
        <f>Return!S293</f>
        <v>4.1872280457680988E-3</v>
      </c>
    </row>
    <row r="3924" spans="1:3">
      <c r="A3924" s="406">
        <f>Return!A294</f>
        <v>45653</v>
      </c>
      <c r="B3924" s="408" t="s">
        <v>75</v>
      </c>
      <c r="C3924" s="409">
        <f>Return!S294</f>
        <v>-4.4970441816272189E-4</v>
      </c>
    </row>
    <row r="3925" spans="1:3">
      <c r="A3925" s="406">
        <f>Return!A295</f>
        <v>45652</v>
      </c>
      <c r="B3925" s="408" t="s">
        <v>75</v>
      </c>
      <c r="C3925" s="409">
        <f>Return!S295</f>
        <v>6.4360568189583134E-3</v>
      </c>
    </row>
    <row r="3926" spans="1:3">
      <c r="A3926" s="406">
        <f>Return!A296</f>
        <v>45650</v>
      </c>
      <c r="B3926" s="408" t="s">
        <v>75</v>
      </c>
      <c r="C3926" s="409">
        <f>Return!S296</f>
        <v>-1.8162122398215907E-3</v>
      </c>
    </row>
    <row r="3927" spans="1:3">
      <c r="A3927" s="406">
        <f>Return!A297</f>
        <v>45649</v>
      </c>
      <c r="B3927" s="408" t="s">
        <v>75</v>
      </c>
      <c r="C3927" s="409">
        <f>Return!S297</f>
        <v>7.3674584438244706E-3</v>
      </c>
    </row>
    <row r="3928" spans="1:3">
      <c r="A3928" s="406">
        <f>Return!A298</f>
        <v>45646</v>
      </c>
      <c r="B3928" s="408" t="s">
        <v>75</v>
      </c>
      <c r="C3928" s="409">
        <f>Return!S298</f>
        <v>6.5219315526223731E-3</v>
      </c>
    </row>
    <row r="3929" spans="1:3">
      <c r="A3929" s="406">
        <f>Return!A299</f>
        <v>45645</v>
      </c>
      <c r="B3929" s="408" t="s">
        <v>75</v>
      </c>
      <c r="C3929" s="409">
        <f>Return!S299</f>
        <v>-1.334575599859944E-3</v>
      </c>
    </row>
    <row r="3930" spans="1:3">
      <c r="A3930" s="406">
        <f>Return!A300</f>
        <v>45644</v>
      </c>
      <c r="B3930" s="408" t="s">
        <v>75</v>
      </c>
      <c r="C3930" s="409">
        <f>Return!S300</f>
        <v>-3.8509827190232881E-3</v>
      </c>
    </row>
    <row r="3931" spans="1:3">
      <c r="A3931" s="406">
        <f>Return!A301</f>
        <v>45643</v>
      </c>
      <c r="B3931" s="408" t="s">
        <v>75</v>
      </c>
      <c r="C3931" s="409">
        <f>Return!S301</f>
        <v>-2.4132459567977049E-4</v>
      </c>
    </row>
    <row r="3932" spans="1:3">
      <c r="A3932" s="406">
        <f>Return!A302</f>
        <v>45642</v>
      </c>
      <c r="B3932" s="408" t="s">
        <v>75</v>
      </c>
      <c r="C3932" s="409">
        <f>Return!S302</f>
        <v>-1.9736771135253628E-4</v>
      </c>
    </row>
    <row r="3933" spans="1:3">
      <c r="A3933" s="406">
        <f>Return!A303</f>
        <v>45639</v>
      </c>
      <c r="B3933" s="408" t="s">
        <v>75</v>
      </c>
      <c r="C3933" s="409">
        <f>Return!S303</f>
        <v>-5.4481695441177536E-4</v>
      </c>
    </row>
    <row r="3934" spans="1:3">
      <c r="A3934" s="406">
        <f>Return!A304</f>
        <v>45638</v>
      </c>
      <c r="B3934" s="408" t="s">
        <v>75</v>
      </c>
      <c r="C3934" s="409">
        <f>Return!S304</f>
        <v>-8.5081365853023616E-4</v>
      </c>
    </row>
    <row r="3935" spans="1:3">
      <c r="A3935" s="406">
        <f>Return!A305</f>
        <v>45637</v>
      </c>
      <c r="B3935" s="408" t="s">
        <v>75</v>
      </c>
      <c r="C3935" s="409">
        <f>Return!S305</f>
        <v>-6.128596588544255E-3</v>
      </c>
    </row>
    <row r="3936" spans="1:3">
      <c r="A3936" s="406">
        <f>Return!A306</f>
        <v>45636</v>
      </c>
      <c r="B3936" s="408" t="s">
        <v>75</v>
      </c>
      <c r="C3936" s="409">
        <f>Return!S306</f>
        <v>-3.5942574294346441E-3</v>
      </c>
    </row>
    <row r="3937" spans="1:3">
      <c r="A3937" s="406">
        <f>Return!A307</f>
        <v>45635</v>
      </c>
      <c r="B3937" s="408" t="s">
        <v>75</v>
      </c>
      <c r="C3937" s="409">
        <f>Return!S307</f>
        <v>8.2874006739558359E-4</v>
      </c>
    </row>
    <row r="3938" spans="1:3">
      <c r="A3938" s="406">
        <f>Return!A308</f>
        <v>45632</v>
      </c>
      <c r="B3938" s="408" t="s">
        <v>75</v>
      </c>
      <c r="C3938" s="409">
        <f>Return!S308</f>
        <v>7.0652171424395727E-4</v>
      </c>
    </row>
    <row r="3939" spans="1:3">
      <c r="A3939" s="406">
        <f>Return!A309</f>
        <v>45631</v>
      </c>
      <c r="B3939" s="408" t="s">
        <v>75</v>
      </c>
      <c r="C3939" s="409">
        <f>Return!S309</f>
        <v>1.4010456521724723E-3</v>
      </c>
    </row>
    <row r="3940" spans="1:3">
      <c r="A3940" s="406">
        <f>Return!A310</f>
        <v>45630</v>
      </c>
      <c r="B3940" s="408" t="s">
        <v>75</v>
      </c>
      <c r="C3940" s="409">
        <f>Return!S310</f>
        <v>4.1125365919196799E-3</v>
      </c>
    </row>
    <row r="3941" spans="1:3">
      <c r="A3941" s="406">
        <f>Return!A311</f>
        <v>45629</v>
      </c>
      <c r="B3941" s="408" t="s">
        <v>75</v>
      </c>
      <c r="C3941" s="409">
        <f>Return!S311</f>
        <v>1.054934921946471E-2</v>
      </c>
    </row>
    <row r="3942" spans="1:3">
      <c r="A3942" s="406">
        <f>Return!A312</f>
        <v>45628</v>
      </c>
      <c r="B3942" s="408" t="s">
        <v>75</v>
      </c>
      <c r="C3942" s="409">
        <f>Return!S312</f>
        <v>4.2002089604681325E-4</v>
      </c>
    </row>
    <row r="3943" spans="1:3">
      <c r="A3943" s="406">
        <f>Return!A313</f>
        <v>45625</v>
      </c>
      <c r="B3943" s="408" t="s">
        <v>75</v>
      </c>
      <c r="C3943" s="409">
        <f>Return!S313</f>
        <v>-7.617226782085651E-4</v>
      </c>
    </row>
    <row r="3944" spans="1:3">
      <c r="A3944" s="406">
        <f>Return!A314</f>
        <v>45624</v>
      </c>
      <c r="B3944" s="408" t="s">
        <v>75</v>
      </c>
      <c r="C3944" s="409">
        <f>Return!S314</f>
        <v>1.1935659643431129E-3</v>
      </c>
    </row>
    <row r="3945" spans="1:3">
      <c r="A3945" s="406">
        <f>Return!A315</f>
        <v>45623</v>
      </c>
      <c r="B3945" s="408" t="s">
        <v>75</v>
      </c>
      <c r="C3945" s="409">
        <f>Return!S315</f>
        <v>3.8797770554846456E-3</v>
      </c>
    </row>
    <row r="3946" spans="1:3">
      <c r="A3946" s="406">
        <f>Return!A316</f>
        <v>45622</v>
      </c>
      <c r="B3946" s="408" t="s">
        <v>75</v>
      </c>
      <c r="C3946" s="409">
        <f>Return!S316</f>
        <v>1.5239784232934594E-2</v>
      </c>
    </row>
    <row r="3947" spans="1:3">
      <c r="A3947" s="406">
        <f>Return!A317</f>
        <v>45621</v>
      </c>
      <c r="B3947" s="408" t="s">
        <v>75</v>
      </c>
      <c r="C3947" s="409">
        <f>Return!S317</f>
        <v>-8.2933625808151445E-4</v>
      </c>
    </row>
    <row r="3948" spans="1:3">
      <c r="A3948" s="406">
        <f>Return!A318</f>
        <v>45618</v>
      </c>
      <c r="B3948" s="408" t="s">
        <v>75</v>
      </c>
      <c r="C3948" s="409">
        <f>Return!S318</f>
        <v>2.3016253763164518E-3</v>
      </c>
    </row>
    <row r="3949" spans="1:3">
      <c r="A3949" s="406">
        <f>Return!A319</f>
        <v>45617</v>
      </c>
      <c r="B3949" s="408" t="s">
        <v>75</v>
      </c>
      <c r="C3949" s="409">
        <f>Return!S319</f>
        <v>-8.6153301536369686E-3</v>
      </c>
    </row>
    <row r="3950" spans="1:3">
      <c r="A3950" s="406">
        <f>Return!A320</f>
        <v>45615</v>
      </c>
      <c r="B3950" s="408" t="s">
        <v>75</v>
      </c>
      <c r="C3950" s="409">
        <f>Return!S320</f>
        <v>7.8023728889924371E-3</v>
      </c>
    </row>
    <row r="3951" spans="1:3">
      <c r="A3951" s="406">
        <f>Return!A321</f>
        <v>45614</v>
      </c>
      <c r="B3951" s="408" t="s">
        <v>75</v>
      </c>
      <c r="C3951" s="409">
        <f>Return!S321</f>
        <v>-4.841243168358933E-3</v>
      </c>
    </row>
    <row r="3952" spans="1:3">
      <c r="A3952" s="406">
        <f>Return!A322</f>
        <v>45610</v>
      </c>
      <c r="B3952" s="408" t="s">
        <v>75</v>
      </c>
      <c r="C3952" s="409">
        <f>Return!S322</f>
        <v>-2.396342334218815E-4</v>
      </c>
    </row>
    <row r="3953" spans="1:3">
      <c r="A3953" s="406">
        <f>Return!A323</f>
        <v>45609</v>
      </c>
      <c r="B3953" s="408" t="s">
        <v>75</v>
      </c>
      <c r="C3953" s="409">
        <f>Return!S323</f>
        <v>-1.0466314647779584E-3</v>
      </c>
    </row>
    <row r="3954" spans="1:3">
      <c r="A3954" s="406">
        <f>Return!A324</f>
        <v>45608</v>
      </c>
      <c r="B3954" s="408" t="s">
        <v>75</v>
      </c>
      <c r="C3954" s="409">
        <f>Return!S324</f>
        <v>-5.2185596989708927E-3</v>
      </c>
    </row>
    <row r="3955" spans="1:3">
      <c r="A3955" s="406">
        <f>Return!A325</f>
        <v>45607</v>
      </c>
      <c r="B3955" s="408" t="s">
        <v>75</v>
      </c>
      <c r="C3955" s="409">
        <f>Return!S325</f>
        <v>-1.1313313302081518E-3</v>
      </c>
    </row>
    <row r="3956" spans="1:3">
      <c r="A3956" s="406">
        <f>Return!A326</f>
        <v>45604</v>
      </c>
      <c r="B3956" s="408" t="s">
        <v>75</v>
      </c>
      <c r="C3956" s="409">
        <f>Return!S326</f>
        <v>-4.132105416120635E-3</v>
      </c>
    </row>
    <row r="3957" spans="1:3">
      <c r="A3957" s="406">
        <f>Return!A327</f>
        <v>45603</v>
      </c>
      <c r="B3957" s="408" t="s">
        <v>75</v>
      </c>
      <c r="C3957" s="409">
        <f>Return!S327</f>
        <v>4.3415419710368663E-4</v>
      </c>
    </row>
    <row r="3958" spans="1:3">
      <c r="A3958" s="406">
        <f>Return!A328</f>
        <v>45602</v>
      </c>
      <c r="B3958" s="408" t="s">
        <v>75</v>
      </c>
      <c r="C3958" s="409">
        <f>Return!S328</f>
        <v>-1.0226146395475255E-2</v>
      </c>
    </row>
    <row r="3959" spans="1:3">
      <c r="A3959" s="406">
        <f>Return!A329</f>
        <v>45601</v>
      </c>
      <c r="B3959" s="408" t="s">
        <v>75</v>
      </c>
      <c r="C3959" s="409">
        <f>Return!S329</f>
        <v>8.5968528999421645E-3</v>
      </c>
    </row>
    <row r="3960" spans="1:3">
      <c r="A3960" s="406">
        <f>Return!A330</f>
        <v>45600</v>
      </c>
      <c r="B3960" s="408" t="s">
        <v>75</v>
      </c>
      <c r="C3960" s="409">
        <f>Return!S330</f>
        <v>-4.2067625285385768E-3</v>
      </c>
    </row>
    <row r="3961" spans="1:3">
      <c r="A3961" s="406">
        <f>Return!A331</f>
        <v>45597</v>
      </c>
      <c r="B3961" s="408" t="s">
        <v>75</v>
      </c>
      <c r="C3961" s="409">
        <f>Return!S331</f>
        <v>7.990788043563124E-4</v>
      </c>
    </row>
    <row r="3962" spans="1:3">
      <c r="A3962" s="406">
        <f>Return!A332</f>
        <v>45596</v>
      </c>
      <c r="B3962" s="408" t="s">
        <v>75</v>
      </c>
      <c r="C3962" s="409">
        <f>Return!S332</f>
        <v>4.8751693962033604E-3</v>
      </c>
    </row>
    <row r="3963" spans="1:3">
      <c r="A3963" s="406">
        <f>Return!A333</f>
        <v>45595</v>
      </c>
      <c r="B3963" s="408" t="s">
        <v>75</v>
      </c>
      <c r="C3963" s="409">
        <f>Return!S333</f>
        <v>-2.8251188290201457E-4</v>
      </c>
    </row>
    <row r="3964" spans="1:3">
      <c r="A3964" s="406">
        <f>Return!A334</f>
        <v>45594</v>
      </c>
      <c r="B3964" s="408" t="s">
        <v>75</v>
      </c>
      <c r="C3964" s="409">
        <f>Return!S334</f>
        <v>8.8885986048595766E-3</v>
      </c>
    </row>
    <row r="3965" spans="1:3">
      <c r="A3965" s="406">
        <f>Return!A335</f>
        <v>45593</v>
      </c>
      <c r="B3965" s="408" t="s">
        <v>75</v>
      </c>
      <c r="C3965" s="409">
        <f>Return!S335</f>
        <v>-2.2705772653997536E-3</v>
      </c>
    </row>
    <row r="3966" spans="1:3">
      <c r="A3966" s="406">
        <f>Return!A336</f>
        <v>45590</v>
      </c>
      <c r="B3966" s="408" t="s">
        <v>75</v>
      </c>
      <c r="C3966" s="409">
        <f>Return!S336</f>
        <v>-7.2219328414456219E-3</v>
      </c>
    </row>
    <row r="3967" spans="1:3">
      <c r="A3967" s="406">
        <f>Return!A337</f>
        <v>45589</v>
      </c>
      <c r="B3967" s="408" t="s">
        <v>75</v>
      </c>
      <c r="C3967" s="409">
        <f>Return!S337</f>
        <v>3.1639768016444858E-3</v>
      </c>
    </row>
    <row r="3968" spans="1:3">
      <c r="A3968" s="406">
        <f>Return!A338</f>
        <v>45588</v>
      </c>
      <c r="B3968" s="408" t="s">
        <v>75</v>
      </c>
      <c r="C3968" s="409">
        <f>Return!S338</f>
        <v>1.47831798888165E-3</v>
      </c>
    </row>
    <row r="3969" spans="1:3">
      <c r="A3969" s="406">
        <f>Return!A339</f>
        <v>45587</v>
      </c>
      <c r="B3969" s="408" t="s">
        <v>75</v>
      </c>
      <c r="C3969" s="409">
        <f>Return!S339</f>
        <v>-2.7250025528011701E-3</v>
      </c>
    </row>
    <row r="3970" spans="1:3">
      <c r="A3970" s="406">
        <f>Return!A340</f>
        <v>45586</v>
      </c>
      <c r="B3970" s="408" t="s">
        <v>75</v>
      </c>
      <c r="C3970" s="409">
        <f>Return!S340</f>
        <v>-5.2302191361993655E-3</v>
      </c>
    </row>
    <row r="3971" spans="1:3">
      <c r="A3971" s="406">
        <f>Return!A341</f>
        <v>45583</v>
      </c>
      <c r="B3971" s="408" t="s">
        <v>75</v>
      </c>
      <c r="C3971" s="409">
        <f>Return!S341</f>
        <v>-8.2072526004948188E-3</v>
      </c>
    </row>
    <row r="3972" spans="1:3">
      <c r="A3972" s="406">
        <f>Return!A342</f>
        <v>45582</v>
      </c>
      <c r="B3972" s="408" t="s">
        <v>75</v>
      </c>
      <c r="C3972" s="409">
        <f>Return!S342</f>
        <v>-2.7866465553387787E-3</v>
      </c>
    </row>
    <row r="3973" spans="1:3">
      <c r="A3973" s="406">
        <f>Return!A343</f>
        <v>45581</v>
      </c>
      <c r="B3973" s="408" t="s">
        <v>75</v>
      </c>
      <c r="C3973" s="409">
        <f>Return!S343</f>
        <v>6.491135271958326E-3</v>
      </c>
    </row>
    <row r="3974" spans="1:3">
      <c r="A3974" s="406">
        <f>Return!A344</f>
        <v>45580</v>
      </c>
      <c r="B3974" s="408" t="s">
        <v>75</v>
      </c>
      <c r="C3974" s="409">
        <f>Return!S344</f>
        <v>-1.1468939149281543E-2</v>
      </c>
    </row>
    <row r="3975" spans="1:3">
      <c r="A3975" s="406">
        <f>Return!A345</f>
        <v>45579</v>
      </c>
      <c r="B3975" s="408" t="s">
        <v>75</v>
      </c>
      <c r="C3975" s="409">
        <f>Return!S345</f>
        <v>7.0887266254537895E-3</v>
      </c>
    </row>
    <row r="3976" spans="1:3">
      <c r="A3976" s="406">
        <f>Return!A346</f>
        <v>45576</v>
      </c>
      <c r="B3976" s="408" t="s">
        <v>75</v>
      </c>
      <c r="C3976" s="409">
        <f>Return!S346</f>
        <v>9.4027130901361833E-3</v>
      </c>
    </row>
    <row r="3977" spans="1:3">
      <c r="A3977" s="406">
        <f>Return!A347</f>
        <v>45575</v>
      </c>
      <c r="B3977" s="408" t="s">
        <v>75</v>
      </c>
      <c r="C3977" s="409">
        <f>Return!S347</f>
        <v>-2.6526587057928985E-3</v>
      </c>
    </row>
    <row r="3978" spans="1:3">
      <c r="A3978" s="406">
        <f>Return!A348</f>
        <v>45574</v>
      </c>
      <c r="B3978" s="408" t="s">
        <v>75</v>
      </c>
      <c r="C3978" s="409">
        <f>Return!S348</f>
        <v>1.6171063434997079E-3</v>
      </c>
    </row>
    <row r="3979" spans="1:3">
      <c r="A3979" s="406">
        <f>Return!A349</f>
        <v>45573</v>
      </c>
      <c r="B3979" s="408" t="s">
        <v>75</v>
      </c>
      <c r="C3979" s="409">
        <f>Return!S349</f>
        <v>-9.1072623257640872E-3</v>
      </c>
    </row>
    <row r="3980" spans="1:3">
      <c r="A3980" s="406">
        <f>Return!A350</f>
        <v>45572</v>
      </c>
      <c r="B3980" s="408" t="s">
        <v>75</v>
      </c>
      <c r="C3980" s="409">
        <f>Return!S350</f>
        <v>6.3053732318427147E-3</v>
      </c>
    </row>
    <row r="3981" spans="1:3">
      <c r="A3981" s="406">
        <f>Return!A351</f>
        <v>45569</v>
      </c>
      <c r="B3981" s="408" t="s">
        <v>75</v>
      </c>
      <c r="C3981" s="409">
        <f>Return!S351</f>
        <v>7.1329462173583269E-3</v>
      </c>
    </row>
    <row r="3982" spans="1:3">
      <c r="A3982" s="406">
        <f>Return!A352</f>
        <v>45568</v>
      </c>
      <c r="B3982" s="408" t="s">
        <v>75</v>
      </c>
      <c r="C3982" s="409">
        <f>Return!S352</f>
        <v>-2.7631066357527989E-3</v>
      </c>
    </row>
    <row r="3983" spans="1:3">
      <c r="A3983" s="406">
        <f>Return!A353</f>
        <v>45566</v>
      </c>
      <c r="B3983" s="408" t="s">
        <v>75</v>
      </c>
      <c r="C3983" s="409">
        <f>Return!S353</f>
        <v>-1.3362220187914109E-3</v>
      </c>
    </row>
    <row r="3984" spans="1:3">
      <c r="A3984" s="406">
        <f>Return!A354</f>
        <v>45565</v>
      </c>
      <c r="B3984" s="408" t="s">
        <v>75</v>
      </c>
      <c r="C3984" s="409">
        <f>Return!S354</f>
        <v>-4.2264610603884867E-3</v>
      </c>
    </row>
    <row r="3985" spans="1:3">
      <c r="A3985" s="406">
        <f>Return!A355</f>
        <v>45562</v>
      </c>
      <c r="B3985" s="408" t="s">
        <v>75</v>
      </c>
      <c r="C3985" s="409">
        <f>Return!S355</f>
        <v>4.1355594111361915E-3</v>
      </c>
    </row>
    <row r="3986" spans="1:3">
      <c r="A3986" s="406">
        <f>Return!A356</f>
        <v>45561</v>
      </c>
      <c r="B3986" s="408" t="s">
        <v>75</v>
      </c>
      <c r="C3986" s="409">
        <f>Return!S356</f>
        <v>1.3191321113707466E-3</v>
      </c>
    </row>
    <row r="3987" spans="1:3">
      <c r="A3987" s="406">
        <f>Return!A357</f>
        <v>45560</v>
      </c>
      <c r="B3987" s="408" t="s">
        <v>75</v>
      </c>
      <c r="C3987" s="409">
        <f>Return!S357</f>
        <v>2.0731454978535346E-3</v>
      </c>
    </row>
    <row r="3988" spans="1:3">
      <c r="A3988" s="406">
        <f>Return!A358</f>
        <v>45559</v>
      </c>
      <c r="B3988" s="408" t="s">
        <v>75</v>
      </c>
      <c r="C3988" s="409">
        <f>Return!S358</f>
        <v>-1.5300045756767022E-3</v>
      </c>
    </row>
    <row r="3989" spans="1:3">
      <c r="A3989" s="406">
        <f>Return!A359</f>
        <v>45558</v>
      </c>
      <c r="B3989" s="408" t="s">
        <v>75</v>
      </c>
      <c r="C3989" s="409">
        <f>Return!S359</f>
        <v>-8.6841553388994353E-3</v>
      </c>
    </row>
    <row r="3990" spans="1:3">
      <c r="A3990" s="406">
        <f>Return!A360</f>
        <v>45555</v>
      </c>
      <c r="B3990" s="408" t="s">
        <v>75</v>
      </c>
      <c r="C3990" s="409">
        <f>Return!S360</f>
        <v>-1.0080493542016788E-3</v>
      </c>
    </row>
    <row r="3991" spans="1:3">
      <c r="A3991" s="406">
        <f>Return!A361</f>
        <v>45554</v>
      </c>
      <c r="B3991" s="408" t="s">
        <v>75</v>
      </c>
      <c r="C3991" s="409">
        <f>Return!S361</f>
        <v>1.3503538658982128E-4</v>
      </c>
    </row>
    <row r="3992" spans="1:3">
      <c r="A3992" s="406">
        <f>Return!A362</f>
        <v>45553</v>
      </c>
      <c r="B3992" s="408" t="s">
        <v>75</v>
      </c>
      <c r="C3992" s="409">
        <f>Return!S362</f>
        <v>3.6792503197643489E-3</v>
      </c>
    </row>
    <row r="3993" spans="1:3">
      <c r="A3993" s="406">
        <f>Return!A363</f>
        <v>45552</v>
      </c>
      <c r="B3993" s="408" t="s">
        <v>75</v>
      </c>
      <c r="C3993" s="409">
        <f>Return!S363</f>
        <v>5.7213455487635789E-3</v>
      </c>
    </row>
    <row r="3994" spans="1:3">
      <c r="A3994" s="406">
        <f>Return!A364</f>
        <v>45551</v>
      </c>
      <c r="B3994" s="408" t="s">
        <v>75</v>
      </c>
      <c r="C3994" s="409">
        <f>Return!S364</f>
        <v>-6.3024291931689791E-3</v>
      </c>
    </row>
    <row r="3995" spans="1:3">
      <c r="A3995" s="406">
        <f>Return!A365</f>
        <v>45548</v>
      </c>
      <c r="B3995" s="408" t="s">
        <v>75</v>
      </c>
      <c r="C3995" s="409">
        <f>Return!S365</f>
        <v>2.5393523653046701E-3</v>
      </c>
    </row>
    <row r="3996" spans="1:3">
      <c r="A3996" s="406">
        <f>Return!A366</f>
        <v>45547</v>
      </c>
      <c r="B3996" s="408" t="s">
        <v>75</v>
      </c>
      <c r="C3996" s="409">
        <f>Return!S366</f>
        <v>-1.2253700081485963E-3</v>
      </c>
    </row>
    <row r="3997" spans="1:3">
      <c r="A3997" s="406">
        <f>Return!A367</f>
        <v>45546</v>
      </c>
      <c r="B3997" s="408" t="s">
        <v>75</v>
      </c>
      <c r="C3997" s="409">
        <f>Return!S367</f>
        <v>-2.8735424243719887E-4</v>
      </c>
    </row>
    <row r="3998" spans="1:3">
      <c r="A3998" s="406">
        <f>Return!A368</f>
        <v>45545</v>
      </c>
      <c r="B3998" s="408" t="s">
        <v>75</v>
      </c>
      <c r="C3998" s="409">
        <f>Return!S368</f>
        <v>6.631268497258036E-3</v>
      </c>
    </row>
    <row r="3999" spans="1:3">
      <c r="A3999" s="406">
        <f>Return!A369</f>
        <v>45544</v>
      </c>
      <c r="B3999" s="408" t="s">
        <v>75</v>
      </c>
      <c r="C3999" s="409">
        <f>Return!S369</f>
        <v>2.163849739401813E-3</v>
      </c>
    </row>
    <row r="4000" spans="1:3">
      <c r="A4000" s="406">
        <f>Return!A370</f>
        <v>45541</v>
      </c>
      <c r="B4000" s="408" t="s">
        <v>75</v>
      </c>
      <c r="C4000" s="409">
        <f>Return!S370</f>
        <v>7.7408551909635692E-3</v>
      </c>
    </row>
    <row r="4001" spans="1:3">
      <c r="A4001" s="406">
        <f>Return!A371</f>
        <v>45540</v>
      </c>
      <c r="B4001" s="408" t="s">
        <v>75</v>
      </c>
      <c r="C4001" s="409">
        <f>Return!S371</f>
        <v>-3.7528079319132934E-3</v>
      </c>
    </row>
    <row r="4002" spans="1:3">
      <c r="A4002" s="406">
        <f>Return!A372</f>
        <v>45539</v>
      </c>
      <c r="B4002" s="408" t="s">
        <v>75</v>
      </c>
      <c r="C4002" s="409">
        <f>Return!S372</f>
        <v>5.4015604686887819E-3</v>
      </c>
    </row>
    <row r="4003" spans="1:3">
      <c r="A4003" s="406">
        <f>Return!A373</f>
        <v>45538</v>
      </c>
      <c r="B4003" s="408" t="s">
        <v>75</v>
      </c>
      <c r="C4003" s="409">
        <f>Return!S373</f>
        <v>1.5053322563015614E-3</v>
      </c>
    </row>
    <row r="4004" spans="1:3">
      <c r="A4004" s="406">
        <f>Return!A374</f>
        <v>45537</v>
      </c>
      <c r="B4004" s="408" t="s">
        <v>75</v>
      </c>
      <c r="C4004" s="409">
        <f>Return!S374</f>
        <v>8.679430454805015E-3</v>
      </c>
    </row>
    <row r="4005" spans="1:3">
      <c r="A4005" s="406">
        <f>Return!A375</f>
        <v>45534</v>
      </c>
      <c r="B4005" s="408" t="s">
        <v>75</v>
      </c>
      <c r="C4005" s="409">
        <f>Return!S375</f>
        <v>4.8161134335017453E-3</v>
      </c>
    </row>
    <row r="4006" spans="1:3">
      <c r="A4006" s="406">
        <f>Return!A376</f>
        <v>45533</v>
      </c>
      <c r="B4006" s="408" t="s">
        <v>75</v>
      </c>
      <c r="C4006" s="409">
        <f>Return!S376</f>
        <v>-3.0099035444546285E-3</v>
      </c>
    </row>
    <row r="4007" spans="1:3">
      <c r="A4007" s="406">
        <f>Return!A377</f>
        <v>45532</v>
      </c>
      <c r="B4007" s="408" t="s">
        <v>75</v>
      </c>
      <c r="C4007" s="409">
        <f>Return!S377</f>
        <v>-3.9273381585863687E-4</v>
      </c>
    </row>
    <row r="4008" spans="1:3">
      <c r="A4008" s="406">
        <f>Return!A378</f>
        <v>45531</v>
      </c>
      <c r="B4008" s="408" t="s">
        <v>75</v>
      </c>
      <c r="C4008" s="409">
        <f>Return!S378</f>
        <v>5.7177978966392873E-3</v>
      </c>
    </row>
    <row r="4009" spans="1:3">
      <c r="A4009" s="406">
        <f>Return!A379</f>
        <v>45530</v>
      </c>
      <c r="B4009" s="408" t="s">
        <v>75</v>
      </c>
      <c r="C4009" s="409">
        <f>Return!S379</f>
        <v>4.0574276426680878E-3</v>
      </c>
    </row>
    <row r="4010" spans="1:3">
      <c r="A4010" s="406">
        <f>Return!A380</f>
        <v>45527</v>
      </c>
      <c r="B4010" s="408" t="s">
        <v>75</v>
      </c>
      <c r="C4010" s="409">
        <f>Return!S380</f>
        <v>7.5581750872600884E-3</v>
      </c>
    </row>
    <row r="4011" spans="1:3">
      <c r="A4011" s="406">
        <f>Return!A381</f>
        <v>45526</v>
      </c>
      <c r="B4011" s="408" t="s">
        <v>75</v>
      </c>
      <c r="C4011" s="409">
        <f>Return!S381</f>
        <v>4.0281097196258608E-3</v>
      </c>
    </row>
    <row r="4012" spans="1:3">
      <c r="A4012" s="406">
        <f>Return!A382</f>
        <v>45525</v>
      </c>
      <c r="B4012" s="408" t="s">
        <v>75</v>
      </c>
      <c r="C4012" s="409">
        <f>Return!S382</f>
        <v>3.5731734981068186E-3</v>
      </c>
    </row>
    <row r="4013" spans="1:3">
      <c r="A4013" s="406">
        <f>Return!A383</f>
        <v>45524</v>
      </c>
      <c r="B4013" s="408" t="s">
        <v>75</v>
      </c>
      <c r="C4013" s="409">
        <f>Return!S383</f>
        <v>-1.6020891159891915E-3</v>
      </c>
    </row>
    <row r="4014" spans="1:3">
      <c r="A4014" s="406">
        <f>Return!A384</f>
        <v>45523</v>
      </c>
      <c r="B4014" s="408" t="s">
        <v>75</v>
      </c>
      <c r="C4014" s="409">
        <f>Return!S384</f>
        <v>9.5058664944258631E-4</v>
      </c>
    </row>
    <row r="4015" spans="1:3">
      <c r="A4015" s="406">
        <f>Return!A385</f>
        <v>45520</v>
      </c>
      <c r="B4015" s="408" t="s">
        <v>75</v>
      </c>
      <c r="C4015" s="409">
        <f>Return!S385</f>
        <v>6.1079027650973172E-4</v>
      </c>
    </row>
    <row r="4016" spans="1:3">
      <c r="A4016" s="406">
        <f>Return!A386</f>
        <v>45518</v>
      </c>
      <c r="B4016" s="408" t="s">
        <v>75</v>
      </c>
      <c r="C4016" s="409">
        <f>Return!S386</f>
        <v>6.18791253613582E-3</v>
      </c>
    </row>
    <row r="4017" spans="1:3">
      <c r="A4017" s="406">
        <f>Return!A387</f>
        <v>45517</v>
      </c>
      <c r="B4017" s="408" t="s">
        <v>75</v>
      </c>
      <c r="C4017" s="409">
        <f>Return!S387</f>
        <v>1.9117773603476995E-3</v>
      </c>
    </row>
    <row r="4018" spans="1:3">
      <c r="A4018" s="406">
        <f>Return!A388</f>
        <v>45516</v>
      </c>
      <c r="B4018" s="408" t="s">
        <v>75</v>
      </c>
      <c r="C4018" s="409">
        <f>Return!S388</f>
        <v>1.3839674154093928E-2</v>
      </c>
    </row>
    <row r="4019" spans="1:3">
      <c r="A4019" s="406">
        <f>Return!A389</f>
        <v>45513</v>
      </c>
      <c r="B4019" s="408" t="s">
        <v>75</v>
      </c>
      <c r="C4019" s="409">
        <f>Return!S389</f>
        <v>-8.2149819329491169E-4</v>
      </c>
    </row>
    <row r="4020" spans="1:3">
      <c r="A4020" s="406">
        <f>Return!A390</f>
        <v>45512</v>
      </c>
      <c r="B4020" s="408" t="s">
        <v>75</v>
      </c>
      <c r="C4020" s="409">
        <f>Return!S390</f>
        <v>-5.5036173661506815E-3</v>
      </c>
    </row>
    <row r="4021" spans="1:3">
      <c r="A4021" s="406">
        <f>Return!A391</f>
        <v>45511</v>
      </c>
      <c r="B4021" s="408" t="s">
        <v>75</v>
      </c>
      <c r="C4021" s="409">
        <f>Return!S391</f>
        <v>1.9303932481147812E-3</v>
      </c>
    </row>
    <row r="4022" spans="1:3">
      <c r="A4022" s="406">
        <f>Return!A392</f>
        <v>45510</v>
      </c>
      <c r="B4022" s="408" t="s">
        <v>75</v>
      </c>
      <c r="C4022" s="409">
        <f>Return!S392</f>
        <v>5.1882559948387419E-3</v>
      </c>
    </row>
    <row r="4023" spans="1:3">
      <c r="A4023" s="406">
        <f>Return!A393</f>
        <v>45509</v>
      </c>
      <c r="B4023" s="408" t="s">
        <v>75</v>
      </c>
      <c r="C4023" s="409">
        <f>Return!S393</f>
        <v>7.5144950380910958E-3</v>
      </c>
    </row>
    <row r="4024" spans="1:3">
      <c r="A4024" s="406">
        <f>Return!A394</f>
        <v>45506</v>
      </c>
      <c r="B4024" s="408" t="s">
        <v>75</v>
      </c>
      <c r="C4024" s="409">
        <f>Return!S394</f>
        <v>5.4646291532596813E-3</v>
      </c>
    </row>
    <row r="4025" spans="1:3">
      <c r="A4025" s="406">
        <f>Return!A395</f>
        <v>45505</v>
      </c>
      <c r="B4025" s="408" t="s">
        <v>75</v>
      </c>
      <c r="C4025" s="409">
        <f>Return!S395</f>
        <v>5.0827225707197332E-3</v>
      </c>
    </row>
    <row r="4026" spans="1:3">
      <c r="A4026" s="406">
        <f>Return!A396</f>
        <v>45504</v>
      </c>
      <c r="B4026" s="408" t="s">
        <v>75</v>
      </c>
      <c r="C4026" s="409">
        <f>Return!S396</f>
        <v>8.8681361082981747E-4</v>
      </c>
    </row>
    <row r="4027" spans="1:3">
      <c r="A4027" s="406">
        <f>Return!A397</f>
        <v>45503</v>
      </c>
      <c r="B4027" s="408" t="s">
        <v>75</v>
      </c>
      <c r="C4027" s="409">
        <f>Return!S397</f>
        <v>3.7938249516091815E-3</v>
      </c>
    </row>
    <row r="4028" spans="1:3">
      <c r="A4028" s="406">
        <f>Return!A398</f>
        <v>45502</v>
      </c>
      <c r="B4028" s="408" t="s">
        <v>75</v>
      </c>
      <c r="C4028" s="409">
        <f>Return!S398</f>
        <v>4.8248590802351665E-3</v>
      </c>
    </row>
    <row r="4029" spans="1:3">
      <c r="A4029" s="406">
        <f>Return!A399</f>
        <v>45499</v>
      </c>
      <c r="B4029" s="408" t="s">
        <v>75</v>
      </c>
      <c r="C4029" s="409">
        <f>Return!S399</f>
        <v>6.0824090610486214E-3</v>
      </c>
    </row>
    <row r="4030" spans="1:3">
      <c r="A4030" s="406">
        <f>Return!A400</f>
        <v>45498</v>
      </c>
      <c r="B4030" s="408" t="s">
        <v>75</v>
      </c>
      <c r="C4030" s="409">
        <f>Return!S400</f>
        <v>4.3642597063560107E-3</v>
      </c>
    </row>
    <row r="4031" spans="1:3">
      <c r="A4031" s="406">
        <f>Return!A401</f>
        <v>45497</v>
      </c>
      <c r="B4031" s="408" t="s">
        <v>75</v>
      </c>
      <c r="C4031" s="409">
        <f>Return!S401</f>
        <v>-4.8577915826127915E-3</v>
      </c>
    </row>
    <row r="4032" spans="1:3">
      <c r="A4032" s="406">
        <f>Return!A402</f>
        <v>45496</v>
      </c>
      <c r="B4032" s="408" t="s">
        <v>75</v>
      </c>
      <c r="C4032" s="409">
        <f>Return!S402</f>
        <v>9.8798382928508843E-3</v>
      </c>
    </row>
    <row r="4033" spans="1:3">
      <c r="A4033" s="406">
        <f>Return!A403</f>
        <v>45495</v>
      </c>
      <c r="B4033" s="408" t="s">
        <v>75</v>
      </c>
      <c r="C4033" s="409">
        <f>Return!S403</f>
        <v>4.4377850210848835E-3</v>
      </c>
    </row>
    <row r="4034" spans="1:3">
      <c r="A4034" s="406">
        <f>Return!A404</f>
        <v>45492</v>
      </c>
      <c r="B4034" s="408" t="s">
        <v>75</v>
      </c>
      <c r="C4034" s="409">
        <f>Return!S404</f>
        <v>9.395266506227129E-3</v>
      </c>
    </row>
    <row r="4035" spans="1:3">
      <c r="A4035" s="406">
        <f>Return!A405</f>
        <v>45491</v>
      </c>
      <c r="B4035" s="408" t="s">
        <v>75</v>
      </c>
      <c r="C4035" s="409">
        <f>Return!S405</f>
        <v>-2.9846149707274394E-4</v>
      </c>
    </row>
    <row r="4036" spans="1:3">
      <c r="A4036" s="406">
        <f>Return!A406</f>
        <v>45489</v>
      </c>
      <c r="B4036" s="408" t="s">
        <v>75</v>
      </c>
      <c r="C4036" s="409">
        <f>Return!S406</f>
        <v>1.3807426104476272E-3</v>
      </c>
    </row>
    <row r="4037" spans="1:3">
      <c r="A4037" s="406">
        <f>Return!A407</f>
        <v>45488</v>
      </c>
      <c r="B4037" s="408" t="s">
        <v>75</v>
      </c>
      <c r="C4037" s="409">
        <f>Return!S407</f>
        <v>-4.8051823348711498E-3</v>
      </c>
    </row>
    <row r="4038" spans="1:3">
      <c r="A4038" s="406">
        <f>Return!A408</f>
        <v>45485</v>
      </c>
      <c r="B4038" s="408" t="s">
        <v>75</v>
      </c>
      <c r="C4038" s="409">
        <f>Return!S408</f>
        <v>6.6436423319565785E-3</v>
      </c>
    </row>
    <row r="4039" spans="1:3">
      <c r="A4039" s="406">
        <f>Return!A409</f>
        <v>45484</v>
      </c>
      <c r="B4039" s="408" t="s">
        <v>75</v>
      </c>
      <c r="C4039" s="409">
        <f>Return!S409</f>
        <v>-2.9292134192400177E-3</v>
      </c>
    </row>
    <row r="4040" spans="1:3">
      <c r="A4040" s="406">
        <f>Return!A410</f>
        <v>45483</v>
      </c>
      <c r="B4040" s="408" t="s">
        <v>75</v>
      </c>
      <c r="C4040" s="409">
        <f>Return!S410</f>
        <v>6.3665921449924667E-3</v>
      </c>
    </row>
    <row r="4041" spans="1:3">
      <c r="A4041" s="406">
        <f>Return!A411</f>
        <v>45482</v>
      </c>
      <c r="B4041" s="408" t="s">
        <v>75</v>
      </c>
      <c r="C4041" s="409">
        <f>Return!S411</f>
        <v>5.1939337383549722E-3</v>
      </c>
    </row>
    <row r="4042" spans="1:3">
      <c r="A4042" s="406">
        <f>Return!A412</f>
        <v>45481</v>
      </c>
      <c r="B4042" s="408" t="s">
        <v>75</v>
      </c>
      <c r="C4042" s="409">
        <f>Return!S412</f>
        <v>-1.5674901010342968E-4</v>
      </c>
    </row>
    <row r="4043" spans="1:3">
      <c r="A4043" s="406">
        <f>Return!A413</f>
        <v>45478</v>
      </c>
      <c r="B4043" s="408" t="s">
        <v>75</v>
      </c>
      <c r="C4043" s="409">
        <f>Return!S413</f>
        <v>3.6545559048896115E-3</v>
      </c>
    </row>
    <row r="4044" spans="1:3">
      <c r="A4044" s="406">
        <f>Return!A414</f>
        <v>45477</v>
      </c>
      <c r="B4044" s="408" t="s">
        <v>75</v>
      </c>
      <c r="C4044" s="409">
        <f>Return!S414</f>
        <v>5.5658640220742628E-3</v>
      </c>
    </row>
    <row r="4045" spans="1:3">
      <c r="A4045" s="406">
        <f>Return!A415</f>
        <v>45476</v>
      </c>
      <c r="B4045" s="408" t="s">
        <v>75</v>
      </c>
      <c r="C4045" s="409">
        <f>Return!S415</f>
        <v>8.8587702055520356E-4</v>
      </c>
    </row>
    <row r="4046" spans="1:3">
      <c r="A4046" s="406">
        <f>Return!A416</f>
        <v>45475</v>
      </c>
      <c r="B4046" s="408" t="s">
        <v>75</v>
      </c>
      <c r="C4046" s="409">
        <f>Return!S416</f>
        <v>3.1044649300949745E-3</v>
      </c>
    </row>
    <row r="4047" spans="1:3">
      <c r="A4047" s="406">
        <f>Return!A417</f>
        <v>45474</v>
      </c>
      <c r="B4047" s="408" t="s">
        <v>75</v>
      </c>
      <c r="C4047" s="409">
        <f>Return!S417</f>
        <v>3.0479369605428963E-3</v>
      </c>
    </row>
    <row r="4048" spans="1:3">
      <c r="A4048" s="406">
        <f>Return!A418</f>
        <v>45471</v>
      </c>
      <c r="B4048" s="408" t="s">
        <v>75</v>
      </c>
      <c r="C4048" s="409">
        <f>Return!S418</f>
        <v>4.8852320599552801E-3</v>
      </c>
    </row>
    <row r="4049" spans="1:3">
      <c r="A4049" s="406">
        <f>Return!A419</f>
        <v>45470</v>
      </c>
      <c r="B4049" s="408" t="s">
        <v>75</v>
      </c>
      <c r="C4049" s="409">
        <f>Return!S419</f>
        <v>-2.0500310432771118E-3</v>
      </c>
    </row>
    <row r="4050" spans="1:3">
      <c r="A4050" s="406">
        <f>Return!A420</f>
        <v>45469</v>
      </c>
      <c r="B4050" s="408" t="s">
        <v>75</v>
      </c>
      <c r="C4050" s="409">
        <f>Return!S420</f>
        <v>-4.7314539053072702E-4</v>
      </c>
    </row>
    <row r="4051" spans="1:3">
      <c r="A4051" s="406">
        <f>Return!A421</f>
        <v>45468</v>
      </c>
      <c r="B4051" s="408" t="s">
        <v>75</v>
      </c>
      <c r="C4051" s="409">
        <f>Return!S421</f>
        <v>-2.4884437217393418E-3</v>
      </c>
    </row>
    <row r="4052" spans="1:3">
      <c r="A4052" s="406">
        <f>Return!A422</f>
        <v>45467</v>
      </c>
      <c r="B4052" s="408" t="s">
        <v>75</v>
      </c>
      <c r="C4052" s="409">
        <f>Return!S422</f>
        <v>-5.4129170465211374E-5</v>
      </c>
    </row>
    <row r="4053" spans="1:3">
      <c r="A4053" s="406">
        <f>Return!A423</f>
        <v>45464</v>
      </c>
      <c r="B4053" s="408" t="s">
        <v>75</v>
      </c>
      <c r="C4053" s="409">
        <f>Return!S423</f>
        <v>-1.4108197944500689E-3</v>
      </c>
    </row>
    <row r="4054" spans="1:3">
      <c r="A4054" s="406">
        <f>Return!A424</f>
        <v>45463</v>
      </c>
      <c r="B4054" s="408" t="s">
        <v>75</v>
      </c>
      <c r="C4054" s="409">
        <f>Return!S424</f>
        <v>1.297665741443299E-3</v>
      </c>
    </row>
    <row r="4055" spans="1:3">
      <c r="A4055" s="406">
        <f>Return!A425</f>
        <v>45462</v>
      </c>
      <c r="B4055" s="408" t="s">
        <v>75</v>
      </c>
      <c r="C4055" s="409">
        <f>Return!S425</f>
        <v>1.6690809011659091E-3</v>
      </c>
    </row>
    <row r="4056" spans="1:3">
      <c r="A4056" s="406">
        <f>Return!A426</f>
        <v>45461</v>
      </c>
      <c r="B4056" s="408" t="s">
        <v>75</v>
      </c>
      <c r="C4056" s="409">
        <f>Return!S426</f>
        <v>-4.7392687832631397E-4</v>
      </c>
    </row>
    <row r="4057" spans="1:3">
      <c r="A4057" s="406">
        <f>Return!A427</f>
        <v>45457</v>
      </c>
      <c r="B4057" s="408" t="s">
        <v>75</v>
      </c>
      <c r="C4057" s="409">
        <f>Return!S427</f>
        <v>-2.5573049692961813E-3</v>
      </c>
    </row>
    <row r="4058" spans="1:3">
      <c r="A4058" s="406">
        <f>Return!A428</f>
        <v>45456</v>
      </c>
      <c r="B4058" s="408" t="s">
        <v>75</v>
      </c>
      <c r="C4058" s="409">
        <f>Return!S428</f>
        <v>4.9399767936056938E-3</v>
      </c>
    </row>
    <row r="4059" spans="1:3">
      <c r="A4059" s="406">
        <f>Return!A429</f>
        <v>45455</v>
      </c>
      <c r="B4059" s="408" t="s">
        <v>75</v>
      </c>
      <c r="C4059" s="409">
        <f>Return!S429</f>
        <v>5.0778221814504199E-3</v>
      </c>
    </row>
    <row r="4060" spans="1:3">
      <c r="A4060" s="406">
        <f>Return!A430</f>
        <v>45454</v>
      </c>
      <c r="B4060" s="408" t="s">
        <v>75</v>
      </c>
      <c r="C4060" s="409">
        <f>Return!S430</f>
        <v>-2.956653234615525E-3</v>
      </c>
    </row>
    <row r="4061" spans="1:3">
      <c r="A4061" s="406">
        <f>Return!A431</f>
        <v>45453</v>
      </c>
      <c r="B4061" s="408" t="s">
        <v>75</v>
      </c>
      <c r="C4061" s="409">
        <f>Return!S431</f>
        <v>2.0210573677660992E-2</v>
      </c>
    </row>
    <row r="4062" spans="1:3">
      <c r="A4062" s="406">
        <f>Return!A432</f>
        <v>45450</v>
      </c>
      <c r="B4062" s="408" t="s">
        <v>75</v>
      </c>
      <c r="C4062" s="409">
        <f>Return!S432</f>
        <v>-3.4876811168663702E-3</v>
      </c>
    </row>
    <row r="4063" spans="1:3">
      <c r="A4063" s="406">
        <f>Return!A433</f>
        <v>45449</v>
      </c>
      <c r="B4063" s="408" t="s">
        <v>75</v>
      </c>
      <c r="C4063" s="409">
        <f>Return!S433</f>
        <v>4.2402318987059262E-3</v>
      </c>
    </row>
    <row r="4064" spans="1:3">
      <c r="A4064" s="406">
        <f>Return!A434</f>
        <v>45448</v>
      </c>
      <c r="B4064" s="408" t="s">
        <v>75</v>
      </c>
      <c r="C4064" s="409">
        <f>Return!S434</f>
        <v>-1.7849810939871702E-3</v>
      </c>
    </row>
    <row r="4065" spans="1:3">
      <c r="A4065" s="406">
        <f>Return!A435</f>
        <v>45447</v>
      </c>
      <c r="B4065" s="408" t="s">
        <v>75</v>
      </c>
      <c r="C4065" s="409">
        <f>Return!S435</f>
        <v>-1.2704914638538289E-3</v>
      </c>
    </row>
    <row r="4066" spans="1:3">
      <c r="A4066" s="406">
        <f>Return!A436</f>
        <v>45446</v>
      </c>
      <c r="B4066" s="408" t="s">
        <v>75</v>
      </c>
      <c r="C4066" s="409">
        <f>Return!S436</f>
        <v>7.7330187661932559E-3</v>
      </c>
    </row>
    <row r="4067" spans="1:3">
      <c r="A4067" s="406">
        <f>Return!A437</f>
        <v>45443</v>
      </c>
      <c r="B4067" s="408" t="s">
        <v>75</v>
      </c>
      <c r="C4067" s="409">
        <f>Return!S437</f>
        <v>4.3165823367719014E-4</v>
      </c>
    </row>
    <row r="4068" spans="1:3">
      <c r="A4068" s="406">
        <f>Return!A438</f>
        <v>45442</v>
      </c>
      <c r="B4068" s="408" t="s">
        <v>75</v>
      </c>
      <c r="C4068" s="409">
        <f>Return!S438</f>
        <v>1.5804177160872401E-2</v>
      </c>
    </row>
    <row r="4069" spans="1:3">
      <c r="A4069" s="406">
        <f>Return!A439</f>
        <v>45441</v>
      </c>
      <c r="B4069" s="408" t="s">
        <v>75</v>
      </c>
      <c r="C4069" s="409">
        <f>Return!S439</f>
        <v>-9.6163886958146594E-3</v>
      </c>
    </row>
    <row r="4070" spans="1:3">
      <c r="A4070" s="406">
        <f>Return!A440</f>
        <v>45440</v>
      </c>
      <c r="B4070" s="408" t="s">
        <v>75</v>
      </c>
      <c r="C4070" s="409">
        <f>Return!S440</f>
        <v>9.166057557435936E-5</v>
      </c>
    </row>
    <row r="4071" spans="1:3">
      <c r="A4071" s="406">
        <f>Return!A441</f>
        <v>45439</v>
      </c>
      <c r="B4071" s="408" t="s">
        <v>75</v>
      </c>
      <c r="C4071" s="409">
        <f>Return!S441</f>
        <v>7.1517079531208116E-4</v>
      </c>
    </row>
    <row r="4072" spans="1:3">
      <c r="A4072" s="406">
        <f>Return!A442</f>
        <v>45436</v>
      </c>
      <c r="B4072" s="408" t="s">
        <v>75</v>
      </c>
      <c r="C4072" s="409">
        <f>Return!S442</f>
        <v>-9.2603833704019145E-4</v>
      </c>
    </row>
    <row r="4073" spans="1:3">
      <c r="A4073" s="406">
        <f>Return!A443</f>
        <v>45435</v>
      </c>
      <c r="B4073" s="408" t="s">
        <v>75</v>
      </c>
      <c r="C4073" s="409">
        <f>Return!S443</f>
        <v>1.66453974275238E-3</v>
      </c>
    </row>
    <row r="4074" spans="1:3">
      <c r="A4074" s="406">
        <f>Return!A444</f>
        <v>45434</v>
      </c>
      <c r="B4074" s="408" t="s">
        <v>75</v>
      </c>
      <c r="C4074" s="409">
        <f>Return!S444</f>
        <v>2.4992218035158054E-3</v>
      </c>
    </row>
    <row r="4075" spans="1:3">
      <c r="A4075" s="406">
        <f>Return!A445</f>
        <v>45433</v>
      </c>
      <c r="B4075" s="408" t="s">
        <v>75</v>
      </c>
      <c r="C4075" s="409">
        <f>Return!S445</f>
        <v>2.9112216747968489E-3</v>
      </c>
    </row>
    <row r="4076" spans="1:3">
      <c r="A4076" s="406">
        <f>Return!A446</f>
        <v>45430</v>
      </c>
      <c r="B4076" s="408" t="s">
        <v>75</v>
      </c>
      <c r="C4076" s="409">
        <f>Return!S446</f>
        <v>-3.8074855548153597E-3</v>
      </c>
    </row>
    <row r="4077" spans="1:3">
      <c r="A4077" s="406">
        <f>Return!A447</f>
        <v>45429</v>
      </c>
      <c r="B4077" s="408" t="s">
        <v>75</v>
      </c>
      <c r="C4077" s="409">
        <f>Return!S447</f>
        <v>2.875414424110434E-3</v>
      </c>
    </row>
    <row r="4078" spans="1:3">
      <c r="A4078" s="406">
        <f>Return!A448</f>
        <v>45428</v>
      </c>
      <c r="B4078" s="408" t="s">
        <v>75</v>
      </c>
      <c r="C4078" s="409">
        <f>Return!S448</f>
        <v>3.3179953113185445E-3</v>
      </c>
    </row>
    <row r="4079" spans="1:3">
      <c r="A4079" s="406">
        <f>Return!A449</f>
        <v>45427</v>
      </c>
      <c r="B4079" s="408" t="s">
        <v>75</v>
      </c>
      <c r="C4079" s="409">
        <f>Return!S449</f>
        <v>-5.8431579292154145E-3</v>
      </c>
    </row>
    <row r="4080" spans="1:3">
      <c r="A4080" s="406">
        <f>Return!A450</f>
        <v>45426</v>
      </c>
      <c r="B4080" s="408" t="s">
        <v>75</v>
      </c>
      <c r="C4080" s="409">
        <f>Return!S450</f>
        <v>-3.765367449327095E-4</v>
      </c>
    </row>
    <row r="4081" spans="1:3">
      <c r="A4081" s="406">
        <f>Return!A451</f>
        <v>45425</v>
      </c>
      <c r="B4081" s="408" t="s">
        <v>75</v>
      </c>
      <c r="C4081" s="409">
        <f>Return!S451</f>
        <v>-5.7984642829685407E-3</v>
      </c>
    </row>
    <row r="4082" spans="1:3">
      <c r="A4082" s="406">
        <f>Return!A452</f>
        <v>45422</v>
      </c>
      <c r="B4082" s="408" t="s">
        <v>75</v>
      </c>
      <c r="C4082" s="409">
        <f>Return!S452</f>
        <v>3.924560449392267E-3</v>
      </c>
    </row>
    <row r="4083" spans="1:3">
      <c r="A4083" s="406">
        <f>Return!A453</f>
        <v>45421</v>
      </c>
      <c r="B4083" s="408" t="s">
        <v>75</v>
      </c>
      <c r="C4083" s="409">
        <f>Return!S453</f>
        <v>1.5919165005884306E-4</v>
      </c>
    </row>
    <row r="4084" spans="1:3">
      <c r="A4084" s="406">
        <f>Return!A454</f>
        <v>45420</v>
      </c>
      <c r="B4084" s="408" t="s">
        <v>75</v>
      </c>
      <c r="C4084" s="409">
        <f>Return!S454</f>
        <v>6.2649548845433722E-3</v>
      </c>
    </row>
    <row r="4085" spans="1:3">
      <c r="A4085" s="406">
        <f>Return!A455</f>
        <v>45419</v>
      </c>
      <c r="B4085" s="408" t="s">
        <v>75</v>
      </c>
      <c r="C4085" s="409">
        <f>Return!S455</f>
        <v>2.8350095652351914E-3</v>
      </c>
    </row>
    <row r="4086" spans="1:3">
      <c r="A4086" s="406">
        <f>Return!A456</f>
        <v>45418</v>
      </c>
      <c r="B4086" s="408" t="s">
        <v>75</v>
      </c>
      <c r="C4086" s="409">
        <f>Return!S456</f>
        <v>-5.5576193591158063E-3</v>
      </c>
    </row>
    <row r="4087" spans="1:3">
      <c r="A4087" s="406">
        <f>Return!A457</f>
        <v>45415</v>
      </c>
      <c r="B4087" s="408" t="s">
        <v>75</v>
      </c>
      <c r="C4087" s="409">
        <f>Return!S457</f>
        <v>2.4714722570181591E-3</v>
      </c>
    </row>
    <row r="4088" spans="1:3">
      <c r="A4088" s="406">
        <f>Return!A458</f>
        <v>45414</v>
      </c>
      <c r="B4088" s="408" t="s">
        <v>75</v>
      </c>
      <c r="C4088" s="409">
        <f>Return!S458</f>
        <v>-3.3053064280557098E-3</v>
      </c>
    </row>
    <row r="4089" spans="1:3">
      <c r="A4089" s="406">
        <f>Return!A459</f>
        <v>45412</v>
      </c>
      <c r="B4089" s="408" t="s">
        <v>75</v>
      </c>
      <c r="C4089" s="409">
        <f>Return!S459</f>
        <v>7.5480044296151183E-3</v>
      </c>
    </row>
    <row r="4090" spans="1:3">
      <c r="A4090" s="406">
        <f>Return!A460</f>
        <v>45411</v>
      </c>
      <c r="B4090" s="408" t="s">
        <v>75</v>
      </c>
      <c r="C4090" s="409">
        <f>Return!S460</f>
        <v>-2.0860556586452805E-3</v>
      </c>
    </row>
    <row r="4091" spans="1:3">
      <c r="A4091" s="406">
        <f>Return!A461</f>
        <v>45408</v>
      </c>
      <c r="B4091" s="408" t="s">
        <v>75</v>
      </c>
      <c r="C4091" s="409">
        <f>Return!S461</f>
        <v>5.2088344367310913E-3</v>
      </c>
    </row>
    <row r="4092" spans="1:3">
      <c r="A4092" s="406">
        <f>Return!A462</f>
        <v>45407</v>
      </c>
      <c r="B4092" s="408" t="s">
        <v>75</v>
      </c>
      <c r="C4092" s="409">
        <f>Return!S462</f>
        <v>-5.3310446770551967E-3</v>
      </c>
    </row>
    <row r="4093" spans="1:3">
      <c r="A4093" s="406">
        <f>Return!A463</f>
        <v>45406</v>
      </c>
      <c r="B4093" s="408" t="s">
        <v>75</v>
      </c>
      <c r="C4093" s="409">
        <f>Return!S463</f>
        <v>-5.5865286148371052E-5</v>
      </c>
    </row>
    <row r="4094" spans="1:3">
      <c r="A4094" s="406">
        <f>Return!A464</f>
        <v>45405</v>
      </c>
      <c r="B4094" s="408" t="s">
        <v>75</v>
      </c>
      <c r="C4094" s="409">
        <f>Return!S464</f>
        <v>2.846869931821927E-3</v>
      </c>
    </row>
    <row r="4095" spans="1:3">
      <c r="A4095" s="406">
        <f>Return!A465</f>
        <v>45404</v>
      </c>
      <c r="B4095" s="408" t="s">
        <v>75</v>
      </c>
      <c r="C4095" s="409">
        <f>Return!S465</f>
        <v>-2.8780489117601893E-3</v>
      </c>
    </row>
    <row r="4096" spans="1:3">
      <c r="A4096" s="406">
        <f>Return!A466</f>
        <v>45401</v>
      </c>
      <c r="B4096" s="408" t="s">
        <v>75</v>
      </c>
      <c r="C4096" s="409">
        <f>Return!S466</f>
        <v>-1.6233739034611783E-3</v>
      </c>
    </row>
    <row r="4097" spans="1:3">
      <c r="A4097" s="406">
        <f>Return!A467</f>
        <v>45400</v>
      </c>
      <c r="B4097" s="408" t="s">
        <v>75</v>
      </c>
      <c r="C4097" s="409">
        <f>Return!S467</f>
        <v>-6.9397440031426783E-5</v>
      </c>
    </row>
    <row r="4098" spans="1:3">
      <c r="A4098" s="406">
        <f>Return!A468</f>
        <v>45398</v>
      </c>
      <c r="B4098" s="408" t="s">
        <v>75</v>
      </c>
      <c r="C4098" s="409">
        <f>Return!S468</f>
        <v>3.3093107929130783E-3</v>
      </c>
    </row>
    <row r="4099" spans="1:3">
      <c r="A4099" s="406">
        <f>Return!A469</f>
        <v>45397</v>
      </c>
      <c r="B4099" s="408" t="s">
        <v>75</v>
      </c>
      <c r="C4099" s="409">
        <f>Return!S469</f>
        <v>-2.5815033012897004E-3</v>
      </c>
    </row>
    <row r="4100" spans="1:3">
      <c r="A4100" s="406">
        <f>Return!A470</f>
        <v>45394</v>
      </c>
      <c r="B4100" s="408" t="s">
        <v>75</v>
      </c>
      <c r="C4100" s="409">
        <f>Return!S470</f>
        <v>-3.44518102470176E-3</v>
      </c>
    </row>
    <row r="4101" spans="1:3">
      <c r="A4101" s="406">
        <f>Return!A471</f>
        <v>45392</v>
      </c>
      <c r="B4101" s="408" t="s">
        <v>75</v>
      </c>
      <c r="C4101" s="409">
        <f>Return!S471</f>
        <v>1.8922725144532304E-4</v>
      </c>
    </row>
    <row r="4102" spans="1:3">
      <c r="A4102" s="406">
        <f>Return!A472</f>
        <v>45391</v>
      </c>
      <c r="B4102" s="408" t="s">
        <v>75</v>
      </c>
      <c r="C4102" s="409">
        <f>Return!S472</f>
        <v>-6.1187476638698834E-3</v>
      </c>
    </row>
    <row r="4103" spans="1:3">
      <c r="A4103" s="406">
        <f>Return!A473</f>
        <v>45390</v>
      </c>
      <c r="B4103" s="408" t="s">
        <v>75</v>
      </c>
      <c r="C4103" s="409">
        <f>Return!S473</f>
        <v>-6.4922592387743339E-3</v>
      </c>
    </row>
    <row r="4104" spans="1:3">
      <c r="A4104" s="406">
        <f>Return!A474</f>
        <v>45387</v>
      </c>
      <c r="B4104" s="408" t="s">
        <v>75</v>
      </c>
      <c r="C4104" s="409">
        <f>Return!S474</f>
        <v>6.19745651906356E-3</v>
      </c>
    </row>
    <row r="4105" spans="1:3">
      <c r="A4105" s="406">
        <f>Return!A475</f>
        <v>45386</v>
      </c>
      <c r="B4105" s="408" t="s">
        <v>75</v>
      </c>
      <c r="C4105" s="409">
        <f>Return!S475</f>
        <v>-1.0361025696398185E-3</v>
      </c>
    </row>
    <row r="4106" spans="1:3">
      <c r="A4106" s="406">
        <f>Return!A476</f>
        <v>45385</v>
      </c>
      <c r="B4106" s="408" t="s">
        <v>75</v>
      </c>
      <c r="C4106" s="409">
        <f>Return!S476</f>
        <v>9.7374356407938789E-3</v>
      </c>
    </row>
    <row r="4107" spans="1:3">
      <c r="A4107" s="406">
        <f>Return!A477</f>
        <v>45384</v>
      </c>
      <c r="B4107" s="408" t="s">
        <v>75</v>
      </c>
      <c r="C4107" s="409">
        <f>Return!S477</f>
        <v>-1.7879691194416791E-4</v>
      </c>
    </row>
    <row r="4108" spans="1:3">
      <c r="A4108" s="406">
        <f>Return!A478</f>
        <v>45383</v>
      </c>
      <c r="B4108" s="408" t="s">
        <v>75</v>
      </c>
      <c r="C4108" s="409">
        <f>Return!S478</f>
        <v>2.0299138136884443E-3</v>
      </c>
    </row>
    <row r="4109" spans="1:3">
      <c r="A4109" s="406">
        <f>Return!A479</f>
        <v>45379</v>
      </c>
      <c r="B4109" s="408" t="s">
        <v>75</v>
      </c>
      <c r="C4109" s="409">
        <f>Return!S479</f>
        <v>4.8827333218884883E-3</v>
      </c>
    </row>
    <row r="4110" spans="1:3">
      <c r="A4110" s="406">
        <f>Return!A480</f>
        <v>45378</v>
      </c>
      <c r="B4110" s="408" t="s">
        <v>75</v>
      </c>
      <c r="C4110" s="409">
        <f>Return!S480</f>
        <v>5.7436374917736455E-3</v>
      </c>
    </row>
    <row r="4111" spans="1:3">
      <c r="A4111" s="406">
        <f>Return!A481</f>
        <v>45377</v>
      </c>
      <c r="B4111" s="408" t="s">
        <v>75</v>
      </c>
      <c r="C4111" s="409">
        <f>Return!S481</f>
        <v>3.569097112331665E-3</v>
      </c>
    </row>
    <row r="4112" spans="1:3">
      <c r="A4112" s="406">
        <f>Return!A482</f>
        <v>45373</v>
      </c>
      <c r="B4112" s="408" t="s">
        <v>75</v>
      </c>
      <c r="C4112" s="409">
        <f>Return!S482</f>
        <v>-8.0751759906638743E-3</v>
      </c>
    </row>
    <row r="4113" spans="1:3">
      <c r="A4113" s="406">
        <f>Return!A483</f>
        <v>45372</v>
      </c>
      <c r="B4113" s="408" t="s">
        <v>75</v>
      </c>
      <c r="C4113" s="409">
        <f>Return!S483</f>
        <v>8.135958777584773E-3</v>
      </c>
    </row>
    <row r="4114" spans="1:3">
      <c r="A4114" s="406">
        <f>Return!A484</f>
        <v>45371</v>
      </c>
      <c r="B4114" s="408" t="s">
        <v>75</v>
      </c>
      <c r="C4114" s="409">
        <f>Return!S484</f>
        <v>1.0051551920090551E-3</v>
      </c>
    </row>
    <row r="4115" spans="1:3">
      <c r="A4115" s="406">
        <f>Return!A485</f>
        <v>45370</v>
      </c>
      <c r="B4115" s="408" t="s">
        <v>75</v>
      </c>
      <c r="C4115" s="409">
        <f>Return!S485</f>
        <v>9.488042167215216E-3</v>
      </c>
    </row>
    <row r="4116" spans="1:3">
      <c r="A4116" s="406">
        <f>Return!A486</f>
        <v>45369</v>
      </c>
      <c r="B4116" s="408" t="s">
        <v>75</v>
      </c>
      <c r="C4116" s="409">
        <f>Return!S486</f>
        <v>-4.0537156725665158E-3</v>
      </c>
    </row>
    <row r="4117" spans="1:3">
      <c r="A4117" s="406">
        <f>Return!A487</f>
        <v>45366</v>
      </c>
      <c r="B4117" s="408" t="s">
        <v>75</v>
      </c>
      <c r="C4117" s="409">
        <f>Return!S487</f>
        <v>-1.8175668273461287E-3</v>
      </c>
    </row>
    <row r="4118" spans="1:3">
      <c r="A4118" s="406">
        <f>Return!A488</f>
        <v>45365</v>
      </c>
      <c r="B4118" s="408" t="s">
        <v>75</v>
      </c>
      <c r="C4118" s="409">
        <f>Return!S488</f>
        <v>3.861370630113159E-3</v>
      </c>
    </row>
    <row r="4119" spans="1:3">
      <c r="A4119" s="406">
        <f>Return!A489</f>
        <v>45364</v>
      </c>
      <c r="B4119" s="408" t="s">
        <v>75</v>
      </c>
      <c r="C4119" s="409">
        <f>Return!S489</f>
        <v>-3.2644743768149853E-3</v>
      </c>
    </row>
    <row r="4120" spans="1:3">
      <c r="A4120" s="406">
        <f>Return!A490</f>
        <v>45363</v>
      </c>
      <c r="B4120" s="408" t="s">
        <v>75</v>
      </c>
      <c r="C4120" s="409">
        <f>Return!S490</f>
        <v>3.5070877971329351E-3</v>
      </c>
    </row>
    <row r="4121" spans="1:3">
      <c r="A4121" s="406">
        <f>Return!A491</f>
        <v>45362</v>
      </c>
      <c r="B4121" s="408" t="s">
        <v>75</v>
      </c>
      <c r="C4121" s="409">
        <f>Return!S491</f>
        <v>-1.5559720284907819E-3</v>
      </c>
    </row>
    <row r="4122" spans="1:3">
      <c r="A4122" s="406">
        <f>Return!A492</f>
        <v>45358</v>
      </c>
      <c r="B4122" s="408" t="s">
        <v>75</v>
      </c>
      <c r="C4122" s="409">
        <f>Return!S492</f>
        <v>5.796744495190409E-3</v>
      </c>
    </row>
    <row r="4123" spans="1:3">
      <c r="A4123" s="406">
        <f>Return!A493</f>
        <v>45357</v>
      </c>
      <c r="B4123" s="408" t="s">
        <v>75</v>
      </c>
      <c r="C4123" s="409">
        <f>Return!S493</f>
        <v>-1.3889397447924112E-2</v>
      </c>
    </row>
    <row r="4124" spans="1:3">
      <c r="A4124" s="406">
        <f>Return!A494</f>
        <v>45356</v>
      </c>
      <c r="B4124" s="408" t="s">
        <v>75</v>
      </c>
      <c r="C4124" s="409">
        <f>Return!S494</f>
        <v>-6.5510656162984238E-3</v>
      </c>
    </row>
    <row r="4125" spans="1:3">
      <c r="A4125" s="406">
        <f>Return!A495</f>
        <v>45355</v>
      </c>
      <c r="B4125" s="408" t="s">
        <v>75</v>
      </c>
      <c r="C4125" s="409">
        <f>Return!S495</f>
        <v>-5.5229327752864266E-3</v>
      </c>
    </row>
    <row r="4126" spans="1:3">
      <c r="A4126" s="406">
        <f>Return!A496</f>
        <v>45353</v>
      </c>
      <c r="B4126" s="408" t="s">
        <v>75</v>
      </c>
      <c r="C4126" s="409">
        <f>Return!S496</f>
        <v>3.9861997314880604E-3</v>
      </c>
    </row>
    <row r="4127" spans="1:3">
      <c r="A4127" s="406">
        <f>Return!A497</f>
        <v>45352</v>
      </c>
      <c r="B4127" s="408" t="s">
        <v>75</v>
      </c>
      <c r="C4127" s="409">
        <f>Return!S497</f>
        <v>-1.7854941386566958E-3</v>
      </c>
    </row>
    <row r="4128" spans="1:3">
      <c r="A4128" s="406">
        <f>Return!A498</f>
        <v>45351</v>
      </c>
      <c r="B4128" s="408" t="s">
        <v>75</v>
      </c>
      <c r="C4128" s="409">
        <f>Return!S498</f>
        <v>-3.6822941472947068E-5</v>
      </c>
    </row>
    <row r="4129" spans="1:3">
      <c r="A4129" s="406">
        <f>Return!A499</f>
        <v>45350</v>
      </c>
      <c r="B4129" s="408" t="s">
        <v>75</v>
      </c>
      <c r="C4129" s="409">
        <f>Return!S499</f>
        <v>-3.2532689331884468E-3</v>
      </c>
    </row>
    <row r="4130" spans="1:3">
      <c r="A4130" s="406">
        <f>Return!A500</f>
        <v>45349</v>
      </c>
      <c r="B4130" s="408" t="s">
        <v>75</v>
      </c>
      <c r="C4130" s="409">
        <f>Return!S500</f>
        <v>-7.2744149328055618E-3</v>
      </c>
    </row>
    <row r="4131" spans="1:3">
      <c r="A4131" s="406">
        <f>Return!A501</f>
        <v>45348</v>
      </c>
      <c r="B4131" s="408" t="s">
        <v>75</v>
      </c>
      <c r="C4131" s="409">
        <f>Return!S501</f>
        <v>-6.2575034461772039E-3</v>
      </c>
    </row>
    <row r="4132" spans="1:3">
      <c r="A4132" s="406">
        <f>Return!A502</f>
        <v>45345</v>
      </c>
      <c r="B4132" s="408" t="s">
        <v>75</v>
      </c>
      <c r="C4132" s="409">
        <f>Return!S502</f>
        <v>1.8032717583408853E-3</v>
      </c>
    </row>
    <row r="4133" spans="1:3">
      <c r="A4133" s="406">
        <f>Return!A503</f>
        <v>45344</v>
      </c>
      <c r="B4133" s="408" t="s">
        <v>75</v>
      </c>
      <c r="C4133" s="409">
        <f>Return!S503</f>
        <v>9.0055189297362226E-3</v>
      </c>
    </row>
    <row r="4134" spans="1:3">
      <c r="A4134" s="406">
        <f>Return!A504</f>
        <v>45343</v>
      </c>
      <c r="B4134" s="408" t="s">
        <v>75</v>
      </c>
      <c r="C4134" s="409">
        <f>Return!S504</f>
        <v>-6.2318500224013418E-3</v>
      </c>
    </row>
    <row r="4135" spans="1:3">
      <c r="A4135" s="406">
        <f>Return!A505</f>
        <v>45342</v>
      </c>
      <c r="B4135" s="408" t="s">
        <v>75</v>
      </c>
      <c r="C4135" s="409">
        <f>Return!S505</f>
        <v>3.5117539793511066E-4</v>
      </c>
    </row>
    <row r="4136" spans="1:3">
      <c r="A4136" s="406">
        <f>Return!A506</f>
        <v>45341</v>
      </c>
      <c r="B4136" s="408" t="s">
        <v>75</v>
      </c>
      <c r="C4136" s="409">
        <f>Return!S506</f>
        <v>1.719130661121504E-3</v>
      </c>
    </row>
    <row r="4137" spans="1:3">
      <c r="A4137" s="406">
        <f>Return!A507</f>
        <v>45338</v>
      </c>
      <c r="B4137" s="408" t="s">
        <v>75</v>
      </c>
      <c r="C4137" s="409">
        <f>Return!S507</f>
        <v>-4.9144743787477019E-5</v>
      </c>
    </row>
    <row r="4138" spans="1:3">
      <c r="A4138" s="406">
        <f>Return!A508</f>
        <v>45337</v>
      </c>
      <c r="B4138" s="408" t="s">
        <v>75</v>
      </c>
      <c r="C4138" s="409">
        <f>Return!S508</f>
        <v>2.8696820650334631E-3</v>
      </c>
    </row>
    <row r="4139" spans="1:3">
      <c r="A4139" s="406">
        <f>Return!A509</f>
        <v>45336</v>
      </c>
      <c r="B4139" s="408" t="s">
        <v>75</v>
      </c>
      <c r="C4139" s="409">
        <f>Return!S509</f>
        <v>1.4369809968459712E-3</v>
      </c>
    </row>
    <row r="4140" spans="1:3">
      <c r="A4140" s="406">
        <f>Return!A510</f>
        <v>45335</v>
      </c>
      <c r="B4140" s="408" t="s">
        <v>75</v>
      </c>
      <c r="C4140" s="409">
        <f>Return!S510</f>
        <v>6.1048692768551627E-3</v>
      </c>
    </row>
    <row r="4141" spans="1:3">
      <c r="A4141" s="406">
        <f>Return!A511</f>
        <v>45334</v>
      </c>
      <c r="B4141" s="408" t="s">
        <v>75</v>
      </c>
      <c r="C4141" s="409">
        <f>Return!S511</f>
        <v>6.3562821463589714E-3</v>
      </c>
    </row>
    <row r="4142" spans="1:3">
      <c r="A4142" s="406">
        <f>Return!A512</f>
        <v>45331</v>
      </c>
      <c r="B4142" s="408" t="s">
        <v>75</v>
      </c>
      <c r="C4142" s="409">
        <f>Return!S512</f>
        <v>3.7906319937509036E-3</v>
      </c>
    </row>
    <row r="4143" spans="1:3">
      <c r="A4143" s="406">
        <f>Return!A513</f>
        <v>45330</v>
      </c>
      <c r="B4143" s="408" t="s">
        <v>75</v>
      </c>
      <c r="C4143" s="409">
        <f>Return!S513</f>
        <v>5.1498234614359983E-3</v>
      </c>
    </row>
    <row r="4144" spans="1:3">
      <c r="A4144" s="406">
        <f>Return!A514</f>
        <v>45329</v>
      </c>
      <c r="B4144" s="408" t="s">
        <v>75</v>
      </c>
      <c r="C4144" s="409">
        <f>Return!S514</f>
        <v>5.5284299775698598E-4</v>
      </c>
    </row>
    <row r="4145" spans="1:3">
      <c r="A4145" s="406">
        <f>Return!A515</f>
        <v>45328</v>
      </c>
      <c r="B4145" s="408" t="s">
        <v>75</v>
      </c>
      <c r="C4145" s="409">
        <f>Return!S515</f>
        <v>1.345770478905417E-2</v>
      </c>
    </row>
    <row r="4146" spans="1:3">
      <c r="A4146" s="406">
        <f>Return!A516</f>
        <v>45327</v>
      </c>
      <c r="B4146" s="408" t="s">
        <v>75</v>
      </c>
      <c r="C4146" s="409">
        <f>Return!S516</f>
        <v>-6.4860630369761862E-4</v>
      </c>
    </row>
    <row r="4147" spans="1:3">
      <c r="A4147" s="406">
        <f>Return!A517</f>
        <v>45324</v>
      </c>
      <c r="B4147" s="408" t="s">
        <v>75</v>
      </c>
      <c r="C4147" s="409">
        <f>Return!S517</f>
        <v>5.911704879333346E-3</v>
      </c>
    </row>
    <row r="4148" spans="1:3">
      <c r="A4148" s="406">
        <f>Return!A518</f>
        <v>45323</v>
      </c>
      <c r="B4148" s="408" t="s">
        <v>75</v>
      </c>
      <c r="C4148" s="409">
        <f>Return!S518</f>
        <v>4.1829702222730414E-3</v>
      </c>
    </row>
    <row r="4149" spans="1:3">
      <c r="A4149" s="406">
        <f>Return!A519</f>
        <v>45322</v>
      </c>
      <c r="B4149" s="408" t="s">
        <v>75</v>
      </c>
      <c r="C4149" s="409">
        <f>Return!S519</f>
        <v>1.0135933722598689E-2</v>
      </c>
    </row>
    <row r="4150" spans="1:3">
      <c r="A4150" s="406">
        <f>Return!A520</f>
        <v>45321</v>
      </c>
      <c r="B4150" s="408" t="s">
        <v>75</v>
      </c>
      <c r="C4150" s="409">
        <f>Return!S520</f>
        <v>1.6663669710752504E-3</v>
      </c>
    </row>
    <row r="4151" spans="1:3">
      <c r="A4151" s="406">
        <f>Return!A521</f>
        <v>45320</v>
      </c>
      <c r="B4151" s="408" t="s">
        <v>75</v>
      </c>
      <c r="C4151" s="409">
        <f>Return!S521</f>
        <v>2.8519977012732012E-3</v>
      </c>
    </row>
    <row r="4152" spans="1:3">
      <c r="A4152" s="406">
        <f>Return!A522</f>
        <v>45316</v>
      </c>
      <c r="B4152" s="408" t="s">
        <v>75</v>
      </c>
      <c r="C4152" s="409">
        <f>Return!S522</f>
        <v>1.2346546066265285E-2</v>
      </c>
    </row>
    <row r="4153" spans="1:3">
      <c r="A4153" s="406">
        <f>Return!A523</f>
        <v>45315</v>
      </c>
      <c r="B4153" s="408" t="s">
        <v>75</v>
      </c>
      <c r="C4153" s="409">
        <f>Return!S523</f>
        <v>-5.4581465943008278E-3</v>
      </c>
    </row>
    <row r="4154" spans="1:3">
      <c r="A4154" s="406">
        <f>Return!A524</f>
        <v>45314</v>
      </c>
      <c r="B4154" s="408" t="s">
        <v>75</v>
      </c>
      <c r="C4154" s="409">
        <f>Return!S524</f>
        <v>-4.2738290407406954E-5</v>
      </c>
    </row>
    <row r="4155" spans="1:3">
      <c r="A4155" s="406">
        <f>Return!A525</f>
        <v>45311</v>
      </c>
      <c r="B4155" s="408" t="s">
        <v>75</v>
      </c>
      <c r="C4155" s="409">
        <f>Return!S525</f>
        <v>-3.5096389674011963E-3</v>
      </c>
    </row>
    <row r="4156" spans="1:3">
      <c r="A4156" s="406">
        <f>Return!A526</f>
        <v>45310</v>
      </c>
      <c r="B4156" s="408" t="s">
        <v>75</v>
      </c>
      <c r="C4156" s="409">
        <f>Return!S526</f>
        <v>1.1775945412545452E-4</v>
      </c>
    </row>
    <row r="4157" spans="1:3">
      <c r="A4157" s="406">
        <f>Return!A527</f>
        <v>45309</v>
      </c>
      <c r="B4157" s="408" t="s">
        <v>75</v>
      </c>
      <c r="C4157" s="409">
        <f>Return!S527</f>
        <v>4.179917063885541E-3</v>
      </c>
    </row>
    <row r="4158" spans="1:3">
      <c r="A4158" s="406">
        <f>Return!A528</f>
        <v>45308</v>
      </c>
      <c r="B4158" s="408" t="s">
        <v>75</v>
      </c>
      <c r="C4158" s="409">
        <f>Return!S528</f>
        <v>5.2024368102736585E-3</v>
      </c>
    </row>
    <row r="4159" spans="1:3">
      <c r="A4159" s="406">
        <f>Return!A529</f>
        <v>45307</v>
      </c>
      <c r="B4159" s="408" t="s">
        <v>75</v>
      </c>
      <c r="C4159" s="409">
        <f>Return!S529</f>
        <v>5.8093331699408113E-3</v>
      </c>
    </row>
    <row r="4160" spans="1:3">
      <c r="A4160" s="406">
        <f>Return!A530</f>
        <v>45306</v>
      </c>
      <c r="B4160" s="408" t="s">
        <v>75</v>
      </c>
      <c r="C4160" s="409">
        <f>Return!S530</f>
        <v>-6.0928806591306617E-3</v>
      </c>
    </row>
    <row r="4161" spans="1:3">
      <c r="A4161" s="406">
        <f>Return!A531</f>
        <v>45303</v>
      </c>
      <c r="B4161" s="408" t="s">
        <v>75</v>
      </c>
      <c r="C4161" s="409">
        <f>Return!S531</f>
        <v>-3.2519771565353017E-3</v>
      </c>
    </row>
    <row r="4162" spans="1:3">
      <c r="A4162" s="406">
        <f>Return!A532</f>
        <v>45302</v>
      </c>
      <c r="B4162" s="408" t="s">
        <v>75</v>
      </c>
      <c r="C4162" s="409">
        <f>Return!S532</f>
        <v>-4.4401734741433829E-4</v>
      </c>
    </row>
    <row r="4163" spans="1:3">
      <c r="A4163" s="406">
        <f>Return!A533</f>
        <v>45301</v>
      </c>
      <c r="B4163" s="408" t="s">
        <v>75</v>
      </c>
      <c r="C4163" s="409">
        <f>Return!S533</f>
        <v>1.092640888304186E-3</v>
      </c>
    </row>
    <row r="4164" spans="1:3">
      <c r="A4164" s="406">
        <f>Return!A534</f>
        <v>45300</v>
      </c>
      <c r="B4164" s="408" t="s">
        <v>75</v>
      </c>
      <c r="C4164" s="409">
        <f>Return!S534</f>
        <v>1.4024977994571364E-2</v>
      </c>
    </row>
    <row r="4165" spans="1:3">
      <c r="A4165" s="406">
        <f>Return!A535</f>
        <v>45299</v>
      </c>
      <c r="B4165" s="408" t="s">
        <v>75</v>
      </c>
      <c r="C4165" s="409">
        <f>Return!S535</f>
        <v>3.9161215427213625E-3</v>
      </c>
    </row>
    <row r="4166" spans="1:3">
      <c r="A4166" s="406">
        <f>Return!A536</f>
        <v>45296</v>
      </c>
      <c r="B4166" s="408" t="s">
        <v>75</v>
      </c>
      <c r="C4166" s="409">
        <f>Return!S536</f>
        <v>5.097398461725744E-3</v>
      </c>
    </row>
    <row r="4167" spans="1:3">
      <c r="A4167" s="406">
        <f>Return!A537</f>
        <v>45295</v>
      </c>
      <c r="B4167" s="408" t="s">
        <v>75</v>
      </c>
      <c r="C4167" s="409">
        <f>Return!S537</f>
        <v>6.315798106041326E-4</v>
      </c>
    </row>
    <row r="4168" spans="1:3">
      <c r="A4168" s="406">
        <f>Return!A538</f>
        <v>45294</v>
      </c>
      <c r="B4168" s="408" t="s">
        <v>75</v>
      </c>
      <c r="C4168" s="409">
        <f>Return!S538</f>
        <v>3.3725235172408774E-3</v>
      </c>
    </row>
    <row r="4169" spans="1:3">
      <c r="A4169" s="406">
        <f>Return!A539</f>
        <v>45293</v>
      </c>
      <c r="B4169" s="408" t="s">
        <v>75</v>
      </c>
      <c r="C4169" s="409">
        <f>Return!S539</f>
        <v>6.6811822491681383E-3</v>
      </c>
    </row>
    <row r="4170" spans="1:3">
      <c r="A4170" s="406">
        <f>Return!A540</f>
        <v>45292</v>
      </c>
      <c r="B4170" s="408" t="s">
        <v>75</v>
      </c>
      <c r="C4170" s="409">
        <f>Return!S540</f>
        <v>1.0530089798729603E-2</v>
      </c>
    </row>
    <row r="4171" spans="1:3">
      <c r="A4171" s="406">
        <f>Return!A541</f>
        <v>45289</v>
      </c>
      <c r="B4171" s="408" t="s">
        <v>75</v>
      </c>
      <c r="C4171" s="409">
        <f>Return!S541</f>
        <v>1.2331174762006403E-2</v>
      </c>
    </row>
    <row r="4172" spans="1:3">
      <c r="A4172" s="406">
        <f>Return!A542</f>
        <v>45288</v>
      </c>
      <c r="B4172" s="408" t="s">
        <v>75</v>
      </c>
      <c r="C4172" s="409">
        <f>Return!S542</f>
        <v>-6.4615936701549748E-3</v>
      </c>
    </row>
    <row r="4173" spans="1:3">
      <c r="A4173" s="406">
        <f>Return!A543</f>
        <v>45287</v>
      </c>
      <c r="B4173" s="408" t="s">
        <v>75</v>
      </c>
      <c r="C4173" s="409">
        <f>Return!S543</f>
        <v>2.6104231601785099E-3</v>
      </c>
    </row>
    <row r="4174" spans="1:3">
      <c r="A4174" s="406">
        <f>Return!A544</f>
        <v>45286</v>
      </c>
      <c r="B4174" s="408" t="s">
        <v>75</v>
      </c>
      <c r="C4174" s="409">
        <f>Return!S544</f>
        <v>7.2408420250729133E-3</v>
      </c>
    </row>
    <row r="4175" spans="1:3">
      <c r="A4175" s="406">
        <f>Return!A545</f>
        <v>45282</v>
      </c>
      <c r="B4175" s="408" t="s">
        <v>75</v>
      </c>
      <c r="C4175" s="409">
        <f>Return!S545</f>
        <v>4.3279761214087831E-3</v>
      </c>
    </row>
    <row r="4176" spans="1:3">
      <c r="A4176" s="406">
        <f>Return!A546</f>
        <v>45281</v>
      </c>
      <c r="B4176" s="408" t="s">
        <v>75</v>
      </c>
      <c r="C4176" s="409">
        <f>Return!S546</f>
        <v>4.927100023725095E-3</v>
      </c>
    </row>
    <row r="4177" spans="1:3">
      <c r="A4177" s="406">
        <f>Return!A547</f>
        <v>45280</v>
      </c>
      <c r="B4177" s="408" t="s">
        <v>75</v>
      </c>
      <c r="C4177" s="409">
        <f>Return!S547</f>
        <v>8.6337701642914544E-3</v>
      </c>
    </row>
    <row r="4178" spans="1:3">
      <c r="A4178" s="406">
        <f>Return!A548</f>
        <v>45279</v>
      </c>
      <c r="B4178" s="408" t="s">
        <v>75</v>
      </c>
      <c r="C4178" s="409">
        <f>Return!S548</f>
        <v>2.7137312168422634E-3</v>
      </c>
    </row>
    <row r="4179" spans="1:3">
      <c r="A4179" s="406">
        <f>Return!A549</f>
        <v>45278</v>
      </c>
      <c r="B4179" s="408" t="s">
        <v>75</v>
      </c>
      <c r="C4179" s="409">
        <f>Return!S549</f>
        <v>-1.1598876734915997E-2</v>
      </c>
    </row>
    <row r="4180" spans="1:3">
      <c r="A4180" s="406">
        <f>Return!A550</f>
        <v>45275</v>
      </c>
      <c r="B4180" s="408" t="s">
        <v>75</v>
      </c>
      <c r="C4180" s="409">
        <f>Return!S550</f>
        <v>-2.8925194437673385E-4</v>
      </c>
    </row>
    <row r="4181" spans="1:3">
      <c r="A4181" s="406">
        <f>Return!A551</f>
        <v>45274</v>
      </c>
      <c r="B4181" s="408" t="s">
        <v>75</v>
      </c>
      <c r="C4181" s="409">
        <f>Return!S551</f>
        <v>5.2847233482676836E-3</v>
      </c>
    </row>
    <row r="4182" spans="1:3">
      <c r="A4182" s="406">
        <f>Return!A552</f>
        <v>45273</v>
      </c>
      <c r="B4182" s="408" t="s">
        <v>75</v>
      </c>
      <c r="C4182" s="409">
        <f>Return!S552</f>
        <v>-5.4167619967804281E-4</v>
      </c>
    </row>
    <row r="4183" spans="1:3">
      <c r="A4183" s="406">
        <f>Return!A553</f>
        <v>45272</v>
      </c>
      <c r="B4183" s="408" t="s">
        <v>75</v>
      </c>
      <c r="C4183" s="409">
        <f>Return!S553</f>
        <v>2.1840459866085404E-3</v>
      </c>
    </row>
    <row r="4184" spans="1:3">
      <c r="A4184" s="406">
        <f>Return!A554</f>
        <v>45271</v>
      </c>
      <c r="B4184" s="408" t="s">
        <v>75</v>
      </c>
      <c r="C4184" s="409">
        <f>Return!S554</f>
        <v>4.419095236993853E-3</v>
      </c>
    </row>
    <row r="4185" spans="1:3">
      <c r="A4185" s="406">
        <f>Return!A555</f>
        <v>45268</v>
      </c>
      <c r="B4185" s="408" t="s">
        <v>75</v>
      </c>
      <c r="C4185" s="409">
        <f>Return!S555</f>
        <v>-7.4195702643142791E-4</v>
      </c>
    </row>
    <row r="4186" spans="1:3">
      <c r="A4186" s="406">
        <f>Return!A556</f>
        <v>45267</v>
      </c>
      <c r="B4186" s="408" t="s">
        <v>75</v>
      </c>
      <c r="C4186" s="409">
        <f>Return!S556</f>
        <v>5.4927272554327611E-3</v>
      </c>
    </row>
    <row r="4187" spans="1:3">
      <c r="A4187" s="406">
        <f>Return!A557</f>
        <v>45266</v>
      </c>
      <c r="B4187" s="408" t="s">
        <v>75</v>
      </c>
      <c r="C4187" s="409">
        <f>Return!S557</f>
        <v>-1.5555217232328666E-3</v>
      </c>
    </row>
    <row r="4188" spans="1:3">
      <c r="A4188" s="406">
        <f>Return!A558</f>
        <v>45265</v>
      </c>
      <c r="B4188" s="408" t="s">
        <v>75</v>
      </c>
      <c r="C4188" s="409">
        <f>Return!S558</f>
        <v>1.3043159069661137E-3</v>
      </c>
    </row>
    <row r="4189" spans="1:3">
      <c r="A4189" s="406">
        <f>Return!A559</f>
        <v>45264</v>
      </c>
      <c r="B4189" s="408" t="s">
        <v>75</v>
      </c>
      <c r="C4189" s="409">
        <f>Return!S559</f>
        <v>-3.4427298296529907E-4</v>
      </c>
    </row>
    <row r="4190" spans="1:3">
      <c r="A4190" s="406">
        <f>Return!A560</f>
        <v>45261</v>
      </c>
      <c r="B4190" s="408" t="s">
        <v>75</v>
      </c>
      <c r="C4190" s="409">
        <f>Return!S560</f>
        <v>-5.3279875108807606E-3</v>
      </c>
    </row>
    <row r="4191" spans="1:3">
      <c r="A4191" s="406">
        <f>Return!A561</f>
        <v>45260</v>
      </c>
      <c r="B4191" s="408" t="s">
        <v>75</v>
      </c>
      <c r="C4191" s="409">
        <f>Return!S561</f>
        <v>4.0889299183214378E-3</v>
      </c>
    </row>
    <row r="4192" spans="1:3">
      <c r="A4192" s="406">
        <f>Return!A562</f>
        <v>45259</v>
      </c>
      <c r="B4192" s="408" t="s">
        <v>75</v>
      </c>
      <c r="C4192" s="409">
        <f>Return!S562</f>
        <v>6.6402104271779949E-3</v>
      </c>
    </row>
    <row r="4193" spans="1:3">
      <c r="A4193" s="406">
        <f>Return!A563</f>
        <v>45258</v>
      </c>
      <c r="B4193" s="408" t="s">
        <v>75</v>
      </c>
      <c r="C4193" s="409">
        <f>Return!S563</f>
        <v>8.9249207767703176E-3</v>
      </c>
    </row>
    <row r="4194" spans="1:3">
      <c r="A4194" s="406">
        <f>Return!A564</f>
        <v>45254</v>
      </c>
      <c r="B4194" s="408" t="s">
        <v>75</v>
      </c>
      <c r="C4194" s="409">
        <f>Return!S564</f>
        <v>5.6152074429722809E-3</v>
      </c>
    </row>
    <row r="4195" spans="1:3">
      <c r="A4195" s="406">
        <f>Return!A565</f>
        <v>45253</v>
      </c>
      <c r="B4195" s="408" t="s">
        <v>75</v>
      </c>
      <c r="C4195" s="409">
        <f>Return!S565</f>
        <v>2.4059368877910048E-3</v>
      </c>
    </row>
    <row r="4196" spans="1:3">
      <c r="A4196" s="406">
        <f>Return!A566</f>
        <v>45252</v>
      </c>
      <c r="B4196" s="408" t="s">
        <v>75</v>
      </c>
      <c r="C4196" s="409">
        <f>Return!S566</f>
        <v>3.7493139874049675E-3</v>
      </c>
    </row>
    <row r="4197" spans="1:3">
      <c r="A4197" s="406">
        <f>Return!A567</f>
        <v>45251</v>
      </c>
      <c r="B4197" s="408" t="s">
        <v>75</v>
      </c>
      <c r="C4197" s="409">
        <f>Return!S567</f>
        <v>-5.4844471001275208E-3</v>
      </c>
    </row>
    <row r="4198" spans="1:3">
      <c r="A4198" s="406">
        <f>Return!A568</f>
        <v>45250</v>
      </c>
      <c r="B4198" s="408" t="s">
        <v>75</v>
      </c>
      <c r="C4198" s="409">
        <f>Return!S568</f>
        <v>6.0990974434332879E-3</v>
      </c>
    </row>
    <row r="4199" spans="1:3">
      <c r="A4199" s="406">
        <f>Return!A569</f>
        <v>45247</v>
      </c>
      <c r="B4199" s="408" t="s">
        <v>75</v>
      </c>
      <c r="C4199" s="409">
        <f>Return!S569</f>
        <v>3.1979161686962465E-3</v>
      </c>
    </row>
    <row r="4200" spans="1:3">
      <c r="A4200" s="406">
        <f>Return!A570</f>
        <v>45246</v>
      </c>
      <c r="B4200" s="408" t="s">
        <v>75</v>
      </c>
      <c r="C4200" s="409">
        <f>Return!S570</f>
        <v>8.731728250215065E-3</v>
      </c>
    </row>
    <row r="4201" spans="1:3">
      <c r="A4201" s="406">
        <f>Return!A571</f>
        <v>45245</v>
      </c>
      <c r="B4201" s="408" t="s">
        <v>75</v>
      </c>
      <c r="C4201" s="409">
        <f>Return!S571</f>
        <v>1.0511612031887996E-2</v>
      </c>
    </row>
    <row r="4202" spans="1:3">
      <c r="A4202" s="406">
        <f>Return!A572</f>
        <v>45243</v>
      </c>
      <c r="B4202" s="408" t="s">
        <v>75</v>
      </c>
      <c r="C4202" s="409">
        <f>Return!S572</f>
        <v>7.440849241102554E-3</v>
      </c>
    </row>
    <row r="4203" spans="1:3">
      <c r="A4203" s="406">
        <f>Return!A573</f>
        <v>45242</v>
      </c>
      <c r="B4203" s="408" t="s">
        <v>75</v>
      </c>
      <c r="C4203" s="409">
        <f>Return!S573</f>
        <v>4.2151534642904664E-3</v>
      </c>
    </row>
    <row r="4204" spans="1:3">
      <c r="A4204" s="406">
        <f>Return!A574</f>
        <v>45240</v>
      </c>
      <c r="B4204" s="408" t="s">
        <v>75</v>
      </c>
      <c r="C4204" s="409">
        <f>Return!S574</f>
        <v>3.51697649321836E-3</v>
      </c>
    </row>
    <row r="4205" spans="1:3">
      <c r="A4205" s="406">
        <f>Return!A575</f>
        <v>45239</v>
      </c>
      <c r="B4205" s="408" t="s">
        <v>75</v>
      </c>
      <c r="C4205" s="409">
        <f>Return!S575</f>
        <v>4.8761596967439313E-3</v>
      </c>
    </row>
    <row r="4206" spans="1:3">
      <c r="A4206" s="406">
        <f>Return!A576</f>
        <v>45238</v>
      </c>
      <c r="B4206" s="408" t="s">
        <v>75</v>
      </c>
      <c r="C4206" s="409">
        <f>Return!S576</f>
        <v>-1.4098088271784492E-3</v>
      </c>
    </row>
    <row r="4207" spans="1:3">
      <c r="A4207" s="406">
        <f>Return!A577</f>
        <v>45237</v>
      </c>
      <c r="B4207" s="408" t="s">
        <v>75</v>
      </c>
      <c r="C4207" s="409">
        <f>Return!S577</f>
        <v>4.9719953830341668E-3</v>
      </c>
    </row>
    <row r="4208" spans="1:3">
      <c r="A4208" s="406">
        <f>Return!A578</f>
        <v>45236</v>
      </c>
      <c r="B4208" s="408" t="s">
        <v>75</v>
      </c>
      <c r="C4208" s="409">
        <f>Return!S578</f>
        <v>1.2897705648947655E-2</v>
      </c>
    </row>
    <row r="4209" spans="1:3">
      <c r="A4209" s="406">
        <f>Return!A579</f>
        <v>45233</v>
      </c>
      <c r="B4209" s="408" t="s">
        <v>75</v>
      </c>
      <c r="C4209" s="409">
        <f>Return!S579</f>
        <v>2.2520003271120359E-4</v>
      </c>
    </row>
    <row r="4210" spans="1:3">
      <c r="A4210" s="406">
        <f>Return!A580</f>
        <v>45232</v>
      </c>
      <c r="B4210" s="408" t="s">
        <v>75</v>
      </c>
      <c r="C4210" s="409">
        <f>Return!S580</f>
        <v>-1.4434986541824735E-3</v>
      </c>
    </row>
    <row r="4211" spans="1:3">
      <c r="A4211" s="406">
        <f>Return!A581</f>
        <v>45231</v>
      </c>
      <c r="B4211" s="408" t="s">
        <v>75</v>
      </c>
      <c r="C4211" s="409">
        <f>Return!S581</f>
        <v>-2.6640361090371489E-3</v>
      </c>
    </row>
    <row r="4212" spans="1:3">
      <c r="A4212" s="406">
        <f>Return!A582</f>
        <v>45230</v>
      </c>
      <c r="B4212" s="408" t="s">
        <v>75</v>
      </c>
      <c r="C4212" s="409">
        <f>Return!S582</f>
        <v>-4.1579857927511177E-3</v>
      </c>
    </row>
    <row r="4213" spans="1:3">
      <c r="A4213" s="406">
        <f>Return!A583</f>
        <v>45229</v>
      </c>
      <c r="B4213" s="408" t="s">
        <v>75</v>
      </c>
      <c r="C4213" s="409">
        <f>Return!S583</f>
        <v>-4.0499515527342433E-3</v>
      </c>
    </row>
    <row r="4214" spans="1:3">
      <c r="A4214" s="406">
        <f>Return!A584</f>
        <v>45226</v>
      </c>
      <c r="B4214" s="408" t="s">
        <v>75</v>
      </c>
      <c r="C4214" s="409">
        <f>Return!S584</f>
        <v>4.037893919194846E-3</v>
      </c>
    </row>
    <row r="4215" spans="1:3">
      <c r="A4215" s="406">
        <f>Return!A585</f>
        <v>45225</v>
      </c>
      <c r="B4215" s="408" t="s">
        <v>75</v>
      </c>
      <c r="C4215" s="409">
        <f>Return!S585</f>
        <v>7.8644232629981881E-3</v>
      </c>
    </row>
    <row r="4216" spans="1:3">
      <c r="A4216" s="406">
        <f>Return!A586</f>
        <v>45224</v>
      </c>
      <c r="B4216" s="408" t="s">
        <v>75</v>
      </c>
      <c r="C4216" s="409">
        <f>Return!S586</f>
        <v>-5.5417714475011204E-3</v>
      </c>
    </row>
    <row r="4217" spans="1:3">
      <c r="A4217" s="406">
        <f>Return!A587</f>
        <v>45222</v>
      </c>
      <c r="B4217" s="408" t="s">
        <v>75</v>
      </c>
      <c r="C4217" s="409">
        <f>Return!S587</f>
        <v>-2.1064850612760866E-3</v>
      </c>
    </row>
    <row r="4218" spans="1:3">
      <c r="A4218" s="406">
        <f>Return!A588</f>
        <v>45219</v>
      </c>
      <c r="B4218" s="408" t="s">
        <v>75</v>
      </c>
      <c r="C4218" s="409">
        <f>Return!S588</f>
        <v>-7.4992163811866686E-3</v>
      </c>
    </row>
    <row r="4219" spans="1:3">
      <c r="A4219" s="406">
        <f>Return!A589</f>
        <v>45218</v>
      </c>
      <c r="B4219" s="408" t="s">
        <v>75</v>
      </c>
      <c r="C4219" s="409">
        <f>Return!S589</f>
        <v>-3.028357800666126E-3</v>
      </c>
    </row>
    <row r="4220" spans="1:3">
      <c r="A4220" s="406">
        <f>Return!A590</f>
        <v>45217</v>
      </c>
      <c r="B4220" s="408" t="s">
        <v>75</v>
      </c>
      <c r="C4220" s="409">
        <f>Return!S590</f>
        <v>9.2195929717697744E-4</v>
      </c>
    </row>
    <row r="4221" spans="1:3">
      <c r="A4221" s="406">
        <f>Return!A591</f>
        <v>45216</v>
      </c>
      <c r="B4221" s="408" t="s">
        <v>75</v>
      </c>
      <c r="C4221" s="409">
        <f>Return!S591</f>
        <v>-2.1406699419571629E-3</v>
      </c>
    </row>
    <row r="4222" spans="1:3">
      <c r="A4222" s="406">
        <f>Return!A592</f>
        <v>45215</v>
      </c>
      <c r="B4222" s="408" t="s">
        <v>75</v>
      </c>
      <c r="C4222" s="409">
        <f>Return!S592</f>
        <v>2.6497801265443766E-3</v>
      </c>
    </row>
    <row r="4223" spans="1:3">
      <c r="A4223" s="406">
        <f>Return!A593</f>
        <v>45212</v>
      </c>
      <c r="B4223" s="408" t="s">
        <v>75</v>
      </c>
      <c r="C4223" s="409">
        <f>Return!S593</f>
        <v>-4.4839891485038419E-3</v>
      </c>
    </row>
    <row r="4224" spans="1:3">
      <c r="A4224" s="406">
        <f>Return!A594</f>
        <v>45211</v>
      </c>
      <c r="B4224" s="408" t="s">
        <v>75</v>
      </c>
      <c r="C4224" s="409">
        <f>Return!S594</f>
        <v>-3.6127236209270719E-3</v>
      </c>
    </row>
    <row r="4225" spans="1:3">
      <c r="A4225" s="406">
        <f>Return!A595</f>
        <v>45210</v>
      </c>
      <c r="B4225" s="408" t="s">
        <v>75</v>
      </c>
      <c r="C4225" s="409">
        <f>Return!S595</f>
        <v>-3.0003142224949153E-4</v>
      </c>
    </row>
    <row r="4226" spans="1:3">
      <c r="A4226" s="406">
        <f>Return!A596</f>
        <v>45209</v>
      </c>
      <c r="B4226" s="408" t="s">
        <v>75</v>
      </c>
      <c r="C4226" s="409">
        <f>Return!S596</f>
        <v>1.0499622835061007E-2</v>
      </c>
    </row>
    <row r="4227" spans="1:3">
      <c r="A4227" s="406">
        <f>Return!A597</f>
        <v>45208</v>
      </c>
      <c r="B4227" s="408" t="s">
        <v>75</v>
      </c>
      <c r="C4227" s="409">
        <f>Return!S597</f>
        <v>5.7030958714908153E-3</v>
      </c>
    </row>
    <row r="4228" spans="1:3">
      <c r="A4228" s="406">
        <f>Return!A598</f>
        <v>45205</v>
      </c>
      <c r="B4228" s="408" t="s">
        <v>75</v>
      </c>
      <c r="C4228" s="409">
        <f>Return!S598</f>
        <v>-4.9129097861332904E-3</v>
      </c>
    </row>
    <row r="4229" spans="1:3">
      <c r="A4229" s="406">
        <f>Return!A599</f>
        <v>45204</v>
      </c>
      <c r="B4229" s="408" t="s">
        <v>75</v>
      </c>
      <c r="C4229" s="409">
        <f>Return!S599</f>
        <v>2.8469169968916019E-3</v>
      </c>
    </row>
    <row r="4230" spans="1:3">
      <c r="A4230" s="406">
        <f>Return!A600</f>
        <v>45203</v>
      </c>
      <c r="B4230" s="408" t="s">
        <v>75</v>
      </c>
      <c r="C4230" s="409">
        <f>Return!S600</f>
        <v>-8.38816979996726E-3</v>
      </c>
    </row>
    <row r="4231" spans="1:3">
      <c r="A4231" s="406">
        <f>Return!A601</f>
        <v>45202</v>
      </c>
      <c r="B4231" s="408" t="s">
        <v>75</v>
      </c>
      <c r="C4231" s="409">
        <f>Return!S601</f>
        <v>-9.7761688778964517E-3</v>
      </c>
    </row>
    <row r="4232" spans="1:3">
      <c r="A4232" s="406">
        <f>Return!A602</f>
        <v>45198</v>
      </c>
      <c r="B4232" s="408" t="s">
        <v>75</v>
      </c>
      <c r="C4232" s="409">
        <f>Return!S602</f>
        <v>-1.8293711071041829E-3</v>
      </c>
    </row>
    <row r="4233" spans="1:3">
      <c r="A4233" s="406">
        <f>Return!A603</f>
        <v>45197</v>
      </c>
      <c r="B4233" s="408" t="s">
        <v>75</v>
      </c>
      <c r="C4233" s="409">
        <f>Return!S603</f>
        <v>2.8704106883060132E-3</v>
      </c>
    </row>
    <row r="4234" spans="1:3">
      <c r="A4234" s="406">
        <f>Return!A604</f>
        <v>45196</v>
      </c>
      <c r="B4234" s="408" t="s">
        <v>75</v>
      </c>
      <c r="C4234" s="409">
        <f>Return!S604</f>
        <v>5.4489154229719894E-3</v>
      </c>
    </row>
    <row r="4235" spans="1:3">
      <c r="A4235" s="406">
        <f>Return!A605</f>
        <v>45195</v>
      </c>
      <c r="B4235" s="408" t="s">
        <v>75</v>
      </c>
      <c r="C4235" s="409">
        <f>Return!S605</f>
        <v>1.1860313263793443E-3</v>
      </c>
    </row>
    <row r="4236" spans="1:3">
      <c r="A4236" s="406">
        <f>Return!A606</f>
        <v>45194</v>
      </c>
      <c r="B4236" s="408" t="s">
        <v>75</v>
      </c>
      <c r="C4236" s="409">
        <f>Return!S606</f>
        <v>3.9745895540621579E-3</v>
      </c>
    </row>
    <row r="4237" spans="1:3">
      <c r="A4237" s="406">
        <f>Return!A607</f>
        <v>45191</v>
      </c>
      <c r="B4237" s="408" t="s">
        <v>75</v>
      </c>
      <c r="C4237" s="409">
        <f>Return!S607</f>
        <v>-4.7422398973046009E-3</v>
      </c>
    </row>
    <row r="4238" spans="1:3">
      <c r="A4238" s="406">
        <f>Return!A608</f>
        <v>45190</v>
      </c>
      <c r="B4238" s="408" t="s">
        <v>75</v>
      </c>
      <c r="C4238" s="409">
        <f>Return!S608</f>
        <v>-8.651104148631461E-4</v>
      </c>
    </row>
    <row r="4239" spans="1:3">
      <c r="A4239" s="406">
        <f>Return!A609</f>
        <v>45189</v>
      </c>
      <c r="B4239" s="408" t="s">
        <v>75</v>
      </c>
      <c r="C4239" s="409">
        <f>Return!S609</f>
        <v>-3.5072372755201031E-3</v>
      </c>
    </row>
    <row r="4240" spans="1:3">
      <c r="A4240" s="406">
        <f>Return!A610</f>
        <v>45187</v>
      </c>
      <c r="B4240" s="408" t="s">
        <v>75</v>
      </c>
      <c r="C4240" s="409">
        <f>Return!S610</f>
        <v>-4.6902119062647296E-4</v>
      </c>
    </row>
    <row r="4241" spans="1:3">
      <c r="A4241" s="406">
        <f>Return!A611</f>
        <v>45184</v>
      </c>
      <c r="B4241" s="408" t="s">
        <v>75</v>
      </c>
      <c r="C4241" s="409">
        <f>Return!S611</f>
        <v>2.882433298619369E-3</v>
      </c>
    </row>
    <row r="4242" spans="1:3">
      <c r="A4242" s="406">
        <f>Return!A612</f>
        <v>45183</v>
      </c>
      <c r="B4242" s="408" t="s">
        <v>75</v>
      </c>
      <c r="C4242" s="409">
        <f>Return!S612</f>
        <v>6.1272204686388942E-3</v>
      </c>
    </row>
    <row r="4243" spans="1:3">
      <c r="A4243" s="406">
        <f>Return!A613</f>
        <v>45182</v>
      </c>
      <c r="B4243" s="408" t="s">
        <v>75</v>
      </c>
      <c r="C4243" s="409">
        <f>Return!S613</f>
        <v>8.6354210642425322E-4</v>
      </c>
    </row>
    <row r="4244" spans="1:3">
      <c r="A4244" s="406">
        <f>Return!A614</f>
        <v>45181</v>
      </c>
      <c r="B4244" s="408" t="s">
        <v>75</v>
      </c>
      <c r="C4244" s="409">
        <f>Return!S614</f>
        <v>-5.2463239631342917E-3</v>
      </c>
    </row>
    <row r="4245" spans="1:3">
      <c r="A4245" s="406">
        <f>Return!A615</f>
        <v>45180</v>
      </c>
      <c r="B4245" s="408" t="s">
        <v>75</v>
      </c>
      <c r="C4245" s="409">
        <f>Return!S615</f>
        <v>2.3907490852847491E-3</v>
      </c>
    </row>
    <row r="4246" spans="1:3">
      <c r="A4246" s="406">
        <f>Return!A616</f>
        <v>45177</v>
      </c>
      <c r="B4246" s="408" t="s">
        <v>75</v>
      </c>
      <c r="C4246" s="409">
        <f>Return!S616</f>
        <v>-1.0583297526417512E-3</v>
      </c>
    </row>
    <row r="4247" spans="1:3">
      <c r="A4247" s="406">
        <f>Return!A617</f>
        <v>45176</v>
      </c>
      <c r="B4247" s="408" t="s">
        <v>75</v>
      </c>
      <c r="C4247" s="409">
        <f>Return!S617</f>
        <v>-2.227670038199181E-3</v>
      </c>
    </row>
    <row r="4248" spans="1:3">
      <c r="A4248" s="406">
        <f>Return!A618</f>
        <v>45175</v>
      </c>
      <c r="B4248" s="408" t="s">
        <v>75</v>
      </c>
      <c r="C4248" s="409">
        <f>Return!S618</f>
        <v>6.7662560399002203E-3</v>
      </c>
    </row>
    <row r="4249" spans="1:3">
      <c r="A4249" s="406">
        <f>Return!A619</f>
        <v>45174</v>
      </c>
      <c r="B4249" s="408" t="s">
        <v>75</v>
      </c>
      <c r="C4249" s="409">
        <f>Return!S619</f>
        <v>1.7000972969165029E-3</v>
      </c>
    </row>
    <row r="4250" spans="1:3">
      <c r="A4250" s="406">
        <f>Return!A620</f>
        <v>45173</v>
      </c>
      <c r="B4250" s="408" t="s">
        <v>75</v>
      </c>
      <c r="C4250" s="409">
        <f>Return!S620</f>
        <v>-1.3020064010944576E-3</v>
      </c>
    </row>
    <row r="4251" spans="1:3">
      <c r="A4251" s="406">
        <f>Return!A621</f>
        <v>45170</v>
      </c>
      <c r="B4251" s="408" t="s">
        <v>75</v>
      </c>
      <c r="C4251" s="409">
        <f>Return!S621</f>
        <v>-5.0450221558408503E-3</v>
      </c>
    </row>
    <row r="4252" spans="1:3">
      <c r="A4252" s="406">
        <f>Return!A622</f>
        <v>45169</v>
      </c>
      <c r="B4252" s="408" t="s">
        <v>75</v>
      </c>
      <c r="C4252" s="409">
        <f>Return!S622</f>
        <v>3.0064738110712197E-3</v>
      </c>
    </row>
    <row r="4253" spans="1:3">
      <c r="A4253" s="406">
        <f>Return!A623</f>
        <v>45168</v>
      </c>
      <c r="B4253" s="408" t="s">
        <v>75</v>
      </c>
      <c r="C4253" s="409">
        <f>Return!S623</f>
        <v>3.0989393988662961E-3</v>
      </c>
    </row>
    <row r="4254" spans="1:3">
      <c r="A4254" s="406">
        <f>Return!A624</f>
        <v>45167</v>
      </c>
      <c r="B4254" s="408" t="s">
        <v>75</v>
      </c>
      <c r="C4254" s="409">
        <f>Return!S624</f>
        <v>-2.7852615984439444E-3</v>
      </c>
    </row>
    <row r="4255" spans="1:3">
      <c r="A4255" s="406">
        <f>Return!A625</f>
        <v>45166</v>
      </c>
      <c r="B4255" s="408" t="s">
        <v>75</v>
      </c>
      <c r="C4255" s="409">
        <f>Return!S625</f>
        <v>2.2022034164099202E-3</v>
      </c>
    </row>
    <row r="4256" spans="1:3">
      <c r="A4256" s="406">
        <f>Return!A626</f>
        <v>45163</v>
      </c>
      <c r="B4256" s="408" t="s">
        <v>75</v>
      </c>
      <c r="C4256" s="409">
        <f>Return!S626</f>
        <v>-1.5519696068263533E-3</v>
      </c>
    </row>
    <row r="4257" spans="1:3">
      <c r="A4257" s="406">
        <f>Return!A627</f>
        <v>45162</v>
      </c>
      <c r="B4257" s="408" t="s">
        <v>75</v>
      </c>
      <c r="C4257" s="409">
        <f>Return!S627</f>
        <v>-5.8029231361829692E-3</v>
      </c>
    </row>
    <row r="4258" spans="1:3">
      <c r="A4258" s="406">
        <f>Return!A628</f>
        <v>45161</v>
      </c>
      <c r="B4258" s="408" t="s">
        <v>75</v>
      </c>
      <c r="C4258" s="409">
        <f>Return!S628</f>
        <v>-5.9259139259305038E-3</v>
      </c>
    </row>
    <row r="4259" spans="1:3">
      <c r="A4259" s="406">
        <f>Return!A629</f>
        <v>45160</v>
      </c>
      <c r="B4259" s="408" t="s">
        <v>75</v>
      </c>
      <c r="C4259" s="409">
        <f>Return!S629</f>
        <v>8.1876438222733272E-4</v>
      </c>
    </row>
    <row r="4260" spans="1:3">
      <c r="A4260" s="406">
        <f>Return!A630</f>
        <v>45159</v>
      </c>
      <c r="B4260" s="408" t="s">
        <v>75</v>
      </c>
      <c r="C4260" s="409">
        <f>Return!S630</f>
        <v>7.9652366842190014E-3</v>
      </c>
    </row>
    <row r="4261" spans="1:3">
      <c r="A4261" s="406">
        <f>Return!A631</f>
        <v>45156</v>
      </c>
      <c r="B4261" s="408" t="s">
        <v>75</v>
      </c>
      <c r="C4261" s="409">
        <f>Return!S631</f>
        <v>2.935198617518564E-4</v>
      </c>
    </row>
    <row r="4262" spans="1:3">
      <c r="A4262" s="406">
        <f>Return!A632</f>
        <v>45155</v>
      </c>
      <c r="B4262" s="408" t="s">
        <v>75</v>
      </c>
      <c r="C4262" s="409">
        <f>Return!S632</f>
        <v>3.6716307846692553E-3</v>
      </c>
    </row>
    <row r="4263" spans="1:3">
      <c r="A4263" s="406">
        <f>Return!A633</f>
        <v>45154</v>
      </c>
      <c r="B4263" s="408" t="s">
        <v>75</v>
      </c>
      <c r="C4263" s="409">
        <f>Return!S633</f>
        <v>5.1862466281635822E-3</v>
      </c>
    </row>
    <row r="4264" spans="1:3">
      <c r="A4264" s="406">
        <f>Return!A634</f>
        <v>45152</v>
      </c>
      <c r="B4264" s="408" t="s">
        <v>75</v>
      </c>
      <c r="C4264" s="409">
        <f>Return!S634</f>
        <v>5.9865506952484493E-3</v>
      </c>
    </row>
    <row r="4265" spans="1:3">
      <c r="A4265" s="406">
        <f>Return!A635</f>
        <v>45149</v>
      </c>
      <c r="B4265" s="408" t="s">
        <v>75</v>
      </c>
      <c r="C4265" s="409">
        <f>Return!S635</f>
        <v>-7.8658915967487752E-3</v>
      </c>
    </row>
    <row r="4266" spans="1:3">
      <c r="A4266" s="406">
        <f>Return!A636</f>
        <v>45148</v>
      </c>
      <c r="B4266" s="408" t="s">
        <v>75</v>
      </c>
      <c r="C4266" s="409">
        <f>Return!S636</f>
        <v>-3.1585973608549978E-3</v>
      </c>
    </row>
    <row r="4267" spans="1:3">
      <c r="A4267" s="406">
        <f>Return!A637</f>
        <v>45147</v>
      </c>
      <c r="B4267" s="408" t="s">
        <v>75</v>
      </c>
      <c r="C4267" s="409">
        <f>Return!S637</f>
        <v>2.9715500025225827E-3</v>
      </c>
    </row>
    <row r="4268" spans="1:3">
      <c r="A4268" s="406">
        <f>Return!A638</f>
        <v>45146</v>
      </c>
      <c r="B4268" s="408" t="s">
        <v>75</v>
      </c>
      <c r="C4268" s="409">
        <f>Return!S638</f>
        <v>5.2305300238612018E-3</v>
      </c>
    </row>
    <row r="4269" spans="1:3">
      <c r="A4269" s="406">
        <f>Return!A639</f>
        <v>45145</v>
      </c>
      <c r="B4269" s="408" t="s">
        <v>75</v>
      </c>
      <c r="C4269" s="409">
        <f>Return!S639</f>
        <v>1.655050871814201E-2</v>
      </c>
    </row>
    <row r="4270" spans="1:3">
      <c r="A4270" s="406">
        <f>Return!A640</f>
        <v>45142</v>
      </c>
      <c r="B4270" s="408" t="s">
        <v>75</v>
      </c>
      <c r="C4270" s="409">
        <f>Return!S640</f>
        <v>1.9952094740198212E-3</v>
      </c>
    </row>
    <row r="4271" spans="1:3">
      <c r="A4271" s="406">
        <f>Return!A641</f>
        <v>45141</v>
      </c>
      <c r="B4271" s="408" t="s">
        <v>75</v>
      </c>
      <c r="C4271" s="409">
        <f>Return!S641</f>
        <v>7.6928131601220473E-3</v>
      </c>
    </row>
    <row r="4272" spans="1:3">
      <c r="A4272" s="406">
        <f>Return!A642</f>
        <v>45140</v>
      </c>
      <c r="B4272" s="408" t="s">
        <v>75</v>
      </c>
      <c r="C4272" s="409">
        <f>Return!S642</f>
        <v>-4.7197068470815617E-3</v>
      </c>
    </row>
    <row r="4273" spans="1:3">
      <c r="A4273" s="406">
        <f>Return!A643</f>
        <v>45139</v>
      </c>
      <c r="B4273" s="408" t="s">
        <v>75</v>
      </c>
      <c r="C4273" s="409">
        <f>Return!S643</f>
        <v>-2.3257998871567542E-4</v>
      </c>
    </row>
    <row r="4274" spans="1:3">
      <c r="A4274" s="406">
        <f>Return!A644</f>
        <v>45138</v>
      </c>
      <c r="B4274" s="408" t="s">
        <v>75</v>
      </c>
      <c r="C4274" s="409">
        <f>Return!S644</f>
        <v>4.2958759258992507E-3</v>
      </c>
    </row>
    <row r="4275" spans="1:3">
      <c r="A4275" s="406">
        <f>Return!A645</f>
        <v>45135</v>
      </c>
      <c r="B4275" s="408" t="s">
        <v>75</v>
      </c>
      <c r="C4275" s="409">
        <f>Return!S645</f>
        <v>3.3785375482767721E-3</v>
      </c>
    </row>
    <row r="4276" spans="1:3">
      <c r="A4276" s="406">
        <f>Return!A646</f>
        <v>45134</v>
      </c>
      <c r="B4276" s="408" t="s">
        <v>75</v>
      </c>
      <c r="C4276" s="409">
        <f>Return!S646</f>
        <v>8.882857915020359E-3</v>
      </c>
    </row>
    <row r="4277" spans="1:3">
      <c r="A4277" s="406">
        <f>Return!A647</f>
        <v>45133</v>
      </c>
      <c r="B4277" s="408" t="s">
        <v>75</v>
      </c>
      <c r="C4277" s="409">
        <f>Return!S647</f>
        <v>2.9441576418176574E-4</v>
      </c>
    </row>
    <row r="4278" spans="1:3">
      <c r="A4278" s="406">
        <f>Return!A648</f>
        <v>45132</v>
      </c>
      <c r="B4278" s="408" t="s">
        <v>75</v>
      </c>
      <c r="C4278" s="409">
        <f>Return!S648</f>
        <v>6.1223304718024396E-3</v>
      </c>
    </row>
    <row r="4279" spans="1:3">
      <c r="A4279" s="406">
        <f>Return!A649</f>
        <v>45131</v>
      </c>
      <c r="B4279" s="408" t="s">
        <v>75</v>
      </c>
      <c r="C4279" s="409">
        <f>Return!S649</f>
        <v>-4.5483252135071206E-3</v>
      </c>
    </row>
    <row r="4280" spans="1:3">
      <c r="A4280" s="406">
        <f>Return!A650</f>
        <v>45128</v>
      </c>
      <c r="B4280" s="408" t="s">
        <v>75</v>
      </c>
      <c r="C4280" s="409">
        <f>Return!S650</f>
        <v>4.9464907933570168E-3</v>
      </c>
    </row>
    <row r="4281" spans="1:3">
      <c r="A4281" s="406">
        <f>Return!A651</f>
        <v>45127</v>
      </c>
      <c r="B4281" s="408" t="s">
        <v>75</v>
      </c>
      <c r="C4281" s="409">
        <f>Return!S651</f>
        <v>1.0153956284864485E-2</v>
      </c>
    </row>
    <row r="4282" spans="1:3">
      <c r="A4282" s="406">
        <f>Return!A652</f>
        <v>45126</v>
      </c>
      <c r="B4282" s="408" t="s">
        <v>75</v>
      </c>
      <c r="C4282" s="409">
        <f>Return!S652</f>
        <v>6.0288990134897968E-3</v>
      </c>
    </row>
    <row r="4283" spans="1:3">
      <c r="A4283" s="406">
        <f>Return!A653</f>
        <v>45125</v>
      </c>
      <c r="B4283" s="408" t="s">
        <v>75</v>
      </c>
      <c r="C4283" s="409">
        <f>Return!S653</f>
        <v>-7.37934710477961E-3</v>
      </c>
    </row>
    <row r="4284" spans="1:3">
      <c r="A4284" s="406">
        <f>Return!A654</f>
        <v>45124</v>
      </c>
      <c r="B4284" s="408" t="s">
        <v>75</v>
      </c>
      <c r="C4284" s="409">
        <f>Return!S654</f>
        <v>6.6843960744947806E-3</v>
      </c>
    </row>
    <row r="4285" spans="1:3">
      <c r="A4285" s="406">
        <f>Return!A655</f>
        <v>45121</v>
      </c>
      <c r="B4285" s="408" t="s">
        <v>75</v>
      </c>
      <c r="C4285" s="409">
        <f>Return!S655</f>
        <v>5.9554667506553916E-3</v>
      </c>
    </row>
    <row r="4286" spans="1:3">
      <c r="A4286" s="406">
        <f>Return!A656</f>
        <v>45120</v>
      </c>
      <c r="B4286" s="408" t="s">
        <v>75</v>
      </c>
      <c r="C4286" s="409">
        <f>Return!S656</f>
        <v>-2.314006406527791E-3</v>
      </c>
    </row>
    <row r="4287" spans="1:3">
      <c r="A4287" s="406">
        <f>Return!A657</f>
        <v>45119</v>
      </c>
      <c r="B4287" s="408" t="s">
        <v>75</v>
      </c>
      <c r="C4287" s="409">
        <f>Return!S657</f>
        <v>2.0619952831189003E-3</v>
      </c>
    </row>
    <row r="4288" spans="1:3">
      <c r="A4288" s="406">
        <f>Return!A658</f>
        <v>45118</v>
      </c>
      <c r="B4288" s="408" t="s">
        <v>75</v>
      </c>
      <c r="C4288" s="409">
        <f>Return!S658</f>
        <v>9.7956840892322594E-3</v>
      </c>
    </row>
    <row r="4289" spans="1:3">
      <c r="A4289" s="406">
        <f>Return!A659</f>
        <v>45117</v>
      </c>
      <c r="B4289" s="408" t="s">
        <v>75</v>
      </c>
      <c r="C4289" s="409">
        <f>Return!S659</f>
        <v>5.2278330498317649E-3</v>
      </c>
    </row>
    <row r="4290" spans="1:3">
      <c r="A4290" s="406">
        <f>Return!A660</f>
        <v>45114</v>
      </c>
      <c r="B4290" s="408" t="s">
        <v>75</v>
      </c>
      <c r="C4290" s="409">
        <f>Return!S660</f>
        <v>1.1520163059293709E-3</v>
      </c>
    </row>
    <row r="4291" spans="1:3">
      <c r="A4291" s="406">
        <f>Return!A661</f>
        <v>45113</v>
      </c>
      <c r="B4291" s="408" t="s">
        <v>75</v>
      </c>
      <c r="C4291" s="409">
        <f>Return!S661</f>
        <v>9.8262537480248158E-3</v>
      </c>
    </row>
    <row r="4292" spans="1:3">
      <c r="A4292" s="406">
        <f>Return!A662</f>
        <v>45112</v>
      </c>
      <c r="B4292" s="408" t="s">
        <v>75</v>
      </c>
      <c r="C4292" s="409">
        <f>Return!S662</f>
        <v>1.4366670150463001E-3</v>
      </c>
    </row>
    <row r="4293" spans="1:3">
      <c r="A4293" s="406">
        <f>Return!A663</f>
        <v>45111</v>
      </c>
      <c r="B4293" s="408" t="s">
        <v>75</v>
      </c>
      <c r="C4293" s="409">
        <f>Return!S663</f>
        <v>-3.3805500556369772E-3</v>
      </c>
    </row>
    <row r="4294" spans="1:3">
      <c r="A4294" s="406">
        <f>Return!A664</f>
        <v>45110</v>
      </c>
      <c r="B4294" s="408" t="s">
        <v>75</v>
      </c>
      <c r="C4294" s="409">
        <f>Return!S664</f>
        <v>8.4097691918327833E-4</v>
      </c>
    </row>
    <row r="4295" spans="1:3">
      <c r="A4295" s="406">
        <f>Return!A665</f>
        <v>45107</v>
      </c>
      <c r="B4295" s="408" t="s">
        <v>75</v>
      </c>
      <c r="C4295" s="409">
        <f>Return!S665</f>
        <v>5.4107235426239519E-3</v>
      </c>
    </row>
    <row r="4296" spans="1:3">
      <c r="A4296" s="406">
        <f>Return!A666</f>
        <v>45105</v>
      </c>
      <c r="B4296" s="408" t="s">
        <v>75</v>
      </c>
      <c r="C4296" s="409">
        <f>Return!S666</f>
        <v>6.0035519425399864E-3</v>
      </c>
    </row>
    <row r="4297" spans="1:3">
      <c r="A4297" s="406">
        <f>Return!A667</f>
        <v>45104</v>
      </c>
      <c r="B4297" s="408" t="s">
        <v>75</v>
      </c>
      <c r="C4297" s="409">
        <f>Return!S667</f>
        <v>3.9458814137954823E-3</v>
      </c>
    </row>
    <row r="4298" spans="1:3">
      <c r="A4298" s="406">
        <f>Return!A668</f>
        <v>45103</v>
      </c>
      <c r="B4298" s="408" t="s">
        <v>75</v>
      </c>
      <c r="C4298" s="409">
        <f>Return!S668</f>
        <v>1.1292616549152035E-2</v>
      </c>
    </row>
    <row r="4299" spans="1:3">
      <c r="A4299" s="406">
        <f>Return!A669</f>
        <v>45100</v>
      </c>
      <c r="B4299" s="408" t="s">
        <v>75</v>
      </c>
      <c r="C4299" s="409">
        <f>Return!S669</f>
        <v>6.7126866265754259E-5</v>
      </c>
    </row>
    <row r="4300" spans="1:3">
      <c r="A4300" s="406">
        <f>Return!A670</f>
        <v>45099</v>
      </c>
      <c r="B4300" s="408" t="s">
        <v>75</v>
      </c>
      <c r="C4300" s="409">
        <f>Return!S670</f>
        <v>5.8978962085304287E-3</v>
      </c>
    </row>
    <row r="4301" spans="1:3">
      <c r="A4301" s="406">
        <f>Return!A671</f>
        <v>45098</v>
      </c>
      <c r="B4301" s="408" t="s">
        <v>75</v>
      </c>
      <c r="C4301" s="409">
        <f>Return!S671</f>
        <v>1.4404140530678289E-3</v>
      </c>
    </row>
    <row r="4302" spans="1:3">
      <c r="A4302" s="406">
        <f>Return!A672</f>
        <v>45097</v>
      </c>
      <c r="B4302" s="408" t="s">
        <v>75</v>
      </c>
      <c r="C4302" s="409">
        <f>Return!S672</f>
        <v>-1.1235301161731104E-3</v>
      </c>
    </row>
    <row r="4303" spans="1:3">
      <c r="A4303" s="406">
        <f>Return!A673</f>
        <v>45096</v>
      </c>
      <c r="B4303" s="408" t="s">
        <v>75</v>
      </c>
      <c r="C4303" s="409">
        <f>Return!S673</f>
        <v>7.5527966188410067E-4</v>
      </c>
    </row>
    <row r="4304" spans="1:3">
      <c r="A4304" s="406">
        <f>Return!A674</f>
        <v>45093</v>
      </c>
      <c r="B4304" s="408" t="s">
        <v>75</v>
      </c>
      <c r="C4304" s="409">
        <f>Return!S674</f>
        <v>6.2895335067291169E-3</v>
      </c>
    </row>
    <row r="4305" spans="1:3">
      <c r="A4305" s="406">
        <f>Return!A675</f>
        <v>45092</v>
      </c>
      <c r="B4305" s="408" t="s">
        <v>75</v>
      </c>
      <c r="C4305" s="409">
        <f>Return!S675</f>
        <v>6.3500763583682618E-3</v>
      </c>
    </row>
    <row r="4306" spans="1:3">
      <c r="A4306" s="406">
        <f>Return!A676</f>
        <v>45091</v>
      </c>
      <c r="B4306" s="408" t="s">
        <v>75</v>
      </c>
      <c r="C4306" s="409">
        <f>Return!S676</f>
        <v>4.1116888301240273E-3</v>
      </c>
    </row>
    <row r="4307" spans="1:3">
      <c r="A4307" s="406">
        <f>Return!A677</f>
        <v>45090</v>
      </c>
      <c r="B4307" s="408" t="s">
        <v>75</v>
      </c>
      <c r="C4307" s="409">
        <f>Return!S677</f>
        <v>1.1266327289433331E-2</v>
      </c>
    </row>
    <row r="4308" spans="1:3">
      <c r="A4308" s="406">
        <f>Return!A678</f>
        <v>45089</v>
      </c>
      <c r="B4308" s="408" t="s">
        <v>75</v>
      </c>
      <c r="C4308" s="409">
        <f>Return!S678</f>
        <v>4.6397883987440158E-3</v>
      </c>
    </row>
    <row r="4309" spans="1:3">
      <c r="A4309" s="406">
        <f>Return!A679</f>
        <v>45086</v>
      </c>
      <c r="B4309" s="408" t="s">
        <v>75</v>
      </c>
      <c r="C4309" s="409">
        <f>Return!S679</f>
        <v>3.7855686711487646E-3</v>
      </c>
    </row>
    <row r="4310" spans="1:3">
      <c r="A4310" s="406">
        <f>Return!A680</f>
        <v>45085</v>
      </c>
      <c r="B4310" s="408" t="s">
        <v>75</v>
      </c>
      <c r="C4310" s="409">
        <f>Return!S680</f>
        <v>-2.2452548410722417E-3</v>
      </c>
    </row>
    <row r="4311" spans="1:3">
      <c r="A4311" s="406">
        <f>Return!A681</f>
        <v>45084</v>
      </c>
      <c r="B4311" s="408" t="s">
        <v>75</v>
      </c>
      <c r="C4311" s="409">
        <f>Return!S681</f>
        <v>4.7452620286051461E-3</v>
      </c>
    </row>
    <row r="4312" spans="1:3">
      <c r="A4312" s="406">
        <f>Return!A682</f>
        <v>45083</v>
      </c>
      <c r="B4312" s="408" t="s">
        <v>75</v>
      </c>
      <c r="C4312" s="409">
        <f>Return!S682</f>
        <v>1.0558021188309508E-2</v>
      </c>
    </row>
    <row r="4313" spans="1:3">
      <c r="A4313" s="406">
        <f>Return!A683</f>
        <v>45082</v>
      </c>
      <c r="B4313" s="408" t="s">
        <v>75</v>
      </c>
      <c r="C4313" s="409">
        <f>Return!S683</f>
        <v>2.2193720555849228E-3</v>
      </c>
    </row>
    <row r="4314" spans="1:3">
      <c r="A4314" s="406">
        <f>Return!A684</f>
        <v>45079</v>
      </c>
      <c r="B4314" s="408" t="s">
        <v>75</v>
      </c>
      <c r="C4314" s="409">
        <f>Return!S684</f>
        <v>3.6529579646394916E-3</v>
      </c>
    </row>
    <row r="4315" spans="1:3">
      <c r="A4315" s="406">
        <f>Return!A685</f>
        <v>45078</v>
      </c>
      <c r="B4315" s="408" t="s">
        <v>75</v>
      </c>
      <c r="C4315" s="409">
        <f>Return!S685</f>
        <v>2.3328466194189046E-3</v>
      </c>
    </row>
    <row r="4316" spans="1:3">
      <c r="A4316" s="406">
        <f>Return!A686</f>
        <v>45077</v>
      </c>
      <c r="B4316" s="408" t="s">
        <v>75</v>
      </c>
      <c r="C4316" s="409">
        <f>Return!S686</f>
        <v>7.4601220033736482E-3</v>
      </c>
    </row>
    <row r="4317" spans="1:3">
      <c r="A4317" s="406">
        <f>Return!A687</f>
        <v>45076</v>
      </c>
      <c r="B4317" s="408" t="s">
        <v>75</v>
      </c>
      <c r="C4317" s="409">
        <f>Return!S687</f>
        <v>-6.5176949192132239E-3</v>
      </c>
    </row>
    <row r="4318" spans="1:3">
      <c r="A4318" s="406">
        <f>Return!A688</f>
        <v>45075</v>
      </c>
      <c r="B4318" s="408" t="s">
        <v>75</v>
      </c>
      <c r="C4318" s="409">
        <f>Return!S688</f>
        <v>-3.1693534273640189E-3</v>
      </c>
    </row>
    <row r="4319" spans="1:3">
      <c r="A4319" s="406">
        <f>Return!A689</f>
        <v>45072</v>
      </c>
      <c r="B4319" s="408" t="s">
        <v>75</v>
      </c>
      <c r="C4319" s="409">
        <f>Return!S689</f>
        <v>5.4359768515563345E-3</v>
      </c>
    </row>
    <row r="4320" spans="1:3">
      <c r="A4320" s="406">
        <f>Return!A690</f>
        <v>45071</v>
      </c>
      <c r="B4320" s="408" t="s">
        <v>75</v>
      </c>
      <c r="C4320" s="409">
        <f>Return!S690</f>
        <v>-2.4499566317670585E-4</v>
      </c>
    </row>
    <row r="4321" spans="1:3">
      <c r="A4321" s="406">
        <f>Return!A691</f>
        <v>45070</v>
      </c>
      <c r="B4321" s="408" t="s">
        <v>75</v>
      </c>
      <c r="C4321" s="409">
        <f>Return!S691</f>
        <v>4.4913772060247714E-3</v>
      </c>
    </row>
    <row r="4322" spans="1:3">
      <c r="A4322" s="406">
        <f>Return!A692</f>
        <v>45069</v>
      </c>
      <c r="B4322" s="408" t="s">
        <v>75</v>
      </c>
      <c r="C4322" s="409">
        <f>Return!S692</f>
        <v>1.2681818323934113E-3</v>
      </c>
    </row>
    <row r="4323" spans="1:3">
      <c r="A4323" s="406">
        <f>Return!A693</f>
        <v>45068</v>
      </c>
      <c r="B4323" s="408" t="s">
        <v>75</v>
      </c>
      <c r="C4323" s="409">
        <f>Return!S693</f>
        <v>3.7726032757046668E-3</v>
      </c>
    </row>
    <row r="4324" spans="1:3">
      <c r="A4324" s="406">
        <f>Return!A694</f>
        <v>45065</v>
      </c>
      <c r="B4324" s="408" t="s">
        <v>75</v>
      </c>
      <c r="C4324" s="409">
        <f>Return!S694</f>
        <v>-3.5249763535739609E-3</v>
      </c>
    </row>
    <row r="4325" spans="1:3">
      <c r="A4325" s="406">
        <f>Return!A695</f>
        <v>45064</v>
      </c>
      <c r="B4325" s="408" t="s">
        <v>75</v>
      </c>
      <c r="C4325" s="409">
        <f>Return!S695</f>
        <v>-3.1323071437677763E-4</v>
      </c>
    </row>
    <row r="4326" spans="1:3">
      <c r="A4326" s="406">
        <f>Return!A696</f>
        <v>45063</v>
      </c>
      <c r="B4326" s="408" t="s">
        <v>75</v>
      </c>
      <c r="C4326" s="409">
        <f>Return!S696</f>
        <v>3.8526623180542563E-3</v>
      </c>
    </row>
    <row r="4327" spans="1:3">
      <c r="A4327" s="406">
        <f>Return!A697</f>
        <v>45062</v>
      </c>
      <c r="B4327" s="408" t="s">
        <v>75</v>
      </c>
      <c r="C4327" s="409">
        <f>Return!S697</f>
        <v>-4.3873431032571131E-3</v>
      </c>
    </row>
    <row r="4328" spans="1:3">
      <c r="A4328" s="406">
        <f>Return!A698</f>
        <v>45061</v>
      </c>
      <c r="B4328" s="408" t="s">
        <v>75</v>
      </c>
      <c r="C4328" s="409">
        <f>Return!S698</f>
        <v>6.3840162591856098E-3</v>
      </c>
    </row>
    <row r="4329" spans="1:3">
      <c r="A4329" s="406">
        <f>Return!A699</f>
        <v>45058</v>
      </c>
      <c r="B4329" s="408" t="s">
        <v>75</v>
      </c>
      <c r="C4329" s="409">
        <f>Return!S699</f>
        <v>2.0990795687899633E-3</v>
      </c>
    </row>
    <row r="4330" spans="1:3">
      <c r="A4330" s="406">
        <f>Return!A700</f>
        <v>45057</v>
      </c>
      <c r="B4330" s="408" t="s">
        <v>75</v>
      </c>
      <c r="C4330" s="409">
        <f>Return!S700</f>
        <v>-2.1970608472521302E-3</v>
      </c>
    </row>
    <row r="4331" spans="1:3">
      <c r="A4331" s="406">
        <f>Return!A701</f>
        <v>45056</v>
      </c>
      <c r="B4331" s="408" t="s">
        <v>75</v>
      </c>
      <c r="C4331" s="409">
        <f>Return!S701</f>
        <v>3.5877829188458166E-3</v>
      </c>
    </row>
    <row r="4332" spans="1:3">
      <c r="A4332" s="406">
        <f>Return!A702</f>
        <v>45055</v>
      </c>
      <c r="B4332" s="408" t="s">
        <v>75</v>
      </c>
      <c r="C4332" s="409">
        <f>Return!S702</f>
        <v>3.7001401044129967E-3</v>
      </c>
    </row>
    <row r="4333" spans="1:3">
      <c r="A4333" s="406">
        <f>Return!A703</f>
        <v>45054</v>
      </c>
      <c r="B4333" s="408" t="s">
        <v>75</v>
      </c>
      <c r="C4333" s="409">
        <f>Return!S703</f>
        <v>7.213909013451536E-4</v>
      </c>
    </row>
    <row r="4334" spans="1:3">
      <c r="A4334" s="406">
        <f>Return!A704</f>
        <v>45051</v>
      </c>
      <c r="B4334" s="408" t="s">
        <v>75</v>
      </c>
      <c r="C4334" s="409">
        <f>Return!S704</f>
        <v>-1.0533014499769511E-3</v>
      </c>
    </row>
    <row r="4335" spans="1:3">
      <c r="A4335" s="406">
        <f>Return!A705</f>
        <v>45050</v>
      </c>
      <c r="B4335" s="408" t="s">
        <v>75</v>
      </c>
      <c r="C4335" s="409">
        <f>Return!S705</f>
        <v>1.106212152841568E-3</v>
      </c>
    </row>
    <row r="4336" spans="1:3">
      <c r="A4336" s="406">
        <f>Return!A706</f>
        <v>45049</v>
      </c>
      <c r="B4336" s="408" t="s">
        <v>75</v>
      </c>
      <c r="C4336" s="409">
        <f>Return!S706</f>
        <v>2.8251702885110364E-3</v>
      </c>
    </row>
    <row r="4337" spans="1:3">
      <c r="A4337" s="406">
        <f>Return!A707</f>
        <v>45048</v>
      </c>
      <c r="B4337" s="408" t="s">
        <v>75</v>
      </c>
      <c r="C4337" s="409">
        <f>Return!S707</f>
        <v>-4.3566539701892504E-3</v>
      </c>
    </row>
    <row r="4338" spans="1:3">
      <c r="A4338" s="406">
        <f>Return!A708</f>
        <v>45044</v>
      </c>
      <c r="B4338" s="408" t="s">
        <v>75</v>
      </c>
      <c r="C4338" s="409">
        <f>Return!S708</f>
        <v>6.0925929111071975E-3</v>
      </c>
    </row>
    <row r="4339" spans="1:3">
      <c r="A4339" s="406">
        <f>Return!A709</f>
        <v>45043</v>
      </c>
      <c r="B4339" s="408" t="s">
        <v>75</v>
      </c>
      <c r="C4339" s="409">
        <f>Return!S709</f>
        <v>8.0215363198684608E-3</v>
      </c>
    </row>
    <row r="4340" spans="1:3">
      <c r="A4340" s="406">
        <f>Return!A710</f>
        <v>45042</v>
      </c>
      <c r="B4340" s="408" t="s">
        <v>75</v>
      </c>
      <c r="C4340" s="409">
        <f>Return!S710</f>
        <v>-3.4429730948397075E-3</v>
      </c>
    </row>
    <row r="4341" spans="1:3">
      <c r="A4341" s="406">
        <f>Return!A711</f>
        <v>45041</v>
      </c>
      <c r="B4341" s="408" t="s">
        <v>75</v>
      </c>
      <c r="C4341" s="409">
        <f>Return!S711</f>
        <v>-2.9962800227694153E-3</v>
      </c>
    </row>
    <row r="4342" spans="1:3">
      <c r="A4342" s="406">
        <f>Return!A712</f>
        <v>45040</v>
      </c>
      <c r="B4342" s="408" t="s">
        <v>75</v>
      </c>
      <c r="C4342" s="409">
        <f>Return!S712</f>
        <v>4.506560866479048E-3</v>
      </c>
    </row>
    <row r="4343" spans="1:3">
      <c r="A4343" s="406">
        <f>Return!A713</f>
        <v>45037</v>
      </c>
      <c r="B4343" s="408" t="s">
        <v>75</v>
      </c>
      <c r="C4343" s="409">
        <f>Return!S713</f>
        <v>1.895491932542237E-3</v>
      </c>
    </row>
    <row r="4344" spans="1:3">
      <c r="A4344" s="406">
        <f>Return!A714</f>
        <v>45036</v>
      </c>
      <c r="B4344" s="408" t="s">
        <v>75</v>
      </c>
      <c r="C4344" s="409">
        <f>Return!S714</f>
        <v>-8.4290106110762597E-4</v>
      </c>
    </row>
    <row r="4345" spans="1:3">
      <c r="A4345" s="406">
        <f>Return!A715</f>
        <v>45035</v>
      </c>
      <c r="B4345" s="408" t="s">
        <v>75</v>
      </c>
      <c r="C4345" s="409">
        <f>Return!S715</f>
        <v>6.661134038490335E-3</v>
      </c>
    </row>
    <row r="4346" spans="1:3">
      <c r="A4346" s="406">
        <f>Return!A716</f>
        <v>45034</v>
      </c>
      <c r="B4346" s="408" t="s">
        <v>75</v>
      </c>
      <c r="C4346" s="409">
        <f>Return!S716</f>
        <v>6.258230828487088E-3</v>
      </c>
    </row>
    <row r="4347" spans="1:3">
      <c r="A4347" s="406">
        <f>Return!A717</f>
        <v>45033</v>
      </c>
      <c r="B4347" s="408" t="s">
        <v>75</v>
      </c>
      <c r="C4347" s="409">
        <f>Return!S717</f>
        <v>1.5374488665459429E-3</v>
      </c>
    </row>
    <row r="4348" spans="1:3">
      <c r="A4348" s="406">
        <f>Return!A718</f>
        <v>45029</v>
      </c>
      <c r="B4348" s="408" t="s">
        <v>75</v>
      </c>
      <c r="C4348" s="409">
        <f>Return!S718</f>
        <v>8.7299373901605914E-4</v>
      </c>
    </row>
    <row r="4349" spans="1:3">
      <c r="A4349" s="406">
        <f>Return!A719</f>
        <v>45028</v>
      </c>
      <c r="B4349" s="408" t="s">
        <v>75</v>
      </c>
      <c r="C4349" s="409">
        <f>Return!S719</f>
        <v>1.2271045944709513E-2</v>
      </c>
    </row>
    <row r="4350" spans="1:3">
      <c r="A4350" s="406">
        <f>Return!A720</f>
        <v>45027</v>
      </c>
      <c r="B4350" s="408" t="s">
        <v>75</v>
      </c>
      <c r="C4350" s="409">
        <f>Return!S720</f>
        <v>1.0533118615950743E-3</v>
      </c>
    </row>
    <row r="4351" spans="1:3">
      <c r="A4351" s="406">
        <f>Return!A721</f>
        <v>45026</v>
      </c>
      <c r="B4351" s="408" t="s">
        <v>75</v>
      </c>
      <c r="C4351" s="409">
        <f>Return!S721</f>
        <v>7.9245158766098056E-3</v>
      </c>
    </row>
    <row r="4352" spans="1:3">
      <c r="A4352" s="406">
        <f>Return!A722</f>
        <v>45022</v>
      </c>
      <c r="B4352" s="408" t="s">
        <v>75</v>
      </c>
      <c r="C4352" s="409">
        <f>Return!S722</f>
        <v>2.3805566203771722E-4</v>
      </c>
    </row>
    <row r="4353" spans="1:3">
      <c r="A4353" s="406">
        <f>Return!A723</f>
        <v>45021</v>
      </c>
      <c r="B4353" s="408" t="s">
        <v>75</v>
      </c>
      <c r="C4353" s="409">
        <f>Return!S723</f>
        <v>3.9265882693462206E-4</v>
      </c>
    </row>
    <row r="4354" spans="1:3">
      <c r="A4354" s="406">
        <f>Return!A724</f>
        <v>45019</v>
      </c>
      <c r="B4354" s="408" t="s">
        <v>75</v>
      </c>
      <c r="C4354" s="409">
        <f>Return!S724</f>
        <v>3.0714109088192387E-4</v>
      </c>
    </row>
    <row r="4355" spans="1:3">
      <c r="A4355" s="406">
        <f>Return!A725</f>
        <v>45016</v>
      </c>
      <c r="B4355" s="408" t="s">
        <v>75</v>
      </c>
      <c r="C4355" s="409">
        <f>Return!S725</f>
        <v>1.7815523229188224E-3</v>
      </c>
    </row>
    <row r="4356" spans="1:3">
      <c r="A4356" s="406">
        <f>Return!A726</f>
        <v>45014</v>
      </c>
      <c r="B4356" s="408" t="s">
        <v>75</v>
      </c>
      <c r="C4356" s="409">
        <f>Return!S726</f>
        <v>3.5201646758596383E-3</v>
      </c>
    </row>
    <row r="4357" spans="1:3">
      <c r="A4357" s="406">
        <f>Return!A727</f>
        <v>45013</v>
      </c>
      <c r="B4357" s="408" t="s">
        <v>75</v>
      </c>
      <c r="C4357" s="409">
        <f>Return!S727</f>
        <v>-9.2954212738943776E-4</v>
      </c>
    </row>
    <row r="4358" spans="1:3">
      <c r="A4358" s="406">
        <f>Return!A728</f>
        <v>45012</v>
      </c>
      <c r="B4358" s="408" t="s">
        <v>75</v>
      </c>
      <c r="C4358" s="409">
        <f>Return!S728</f>
        <v>4.5586184930808127E-3</v>
      </c>
    </row>
    <row r="4359" spans="1:3">
      <c r="A4359" s="406">
        <f>Return!A729</f>
        <v>45009</v>
      </c>
      <c r="B4359" s="408" t="s">
        <v>75</v>
      </c>
      <c r="C4359" s="409">
        <f>Return!S729</f>
        <v>-2.8322417898504759E-3</v>
      </c>
    </row>
    <row r="4360" spans="1:3">
      <c r="A4360" s="406">
        <f>Return!A730</f>
        <v>45008</v>
      </c>
      <c r="B4360" s="408" t="s">
        <v>75</v>
      </c>
      <c r="C4360" s="409">
        <f>Return!S730</f>
        <v>2.6523776585563041E-4</v>
      </c>
    </row>
    <row r="4361" spans="1:3">
      <c r="A4361" s="406">
        <f>Return!A731</f>
        <v>45007</v>
      </c>
      <c r="B4361" s="408" t="s">
        <v>75</v>
      </c>
      <c r="C4361" s="409">
        <f>Return!S731</f>
        <v>-1.682258170888018E-3</v>
      </c>
    </row>
    <row r="4362" spans="1:3">
      <c r="A4362" s="406">
        <f>Return!A732</f>
        <v>45006</v>
      </c>
      <c r="B4362" s="408" t="s">
        <v>75</v>
      </c>
      <c r="C4362" s="409">
        <f>Return!S732</f>
        <v>-2.0937623982629217E-3</v>
      </c>
    </row>
    <row r="4363" spans="1:3">
      <c r="A4363" s="406">
        <f>Return!A733</f>
        <v>45005</v>
      </c>
      <c r="B4363" s="408" t="s">
        <v>75</v>
      </c>
      <c r="C4363" s="409">
        <f>Return!S733</f>
        <v>-2.1643983053684646E-3</v>
      </c>
    </row>
    <row r="4364" spans="1:3">
      <c r="A4364" s="406">
        <f>Return!A734</f>
        <v>45002</v>
      </c>
      <c r="B4364" s="408" t="s">
        <v>75</v>
      </c>
      <c r="C4364" s="409">
        <f>Return!S734</f>
        <v>-1.6541661675454344E-3</v>
      </c>
    </row>
    <row r="4365" spans="1:3">
      <c r="A4365" s="406">
        <f>Return!A735</f>
        <v>45001</v>
      </c>
      <c r="B4365" s="408" t="s">
        <v>75</v>
      </c>
      <c r="C4365" s="409">
        <f>Return!S735</f>
        <v>5.8332399146182601E-3</v>
      </c>
    </row>
    <row r="4366" spans="1:3">
      <c r="A4366" s="406">
        <f>Return!A736</f>
        <v>45000</v>
      </c>
      <c r="B4366" s="408" t="s">
        <v>75</v>
      </c>
      <c r="C4366" s="409">
        <f>Return!S736</f>
        <v>1.2113256028315478E-3</v>
      </c>
    </row>
    <row r="4367" spans="1:3">
      <c r="A4367" s="406">
        <f>Return!A737</f>
        <v>44999</v>
      </c>
      <c r="B4367" s="408" t="s">
        <v>75</v>
      </c>
      <c r="C4367" s="409">
        <f>Return!S737</f>
        <v>1.0251575730041429E-3</v>
      </c>
    </row>
    <row r="4368" spans="1:3">
      <c r="A4368" s="406">
        <f>Return!A738</f>
        <v>44998</v>
      </c>
      <c r="B4368" s="408" t="s">
        <v>75</v>
      </c>
      <c r="C4368" s="409">
        <f>Return!S738</f>
        <v>-1.5514430451948336E-3</v>
      </c>
    </row>
    <row r="4369" spans="1:3">
      <c r="A4369" s="406">
        <f>Return!A739</f>
        <v>44995</v>
      </c>
      <c r="B4369" s="408" t="s">
        <v>75</v>
      </c>
      <c r="C4369" s="409">
        <f>Return!S739</f>
        <v>-4.8451450852400324E-3</v>
      </c>
    </row>
    <row r="4370" spans="1:3">
      <c r="A4370" s="406">
        <f>Return!A740</f>
        <v>44994</v>
      </c>
      <c r="B4370" s="408" t="s">
        <v>75</v>
      </c>
      <c r="C4370" s="409">
        <f>Return!S740</f>
        <v>-8.4636163419876675E-4</v>
      </c>
    </row>
    <row r="4371" spans="1:3">
      <c r="A4371" s="406">
        <f>Return!A741</f>
        <v>44993</v>
      </c>
      <c r="B4371" s="408" t="s">
        <v>75</v>
      </c>
      <c r="C4371" s="409">
        <f>Return!S741</f>
        <v>-1.5801678496543126E-3</v>
      </c>
    </row>
    <row r="4372" spans="1:3">
      <c r="A4372" s="406">
        <f>Return!A742</f>
        <v>44991</v>
      </c>
      <c r="B4372" s="408" t="s">
        <v>75</v>
      </c>
      <c r="C4372" s="409">
        <f>Return!S742</f>
        <v>1.3255720519725345E-3</v>
      </c>
    </row>
    <row r="4373" spans="1:3">
      <c r="A4373" s="406">
        <f>Return!A743</f>
        <v>44988</v>
      </c>
      <c r="B4373" s="408" t="s">
        <v>75</v>
      </c>
      <c r="C4373" s="409">
        <f>Return!S743</f>
        <v>-1.0660878023704967E-4</v>
      </c>
    </row>
    <row r="4374" spans="1:3">
      <c r="A4374" s="406">
        <f>Return!A744</f>
        <v>44987</v>
      </c>
      <c r="B4374" s="408" t="s">
        <v>75</v>
      </c>
      <c r="C4374" s="409">
        <f>Return!S744</f>
        <v>-1.2956899029148428E-3</v>
      </c>
    </row>
    <row r="4375" spans="1:3">
      <c r="A4375" s="406">
        <f>Return!A745</f>
        <v>44986</v>
      </c>
      <c r="B4375" s="408" t="s">
        <v>75</v>
      </c>
      <c r="C4375" s="409">
        <f>Return!S745</f>
        <v>-2.1851495850152003E-3</v>
      </c>
    </row>
    <row r="4376" spans="1:3">
      <c r="A4376" s="406">
        <f>Return!A746</f>
        <v>44985</v>
      </c>
      <c r="B4376" s="408" t="s">
        <v>75</v>
      </c>
      <c r="C4376" s="409">
        <f>Return!S746</f>
        <v>-5.8517511145717571E-3</v>
      </c>
    </row>
    <row r="4377" spans="1:3">
      <c r="A4377" s="406">
        <f>Return!A747</f>
        <v>44984</v>
      </c>
      <c r="B4377" s="408" t="s">
        <v>75</v>
      </c>
      <c r="C4377" s="409">
        <f>Return!S747</f>
        <v>4.2699698040227219E-4</v>
      </c>
    </row>
    <row r="4378" spans="1:3">
      <c r="A4378" s="406">
        <f>Return!A748</f>
        <v>44981</v>
      </c>
      <c r="B4378" s="408" t="s">
        <v>75</v>
      </c>
      <c r="C4378" s="409">
        <f>Return!S748</f>
        <v>1.428218793111391E-3</v>
      </c>
    </row>
    <row r="4379" spans="1:3">
      <c r="A4379" s="406">
        <f>Return!A749</f>
        <v>44980</v>
      </c>
      <c r="B4379" s="408" t="s">
        <v>75</v>
      </c>
      <c r="C4379" s="409">
        <f>Return!S749</f>
        <v>-1.0173613348178345E-3</v>
      </c>
    </row>
    <row r="4380" spans="1:3">
      <c r="A4380" s="406">
        <f>Return!A750</f>
        <v>44979</v>
      </c>
      <c r="B4380" s="408" t="s">
        <v>75</v>
      </c>
      <c r="C4380" s="409">
        <f>Return!S750</f>
        <v>-9.8755022477846621E-3</v>
      </c>
    </row>
    <row r="4381" spans="1:3">
      <c r="A4381" s="406">
        <f>Return!A751</f>
        <v>44978</v>
      </c>
      <c r="B4381" s="408" t="s">
        <v>75</v>
      </c>
      <c r="C4381" s="409">
        <f>Return!S751</f>
        <v>7.0673374296148506E-4</v>
      </c>
    </row>
    <row r="4382" spans="1:3">
      <c r="A4382" s="406">
        <f>Return!A752</f>
        <v>44977</v>
      </c>
      <c r="B4382" s="408" t="s">
        <v>75</v>
      </c>
      <c r="C4382" s="409">
        <f>Return!S752</f>
        <v>-7.817427024216117E-3</v>
      </c>
    </row>
    <row r="4383" spans="1:3">
      <c r="A4383" s="406">
        <f>Return!A753</f>
        <v>44974</v>
      </c>
      <c r="B4383" s="408" t="s">
        <v>75</v>
      </c>
      <c r="C4383" s="409">
        <f>Return!S753</f>
        <v>6.2127022721363834E-3</v>
      </c>
    </row>
    <row r="4384" spans="1:3">
      <c r="A4384" s="406">
        <f>Return!A754</f>
        <v>44973</v>
      </c>
      <c r="B4384" s="408" t="s">
        <v>75</v>
      </c>
      <c r="C4384" s="409">
        <f>Return!S754</f>
        <v>8.9869485753545364E-3</v>
      </c>
    </row>
    <row r="4385" spans="1:3">
      <c r="A4385" s="406">
        <f>Return!A755</f>
        <v>44972</v>
      </c>
      <c r="B4385" s="408" t="s">
        <v>75</v>
      </c>
      <c r="C4385" s="409">
        <f>Return!S755</f>
        <v>1.1666592968883061E-3</v>
      </c>
    </row>
    <row r="4386" spans="1:3">
      <c r="A4386" s="406">
        <f>Return!A756</f>
        <v>44971</v>
      </c>
      <c r="B4386" s="408" t="s">
        <v>75</v>
      </c>
      <c r="C4386" s="409">
        <f>Return!S756</f>
        <v>-5.1237871331636931E-3</v>
      </c>
    </row>
    <row r="4387" spans="1:3">
      <c r="A4387" s="406">
        <f>Return!A757</f>
        <v>44970</v>
      </c>
      <c r="B4387" s="408" t="s">
        <v>75</v>
      </c>
      <c r="C4387" s="409">
        <f>Return!S757</f>
        <v>-5.9947121209793508E-3</v>
      </c>
    </row>
    <row r="4388" spans="1:3">
      <c r="A4388" s="406">
        <f>Return!A758</f>
        <v>44967</v>
      </c>
      <c r="B4388" s="408" t="s">
        <v>75</v>
      </c>
      <c r="C4388" s="409">
        <f>Return!S758</f>
        <v>-9.1689243056497505E-4</v>
      </c>
    </row>
    <row r="4389" spans="1:3">
      <c r="A4389" s="406">
        <f>Return!A759</f>
        <v>44966</v>
      </c>
      <c r="B4389" s="408" t="s">
        <v>75</v>
      </c>
      <c r="C4389" s="409">
        <f>Return!S759</f>
        <v>-5.2894459172661557E-3</v>
      </c>
    </row>
    <row r="4390" spans="1:3">
      <c r="A4390" s="406">
        <f>Return!A760</f>
        <v>44965</v>
      </c>
      <c r="B4390" s="408" t="s">
        <v>75</v>
      </c>
      <c r="C4390" s="409">
        <f>Return!S760</f>
        <v>3.264565774951933E-3</v>
      </c>
    </row>
    <row r="4391" spans="1:3">
      <c r="A4391" s="406">
        <f>Return!A761</f>
        <v>44964</v>
      </c>
      <c r="B4391" s="408" t="s">
        <v>75</v>
      </c>
      <c r="C4391" s="409">
        <f>Return!S761</f>
        <v>3.5249581960071774E-3</v>
      </c>
    </row>
    <row r="4392" spans="1:3">
      <c r="A4392" s="406">
        <f>Return!A762</f>
        <v>44963</v>
      </c>
      <c r="B4392" s="408" t="s">
        <v>75</v>
      </c>
      <c r="C4392" s="409">
        <f>Return!S762</f>
        <v>-3.0213159505565468E-3</v>
      </c>
    </row>
    <row r="4393" spans="1:3">
      <c r="A4393" s="406">
        <f>Return!A763</f>
        <v>44960</v>
      </c>
      <c r="B4393" s="408" t="s">
        <v>75</v>
      </c>
      <c r="C4393" s="409">
        <f>Return!S763</f>
        <v>-7.1048883991267631E-3</v>
      </c>
    </row>
    <row r="4394" spans="1:3">
      <c r="A4394" s="406">
        <f>Return!A764</f>
        <v>44959</v>
      </c>
      <c r="B4394" s="408" t="s">
        <v>75</v>
      </c>
      <c r="C4394" s="409">
        <f>Return!S764</f>
        <v>3.5935196444546458E-3</v>
      </c>
    </row>
    <row r="4395" spans="1:3">
      <c r="A4395" s="406">
        <f>Return!A765</f>
        <v>44958</v>
      </c>
      <c r="B4395" s="408" t="s">
        <v>75</v>
      </c>
      <c r="C4395" s="409">
        <f>Return!S765</f>
        <v>-8.6463005886340816E-3</v>
      </c>
    </row>
    <row r="4396" spans="1:3">
      <c r="A4396" s="406">
        <f>Return!A766</f>
        <v>44957</v>
      </c>
      <c r="B4396" s="408" t="s">
        <v>75</v>
      </c>
      <c r="C4396" s="409">
        <f>Return!S766</f>
        <v>-6.3341221522672519E-4</v>
      </c>
    </row>
    <row r="4397" spans="1:3">
      <c r="A4397" s="406">
        <f>Return!A767</f>
        <v>44956</v>
      </c>
      <c r="B4397" s="408" t="s">
        <v>75</v>
      </c>
      <c r="C4397" s="409">
        <f>Return!S767</f>
        <v>2.8488841031715229E-3</v>
      </c>
    </row>
    <row r="4398" spans="1:3">
      <c r="A4398" s="406">
        <f>Return!A768</f>
        <v>44953</v>
      </c>
      <c r="B4398" s="408" t="s">
        <v>75</v>
      </c>
      <c r="C4398" s="409">
        <f>Return!S768</f>
        <v>5.5231537013372689E-4</v>
      </c>
    </row>
    <row r="4399" spans="1:3">
      <c r="A4399" s="406">
        <f>Return!A769</f>
        <v>44951</v>
      </c>
      <c r="B4399" s="408" t="s">
        <v>75</v>
      </c>
      <c r="C4399" s="409">
        <f>Return!S769</f>
        <v>-3.2536776178130333E-3</v>
      </c>
    </row>
    <row r="4400" spans="1:3">
      <c r="A4400" s="406">
        <f>Return!A770</f>
        <v>44950</v>
      </c>
      <c r="B4400" s="408" t="s">
        <v>75</v>
      </c>
      <c r="C4400" s="409">
        <f>Return!S770</f>
        <v>-5.3971508966507153E-3</v>
      </c>
    </row>
    <row r="4401" spans="1:3">
      <c r="A4401" s="406">
        <f>Return!A771</f>
        <v>44949</v>
      </c>
      <c r="B4401" s="408" t="s">
        <v>75</v>
      </c>
      <c r="C4401" s="409">
        <f>Return!S771</f>
        <v>5.5080531923846765E-3</v>
      </c>
    </row>
    <row r="4402" spans="1:3">
      <c r="A4402" s="406">
        <f>Return!A772</f>
        <v>44946</v>
      </c>
      <c r="B4402" s="408" t="s">
        <v>75</v>
      </c>
      <c r="C4402" s="409">
        <f>Return!S772</f>
        <v>-6.421898851994956E-3</v>
      </c>
    </row>
    <row r="4403" spans="1:3">
      <c r="A4403" s="406">
        <f>Return!A773</f>
        <v>44945</v>
      </c>
      <c r="B4403" s="408" t="s">
        <v>75</v>
      </c>
      <c r="C4403" s="409">
        <f>Return!S773</f>
        <v>-4.2729095140214834E-4</v>
      </c>
    </row>
    <row r="4404" spans="1:3">
      <c r="A4404" s="406">
        <f>Return!A774</f>
        <v>44944</v>
      </c>
      <c r="B4404" s="408" t="s">
        <v>75</v>
      </c>
      <c r="C4404" s="409">
        <f>Return!S774</f>
        <v>4.7839810195510202E-3</v>
      </c>
    </row>
    <row r="4405" spans="1:3">
      <c r="A4405" s="406">
        <f>Return!A775</f>
        <v>44943</v>
      </c>
      <c r="B4405" s="408" t="s">
        <v>75</v>
      </c>
      <c r="C4405" s="409">
        <f>Return!S775</f>
        <v>-4.4225894144162003E-3</v>
      </c>
    </row>
    <row r="4406" spans="1:3">
      <c r="A4406" s="406">
        <f>Return!A776</f>
        <v>44942</v>
      </c>
      <c r="B4406" s="408" t="s">
        <v>75</v>
      </c>
      <c r="C4406" s="409">
        <f>Return!S776</f>
        <v>3.0525253597287194E-3</v>
      </c>
    </row>
    <row r="4407" spans="1:3">
      <c r="A4407" s="406">
        <f>Return!A777</f>
        <v>44939</v>
      </c>
      <c r="B4407" s="408" t="s">
        <v>75</v>
      </c>
      <c r="C4407" s="409">
        <f>Return!S777</f>
        <v>-1.647270642100962E-3</v>
      </c>
    </row>
    <row r="4408" spans="1:3">
      <c r="A4408" s="406">
        <f>Return!A778</f>
        <v>44938</v>
      </c>
      <c r="B4408" s="408" t="s">
        <v>75</v>
      </c>
      <c r="C4408" s="409">
        <f>Return!S778</f>
        <v>3.326659377607788E-3</v>
      </c>
    </row>
    <row r="4409" spans="1:3">
      <c r="A4409" s="406">
        <f>Return!A779</f>
        <v>44937</v>
      </c>
      <c r="B4409" s="408" t="s">
        <v>75</v>
      </c>
      <c r="C4409" s="409">
        <f>Return!S779</f>
        <v>-4.6096990689731276E-3</v>
      </c>
    </row>
    <row r="4410" spans="1:3">
      <c r="A4410" s="406">
        <f>Return!A780</f>
        <v>44936</v>
      </c>
      <c r="B4410" s="408" t="s">
        <v>75</v>
      </c>
      <c r="C4410" s="409">
        <f>Return!S780</f>
        <v>-2.5086617585909909E-3</v>
      </c>
    </row>
    <row r="4411" spans="1:3">
      <c r="A4411" s="406">
        <f>Return!A781</f>
        <v>44935</v>
      </c>
      <c r="B4411" s="408" t="s">
        <v>75</v>
      </c>
      <c r="C4411" s="409">
        <f>Return!S781</f>
        <v>7.0810324895800303E-3</v>
      </c>
    </row>
    <row r="4412" spans="1:3">
      <c r="A4412" s="406">
        <f>Return!A782</f>
        <v>44932</v>
      </c>
      <c r="B4412" s="408" t="s">
        <v>75</v>
      </c>
      <c r="C4412" s="409">
        <f>Return!S782</f>
        <v>-6.9560539272447985E-3</v>
      </c>
    </row>
    <row r="4413" spans="1:3">
      <c r="A4413" s="406">
        <f>Return!A783</f>
        <v>44931</v>
      </c>
      <c r="B4413" s="408" t="s">
        <v>75</v>
      </c>
      <c r="C4413" s="409">
        <f>Return!S783</f>
        <v>3.3201040570693952E-3</v>
      </c>
    </row>
    <row r="4414" spans="1:3">
      <c r="A4414" s="406">
        <f>Return!A784</f>
        <v>44930</v>
      </c>
      <c r="B4414" s="408" t="s">
        <v>75</v>
      </c>
      <c r="C4414" s="409">
        <f>Return!S784</f>
        <v>-5.0002218227199746E-3</v>
      </c>
    </row>
    <row r="4415" spans="1:3">
      <c r="A4415" s="406">
        <f>Return!A785</f>
        <v>44929</v>
      </c>
      <c r="B4415" s="408" t="s">
        <v>75</v>
      </c>
      <c r="C4415" s="409">
        <f>Return!S785</f>
        <v>-2.2705047037046566E-3</v>
      </c>
    </row>
    <row r="4416" spans="1:3">
      <c r="A4416" s="406">
        <f>Return!A786</f>
        <v>44928</v>
      </c>
      <c r="B4416" s="408" t="s">
        <v>75</v>
      </c>
      <c r="C4416" s="409">
        <f>Return!S786</f>
        <v>-2.4023263826119523E-3</v>
      </c>
    </row>
    <row r="4417" spans="1:3">
      <c r="A4417" s="406">
        <f>Return!A787</f>
        <v>44925</v>
      </c>
      <c r="B4417" s="408" t="s">
        <v>75</v>
      </c>
      <c r="C4417" s="409">
        <f>Return!S787</f>
        <v>9.5582791622045304E-3</v>
      </c>
    </row>
    <row r="4418" spans="1:3">
      <c r="A4418" s="406">
        <f>Return!A788</f>
        <v>44924</v>
      </c>
      <c r="B4418" s="408" t="s">
        <v>75</v>
      </c>
      <c r="C4418" s="409">
        <f>Return!S788</f>
        <v>9.5385403281145198E-4</v>
      </c>
    </row>
    <row r="4419" spans="1:3">
      <c r="A4419" s="406">
        <f>Return!A789</f>
        <v>44923</v>
      </c>
      <c r="B4419" s="408" t="s">
        <v>75</v>
      </c>
      <c r="C4419" s="409">
        <f>Return!S789</f>
        <v>-2.3610462497020146E-4</v>
      </c>
    </row>
    <row r="4420" spans="1:3">
      <c r="A4420" s="406">
        <f>Return!A790</f>
        <v>44922</v>
      </c>
      <c r="B4420" s="408" t="s">
        <v>75</v>
      </c>
      <c r="C4420" s="409">
        <f>Return!S790</f>
        <v>-5.6115409478044165E-3</v>
      </c>
    </row>
    <row r="4421" spans="1:3">
      <c r="A4421" s="406">
        <f>Return!A791</f>
        <v>44921</v>
      </c>
      <c r="B4421" s="408" t="s">
        <v>75</v>
      </c>
      <c r="C4421" s="409">
        <f>Return!S791</f>
        <v>-3.4819045651846015E-4</v>
      </c>
    </row>
    <row r="4422" spans="1:3">
      <c r="A4422" s="406">
        <f>Return!A792</f>
        <v>44918</v>
      </c>
      <c r="B4422" s="408" t="s">
        <v>75</v>
      </c>
      <c r="C4422" s="409">
        <f>Return!S792</f>
        <v>-5.252432052667011E-3</v>
      </c>
    </row>
    <row r="4423" spans="1:3">
      <c r="A4423" s="406">
        <f>Return!A793</f>
        <v>44917</v>
      </c>
      <c r="B4423" s="408" t="s">
        <v>75</v>
      </c>
      <c r="C4423" s="409">
        <f>Return!S793</f>
        <v>9.4579605686795354E-4</v>
      </c>
    </row>
    <row r="4424" spans="1:3">
      <c r="A4424" s="406">
        <f>Return!A794</f>
        <v>44916</v>
      </c>
      <c r="B4424" s="408" t="s">
        <v>75</v>
      </c>
      <c r="C4424" s="409">
        <f>Return!S794</f>
        <v>6.8972520570027007E-3</v>
      </c>
    </row>
    <row r="4425" spans="1:3">
      <c r="A4425" s="406">
        <f>Return!A795</f>
        <v>44915</v>
      </c>
      <c r="B4425" s="408" t="s">
        <v>75</v>
      </c>
      <c r="C4425" s="409">
        <f>Return!S795</f>
        <v>9.6319363209196318E-4</v>
      </c>
    </row>
    <row r="4426" spans="1:3">
      <c r="A4426" s="406">
        <f>Return!A796</f>
        <v>44914</v>
      </c>
      <c r="B4426" s="408" t="s">
        <v>75</v>
      </c>
      <c r="C4426" s="409">
        <f>Return!S796</f>
        <v>-4.743563804844142E-3</v>
      </c>
    </row>
    <row r="4427" spans="1:3">
      <c r="A4427" s="406">
        <f>Return!A797</f>
        <v>44911</v>
      </c>
      <c r="B4427" s="408" t="s">
        <v>75</v>
      </c>
      <c r="C4427" s="409">
        <f>Return!S797</f>
        <v>-7.5489297070622241E-3</v>
      </c>
    </row>
    <row r="4428" spans="1:3">
      <c r="A4428" s="406">
        <f>Return!A798</f>
        <v>44910</v>
      </c>
      <c r="B4428" s="408" t="s">
        <v>75</v>
      </c>
      <c r="C4428" s="409">
        <f>Return!S798</f>
        <v>-4.9383709753571536E-3</v>
      </c>
    </row>
    <row r="4429" spans="1:3">
      <c r="A4429" s="406">
        <f>Return!A799</f>
        <v>44909</v>
      </c>
      <c r="B4429" s="408" t="s">
        <v>75</v>
      </c>
      <c r="C4429" s="409">
        <f>Return!S799</f>
        <v>-9.730533073833425E-4</v>
      </c>
    </row>
    <row r="4430" spans="1:3">
      <c r="A4430" s="406">
        <f>Return!A800</f>
        <v>44908</v>
      </c>
      <c r="B4430" s="408" t="s">
        <v>75</v>
      </c>
      <c r="C4430" s="409">
        <f>Return!S800</f>
        <v>-5.7697480219331965E-4</v>
      </c>
    </row>
    <row r="4431" spans="1:3">
      <c r="A4431" s="406">
        <f>Return!A801</f>
        <v>44907</v>
      </c>
      <c r="B4431" s="408" t="s">
        <v>75</v>
      </c>
      <c r="C4431" s="409">
        <f>Return!S801</f>
        <v>-1.0417549087199385E-4</v>
      </c>
    </row>
    <row r="4432" spans="1:3">
      <c r="A4432" s="406">
        <f>Return!A802</f>
        <v>44904</v>
      </c>
      <c r="B4432" s="408" t="s">
        <v>75</v>
      </c>
      <c r="C4432" s="409">
        <f>Return!S802</f>
        <v>3.6680351129474431E-3</v>
      </c>
    </row>
    <row r="4433" spans="1:3">
      <c r="A4433" s="406">
        <f>Return!A803</f>
        <v>44903</v>
      </c>
      <c r="B4433" s="408" t="s">
        <v>75</v>
      </c>
      <c r="C4433" s="409">
        <f>Return!S803</f>
        <v>2.7013806313197497E-4</v>
      </c>
    </row>
    <row r="4434" spans="1:3">
      <c r="A4434" s="406">
        <f>Return!A804</f>
        <v>44902</v>
      </c>
      <c r="B4434" s="408" t="s">
        <v>75</v>
      </c>
      <c r="C4434" s="409">
        <f>Return!S804</f>
        <v>-2.4494284426693214E-3</v>
      </c>
    </row>
    <row r="4435" spans="1:3">
      <c r="A4435" s="406">
        <f>Return!A805</f>
        <v>44901</v>
      </c>
      <c r="B4435" s="408" t="s">
        <v>75</v>
      </c>
      <c r="C4435" s="409">
        <f>Return!S805</f>
        <v>2.0355808078033055E-3</v>
      </c>
    </row>
    <row r="4436" spans="1:3">
      <c r="A4436" s="406">
        <f>Return!A806</f>
        <v>44900</v>
      </c>
      <c r="B4436" s="408" t="s">
        <v>75</v>
      </c>
      <c r="C4436" s="409">
        <f>Return!S806</f>
        <v>2.0554504899468751E-3</v>
      </c>
    </row>
    <row r="4437" spans="1:3">
      <c r="A4437" s="406">
        <f>Return!A807</f>
        <v>44897</v>
      </c>
      <c r="B4437" s="408" t="s">
        <v>75</v>
      </c>
      <c r="C4437" s="409">
        <f>Return!S807</f>
        <v>-5.6253007230844254E-4</v>
      </c>
    </row>
    <row r="4438" spans="1:3">
      <c r="A4438" s="406">
        <f>Return!A808</f>
        <v>44896</v>
      </c>
      <c r="B4438" s="408" t="s">
        <v>75</v>
      </c>
      <c r="C4438" s="409">
        <f>Return!S808</f>
        <v>7.0820290534884256E-4</v>
      </c>
    </row>
    <row r="4439" spans="1:3">
      <c r="A4439" s="406">
        <f>Return!A809</f>
        <v>44895</v>
      </c>
      <c r="B4439" s="408" t="s">
        <v>75</v>
      </c>
      <c r="C4439" s="409">
        <f>Return!S809</f>
        <v>-1.9097346099651857E-3</v>
      </c>
    </row>
    <row r="4440" spans="1:3">
      <c r="A4440" s="406">
        <f>Return!A810</f>
        <v>44894</v>
      </c>
      <c r="B4440" s="408" t="s">
        <v>75</v>
      </c>
      <c r="C4440" s="409">
        <f>Return!S810</f>
        <v>3.0954999538127526E-3</v>
      </c>
    </row>
    <row r="4441" spans="1:3">
      <c r="A4441" s="406">
        <f>Return!A811</f>
        <v>44893</v>
      </c>
      <c r="B4441" s="408" t="s">
        <v>75</v>
      </c>
      <c r="C4441" s="409">
        <f>Return!S811</f>
        <v>-1.6210019069081705E-3</v>
      </c>
    </row>
    <row r="4442" spans="1:3">
      <c r="A4442" s="406">
        <f>Return!A812</f>
        <v>44890</v>
      </c>
      <c r="B4442" s="408" t="s">
        <v>75</v>
      </c>
      <c r="C4442" s="409">
        <f>Return!S812</f>
        <v>-2.8871283868630582E-3</v>
      </c>
    </row>
    <row r="4443" spans="1:3">
      <c r="A4443" s="406">
        <f>Return!A813</f>
        <v>44889</v>
      </c>
      <c r="B4443" s="408" t="s">
        <v>75</v>
      </c>
      <c r="C4443" s="409">
        <f>Return!S813</f>
        <v>3.7174006050047503E-3</v>
      </c>
    </row>
    <row r="4444" spans="1:3">
      <c r="A4444" s="406">
        <f>Return!A814</f>
        <v>44888</v>
      </c>
      <c r="B4444" s="408" t="s">
        <v>75</v>
      </c>
      <c r="C4444" s="409">
        <f>Return!S814</f>
        <v>6.1581295035493255E-3</v>
      </c>
    </row>
    <row r="4445" spans="1:3">
      <c r="A4445" s="406">
        <f>Return!A815</f>
        <v>44887</v>
      </c>
      <c r="B4445" s="408" t="s">
        <v>75</v>
      </c>
      <c r="C4445" s="409">
        <f>Return!S815</f>
        <v>1.5840867053321661E-3</v>
      </c>
    </row>
    <row r="4446" spans="1:3">
      <c r="A4446" s="406">
        <f>Return!A816</f>
        <v>44886</v>
      </c>
      <c r="B4446" s="408" t="s">
        <v>75</v>
      </c>
      <c r="C4446" s="409">
        <f>Return!S816</f>
        <v>-4.6823555791668525E-3</v>
      </c>
    </row>
    <row r="4447" spans="1:3">
      <c r="A4447" s="406">
        <f>Return!A817</f>
        <v>44883</v>
      </c>
      <c r="B4447" s="408" t="s">
        <v>75</v>
      </c>
      <c r="C4447" s="409">
        <f>Return!S817</f>
        <v>-5.2790715080431871E-3</v>
      </c>
    </row>
    <row r="4448" spans="1:3">
      <c r="A4448" s="406">
        <f>Return!A818</f>
        <v>44882</v>
      </c>
      <c r="B4448" s="408" t="s">
        <v>75</v>
      </c>
      <c r="C4448" s="409">
        <f>Return!S818</f>
        <v>-6.4667566715998492E-3</v>
      </c>
    </row>
    <row r="4449" spans="1:3">
      <c r="A4449" s="406">
        <f>Return!A819</f>
        <v>44881</v>
      </c>
      <c r="B4449" s="408" t="s">
        <v>75</v>
      </c>
      <c r="C4449" s="409">
        <f>Return!S819</f>
        <v>-1.4141444946334514E-3</v>
      </c>
    </row>
    <row r="4450" spans="1:3">
      <c r="A4450" s="406">
        <f>Return!A820</f>
        <v>44880</v>
      </c>
      <c r="B4450" s="408" t="s">
        <v>75</v>
      </c>
      <c r="C4450" s="409">
        <f>Return!S820</f>
        <v>2.5186620085371203E-3</v>
      </c>
    </row>
    <row r="4451" spans="1:3">
      <c r="A4451" s="406">
        <f>Return!A821</f>
        <v>44879</v>
      </c>
      <c r="B4451" s="408" t="s">
        <v>75</v>
      </c>
      <c r="C4451" s="409">
        <f>Return!S821</f>
        <v>5.6143496512339741E-3</v>
      </c>
    </row>
    <row r="4452" spans="1:3">
      <c r="A4452" s="406">
        <f>Return!A822</f>
        <v>44876</v>
      </c>
      <c r="B4452" s="408" t="s">
        <v>75</v>
      </c>
      <c r="C4452" s="409">
        <f>Return!S822</f>
        <v>5.7989993586845534E-3</v>
      </c>
    </row>
    <row r="4453" spans="1:3">
      <c r="A4453" s="406">
        <f>Return!A823</f>
        <v>44875</v>
      </c>
      <c r="B4453" s="408" t="s">
        <v>75</v>
      </c>
      <c r="C4453" s="409">
        <f>Return!S823</f>
        <v>3.4548228809050396E-3</v>
      </c>
    </row>
    <row r="4454" spans="1:3">
      <c r="A4454" s="406">
        <f>Return!A824</f>
        <v>44874</v>
      </c>
      <c r="B4454" s="408" t="s">
        <v>75</v>
      </c>
      <c r="C4454" s="409">
        <f>Return!S824</f>
        <v>-7.0883729502643211E-3</v>
      </c>
    </row>
    <row r="4455" spans="1:3">
      <c r="A4455" s="406">
        <f>Return!A825</f>
        <v>44872</v>
      </c>
      <c r="B4455" s="408" t="s">
        <v>75</v>
      </c>
      <c r="C4455" s="409">
        <f>Return!S825</f>
        <v>1.1100382326054148E-3</v>
      </c>
    </row>
    <row r="4456" spans="1:3">
      <c r="A4456" s="406">
        <f>Return!A826</f>
        <v>44869</v>
      </c>
      <c r="B4456" s="408" t="s">
        <v>75</v>
      </c>
      <c r="C4456" s="409">
        <f>Return!S826</f>
        <v>2.6890313957976253E-3</v>
      </c>
    </row>
    <row r="4457" spans="1:3">
      <c r="A4457" s="406">
        <f>Return!A827</f>
        <v>44868</v>
      </c>
      <c r="B4457" s="408" t="s">
        <v>75</v>
      </c>
      <c r="C4457" s="409">
        <f>Return!S827</f>
        <v>6.1674355323937391E-4</v>
      </c>
    </row>
    <row r="4458" spans="1:3">
      <c r="A4458" s="406">
        <f>Return!A828</f>
        <v>44867</v>
      </c>
      <c r="B4458" s="408" t="s">
        <v>75</v>
      </c>
      <c r="C4458" s="409">
        <f>Return!S828</f>
        <v>2.3527362588731116E-3</v>
      </c>
    </row>
    <row r="4459" spans="1:3">
      <c r="A4459" s="406">
        <f>Return!A829</f>
        <v>44866</v>
      </c>
      <c r="B4459" s="408" t="s">
        <v>75</v>
      </c>
      <c r="C4459" s="409">
        <f>Return!S829</f>
        <v>4.6636807543465886E-3</v>
      </c>
    </row>
    <row r="4460" spans="1:3">
      <c r="A4460" s="406">
        <f>Return!A830</f>
        <v>44865</v>
      </c>
      <c r="B4460" s="408" t="s">
        <v>75</v>
      </c>
      <c r="C4460" s="409">
        <f>Return!S830</f>
        <v>8.8059961729906044E-3</v>
      </c>
    </row>
    <row r="4461" spans="1:3">
      <c r="A4461" s="406">
        <f>Return!A831</f>
        <v>44862</v>
      </c>
      <c r="B4461" s="408" t="s">
        <v>75</v>
      </c>
      <c r="C4461" s="409">
        <f>Return!S831</f>
        <v>-2.3114633122224837E-3</v>
      </c>
    </row>
    <row r="4462" spans="1:3">
      <c r="A4462" s="406">
        <f>Return!A832</f>
        <v>44861</v>
      </c>
      <c r="B4462" s="408" t="s">
        <v>75</v>
      </c>
      <c r="C4462" s="409">
        <f>Return!S832</f>
        <v>3.4124010216511902E-3</v>
      </c>
    </row>
    <row r="4463" spans="1:3">
      <c r="A4463" s="406">
        <f>Return!A833</f>
        <v>44859</v>
      </c>
      <c r="B4463" s="408" t="s">
        <v>75</v>
      </c>
      <c r="C4463" s="409">
        <f>Return!S833</f>
        <v>6.8958669660893479E-3</v>
      </c>
    </row>
    <row r="4464" spans="1:3">
      <c r="A4464" s="406">
        <f>Return!A834</f>
        <v>44858</v>
      </c>
      <c r="B4464" s="408" t="s">
        <v>75</v>
      </c>
      <c r="C4464" s="409">
        <f>Return!S834</f>
        <v>-9.2685505709677596E-5</v>
      </c>
    </row>
    <row r="4465" spans="1:3">
      <c r="A4465" s="406">
        <f>Return!A835</f>
        <v>44855</v>
      </c>
      <c r="B4465" s="408" t="s">
        <v>75</v>
      </c>
      <c r="C4465" s="409">
        <f>Return!S835</f>
        <v>-3.7117841994762646E-3</v>
      </c>
    </row>
    <row r="4466" spans="1:3">
      <c r="A4466" s="406">
        <f>Return!A836</f>
        <v>44854</v>
      </c>
      <c r="B4466" s="408" t="s">
        <v>75</v>
      </c>
      <c r="C4466" s="409">
        <f>Return!S836</f>
        <v>-4.5215449627721283E-3</v>
      </c>
    </row>
    <row r="4467" spans="1:3">
      <c r="A4467" s="406">
        <f>Return!A837</f>
        <v>44853</v>
      </c>
      <c r="B4467" s="408" t="s">
        <v>75</v>
      </c>
      <c r="C4467" s="409">
        <f>Return!S837</f>
        <v>-4.1307024889797317E-4</v>
      </c>
    </row>
    <row r="4468" spans="1:3">
      <c r="A4468" s="406">
        <f>Return!A838</f>
        <v>44852</v>
      </c>
      <c r="B4468" s="408" t="s">
        <v>75</v>
      </c>
      <c r="C4468" s="409">
        <f>Return!S838</f>
        <v>-1.8274219618372722E-3</v>
      </c>
    </row>
    <row r="4469" spans="1:3">
      <c r="A4469" s="406">
        <f>Return!A839</f>
        <v>44851</v>
      </c>
      <c r="B4469" s="408" t="s">
        <v>75</v>
      </c>
      <c r="C4469" s="409">
        <f>Return!S839</f>
        <v>7.3853332908104807E-3</v>
      </c>
    </row>
    <row r="4470" spans="1:3">
      <c r="A4470" s="406">
        <f>Return!A840</f>
        <v>44848</v>
      </c>
      <c r="B4470" s="408" t="s">
        <v>75</v>
      </c>
      <c r="C4470" s="409">
        <f>Return!S840</f>
        <v>7.1687742534854992E-3</v>
      </c>
    </row>
    <row r="4471" spans="1:3">
      <c r="A4471" s="406">
        <f>Return!A841</f>
        <v>44847</v>
      </c>
      <c r="B4471" s="408" t="s">
        <v>75</v>
      </c>
      <c r="C4471" s="409">
        <f>Return!S841</f>
        <v>4.5163049078862372E-3</v>
      </c>
    </row>
    <row r="4472" spans="1:3">
      <c r="A4472" s="406">
        <f>Return!A842</f>
        <v>44846</v>
      </c>
      <c r="B4472" s="408" t="s">
        <v>75</v>
      </c>
      <c r="C4472" s="409">
        <f>Return!S842</f>
        <v>1.7605460194397571E-3</v>
      </c>
    </row>
    <row r="4473" spans="1:3">
      <c r="A4473" s="406">
        <f>Return!A843</f>
        <v>44845</v>
      </c>
      <c r="B4473" s="408" t="s">
        <v>75</v>
      </c>
      <c r="C4473" s="409">
        <f>Return!S843</f>
        <v>2.3437947641880008E-4</v>
      </c>
    </row>
    <row r="4474" spans="1:3">
      <c r="A4474" s="406">
        <f>Return!A844</f>
        <v>44844</v>
      </c>
      <c r="B4474" s="408" t="s">
        <v>75</v>
      </c>
      <c r="C4474" s="409">
        <f>Return!S844</f>
        <v>3.9684606801204669E-5</v>
      </c>
    </row>
    <row r="4475" spans="1:3">
      <c r="A4475" s="406">
        <f>Return!A845</f>
        <v>44841</v>
      </c>
      <c r="B4475" s="408" t="s">
        <v>75</v>
      </c>
      <c r="C4475" s="409">
        <f>Return!S845</f>
        <v>-5.5804511284007763E-4</v>
      </c>
    </row>
    <row r="4476" spans="1:3">
      <c r="A4476" s="406">
        <f>Return!A846</f>
        <v>44840</v>
      </c>
      <c r="B4476" s="408" t="s">
        <v>75</v>
      </c>
      <c r="C4476" s="409">
        <f>Return!S846</f>
        <v>2.413166947728751E-3</v>
      </c>
    </row>
    <row r="4477" spans="1:3">
      <c r="A4477" s="406">
        <f>Return!A847</f>
        <v>44838</v>
      </c>
      <c r="B4477" s="408" t="s">
        <v>75</v>
      </c>
      <c r="C4477" s="409">
        <f>Return!S847</f>
        <v>1.1314898064115897E-3</v>
      </c>
    </row>
    <row r="4478" spans="1:3">
      <c r="A4478" s="406">
        <f>Return!A848</f>
        <v>44837</v>
      </c>
      <c r="B4478" s="408" t="s">
        <v>75</v>
      </c>
      <c r="C4478" s="409">
        <f>Return!S848</f>
        <v>-3.0234095180053933E-3</v>
      </c>
    </row>
    <row r="4479" spans="1:3">
      <c r="A4479" s="406">
        <f>Return!A849</f>
        <v>44834</v>
      </c>
      <c r="B4479" s="408" t="s">
        <v>75</v>
      </c>
      <c r="C4479" s="409">
        <f>Return!S849</f>
        <v>1.8728812417205254E-2</v>
      </c>
    </row>
    <row r="4480" spans="1:3">
      <c r="A4480" s="406">
        <f>Return!A850</f>
        <v>44833</v>
      </c>
      <c r="B4480" s="408" t="s">
        <v>75</v>
      </c>
      <c r="C4480" s="409">
        <f>Return!S850</f>
        <v>2.7626853726238076E-3</v>
      </c>
    </row>
    <row r="4481" spans="1:3">
      <c r="A4481" s="406">
        <f>Return!A851</f>
        <v>44832</v>
      </c>
      <c r="B4481" s="408" t="s">
        <v>75</v>
      </c>
      <c r="C4481" s="409">
        <f>Return!S851</f>
        <v>-5.2811734570819002E-3</v>
      </c>
    </row>
    <row r="4482" spans="1:3">
      <c r="A4482" s="406">
        <f>Return!A852</f>
        <v>44831</v>
      </c>
      <c r="B4482" s="408" t="s">
        <v>75</v>
      </c>
      <c r="C4482" s="409">
        <f>Return!S852</f>
        <v>-1.2647517480338322E-2</v>
      </c>
    </row>
    <row r="4483" spans="1:3">
      <c r="A4483" s="406">
        <f>Return!A853</f>
        <v>44830</v>
      </c>
      <c r="B4483" s="408" t="s">
        <v>75</v>
      </c>
      <c r="C4483" s="409">
        <f>Return!S853</f>
        <v>-4.9524619090657862E-3</v>
      </c>
    </row>
    <row r="4484" spans="1:3">
      <c r="A4484" s="406">
        <f>Return!A854</f>
        <v>44827</v>
      </c>
      <c r="B4484" s="408" t="s">
        <v>75</v>
      </c>
      <c r="C4484" s="409">
        <f>Return!S854</f>
        <v>-2.6905352552813455E-3</v>
      </c>
    </row>
    <row r="4485" spans="1:3">
      <c r="A4485" s="406">
        <f>Return!A855</f>
        <v>44826</v>
      </c>
      <c r="B4485" s="408" t="s">
        <v>75</v>
      </c>
      <c r="C4485" s="409">
        <f>Return!S855</f>
        <v>-2.9085821859545224E-3</v>
      </c>
    </row>
    <row r="4486" spans="1:3">
      <c r="A4486" s="406">
        <f>Return!A856</f>
        <v>44825</v>
      </c>
      <c r="B4486" s="408" t="s">
        <v>75</v>
      </c>
      <c r="C4486" s="409">
        <f>Return!S856</f>
        <v>1.0719045925730475E-2</v>
      </c>
    </row>
    <row r="4487" spans="1:3">
      <c r="A4487" s="406">
        <f>Return!A857</f>
        <v>44824</v>
      </c>
      <c r="B4487" s="408" t="s">
        <v>75</v>
      </c>
      <c r="C4487" s="409">
        <f>Return!S857</f>
        <v>9.3995558390258527E-4</v>
      </c>
    </row>
    <row r="4488" spans="1:3">
      <c r="A4488" s="406">
        <f>Return!A858</f>
        <v>44823</v>
      </c>
      <c r="B4488" s="408" t="s">
        <v>75</v>
      </c>
      <c r="C4488" s="409">
        <f>Return!S858</f>
        <v>2.8520787228725197E-4</v>
      </c>
    </row>
    <row r="4489" spans="1:3">
      <c r="A4489" s="406">
        <f>Return!A859</f>
        <v>44820</v>
      </c>
      <c r="B4489" s="408" t="s">
        <v>75</v>
      </c>
      <c r="C4489" s="409">
        <f>Return!S859</f>
        <v>-1.0920914177520724E-3</v>
      </c>
    </row>
    <row r="4490" spans="1:3">
      <c r="A4490" s="406">
        <f>Return!A860</f>
        <v>44819</v>
      </c>
      <c r="B4490" s="408" t="s">
        <v>75</v>
      </c>
      <c r="C4490" s="409">
        <f>Return!S860</f>
        <v>2.9848305804075492E-3</v>
      </c>
    </row>
    <row r="4491" spans="1:3">
      <c r="A4491" s="406">
        <f>Return!A861</f>
        <v>44818</v>
      </c>
      <c r="B4491" s="408" t="s">
        <v>75</v>
      </c>
      <c r="C4491" s="409">
        <f>Return!S861</f>
        <v>1.9163999497562867E-3</v>
      </c>
    </row>
    <row r="4492" spans="1:3">
      <c r="A4492" s="406">
        <f>Return!A862</f>
        <v>44817</v>
      </c>
      <c r="B4492" s="408" t="s">
        <v>75</v>
      </c>
      <c r="C4492" s="409">
        <f>Return!S862</f>
        <v>-3.9142201287772904E-4</v>
      </c>
    </row>
    <row r="4493" spans="1:3">
      <c r="A4493" s="406">
        <f>Return!A863</f>
        <v>44816</v>
      </c>
      <c r="B4493" s="408" t="s">
        <v>75</v>
      </c>
      <c r="C4493" s="409">
        <f>Return!S863</f>
        <v>7.7248828240025214E-3</v>
      </c>
    </row>
    <row r="4494" spans="1:3">
      <c r="A4494" s="406">
        <f>Return!A864</f>
        <v>44813</v>
      </c>
      <c r="B4494" s="408" t="s">
        <v>75</v>
      </c>
      <c r="C4494" s="409">
        <f>Return!S864</f>
        <v>-1.0961572357033877E-3</v>
      </c>
    </row>
    <row r="4495" spans="1:3">
      <c r="A4495" s="406">
        <f>Return!A865</f>
        <v>44812</v>
      </c>
      <c r="B4495" s="408" t="s">
        <v>75</v>
      </c>
      <c r="C4495" s="409">
        <f>Return!S865</f>
        <v>7.6838013483737644E-4</v>
      </c>
    </row>
    <row r="4496" spans="1:3">
      <c r="A4496" s="406">
        <f>Return!A866</f>
        <v>44811</v>
      </c>
      <c r="B4496" s="408" t="s">
        <v>75</v>
      </c>
      <c r="C4496" s="409">
        <f>Return!S866</f>
        <v>3.1363688439428605E-4</v>
      </c>
    </row>
    <row r="4497" spans="1:3">
      <c r="A4497" s="406">
        <f>Return!A867</f>
        <v>44810</v>
      </c>
      <c r="B4497" s="408" t="s">
        <v>75</v>
      </c>
      <c r="C4497" s="409">
        <f>Return!S867</f>
        <v>9.391679879624526E-4</v>
      </c>
    </row>
    <row r="4498" spans="1:3">
      <c r="A4498" s="406">
        <f>Return!A868</f>
        <v>44809</v>
      </c>
      <c r="B4498" s="408" t="s">
        <v>75</v>
      </c>
      <c r="C4498" s="409">
        <f>Return!S868</f>
        <v>1.4798049155473336E-3</v>
      </c>
    </row>
    <row r="4499" spans="1:3">
      <c r="A4499" s="406">
        <f>Return!A869</f>
        <v>44806</v>
      </c>
      <c r="B4499" s="408" t="s">
        <v>75</v>
      </c>
      <c r="C4499" s="409">
        <f>Return!S869</f>
        <v>-6.8884281346812681E-3</v>
      </c>
    </row>
    <row r="4500" spans="1:3">
      <c r="A4500" s="406">
        <f>Return!A870</f>
        <v>44805</v>
      </c>
      <c r="B4500" s="408" t="s">
        <v>75</v>
      </c>
      <c r="C4500" s="409">
        <f>Return!S870</f>
        <v>3.8346477919556921E-3</v>
      </c>
    </row>
    <row r="4501" spans="1:3">
      <c r="A4501" s="406">
        <f>Return!A871</f>
        <v>44803</v>
      </c>
      <c r="B4501" s="408" t="s">
        <v>75</v>
      </c>
      <c r="C4501" s="409">
        <f>Return!S871</f>
        <v>-1.9187836031479555E-3</v>
      </c>
    </row>
    <row r="4502" spans="1:3">
      <c r="A4502" s="406">
        <f>Return!A872</f>
        <v>44802</v>
      </c>
      <c r="B4502" s="408" t="s">
        <v>75</v>
      </c>
      <c r="C4502" s="409">
        <f>Return!S872</f>
        <v>4.9828363960058297E-4</v>
      </c>
    </row>
    <row r="4503" spans="1:3">
      <c r="A4503" s="406">
        <f>Return!A873</f>
        <v>44799</v>
      </c>
      <c r="B4503" s="408" t="s">
        <v>75</v>
      </c>
      <c r="C4503" s="409">
        <f>Return!S873</f>
        <v>2.0145196664611009E-3</v>
      </c>
    </row>
    <row r="4504" spans="1:3">
      <c r="A4504" s="406">
        <f>Return!A874</f>
        <v>44798</v>
      </c>
      <c r="B4504" s="408" t="s">
        <v>75</v>
      </c>
      <c r="C4504" s="409">
        <f>Return!S874</f>
        <v>-7.7176974177362023E-4</v>
      </c>
    </row>
    <row r="4505" spans="1:3">
      <c r="A4505" s="406">
        <f>Return!A875</f>
        <v>44797</v>
      </c>
      <c r="B4505" s="408" t="s">
        <v>75</v>
      </c>
      <c r="C4505" s="409">
        <f>Return!S875</f>
        <v>5.5923935899244714E-3</v>
      </c>
    </row>
    <row r="4506" spans="1:3">
      <c r="A4506" s="406">
        <f>Return!A876</f>
        <v>44796</v>
      </c>
      <c r="B4506" s="408" t="s">
        <v>75</v>
      </c>
      <c r="C4506" s="409">
        <f>Return!S876</f>
        <v>-6.0376673610609832E-3</v>
      </c>
    </row>
    <row r="4507" spans="1:3">
      <c r="A4507" s="406">
        <f>Return!A877</f>
        <v>44795</v>
      </c>
      <c r="B4507" s="408" t="s">
        <v>75</v>
      </c>
      <c r="C4507" s="409">
        <f>Return!S877</f>
        <v>-3.379001515807889E-3</v>
      </c>
    </row>
    <row r="4508" spans="1:3">
      <c r="A4508" s="406">
        <f>Return!A878</f>
        <v>44792</v>
      </c>
      <c r="B4508" s="408" t="s">
        <v>75</v>
      </c>
      <c r="C4508" s="409">
        <f>Return!S878</f>
        <v>-2.8456796763302594E-3</v>
      </c>
    </row>
    <row r="4509" spans="1:3">
      <c r="A4509" s="406">
        <f>Return!A879</f>
        <v>44791</v>
      </c>
      <c r="B4509" s="408" t="s">
        <v>75</v>
      </c>
      <c r="C4509" s="409">
        <f>Return!S879</f>
        <v>7.557854746231607E-3</v>
      </c>
    </row>
    <row r="4510" spans="1:3">
      <c r="A4510" s="406">
        <f>Return!A880</f>
        <v>44790</v>
      </c>
      <c r="B4510" s="408" t="s">
        <v>75</v>
      </c>
      <c r="C4510" s="409">
        <f>Return!S880</f>
        <v>3.6609323853973863E-3</v>
      </c>
    </row>
    <row r="4511" spans="1:3">
      <c r="A4511" s="406">
        <f>Return!A881</f>
        <v>44789</v>
      </c>
      <c r="B4511" s="408" t="s">
        <v>75</v>
      </c>
      <c r="C4511" s="409">
        <f>Return!S881</f>
        <v>-3.268152311260264E-3</v>
      </c>
    </row>
    <row r="4512" spans="1:3">
      <c r="A4512" s="406">
        <f>Return!A882</f>
        <v>44785</v>
      </c>
      <c r="B4512" s="408" t="s">
        <v>75</v>
      </c>
      <c r="C4512" s="409">
        <f>Return!S882</f>
        <v>3.2279948728596297E-3</v>
      </c>
    </row>
    <row r="4513" spans="1:3">
      <c r="A4513" s="406">
        <f>Return!A883</f>
        <v>44784</v>
      </c>
      <c r="B4513" s="408" t="s">
        <v>75</v>
      </c>
      <c r="C4513" s="409">
        <f>Return!S883</f>
        <v>5.5194071915181109E-3</v>
      </c>
    </row>
    <row r="4514" spans="1:3">
      <c r="A4514" s="406">
        <f>Return!A884</f>
        <v>44783</v>
      </c>
      <c r="B4514" s="408" t="s">
        <v>75</v>
      </c>
      <c r="C4514" s="409">
        <f>Return!S884</f>
        <v>5.660869764942511E-3</v>
      </c>
    </row>
    <row r="4515" spans="1:3">
      <c r="A4515" s="406">
        <f>Return!A885</f>
        <v>44781</v>
      </c>
      <c r="B4515" s="408" t="s">
        <v>75</v>
      </c>
      <c r="C4515" s="409">
        <f>Return!S885</f>
        <v>5.8791752271727948E-3</v>
      </c>
    </row>
    <row r="4516" spans="1:3">
      <c r="A4516" s="406">
        <f>Return!A886</f>
        <v>44778</v>
      </c>
      <c r="B4516" s="408" t="s">
        <v>75</v>
      </c>
      <c r="C4516" s="409">
        <f>Return!S886</f>
        <v>5.789985763226535E-4</v>
      </c>
    </row>
    <row r="4517" spans="1:3">
      <c r="A4517" s="406">
        <f>Return!A887</f>
        <v>44777</v>
      </c>
      <c r="B4517" s="408" t="s">
        <v>75</v>
      </c>
      <c r="C4517" s="409">
        <f>Return!S887</f>
        <v>-8.3180767871692818E-3</v>
      </c>
    </row>
    <row r="4518" spans="1:3">
      <c r="A4518" s="406">
        <f>Return!A888</f>
        <v>44776</v>
      </c>
      <c r="B4518" s="408" t="s">
        <v>75</v>
      </c>
      <c r="C4518" s="409">
        <f>Return!S888</f>
        <v>-6.5256225246490551E-4</v>
      </c>
    </row>
    <row r="4519" spans="1:3">
      <c r="A4519" s="406">
        <f>Return!A889</f>
        <v>44775</v>
      </c>
      <c r="B4519" s="408" t="s">
        <v>75</v>
      </c>
      <c r="C4519" s="409">
        <f>Return!S889</f>
        <v>-1.155662236831001E-3</v>
      </c>
    </row>
    <row r="4520" spans="1:3">
      <c r="A4520" s="406">
        <f>Return!A890</f>
        <v>44774</v>
      </c>
      <c r="B4520" s="408" t="s">
        <v>75</v>
      </c>
      <c r="C4520" s="409">
        <f>Return!S890</f>
        <v>8.1033260174574462E-3</v>
      </c>
    </row>
    <row r="4521" spans="1:3">
      <c r="A4521" s="406">
        <f>Return!A891</f>
        <v>44771</v>
      </c>
      <c r="B4521" s="408" t="s">
        <v>75</v>
      </c>
      <c r="C4521" s="409">
        <f>Return!S891</f>
        <v>1.5432147896412562E-3</v>
      </c>
    </row>
    <row r="4522" spans="1:3">
      <c r="A4522" s="406">
        <f>Return!A892</f>
        <v>44770</v>
      </c>
      <c r="B4522" s="408" t="s">
        <v>75</v>
      </c>
      <c r="C4522" s="409">
        <f>Return!S892</f>
        <v>7.5685861357964734E-3</v>
      </c>
    </row>
    <row r="4523" spans="1:3">
      <c r="A4523" s="406">
        <f>Return!A893</f>
        <v>44769</v>
      </c>
      <c r="B4523" s="408" t="s">
        <v>75</v>
      </c>
      <c r="C4523" s="409">
        <f>Return!S893</f>
        <v>-2.2459331941039884E-3</v>
      </c>
    </row>
    <row r="4524" spans="1:3">
      <c r="A4524" s="406">
        <f>Return!A894</f>
        <v>44768</v>
      </c>
      <c r="B4524" s="408" t="s">
        <v>75</v>
      </c>
      <c r="C4524" s="409">
        <f>Return!S894</f>
        <v>-8.4743911847928732E-5</v>
      </c>
    </row>
    <row r="4525" spans="1:3">
      <c r="A4525" s="406">
        <f>Return!A895</f>
        <v>44767</v>
      </c>
      <c r="B4525" s="408" t="s">
        <v>75</v>
      </c>
      <c r="C4525" s="409">
        <f>Return!S895</f>
        <v>2.8692322162492956E-3</v>
      </c>
    </row>
    <row r="4526" spans="1:3">
      <c r="A4526" s="406">
        <f>Return!A896</f>
        <v>44764</v>
      </c>
      <c r="B4526" s="408" t="s">
        <v>75</v>
      </c>
      <c r="C4526" s="409">
        <f>Return!S896</f>
        <v>-3.6081002210408553E-3</v>
      </c>
    </row>
    <row r="4527" spans="1:3">
      <c r="A4527" s="406">
        <f>Return!A897</f>
        <v>44763</v>
      </c>
      <c r="B4527" s="408" t="s">
        <v>75</v>
      </c>
      <c r="C4527" s="409">
        <f>Return!S897</f>
        <v>1.4849700962552004E-3</v>
      </c>
    </row>
    <row r="4528" spans="1:3">
      <c r="A4528" s="406">
        <f>Return!A898</f>
        <v>44762</v>
      </c>
      <c r="B4528" s="408" t="s">
        <v>75</v>
      </c>
      <c r="C4528" s="409">
        <f>Return!S898</f>
        <v>2.5042370027197336E-3</v>
      </c>
    </row>
    <row r="4529" spans="1:3">
      <c r="A4529" s="406">
        <f>Return!A899</f>
        <v>44761</v>
      </c>
      <c r="B4529" s="408" t="s">
        <v>75</v>
      </c>
      <c r="C4529" s="409">
        <f>Return!S899</f>
        <v>6.0980481947896514E-3</v>
      </c>
    </row>
    <row r="4530" spans="1:3">
      <c r="A4530" s="406">
        <f>Return!A900</f>
        <v>44760</v>
      </c>
      <c r="B4530" s="408" t="s">
        <v>75</v>
      </c>
      <c r="C4530" s="409">
        <f>Return!S900</f>
        <v>6.1286797873358889E-3</v>
      </c>
    </row>
    <row r="4531" spans="1:3">
      <c r="A4531" s="406">
        <f>Return!A901</f>
        <v>44757</v>
      </c>
      <c r="B4531" s="408" t="s">
        <v>75</v>
      </c>
      <c r="C4531" s="409">
        <f>Return!S901</f>
        <v>3.5555263159898765E-3</v>
      </c>
    </row>
    <row r="4532" spans="1:3">
      <c r="A4532" s="406">
        <f>Return!A902</f>
        <v>44756</v>
      </c>
      <c r="B4532" s="408" t="s">
        <v>75</v>
      </c>
      <c r="C4532" s="409">
        <f>Return!S902</f>
        <v>2.5055702918546086E-3</v>
      </c>
    </row>
    <row r="4533" spans="1:3">
      <c r="A4533" s="406">
        <f>Return!A903</f>
        <v>44755</v>
      </c>
      <c r="B4533" s="408" t="s">
        <v>75</v>
      </c>
      <c r="C4533" s="409">
        <f>Return!S903</f>
        <v>1.15043619569144E-3</v>
      </c>
    </row>
    <row r="4534" spans="1:3">
      <c r="A4534" s="406">
        <f>Return!A904</f>
        <v>44754</v>
      </c>
      <c r="B4534" s="408" t="s">
        <v>75</v>
      </c>
      <c r="C4534" s="409">
        <f>Return!S904</f>
        <v>1.8191369332288265E-3</v>
      </c>
    </row>
    <row r="4535" spans="1:3">
      <c r="A4535" s="406">
        <f>Return!A905</f>
        <v>44753</v>
      </c>
      <c r="B4535" s="408" t="s">
        <v>75</v>
      </c>
      <c r="C4535" s="409">
        <f>Return!S905</f>
        <v>1.0148489718397879E-3</v>
      </c>
    </row>
    <row r="4536" spans="1:3">
      <c r="A4536" s="406">
        <f>Return!A906</f>
        <v>44750</v>
      </c>
      <c r="B4536" s="408" t="s">
        <v>75</v>
      </c>
      <c r="C4536" s="409">
        <f>Return!S906</f>
        <v>4.4088013885941191E-3</v>
      </c>
    </row>
    <row r="4537" spans="1:3">
      <c r="A4537" s="406">
        <f>Return!A907</f>
        <v>44749</v>
      </c>
      <c r="B4537" s="408" t="s">
        <v>75</v>
      </c>
      <c r="C4537" s="409">
        <f>Return!S907</f>
        <v>4.1570010981911709E-3</v>
      </c>
    </row>
    <row r="4538" spans="1:3">
      <c r="A4538" s="406">
        <f>Return!A908</f>
        <v>44748</v>
      </c>
      <c r="B4538" s="408" t="s">
        <v>75</v>
      </c>
      <c r="C4538" s="409">
        <f>Return!S908</f>
        <v>2.9234955932221363E-3</v>
      </c>
    </row>
    <row r="4539" spans="1:3">
      <c r="A4539" s="406">
        <f>Return!A909</f>
        <v>44747</v>
      </c>
      <c r="B4539" s="408" t="s">
        <v>75</v>
      </c>
      <c r="C4539" s="409">
        <f>Return!S909</f>
        <v>5.5560483662869808E-3</v>
      </c>
    </row>
    <row r="4540" spans="1:3">
      <c r="A4540" s="406">
        <f>Return!A910</f>
        <v>44746</v>
      </c>
      <c r="B4540" s="408" t="s">
        <v>75</v>
      </c>
      <c r="C4540" s="409">
        <f>Return!S910</f>
        <v>-3.4000196227089718E-3</v>
      </c>
    </row>
    <row r="4541" spans="1:3">
      <c r="A4541" s="406">
        <f>Return!A911</f>
        <v>44743</v>
      </c>
      <c r="B4541" s="408" t="s">
        <v>75</v>
      </c>
      <c r="C4541" s="409">
        <f>Return!S911</f>
        <v>8.5117711976956389E-3</v>
      </c>
    </row>
    <row r="4542" spans="1:3">
      <c r="A4542" s="406">
        <f>Return!A912</f>
        <v>44742</v>
      </c>
      <c r="B4542" s="408" t="s">
        <v>75</v>
      </c>
      <c r="C4542" s="409">
        <f>Return!S912</f>
        <v>1.6034625462947871E-3</v>
      </c>
    </row>
    <row r="4543" spans="1:3">
      <c r="A4543" s="406">
        <f>Return!A913</f>
        <v>44741</v>
      </c>
      <c r="B4543" s="408" t="s">
        <v>75</v>
      </c>
      <c r="C4543" s="409">
        <f>Return!S913</f>
        <v>-6.572567199093271E-3</v>
      </c>
    </row>
    <row r="4544" spans="1:3">
      <c r="A4544" s="406">
        <f>Return!A914</f>
        <v>44740</v>
      </c>
      <c r="B4544" s="408" t="s">
        <v>75</v>
      </c>
      <c r="C4544" s="409">
        <f>Return!S914</f>
        <v>-5.8236179616892869E-3</v>
      </c>
    </row>
    <row r="4545" spans="1:3">
      <c r="A4545" s="406">
        <f>Return!A915</f>
        <v>44739</v>
      </c>
      <c r="B4545" s="408" t="s">
        <v>75</v>
      </c>
      <c r="C4545" s="409">
        <f>Return!S915</f>
        <v>4.9209992586943807E-3</v>
      </c>
    </row>
    <row r="4546" spans="1:3">
      <c r="A4546" s="406">
        <f>Return!A916</f>
        <v>44736</v>
      </c>
      <c r="B4546" s="408" t="s">
        <v>75</v>
      </c>
      <c r="C4546" s="409">
        <f>Return!S916</f>
        <v>6.2711254663502247E-3</v>
      </c>
    </row>
    <row r="4547" spans="1:3">
      <c r="A4547" s="406">
        <f>Return!A917</f>
        <v>44735</v>
      </c>
      <c r="B4547" s="408" t="s">
        <v>75</v>
      </c>
      <c r="C4547" s="409">
        <f>Return!S917</f>
        <v>-1.2935026235402991E-2</v>
      </c>
    </row>
    <row r="4548" spans="1:3">
      <c r="A4548" s="406">
        <f>Return!A918</f>
        <v>44734</v>
      </c>
      <c r="B4548" s="408" t="s">
        <v>75</v>
      </c>
      <c r="C4548" s="409">
        <f>Return!S918</f>
        <v>6.8708138950245856E-3</v>
      </c>
    </row>
    <row r="4549" spans="1:3">
      <c r="A4549" s="406">
        <f>Return!A919</f>
        <v>44733</v>
      </c>
      <c r="B4549" s="408" t="s">
        <v>75</v>
      </c>
      <c r="C4549" s="409">
        <f>Return!S919</f>
        <v>6.6232020011697257E-3</v>
      </c>
    </row>
    <row r="4550" spans="1:3">
      <c r="A4550" s="406">
        <f>Return!A920</f>
        <v>44732</v>
      </c>
      <c r="B4550" s="408" t="s">
        <v>75</v>
      </c>
      <c r="C4550" s="409">
        <f>Return!S920</f>
        <v>-5.0904772254907749E-3</v>
      </c>
    </row>
    <row r="4551" spans="1:3">
      <c r="A4551" s="406">
        <f>Return!A921</f>
        <v>44729</v>
      </c>
      <c r="B4551" s="408" t="s">
        <v>75</v>
      </c>
      <c r="C4551" s="409">
        <f>Return!S921</f>
        <v>-9.9256999597560069E-3</v>
      </c>
    </row>
    <row r="4552" spans="1:3">
      <c r="A4552" s="406">
        <f>Return!A922</f>
        <v>44728</v>
      </c>
      <c r="B4552" s="408" t="s">
        <v>75</v>
      </c>
      <c r="C4552" s="409">
        <f>Return!S922</f>
        <v>3.7860237645426231E-3</v>
      </c>
    </row>
    <row r="4553" spans="1:3">
      <c r="A4553" s="406">
        <f>Return!A923</f>
        <v>44727</v>
      </c>
      <c r="B4553" s="408" t="s">
        <v>75</v>
      </c>
      <c r="C4553" s="409">
        <f>Return!S923</f>
        <v>-4.0651021267297249E-3</v>
      </c>
    </row>
    <row r="4554" spans="1:3">
      <c r="A4554" s="406">
        <f>Return!A924</f>
        <v>44726</v>
      </c>
      <c r="B4554" s="408" t="s">
        <v>75</v>
      </c>
      <c r="C4554" s="409">
        <f>Return!S924</f>
        <v>-6.7335166570182681E-3</v>
      </c>
    </row>
    <row r="4555" spans="1:3">
      <c r="A4555" s="406">
        <f>Return!A925</f>
        <v>44725</v>
      </c>
      <c r="B4555" s="408" t="s">
        <v>75</v>
      </c>
      <c r="C4555" s="409">
        <f>Return!S925</f>
        <v>-6.5666076766249248E-3</v>
      </c>
    </row>
    <row r="4556" spans="1:3">
      <c r="A4556" s="406">
        <f>Return!A926</f>
        <v>44722</v>
      </c>
      <c r="B4556" s="408" t="s">
        <v>75</v>
      </c>
      <c r="C4556" s="409">
        <f>Return!S926</f>
        <v>1.2578442321303784E-4</v>
      </c>
    </row>
    <row r="4557" spans="1:3">
      <c r="A4557" s="406">
        <f>Return!A927</f>
        <v>44721</v>
      </c>
      <c r="B4557" s="408" t="s">
        <v>75</v>
      </c>
      <c r="C4557" s="409">
        <f>Return!S927</f>
        <v>5.2518516324201459E-4</v>
      </c>
    </row>
    <row r="4558" spans="1:3">
      <c r="A4558" s="406">
        <f>Return!A928</f>
        <v>44720</v>
      </c>
      <c r="B4558" s="408" t="s">
        <v>75</v>
      </c>
      <c r="C4558" s="409">
        <f>Return!S928</f>
        <v>-3.9291363008048252E-4</v>
      </c>
    </row>
    <row r="4559" spans="1:3">
      <c r="A4559" s="406">
        <f>Return!A929</f>
        <v>44719</v>
      </c>
      <c r="B4559" s="408" t="s">
        <v>75</v>
      </c>
      <c r="C4559" s="409">
        <f>Return!S929</f>
        <v>4.7875131230227796E-3</v>
      </c>
    </row>
    <row r="4560" spans="1:3">
      <c r="A4560" s="406">
        <f>Return!A930</f>
        <v>44718</v>
      </c>
      <c r="B4560" s="408" t="s">
        <v>75</v>
      </c>
      <c r="C4560" s="409">
        <f>Return!S930</f>
        <v>-5.6296307272903356E-3</v>
      </c>
    </row>
    <row r="4561" spans="1:3">
      <c r="A4561" s="406">
        <f>Return!A931</f>
        <v>44715</v>
      </c>
      <c r="B4561" s="408" t="s">
        <v>75</v>
      </c>
      <c r="C4561" s="409">
        <f>Return!S931</f>
        <v>-3.8629237242242542E-3</v>
      </c>
    </row>
    <row r="4562" spans="1:3">
      <c r="A4562" s="406">
        <f>Return!A932</f>
        <v>44714</v>
      </c>
      <c r="B4562" s="408" t="s">
        <v>75</v>
      </c>
      <c r="C4562" s="409">
        <f>Return!S932</f>
        <v>-1.314161704751754E-2</v>
      </c>
    </row>
    <row r="4563" spans="1:3">
      <c r="A4563" s="406">
        <f>Return!A933</f>
        <v>44713</v>
      </c>
      <c r="B4563" s="408" t="s">
        <v>75</v>
      </c>
      <c r="C4563" s="409">
        <f>Return!S933</f>
        <v>1.1006023811095778E-2</v>
      </c>
    </row>
    <row r="4564" spans="1:3">
      <c r="A4564" s="406">
        <f>Return!A934</f>
        <v>44712</v>
      </c>
      <c r="B4564" s="408" t="s">
        <v>75</v>
      </c>
      <c r="C4564" s="409">
        <f>Return!S934</f>
        <v>-9.7608591906402364E-3</v>
      </c>
    </row>
    <row r="4565" spans="1:3">
      <c r="A4565" s="406">
        <f>Return!A935</f>
        <v>44711</v>
      </c>
      <c r="B4565" s="408" t="s">
        <v>75</v>
      </c>
      <c r="C4565" s="409">
        <f>Return!S935</f>
        <v>8.1012161539611993E-3</v>
      </c>
    </row>
    <row r="4566" spans="1:3">
      <c r="A4566" s="406">
        <f>Return!A936</f>
        <v>44708</v>
      </c>
      <c r="B4566" s="408" t="s">
        <v>75</v>
      </c>
      <c r="C4566" s="409">
        <f>Return!S936</f>
        <v>9.3172074865377486E-3</v>
      </c>
    </row>
    <row r="4567" spans="1:3">
      <c r="A4567" s="406">
        <f>Return!A937</f>
        <v>44707</v>
      </c>
      <c r="B4567" s="408" t="s">
        <v>75</v>
      </c>
      <c r="C4567" s="409">
        <f>Return!S937</f>
        <v>-5.9867033885677712E-3</v>
      </c>
    </row>
    <row r="4568" spans="1:3">
      <c r="A4568" s="406">
        <f>Return!A938</f>
        <v>44706</v>
      </c>
      <c r="B4568" s="408" t="s">
        <v>75</v>
      </c>
      <c r="C4568" s="409">
        <f>Return!S938</f>
        <v>2.9794019749478373E-3</v>
      </c>
    </row>
    <row r="4569" spans="1:3">
      <c r="A4569" s="406">
        <f>Return!A939</f>
        <v>44705</v>
      </c>
      <c r="B4569" s="408" t="s">
        <v>75</v>
      </c>
      <c r="C4569" s="409">
        <f>Return!S939</f>
        <v>-1.2013997640102914E-2</v>
      </c>
    </row>
    <row r="4570" spans="1:3">
      <c r="A4570" s="406">
        <f>Return!A940</f>
        <v>44704</v>
      </c>
      <c r="B4570" s="408" t="s">
        <v>75</v>
      </c>
      <c r="C4570" s="409">
        <f>Return!S940</f>
        <v>1.0500945443609688E-2</v>
      </c>
    </row>
    <row r="4571" spans="1:3">
      <c r="A4571" s="406">
        <f>Return!A941</f>
        <v>44701</v>
      </c>
      <c r="B4571" s="408" t="s">
        <v>75</v>
      </c>
      <c r="C4571" s="409">
        <f>Return!S941</f>
        <v>-1.2681709287322374E-2</v>
      </c>
    </row>
    <row r="4572" spans="1:3">
      <c r="A4572" s="406">
        <f>Return!A942</f>
        <v>44700</v>
      </c>
      <c r="B4572" s="408" t="s">
        <v>75</v>
      </c>
      <c r="C4572" s="409">
        <f>Return!S942</f>
        <v>8.1939548856357902E-4</v>
      </c>
    </row>
    <row r="4573" spans="1:3">
      <c r="A4573" s="406">
        <f>Return!A943</f>
        <v>44699</v>
      </c>
      <c r="B4573" s="408" t="s">
        <v>75</v>
      </c>
      <c r="C4573" s="409">
        <f>Return!S943</f>
        <v>-2.3881455598742107E-3</v>
      </c>
    </row>
    <row r="4574" spans="1:3">
      <c r="A4574" s="406">
        <f>Return!A944</f>
        <v>44698</v>
      </c>
      <c r="B4574" s="408" t="s">
        <v>75</v>
      </c>
      <c r="C4574" s="409">
        <f>Return!S944</f>
        <v>1.2636078801192552E-4</v>
      </c>
    </row>
    <row r="4575" spans="1:3">
      <c r="A4575" s="406">
        <f>Return!A945</f>
        <v>44697</v>
      </c>
      <c r="B4575" s="408" t="s">
        <v>75</v>
      </c>
      <c r="C4575" s="409">
        <f>Return!S945</f>
        <v>-4.9393837468891255E-3</v>
      </c>
    </row>
    <row r="4576" spans="1:3">
      <c r="A4576" s="406">
        <f>Return!A946</f>
        <v>44694</v>
      </c>
      <c r="B4576" s="408" t="s">
        <v>75</v>
      </c>
      <c r="C4576" s="409">
        <f>Return!S946</f>
        <v>-9.6564274665555949E-3</v>
      </c>
    </row>
    <row r="4577" spans="1:3">
      <c r="A4577" s="406">
        <f>Return!A947</f>
        <v>44693</v>
      </c>
      <c r="B4577" s="408" t="s">
        <v>75</v>
      </c>
      <c r="C4577" s="409">
        <f>Return!S947</f>
        <v>-3.2979993582676337E-3</v>
      </c>
    </row>
    <row r="4578" spans="1:3">
      <c r="A4578" s="406">
        <f>Return!A948</f>
        <v>44692</v>
      </c>
      <c r="B4578" s="408" t="s">
        <v>75</v>
      </c>
      <c r="C4578" s="409">
        <f>Return!S948</f>
        <v>-6.2864888452204282E-3</v>
      </c>
    </row>
    <row r="4579" spans="1:3">
      <c r="A4579" s="406">
        <f>Return!A949</f>
        <v>44691</v>
      </c>
      <c r="B4579" s="408" t="s">
        <v>75</v>
      </c>
      <c r="C4579" s="409">
        <f>Return!S949</f>
        <v>-6.564557775599611E-3</v>
      </c>
    </row>
    <row r="4580" spans="1:3">
      <c r="A4580" s="406">
        <f>Return!A950</f>
        <v>44690</v>
      </c>
      <c r="B4580" s="408" t="s">
        <v>75</v>
      </c>
      <c r="C4580" s="409">
        <f>Return!S950</f>
        <v>-2.6784931492729314E-3</v>
      </c>
    </row>
    <row r="4581" spans="1:3">
      <c r="A4581" s="406">
        <f>Return!A951</f>
        <v>44687</v>
      </c>
      <c r="B4581" s="408" t="s">
        <v>75</v>
      </c>
      <c r="C4581" s="409">
        <f>Return!S951</f>
        <v>-1.2032176165498787E-2</v>
      </c>
    </row>
    <row r="4582" spans="1:3">
      <c r="A4582" s="406">
        <f>Return!A952</f>
        <v>44686</v>
      </c>
      <c r="B4582" s="408" t="s">
        <v>75</v>
      </c>
      <c r="C4582" s="409">
        <f>Return!S952</f>
        <v>-2.2452167755932229E-2</v>
      </c>
    </row>
    <row r="4583" spans="1:3">
      <c r="A4583" s="406">
        <f>Return!A953</f>
        <v>44685</v>
      </c>
      <c r="B4583" s="408" t="s">
        <v>75</v>
      </c>
      <c r="C4583" s="409">
        <f>Return!S953</f>
        <v>-9.3476631461120174E-4</v>
      </c>
    </row>
    <row r="4584" spans="1:3">
      <c r="A4584" s="406">
        <f>Return!A954</f>
        <v>44683</v>
      </c>
      <c r="B4584" s="408" t="s">
        <v>75</v>
      </c>
      <c r="C4584" s="409">
        <f>Return!S954</f>
        <v>4.0419036467832514E-3</v>
      </c>
    </row>
    <row r="4585" spans="1:3">
      <c r="A4585" s="406">
        <f>Return!A955</f>
        <v>44680</v>
      </c>
      <c r="B4585" s="408" t="s">
        <v>75</v>
      </c>
      <c r="C4585" s="409">
        <f>Return!S955</f>
        <v>-2.5467790837196969E-3</v>
      </c>
    </row>
    <row r="4586" spans="1:3">
      <c r="A4586" s="406">
        <f>Return!A956</f>
        <v>44679</v>
      </c>
      <c r="B4586" s="408" t="s">
        <v>75</v>
      </c>
      <c r="C4586" s="409">
        <f>Return!S956</f>
        <v>-7.6675151737554681E-3</v>
      </c>
    </row>
    <row r="4587" spans="1:3">
      <c r="A4587" s="406">
        <f>Return!A957</f>
        <v>44678</v>
      </c>
      <c r="B4587" s="408" t="s">
        <v>75</v>
      </c>
      <c r="C4587" s="409">
        <f>Return!S957</f>
        <v>4.2308879505547625E-3</v>
      </c>
    </row>
    <row r="4588" spans="1:3">
      <c r="A4588" s="406">
        <f>Return!A958</f>
        <v>44677</v>
      </c>
      <c r="B4588" s="408" t="s">
        <v>75</v>
      </c>
      <c r="C4588" s="409">
        <f>Return!S958</f>
        <v>-1.1414029213616061E-2</v>
      </c>
    </row>
    <row r="4589" spans="1:3">
      <c r="A4589" s="406">
        <f>Return!A959</f>
        <v>44676</v>
      </c>
      <c r="B4589" s="408" t="s">
        <v>75</v>
      </c>
      <c r="C4589" s="409">
        <f>Return!S959</f>
        <v>-6.6535243266084287E-3</v>
      </c>
    </row>
    <row r="4590" spans="1:3">
      <c r="A4590" s="406">
        <f>Return!A960</f>
        <v>44673</v>
      </c>
      <c r="B4590" s="408" t="s">
        <v>75</v>
      </c>
      <c r="C4590" s="409">
        <f>Return!S960</f>
        <v>6.4596179546057009E-3</v>
      </c>
    </row>
    <row r="4591" spans="1:3">
      <c r="A4591" s="406">
        <f>Return!A961</f>
        <v>44672</v>
      </c>
      <c r="B4591" s="408" t="s">
        <v>75</v>
      </c>
      <c r="C4591" s="409">
        <f>Return!S961</f>
        <v>1.1448276928455292E-2</v>
      </c>
    </row>
    <row r="4592" spans="1:3">
      <c r="A4592" s="406">
        <f>Return!A962</f>
        <v>44671</v>
      </c>
      <c r="B4592" s="408" t="s">
        <v>75</v>
      </c>
      <c r="C4592" s="409">
        <f>Return!S962</f>
        <v>-5.5589407243400446E-3</v>
      </c>
    </row>
    <row r="4593" spans="1:3">
      <c r="A4593" s="406">
        <f>Return!A963</f>
        <v>44670</v>
      </c>
      <c r="B4593" s="408" t="s">
        <v>75</v>
      </c>
      <c r="C4593" s="409">
        <f>Return!S963</f>
        <v>-2.1449902932534903E-3</v>
      </c>
    </row>
    <row r="4594" spans="1:3">
      <c r="A4594" s="406">
        <f>Return!A964</f>
        <v>44669</v>
      </c>
      <c r="B4594" s="408" t="s">
        <v>75</v>
      </c>
      <c r="C4594" s="409">
        <f>Return!S964</f>
        <v>7.6881064020271062E-3</v>
      </c>
    </row>
    <row r="4595" spans="1:3">
      <c r="A4595" s="406">
        <f>Return!A965</f>
        <v>44664</v>
      </c>
      <c r="B4595" s="408" t="s">
        <v>75</v>
      </c>
      <c r="C4595" s="409">
        <f>Return!S965</f>
        <v>-2.0373494528813096E-3</v>
      </c>
    </row>
    <row r="4596" spans="1:3">
      <c r="A4596" s="406">
        <f>Return!A966</f>
        <v>44663</v>
      </c>
      <c r="B4596" s="408" t="s">
        <v>75</v>
      </c>
      <c r="C4596" s="409">
        <f>Return!S966</f>
        <v>6.2908857839999444E-4</v>
      </c>
    </row>
    <row r="4597" spans="1:3">
      <c r="A4597" s="406">
        <f>Return!A967</f>
        <v>44662</v>
      </c>
      <c r="B4597" s="408" t="s">
        <v>75</v>
      </c>
      <c r="C4597" s="409">
        <f>Return!S967</f>
        <v>3.9411845427772541E-4</v>
      </c>
    </row>
    <row r="4598" spans="1:3">
      <c r="A4598" s="406">
        <f>Return!A968</f>
        <v>44659</v>
      </c>
      <c r="B4598" s="408" t="s">
        <v>75</v>
      </c>
      <c r="C4598" s="409">
        <f>Return!S968</f>
        <v>9.4663478049915595E-3</v>
      </c>
    </row>
    <row r="4599" spans="1:3">
      <c r="A4599" s="406">
        <f>Return!A969</f>
        <v>44658</v>
      </c>
      <c r="B4599" s="408" t="s">
        <v>75</v>
      </c>
      <c r="C4599" s="409">
        <f>Return!S969</f>
        <v>-5.7264492916043186E-3</v>
      </c>
    </row>
    <row r="4600" spans="1:3">
      <c r="A4600" s="406">
        <f>Return!A970</f>
        <v>44657</v>
      </c>
      <c r="B4600" s="408" t="s">
        <v>75</v>
      </c>
      <c r="C4600" s="409">
        <f>Return!S970</f>
        <v>-3.168873898123814E-3</v>
      </c>
    </row>
    <row r="4601" spans="1:3">
      <c r="A4601" s="406">
        <f>Return!A971</f>
        <v>44656</v>
      </c>
      <c r="B4601" s="408" t="s">
        <v>75</v>
      </c>
      <c r="C4601" s="409">
        <f>Return!S971</f>
        <v>1.1751142832784112E-2</v>
      </c>
    </row>
    <row r="4602" spans="1:3">
      <c r="A4602" s="406">
        <f>Return!A972</f>
        <v>44655</v>
      </c>
      <c r="B4602" s="408" t="s">
        <v>75</v>
      </c>
      <c r="C4602" s="409">
        <f>Return!S972</f>
        <v>8.2010360605405674E-4</v>
      </c>
    </row>
    <row r="4603" spans="1:3">
      <c r="A4603" s="406">
        <f>Return!A973</f>
        <v>44652</v>
      </c>
      <c r="B4603" s="408" t="s">
        <v>75</v>
      </c>
      <c r="C4603" s="409">
        <f>Return!S973</f>
        <v>-6.6652203464142579E-3</v>
      </c>
    </row>
    <row r="4604" spans="1:3">
      <c r="A4604" s="406">
        <f>Return!A974</f>
        <v>44651</v>
      </c>
      <c r="B4604" s="408" t="s">
        <v>75</v>
      </c>
      <c r="C4604" s="409">
        <f>Return!S974</f>
        <v>-3.4967493840742936E-4</v>
      </c>
    </row>
    <row r="4605" spans="1:3">
      <c r="A4605" s="406">
        <f>Return!A975</f>
        <v>44650</v>
      </c>
      <c r="B4605" s="408" t="s">
        <v>75</v>
      </c>
      <c r="C4605" s="409">
        <f>Return!S975</f>
        <v>1.2440477250451165E-2</v>
      </c>
    </row>
    <row r="4606" spans="1:3">
      <c r="A4606" s="406">
        <f>Return!A976</f>
        <v>44649</v>
      </c>
      <c r="B4606" s="408" t="s">
        <v>75</v>
      </c>
      <c r="C4606" s="409">
        <f>Return!S976</f>
        <v>1.4105216126263365E-3</v>
      </c>
    </row>
    <row r="4607" spans="1:3">
      <c r="A4607" s="406">
        <f>Return!A977</f>
        <v>44648</v>
      </c>
      <c r="B4607" s="408" t="s">
        <v>75</v>
      </c>
      <c r="C4607" s="409">
        <f>Return!S977</f>
        <v>-4.7879527527058818E-3</v>
      </c>
    </row>
    <row r="4608" spans="1:3">
      <c r="A4608" s="406">
        <f>Return!A978</f>
        <v>44645</v>
      </c>
      <c r="B4608" s="408" t="s">
        <v>75</v>
      </c>
      <c r="C4608" s="409">
        <f>Return!S978</f>
        <v>3.771301019485862E-3</v>
      </c>
    </row>
    <row r="4609" spans="1:3">
      <c r="A4609" s="406">
        <f>Return!A979</f>
        <v>44644</v>
      </c>
      <c r="B4609" s="408" t="s">
        <v>75</v>
      </c>
      <c r="C4609" s="409">
        <f>Return!S979</f>
        <v>1.150274502001658E-2</v>
      </c>
    </row>
    <row r="4610" spans="1:3">
      <c r="A4610" s="406">
        <f>Return!A980</f>
        <v>44643</v>
      </c>
      <c r="B4610" s="408" t="s">
        <v>75</v>
      </c>
      <c r="C4610" s="409">
        <f>Return!S980</f>
        <v>-1.2311416888694526E-3</v>
      </c>
    </row>
    <row r="4611" spans="1:3">
      <c r="A4611" s="406">
        <f>Return!A981</f>
        <v>44642</v>
      </c>
      <c r="B4611" s="408" t="s">
        <v>75</v>
      </c>
      <c r="C4611" s="409">
        <f>Return!S981</f>
        <v>7.851698821292552E-3</v>
      </c>
    </row>
    <row r="4612" spans="1:3">
      <c r="A4612" s="406">
        <f>Return!A982</f>
        <v>44641</v>
      </c>
      <c r="B4612" s="408" t="s">
        <v>75</v>
      </c>
      <c r="C4612" s="409">
        <f>Return!S982</f>
        <v>1.1122565980649868E-2</v>
      </c>
    </row>
    <row r="4613" spans="1:3">
      <c r="A4613" s="406">
        <f>Return!A983</f>
        <v>44637</v>
      </c>
      <c r="B4613" s="408" t="s">
        <v>75</v>
      </c>
      <c r="C4613" s="409">
        <f>Return!S983</f>
        <v>-1.1564472653159963E-3</v>
      </c>
    </row>
    <row r="4614" spans="1:3">
      <c r="A4614" s="406">
        <f>Return!A984</f>
        <v>44636</v>
      </c>
      <c r="B4614" s="408" t="s">
        <v>75</v>
      </c>
      <c r="C4614" s="409">
        <f>Return!S984</f>
        <v>-6.3516640236804811E-3</v>
      </c>
    </row>
    <row r="4615" spans="1:3">
      <c r="A4615" s="406">
        <f>Return!A985</f>
        <v>44635</v>
      </c>
      <c r="B4615" s="408" t="s">
        <v>75</v>
      </c>
      <c r="C4615" s="409">
        <f>Return!S985</f>
        <v>6.2866665985295E-4</v>
      </c>
    </row>
    <row r="4616" spans="1:3">
      <c r="A4616" s="406">
        <f>Return!A986</f>
        <v>44634</v>
      </c>
      <c r="B4616" s="408" t="s">
        <v>75</v>
      </c>
      <c r="C4616" s="409">
        <f>Return!S986</f>
        <v>2.1638630503998946E-3</v>
      </c>
    </row>
    <row r="4617" spans="1:3">
      <c r="A4617" s="406">
        <f>Return!A987</f>
        <v>44631</v>
      </c>
      <c r="B4617" s="408" t="s">
        <v>75</v>
      </c>
      <c r="C4617" s="409">
        <f>Return!S987</f>
        <v>7.276257446249268E-3</v>
      </c>
    </row>
    <row r="4618" spans="1:3">
      <c r="A4618" s="406">
        <f>Return!A988</f>
        <v>44630</v>
      </c>
      <c r="B4618" s="408" t="s">
        <v>75</v>
      </c>
      <c r="C4618" s="409">
        <f>Return!S988</f>
        <v>2.1987413215544094E-2</v>
      </c>
    </row>
    <row r="4619" spans="1:3">
      <c r="A4619" s="406">
        <f>Return!A989</f>
        <v>44629</v>
      </c>
      <c r="B4619" s="408" t="s">
        <v>75</v>
      </c>
      <c r="C4619" s="409">
        <f>Return!S989</f>
        <v>-7.8503637631039402E-3</v>
      </c>
    </row>
    <row r="4620" spans="1:3">
      <c r="A4620" s="406">
        <f>Return!A990</f>
        <v>44628</v>
      </c>
      <c r="B4620" s="408" t="s">
        <v>75</v>
      </c>
      <c r="C4620" s="409">
        <f>Return!S990</f>
        <v>-3.8705587907266747E-3</v>
      </c>
    </row>
    <row r="4621" spans="1:3">
      <c r="A4621" s="406">
        <f>Return!A991</f>
        <v>44627</v>
      </c>
      <c r="B4621" s="408" t="s">
        <v>75</v>
      </c>
      <c r="C4621" s="409">
        <f>Return!S991</f>
        <v>-5.7577032511944015E-3</v>
      </c>
    </row>
    <row r="4622" spans="1:3">
      <c r="A4622" s="406">
        <f>Return!A992</f>
        <v>44624</v>
      </c>
      <c r="B4622" s="408" t="s">
        <v>75</v>
      </c>
      <c r="C4622" s="409">
        <f>Return!S992</f>
        <v>-7.0897946208449691E-3</v>
      </c>
    </row>
    <row r="4623" spans="1:3">
      <c r="A4623" s="406">
        <f>Return!A993</f>
        <v>44623</v>
      </c>
      <c r="B4623" s="408" t="s">
        <v>75</v>
      </c>
      <c r="C4623" s="409">
        <f>Return!S993</f>
        <v>-8.4954730584826388E-3</v>
      </c>
    </row>
    <row r="4624" spans="1:3">
      <c r="A4624" s="406">
        <f>Return!A994</f>
        <v>44622</v>
      </c>
      <c r="B4624" s="408" t="s">
        <v>75</v>
      </c>
      <c r="C4624" s="409">
        <f>Return!S994</f>
        <v>2.1282446853193027E-3</v>
      </c>
    </row>
    <row r="4625" spans="1:3">
      <c r="A4625" s="406">
        <f>Return!A995</f>
        <v>44620</v>
      </c>
      <c r="B4625" s="408" t="s">
        <v>75</v>
      </c>
      <c r="C4625" s="409">
        <f>Return!S995</f>
        <v>1.9519128774851069E-2</v>
      </c>
    </row>
    <row r="4626" spans="1:3">
      <c r="A4626" s="406">
        <f>Return!A996</f>
        <v>44617</v>
      </c>
      <c r="B4626" s="408" t="s">
        <v>75</v>
      </c>
      <c r="C4626" s="409">
        <f>Return!S996</f>
        <v>-1.48422928360738E-2</v>
      </c>
    </row>
    <row r="4627" spans="1:3">
      <c r="A4627" s="406">
        <f>Return!A997</f>
        <v>44616</v>
      </c>
      <c r="B4627" s="408" t="s">
        <v>75</v>
      </c>
      <c r="C4627" s="409">
        <f>Return!S997</f>
        <v>-8.5626033873910656E-3</v>
      </c>
    </row>
    <row r="4628" spans="1:3">
      <c r="A4628" s="406">
        <f>Return!A998</f>
        <v>44615</v>
      </c>
      <c r="B4628" s="408" t="s">
        <v>75</v>
      </c>
      <c r="C4628" s="409">
        <f>Return!S998</f>
        <v>-5.2224255943018605E-3</v>
      </c>
    </row>
    <row r="4629" spans="1:3">
      <c r="A4629" s="406">
        <f>Return!A999</f>
        <v>44614</v>
      </c>
      <c r="B4629" s="408" t="s">
        <v>75</v>
      </c>
      <c r="C4629" s="409">
        <f>Return!S999</f>
        <v>-5.5889283012738322E-3</v>
      </c>
    </row>
    <row r="4630" spans="1:3">
      <c r="A4630" s="406">
        <f>Return!A1000</f>
        <v>44613</v>
      </c>
      <c r="B4630" s="408" t="s">
        <v>75</v>
      </c>
      <c r="C4630" s="409">
        <f>Return!S1000</f>
        <v>-7.6814173860517698E-4</v>
      </c>
    </row>
    <row r="4631" spans="1:3">
      <c r="A4631" s="406">
        <f>Return!A1001</f>
        <v>44610</v>
      </c>
      <c r="B4631" s="408" t="s">
        <v>75</v>
      </c>
      <c r="C4631" s="409">
        <f>Return!S1001</f>
        <v>-5.3567291990159749E-3</v>
      </c>
    </row>
    <row r="4632" spans="1:3">
      <c r="A4632" s="406">
        <f>Return!A1002</f>
        <v>44609</v>
      </c>
      <c r="B4632" s="408" t="s">
        <v>75</v>
      </c>
      <c r="C4632" s="409">
        <f>Return!S1002</f>
        <v>-3.1125240524671471E-3</v>
      </c>
    </row>
    <row r="4633" spans="1:3">
      <c r="A4633" s="406">
        <f>Return!A1003</f>
        <v>44608</v>
      </c>
      <c r="B4633" s="408" t="s">
        <v>75</v>
      </c>
      <c r="C4633" s="409">
        <f>Return!S1003</f>
        <v>1.2301536646492361E-3</v>
      </c>
    </row>
    <row r="4634" spans="1:3">
      <c r="A4634" s="406">
        <f>Return!A1004</f>
        <v>44607</v>
      </c>
      <c r="B4634" s="408" t="s">
        <v>75</v>
      </c>
      <c r="C4634" s="409">
        <f>Return!S1004</f>
        <v>-1.2073822607033546E-2</v>
      </c>
    </row>
    <row r="4635" spans="1:3">
      <c r="A4635" s="406">
        <f>Return!A1005</f>
        <v>44606</v>
      </c>
      <c r="B4635" s="408" t="s">
        <v>75</v>
      </c>
      <c r="C4635" s="409">
        <f>Return!S1005</f>
        <v>-1.855397254644231E-3</v>
      </c>
    </row>
    <row r="4636" spans="1:3">
      <c r="A4636" s="406">
        <f>Return!A1006</f>
        <v>44603</v>
      </c>
      <c r="B4636" s="408" t="s">
        <v>75</v>
      </c>
      <c r="C4636" s="409">
        <f>Return!S1006</f>
        <v>9.7876225907339576E-3</v>
      </c>
    </row>
    <row r="4637" spans="1:3">
      <c r="A4637" s="406">
        <f>Return!A1007</f>
        <v>44602</v>
      </c>
      <c r="B4637" s="408" t="s">
        <v>75</v>
      </c>
      <c r="C4637" s="409">
        <f>Return!S1007</f>
        <v>1.1251722439804879E-2</v>
      </c>
    </row>
    <row r="4638" spans="1:3">
      <c r="A4638" s="406">
        <f>Return!A1008</f>
        <v>44601</v>
      </c>
      <c r="B4638" s="408" t="s">
        <v>75</v>
      </c>
      <c r="C4638" s="409">
        <f>Return!S1008</f>
        <v>4.2135912847147683E-3</v>
      </c>
    </row>
    <row r="4639" spans="1:3">
      <c r="A4639" s="406">
        <f>Return!A1009</f>
        <v>44600</v>
      </c>
      <c r="B4639" s="408" t="s">
        <v>75</v>
      </c>
      <c r="C4639" s="409">
        <f>Return!S1009</f>
        <v>-1.7447834839616594E-2</v>
      </c>
    </row>
    <row r="4640" spans="1:3">
      <c r="A4640" s="406">
        <f>Return!A1010</f>
        <v>44599</v>
      </c>
      <c r="B4640" s="408" t="s">
        <v>75</v>
      </c>
      <c r="C4640" s="409">
        <f>Return!S1010</f>
        <v>2.8653417776351442E-3</v>
      </c>
    </row>
    <row r="4641" spans="1:3">
      <c r="A4641" s="406">
        <f>Return!A1011</f>
        <v>44596</v>
      </c>
      <c r="B4641" s="408" t="s">
        <v>75</v>
      </c>
      <c r="C4641" s="409">
        <f>Return!S1011</f>
        <v>-1.1764127561064375E-2</v>
      </c>
    </row>
    <row r="4642" spans="1:3">
      <c r="A4642" s="406">
        <f>Return!A1012</f>
        <v>44595</v>
      </c>
      <c r="B4642" s="408" t="s">
        <v>75</v>
      </c>
      <c r="C4642" s="409">
        <f>Return!S1012</f>
        <v>-1.3367509187112159E-3</v>
      </c>
    </row>
    <row r="4643" spans="1:3">
      <c r="A4643" s="406">
        <f>Return!A1013</f>
        <v>44594</v>
      </c>
      <c r="B4643" s="408" t="s">
        <v>75</v>
      </c>
      <c r="C4643" s="409">
        <f>Return!S1013</f>
        <v>1.1200090037321031E-3</v>
      </c>
    </row>
    <row r="4644" spans="1:3">
      <c r="A4644" s="406">
        <f>Return!A1014</f>
        <v>44593</v>
      </c>
      <c r="B4644" s="408" t="s">
        <v>75</v>
      </c>
      <c r="C4644" s="409">
        <f>Return!S1014</f>
        <v>2.6216375714133155E-3</v>
      </c>
    </row>
    <row r="4645" spans="1:3">
      <c r="A4645" s="406">
        <f>Return!A1015</f>
        <v>44592</v>
      </c>
      <c r="B4645" s="408" t="s">
        <v>75</v>
      </c>
      <c r="C4645" s="409">
        <f>Return!S1015</f>
        <v>-5.1782731573952745E-3</v>
      </c>
    </row>
    <row r="4646" spans="1:3">
      <c r="A4646" s="406">
        <f>Return!A1016</f>
        <v>44589</v>
      </c>
      <c r="B4646" s="408" t="s">
        <v>75</v>
      </c>
      <c r="C4646" s="409">
        <f>Return!S1016</f>
        <v>-1.0563193554480099E-2</v>
      </c>
    </row>
    <row r="4647" spans="1:3">
      <c r="A4647" s="406">
        <f>Return!A1017</f>
        <v>44588</v>
      </c>
      <c r="B4647" s="408" t="s">
        <v>75</v>
      </c>
      <c r="C4647" s="409">
        <f>Return!S1017</f>
        <v>4.7843350121440364E-4</v>
      </c>
    </row>
    <row r="4648" spans="1:3">
      <c r="A4648" s="406">
        <f>Return!A1018</f>
        <v>44586</v>
      </c>
      <c r="B4648" s="408" t="s">
        <v>75</v>
      </c>
      <c r="C4648" s="409">
        <f>Return!S1018</f>
        <v>-5.6492350439534822E-3</v>
      </c>
    </row>
    <row r="4649" spans="1:3">
      <c r="A4649" s="406">
        <f>Return!A1019</f>
        <v>44585</v>
      </c>
      <c r="B4649" s="408" t="s">
        <v>75</v>
      </c>
      <c r="C4649" s="409">
        <f>Return!S1019</f>
        <v>-1.0067683600355704E-2</v>
      </c>
    </row>
    <row r="4650" spans="1:3">
      <c r="A4650" s="406">
        <f>Return!A1020</f>
        <v>44582</v>
      </c>
      <c r="B4650" s="408" t="s">
        <v>75</v>
      </c>
      <c r="C4650" s="409">
        <f>Return!S1020</f>
        <v>-5.8410055563861141E-3</v>
      </c>
    </row>
    <row r="4651" spans="1:3">
      <c r="A4651" s="406">
        <f>Return!A1021</f>
        <v>44581</v>
      </c>
      <c r="B4651" s="408" t="s">
        <v>75</v>
      </c>
      <c r="C4651" s="409">
        <f>Return!S1021</f>
        <v>1.4509949292312863E-3</v>
      </c>
    </row>
    <row r="4652" spans="1:3">
      <c r="A4652" s="406">
        <f>Return!A1022</f>
        <v>44580</v>
      </c>
      <c r="B4652" s="408" t="s">
        <v>75</v>
      </c>
      <c r="C4652" s="409">
        <f>Return!S1022</f>
        <v>-8.7878187359684001E-3</v>
      </c>
    </row>
    <row r="4653" spans="1:3">
      <c r="A4653" s="406">
        <f>Return!A1023</f>
        <v>44579</v>
      </c>
      <c r="B4653" s="408" t="s">
        <v>75</v>
      </c>
      <c r="C4653" s="409">
        <f>Return!S1023</f>
        <v>-5.1913527019534222E-3</v>
      </c>
    </row>
    <row r="4654" spans="1:3">
      <c r="A4654" s="406">
        <f>Return!A1024</f>
        <v>44578</v>
      </c>
      <c r="B4654" s="408" t="s">
        <v>75</v>
      </c>
      <c r="C4654" s="409">
        <f>Return!S1024</f>
        <v>-3.2263292066346816E-3</v>
      </c>
    </row>
    <row r="4655" spans="1:3">
      <c r="A4655" s="406">
        <f>Return!A1025</f>
        <v>44575</v>
      </c>
      <c r="B4655" s="408" t="s">
        <v>75</v>
      </c>
      <c r="C4655" s="409">
        <f>Return!S1025</f>
        <v>-8.4856795773274873E-4</v>
      </c>
    </row>
    <row r="4656" spans="1:3">
      <c r="A4656" s="406">
        <f>Return!A1026</f>
        <v>44574</v>
      </c>
      <c r="B4656" s="408" t="s">
        <v>75</v>
      </c>
      <c r="C4656" s="409">
        <f>Return!S1026</f>
        <v>4.2745459171983358E-4</v>
      </c>
    </row>
    <row r="4657" spans="1:3">
      <c r="A4657" s="406">
        <f>Return!A1027</f>
        <v>44573</v>
      </c>
      <c r="B4657" s="408" t="s">
        <v>75</v>
      </c>
      <c r="C4657" s="409">
        <f>Return!S1027</f>
        <v>4.1435107831499507E-3</v>
      </c>
    </row>
    <row r="4658" spans="1:3">
      <c r="A4658" s="406">
        <f>Return!A1028</f>
        <v>44572</v>
      </c>
      <c r="B4658" s="408" t="s">
        <v>75</v>
      </c>
      <c r="C4658" s="409">
        <f>Return!S1028</f>
        <v>7.4883835845336311E-3</v>
      </c>
    </row>
    <row r="4659" spans="1:3">
      <c r="A4659" s="406">
        <f>Return!A1029</f>
        <v>44571</v>
      </c>
      <c r="B4659" s="408" t="s">
        <v>75</v>
      </c>
      <c r="C4659" s="409">
        <f>Return!S1029</f>
        <v>5.2992070373955036E-3</v>
      </c>
    </row>
    <row r="4660" spans="1:3">
      <c r="A4660" s="406">
        <f>Return!A1030</f>
        <v>44568</v>
      </c>
      <c r="B4660" s="408" t="s">
        <v>75</v>
      </c>
      <c r="C4660" s="409">
        <f>Return!S1030</f>
        <v>-7.3826403019688902E-4</v>
      </c>
    </row>
    <row r="4661" spans="1:3">
      <c r="A4661" s="406">
        <f>Return!A1031</f>
        <v>44567</v>
      </c>
      <c r="B4661" s="408" t="s">
        <v>75</v>
      </c>
      <c r="C4661" s="409">
        <f>Return!S1031</f>
        <v>5.5445386148286757E-3</v>
      </c>
    </row>
    <row r="4662" spans="1:3">
      <c r="A4662" s="406">
        <f>Return!A1032</f>
        <v>44566</v>
      </c>
      <c r="B4662" s="408" t="s">
        <v>75</v>
      </c>
      <c r="C4662" s="409">
        <f>Return!S1032</f>
        <v>-9.3866352962653776E-3</v>
      </c>
    </row>
    <row r="4663" spans="1:3">
      <c r="A4663" s="406">
        <f>Return!A1033</f>
        <v>44565</v>
      </c>
      <c r="B4663" s="408" t="s">
        <v>75</v>
      </c>
      <c r="C4663" s="409">
        <f>Return!S1033</f>
        <v>3.5650415283424719E-3</v>
      </c>
    </row>
    <row r="4664" spans="1:3">
      <c r="A4664" s="406">
        <f>Return!A1034</f>
        <v>44564</v>
      </c>
      <c r="B4664" s="408" t="s">
        <v>75</v>
      </c>
      <c r="C4664" s="409">
        <f>Return!S1034</f>
        <v>1.1135670368353612E-2</v>
      </c>
    </row>
    <row r="4665" spans="1:3">
      <c r="A4665" s="406">
        <f>Return!A1035</f>
        <v>44561</v>
      </c>
      <c r="B4665" s="408" t="s">
        <v>75</v>
      </c>
      <c r="C4665" s="409">
        <f>Return!S1035</f>
        <v>7.8516263285681731E-3</v>
      </c>
    </row>
    <row r="4666" spans="1:3">
      <c r="A4666" s="406">
        <f>Return!A1036</f>
        <v>44560</v>
      </c>
      <c r="B4666" s="408" t="s">
        <v>75</v>
      </c>
      <c r="C4666" s="409">
        <f>Return!S1036</f>
        <v>6.2004803712161771E-3</v>
      </c>
    </row>
    <row r="4667" spans="1:3">
      <c r="A4667" s="406">
        <f>Return!A1037</f>
        <v>44559</v>
      </c>
      <c r="B4667" s="408" t="s">
        <v>75</v>
      </c>
      <c r="C4667" s="409">
        <f>Return!S1037</f>
        <v>-7.6120703604057316E-3</v>
      </c>
    </row>
    <row r="4668" spans="1:3">
      <c r="A4668" s="406">
        <f>Return!A1038</f>
        <v>44558</v>
      </c>
      <c r="B4668" s="408" t="s">
        <v>75</v>
      </c>
      <c r="C4668" s="409">
        <f>Return!S1038</f>
        <v>4.0061146478017617E-3</v>
      </c>
    </row>
    <row r="4669" spans="1:3">
      <c r="A4669" s="406">
        <f>Return!A1039</f>
        <v>44557</v>
      </c>
      <c r="B4669" s="408" t="s">
        <v>75</v>
      </c>
      <c r="C4669" s="409">
        <f>Return!S1039</f>
        <v>-5.4587855745253377E-3</v>
      </c>
    </row>
    <row r="4670" spans="1:3">
      <c r="A4670" s="406">
        <f>Return!A1040</f>
        <v>44554</v>
      </c>
      <c r="B4670" s="408" t="s">
        <v>75</v>
      </c>
      <c r="C4670" s="409">
        <f>Return!S1040</f>
        <v>1.6696252563113356E-2</v>
      </c>
    </row>
    <row r="4671" spans="1:3">
      <c r="A4671" s="406">
        <f>Return!A1041</f>
        <v>44553</v>
      </c>
      <c r="B4671" s="408" t="s">
        <v>75</v>
      </c>
      <c r="C4671" s="409">
        <f>Return!S1041</f>
        <v>4.7684533020876385E-3</v>
      </c>
    </row>
    <row r="4672" spans="1:3">
      <c r="A4672" s="406">
        <f>Return!A1042</f>
        <v>44552</v>
      </c>
      <c r="B4672" s="408" t="s">
        <v>75</v>
      </c>
      <c r="C4672" s="409">
        <f>Return!S1042</f>
        <v>4.5959259052469892E-3</v>
      </c>
    </row>
    <row r="4673" spans="1:3">
      <c r="A4673" s="406">
        <f>Return!A1043</f>
        <v>44551</v>
      </c>
      <c r="B4673" s="408" t="s">
        <v>75</v>
      </c>
      <c r="C4673" s="409">
        <f>Return!S1043</f>
        <v>-2.0226450638235471E-3</v>
      </c>
    </row>
    <row r="4674" spans="1:3">
      <c r="A4674" s="406">
        <f>Return!A1044</f>
        <v>44550</v>
      </c>
      <c r="B4674" s="408" t="s">
        <v>75</v>
      </c>
      <c r="C4674" s="409">
        <f>Return!S1044</f>
        <v>-3.6629119841709024E-3</v>
      </c>
    </row>
    <row r="4675" spans="1:3">
      <c r="A4675" s="406">
        <f>Return!A1045</f>
        <v>44547</v>
      </c>
      <c r="B4675" s="408" t="s">
        <v>75</v>
      </c>
      <c r="C4675" s="409">
        <f>Return!S1045</f>
        <v>2.820595960897343E-4</v>
      </c>
    </row>
    <row r="4676" spans="1:3">
      <c r="A4676" s="406">
        <f>Return!A1046</f>
        <v>44546</v>
      </c>
      <c r="B4676" s="408" t="s">
        <v>75</v>
      </c>
      <c r="C4676" s="409">
        <f>Return!S1046</f>
        <v>-1.0541840672653624E-2</v>
      </c>
    </row>
    <row r="4677" spans="1:3">
      <c r="A4677" s="406">
        <f>Return!A1047</f>
        <v>44545</v>
      </c>
      <c r="B4677" s="408" t="s">
        <v>75</v>
      </c>
      <c r="C4677" s="409">
        <f>Return!S1047</f>
        <v>-5.5239996294353944E-4</v>
      </c>
    </row>
    <row r="4678" spans="1:3">
      <c r="A4678" s="406">
        <f>Return!A1048</f>
        <v>44544</v>
      </c>
      <c r="B4678" s="408" t="s">
        <v>75</v>
      </c>
      <c r="C4678" s="409">
        <f>Return!S1048</f>
        <v>4.5791358037117202E-3</v>
      </c>
    </row>
    <row r="4679" spans="1:3">
      <c r="A4679" s="406">
        <f>Return!A1049</f>
        <v>44543</v>
      </c>
      <c r="B4679" s="408" t="s">
        <v>75</v>
      </c>
      <c r="C4679" s="409">
        <f>Return!S1049</f>
        <v>-7.5344719011288253E-3</v>
      </c>
    </row>
    <row r="4680" spans="1:3">
      <c r="A4680" s="406">
        <f>Return!A1050</f>
        <v>44540</v>
      </c>
      <c r="B4680" s="408" t="s">
        <v>75</v>
      </c>
      <c r="C4680" s="409">
        <f>Return!S1050</f>
        <v>8.7578535017973635E-4</v>
      </c>
    </row>
    <row r="4681" spans="1:3">
      <c r="A4681" s="406">
        <f>Return!A1051</f>
        <v>44539</v>
      </c>
      <c r="B4681" s="408" t="s">
        <v>75</v>
      </c>
      <c r="C4681" s="409">
        <f>Return!S1051</f>
        <v>1.9303007468312594E-3</v>
      </c>
    </row>
    <row r="4682" spans="1:3">
      <c r="A4682" s="406">
        <f>Return!A1052</f>
        <v>44538</v>
      </c>
      <c r="B4682" s="408" t="s">
        <v>75</v>
      </c>
      <c r="C4682" s="409">
        <f>Return!S1052</f>
        <v>7.593276673837579E-3</v>
      </c>
    </row>
    <row r="4683" spans="1:3">
      <c r="A4683" s="406">
        <f>Return!A1053</f>
        <v>44537</v>
      </c>
      <c r="B4683" s="408" t="s">
        <v>75</v>
      </c>
      <c r="C4683" s="409">
        <f>Return!S1053</f>
        <v>-2.2667788170911418E-3</v>
      </c>
    </row>
    <row r="4684" spans="1:3">
      <c r="A4684" s="406">
        <f>Return!A1054</f>
        <v>44536</v>
      </c>
      <c r="B4684" s="408" t="s">
        <v>75</v>
      </c>
      <c r="C4684" s="409">
        <f>Return!S1054</f>
        <v>-5.2412804117835665E-3</v>
      </c>
    </row>
    <row r="4685" spans="1:3">
      <c r="A4685" s="406">
        <f>Return!A1055</f>
        <v>44533</v>
      </c>
      <c r="B4685" s="408" t="s">
        <v>75</v>
      </c>
      <c r="C4685" s="409">
        <f>Return!S1055</f>
        <v>8.7003324467507248E-3</v>
      </c>
    </row>
    <row r="4686" spans="1:3">
      <c r="A4686" s="406">
        <f>Return!A1056</f>
        <v>44532</v>
      </c>
      <c r="B4686" s="408" t="s">
        <v>75</v>
      </c>
      <c r="C4686" s="409">
        <f>Return!S1056</f>
        <v>-1.5322673602441106E-2</v>
      </c>
    </row>
    <row r="4687" spans="1:3">
      <c r="A4687" s="406">
        <f>Return!A1057</f>
        <v>44531</v>
      </c>
      <c r="B4687" s="408" t="s">
        <v>75</v>
      </c>
      <c r="C4687" s="409">
        <f>Return!S1057</f>
        <v>-5.0161634961201629E-3</v>
      </c>
    </row>
    <row r="4688" spans="1:3">
      <c r="A4688" s="406">
        <f>Return!A1058</f>
        <v>44530</v>
      </c>
      <c r="B4688" s="408" t="s">
        <v>75</v>
      </c>
      <c r="C4688" s="409">
        <f>Return!S1058</f>
        <v>-2.248957996126788E-3</v>
      </c>
    </row>
    <row r="4689" spans="1:3">
      <c r="A4689" s="406">
        <f>Return!A1059</f>
        <v>44529</v>
      </c>
      <c r="B4689" s="408" t="s">
        <v>75</v>
      </c>
      <c r="C4689" s="409">
        <f>Return!S1059</f>
        <v>3.8903479812293917E-3</v>
      </c>
    </row>
    <row r="4690" spans="1:3">
      <c r="A4690" s="406">
        <f>Return!A1060</f>
        <v>44526</v>
      </c>
      <c r="B4690" s="408" t="s">
        <v>75</v>
      </c>
      <c r="C4690" s="409">
        <f>Return!S1060</f>
        <v>1.6710340092305653E-2</v>
      </c>
    </row>
    <row r="4691" spans="1:3">
      <c r="A4691" s="406">
        <f>Return!A1061</f>
        <v>44525</v>
      </c>
      <c r="B4691" s="408" t="s">
        <v>75</v>
      </c>
      <c r="C4691" s="409">
        <f>Return!S1061</f>
        <v>1.324478632277637E-3</v>
      </c>
    </row>
    <row r="4692" spans="1:3">
      <c r="A4692" s="406">
        <f>Return!A1062</f>
        <v>44524</v>
      </c>
      <c r="B4692" s="408" t="s">
        <v>75</v>
      </c>
      <c r="C4692" s="409">
        <f>Return!S1062</f>
        <v>3.5052876458694371E-3</v>
      </c>
    </row>
    <row r="4693" spans="1:3">
      <c r="A4693" s="406">
        <f>Return!A1063</f>
        <v>44523</v>
      </c>
      <c r="B4693" s="408" t="s">
        <v>75</v>
      </c>
      <c r="C4693" s="409">
        <f>Return!S1063</f>
        <v>-9.5367460176910557E-3</v>
      </c>
    </row>
    <row r="4694" spans="1:3">
      <c r="A4694" s="406">
        <f>Return!A1064</f>
        <v>44522</v>
      </c>
      <c r="B4694" s="408" t="s">
        <v>75</v>
      </c>
      <c r="C4694" s="409">
        <f>Return!S1064</f>
        <v>-4.5931519298043066E-3</v>
      </c>
    </row>
    <row r="4695" spans="1:3">
      <c r="A4695" s="406">
        <f>Return!A1065</f>
        <v>44518</v>
      </c>
      <c r="B4695" s="408" t="s">
        <v>75</v>
      </c>
      <c r="C4695" s="409">
        <f>Return!S1065</f>
        <v>-1.5348179838381992E-3</v>
      </c>
    </row>
    <row r="4696" spans="1:3">
      <c r="A4696" s="406">
        <f>Return!A1066</f>
        <v>44517</v>
      </c>
      <c r="B4696" s="408" t="s">
        <v>75</v>
      </c>
      <c r="C4696" s="409">
        <f>Return!S1066</f>
        <v>-5.0715363732160013E-3</v>
      </c>
    </row>
    <row r="4697" spans="1:3">
      <c r="A4697" s="406">
        <f>Return!A1067</f>
        <v>44516</v>
      </c>
      <c r="B4697" s="408" t="s">
        <v>75</v>
      </c>
      <c r="C4697" s="409">
        <f>Return!S1067</f>
        <v>7.9344752902448246E-3</v>
      </c>
    </row>
    <row r="4698" spans="1:3">
      <c r="A4698" s="406">
        <f>Return!A1068</f>
        <v>44515</v>
      </c>
      <c r="B4698" s="408" t="s">
        <v>75</v>
      </c>
      <c r="C4698" s="409">
        <f>Return!S1068</f>
        <v>6.0725311263083448E-3</v>
      </c>
    </row>
    <row r="4699" spans="1:3">
      <c r="A4699" s="406">
        <f>Return!A1069</f>
        <v>44512</v>
      </c>
      <c r="B4699" s="408" t="s">
        <v>75</v>
      </c>
      <c r="C4699" s="409">
        <f>Return!S1069</f>
        <v>-1.0678349567108669E-3</v>
      </c>
    </row>
    <row r="4700" spans="1:3">
      <c r="A4700" s="406">
        <f>Return!A1070</f>
        <v>44511</v>
      </c>
      <c r="B4700" s="408" t="s">
        <v>75</v>
      </c>
      <c r="C4700" s="409">
        <f>Return!S1070</f>
        <v>-8.066143341539711E-3</v>
      </c>
    </row>
    <row r="4701" spans="1:3">
      <c r="A4701" s="406">
        <f>Return!A1071</f>
        <v>44510</v>
      </c>
      <c r="B4701" s="408" t="s">
        <v>75</v>
      </c>
      <c r="C4701" s="409">
        <f>Return!S1071</f>
        <v>5.1017971914169014E-3</v>
      </c>
    </row>
    <row r="4702" spans="1:3">
      <c r="A4702" s="406">
        <f>Return!A1072</f>
        <v>44509</v>
      </c>
      <c r="B4702" s="408" t="s">
        <v>75</v>
      </c>
      <c r="C4702" s="409">
        <f>Return!S1072</f>
        <v>2.6325605022298193E-4</v>
      </c>
    </row>
    <row r="4703" spans="1:3">
      <c r="A4703" s="406">
        <f>Return!A1073</f>
        <v>44508</v>
      </c>
      <c r="B4703" s="408" t="s">
        <v>75</v>
      </c>
      <c r="C4703" s="409">
        <f>Return!S1073</f>
        <v>-1.5597040656738503E-3</v>
      </c>
    </row>
    <row r="4704" spans="1:3">
      <c r="A4704" s="406">
        <f>Return!A1074</f>
        <v>44504</v>
      </c>
      <c r="B4704" s="408" t="s">
        <v>75</v>
      </c>
      <c r="C4704" s="409">
        <f>Return!S1074</f>
        <v>-6.2148524988614451E-3</v>
      </c>
    </row>
    <row r="4705" spans="1:3">
      <c r="A4705" s="406">
        <f>Return!A1075</f>
        <v>44503</v>
      </c>
      <c r="B4705" s="408" t="s">
        <v>75</v>
      </c>
      <c r="C4705" s="409">
        <f>Return!S1075</f>
        <v>8.6847542813971446E-3</v>
      </c>
    </row>
    <row r="4706" spans="1:3">
      <c r="A4706" s="406">
        <f>Return!A1076</f>
        <v>44502</v>
      </c>
      <c r="B4706" s="408" t="s">
        <v>75</v>
      </c>
      <c r="C4706" s="409">
        <f>Return!S1076</f>
        <v>-4.4458111551671231E-3</v>
      </c>
    </row>
    <row r="4707" spans="1:3">
      <c r="A4707" s="406">
        <f>Return!A1077</f>
        <v>44501</v>
      </c>
      <c r="B4707" s="408" t="s">
        <v>75</v>
      </c>
      <c r="C4707" s="409">
        <f>Return!S1077</f>
        <v>-1.5507877483704302E-2</v>
      </c>
    </row>
    <row r="4708" spans="1:3">
      <c r="A4708" s="406">
        <f>Return!A1078</f>
        <v>44498</v>
      </c>
      <c r="B4708" s="408" t="s">
        <v>75</v>
      </c>
      <c r="C4708" s="409">
        <f>Return!S1078</f>
        <v>4.9842462417476474E-4</v>
      </c>
    </row>
    <row r="4709" spans="1:3">
      <c r="A4709" s="406">
        <f>Return!A1079</f>
        <v>44497</v>
      </c>
      <c r="B4709" s="408" t="s">
        <v>75</v>
      </c>
      <c r="C4709" s="409">
        <f>Return!S1079</f>
        <v>3.4488309805321693E-3</v>
      </c>
    </row>
    <row r="4710" spans="1:3">
      <c r="A4710" s="406">
        <f>Return!A1080</f>
        <v>44496</v>
      </c>
      <c r="B4710" s="408" t="s">
        <v>75</v>
      </c>
      <c r="C4710" s="409">
        <f>Return!S1080</f>
        <v>1.0235529966620693E-3</v>
      </c>
    </row>
    <row r="4711" spans="1:3">
      <c r="A4711" s="406">
        <f>Return!A1081</f>
        <v>44495</v>
      </c>
      <c r="B4711" s="408" t="s">
        <v>75</v>
      </c>
      <c r="C4711" s="409">
        <f>Return!S1081</f>
        <v>-7.5514168740453691E-3</v>
      </c>
    </row>
    <row r="4712" spans="1:3">
      <c r="A4712" s="406">
        <f>Return!A1082</f>
        <v>44494</v>
      </c>
      <c r="B4712" s="408" t="s">
        <v>75</v>
      </c>
      <c r="C4712" s="409">
        <f>Return!S1082</f>
        <v>1.8021462222072016E-3</v>
      </c>
    </row>
    <row r="4713" spans="1:3">
      <c r="A4713" s="406">
        <f>Return!A1083</f>
        <v>44491</v>
      </c>
      <c r="B4713" s="408" t="s">
        <v>75</v>
      </c>
      <c r="C4713" s="409">
        <f>Return!S1083</f>
        <v>-7.6545160168299264E-3</v>
      </c>
    </row>
    <row r="4714" spans="1:3">
      <c r="A4714" s="406">
        <f>Return!A1084</f>
        <v>44490</v>
      </c>
      <c r="B4714" s="408" t="s">
        <v>75</v>
      </c>
      <c r="C4714" s="409">
        <f>Return!S1084</f>
        <v>-6.5810132655538811E-3</v>
      </c>
    </row>
    <row r="4715" spans="1:3">
      <c r="A4715" s="406">
        <f>Return!A1085</f>
        <v>44489</v>
      </c>
      <c r="B4715" s="408" t="s">
        <v>75</v>
      </c>
      <c r="C4715" s="409">
        <f>Return!S1085</f>
        <v>-1.2542671500073599E-2</v>
      </c>
    </row>
    <row r="4716" spans="1:3">
      <c r="A4716" s="406">
        <f>Return!A1086</f>
        <v>44488</v>
      </c>
      <c r="B4716" s="408" t="s">
        <v>75</v>
      </c>
      <c r="C4716" s="409">
        <f>Return!S1086</f>
        <v>-6.4193712916771339E-5</v>
      </c>
    </row>
    <row r="4717" spans="1:3">
      <c r="A4717" s="406">
        <f>Return!A1087</f>
        <v>44487</v>
      </c>
      <c r="B4717" s="408" t="s">
        <v>75</v>
      </c>
      <c r="C4717" s="409">
        <f>Return!S1087</f>
        <v>1.1576785177306981E-2</v>
      </c>
    </row>
    <row r="4718" spans="1:3">
      <c r="A4718" s="406">
        <f>Return!A1088</f>
        <v>44483</v>
      </c>
      <c r="B4718" s="408" t="s">
        <v>75</v>
      </c>
      <c r="C4718" s="409">
        <f>Return!S1088</f>
        <v>2.7147573311974149E-3</v>
      </c>
    </row>
    <row r="4719" spans="1:3">
      <c r="A4719" s="406">
        <f>Return!A1089</f>
        <v>44482</v>
      </c>
      <c r="B4719" s="408" t="s">
        <v>75</v>
      </c>
      <c r="C4719" s="409">
        <f>Return!S1089</f>
        <v>3.8449702005457498E-3</v>
      </c>
    </row>
    <row r="4720" spans="1:3">
      <c r="A4720" s="406">
        <f>Return!A1090</f>
        <v>44481</v>
      </c>
      <c r="B4720" s="408" t="s">
        <v>75</v>
      </c>
      <c r="C4720" s="409">
        <f>Return!S1090</f>
        <v>-1.4616928146654606E-4</v>
      </c>
    </row>
    <row r="4721" spans="1:3">
      <c r="A4721" s="406">
        <f>Return!A1091</f>
        <v>44480</v>
      </c>
      <c r="B4721" s="408" t="s">
        <v>75</v>
      </c>
      <c r="C4721" s="409">
        <f>Return!S1091</f>
        <v>-2.5209808884270046E-3</v>
      </c>
    </row>
    <row r="4722" spans="1:3">
      <c r="A4722" s="406">
        <f>Return!A1092</f>
        <v>44477</v>
      </c>
      <c r="B4722" s="408" t="s">
        <v>75</v>
      </c>
      <c r="C4722" s="409">
        <f>Return!S1092</f>
        <v>-1.3382304384852772E-2</v>
      </c>
    </row>
    <row r="4723" spans="1:3">
      <c r="A4723" s="406">
        <f>Return!A1093</f>
        <v>44476</v>
      </c>
      <c r="B4723" s="408" t="s">
        <v>75</v>
      </c>
      <c r="C4723" s="409">
        <f>Return!S1093</f>
        <v>-9.3684203951562295E-3</v>
      </c>
    </row>
    <row r="4724" spans="1:3">
      <c r="A4724" s="406">
        <f>Return!A1094</f>
        <v>44475</v>
      </c>
      <c r="B4724" s="408" t="s">
        <v>75</v>
      </c>
      <c r="C4724" s="409">
        <f>Return!S1094</f>
        <v>1.0812732560547489E-2</v>
      </c>
    </row>
    <row r="4725" spans="1:3">
      <c r="A4725" s="406">
        <f>Return!A1095</f>
        <v>44474</v>
      </c>
      <c r="B4725" s="408" t="s">
        <v>75</v>
      </c>
      <c r="C4725" s="409">
        <f>Return!S1095</f>
        <v>5.1423043861776874E-3</v>
      </c>
    </row>
    <row r="4726" spans="1:3">
      <c r="A4726" s="406">
        <f>Return!A1096</f>
        <v>44473</v>
      </c>
      <c r="B4726" s="408" t="s">
        <v>75</v>
      </c>
      <c r="C4726" s="409">
        <f>Return!S1096</f>
        <v>5.429084057391953E-3</v>
      </c>
    </row>
    <row r="4727" spans="1:3">
      <c r="A4727" s="406">
        <f>Return!A1097</f>
        <v>44470</v>
      </c>
      <c r="B4727" s="408" t="s">
        <v>75</v>
      </c>
      <c r="C4727" s="409">
        <f>Return!S1097</f>
        <v>-5.8603948977793974E-3</v>
      </c>
    </row>
    <row r="4728" spans="1:3">
      <c r="A4728" s="406">
        <f>Return!A1098</f>
        <v>44469</v>
      </c>
      <c r="B4728" s="408" t="s">
        <v>75</v>
      </c>
      <c r="C4728" s="409">
        <f>Return!S1098</f>
        <v>-4.7399648766007219E-3</v>
      </c>
    </row>
    <row r="4729" spans="1:3">
      <c r="A4729" s="406">
        <f>Return!A1099</f>
        <v>44468</v>
      </c>
      <c r="B4729" s="408" t="s">
        <v>75</v>
      </c>
      <c r="C4729" s="409">
        <f>Return!S1099</f>
        <v>-5.0193187023050423E-3</v>
      </c>
    </row>
    <row r="4730" spans="1:3">
      <c r="A4730" s="406">
        <f>Return!A1100</f>
        <v>44467</v>
      </c>
      <c r="B4730" s="408" t="s">
        <v>75</v>
      </c>
      <c r="C4730" s="409">
        <f>Return!S1100</f>
        <v>-2.1254998406201042E-3</v>
      </c>
    </row>
    <row r="4731" spans="1:3">
      <c r="A4731" s="406">
        <f>Return!A1101</f>
        <v>44466</v>
      </c>
      <c r="B4731" s="408" t="s">
        <v>75</v>
      </c>
      <c r="C4731" s="409">
        <f>Return!S1101</f>
        <v>6.6604627844328856E-3</v>
      </c>
    </row>
    <row r="4732" spans="1:3">
      <c r="A4732" s="406">
        <f>Return!A1102</f>
        <v>44463</v>
      </c>
      <c r="B4732" s="408" t="s">
        <v>75</v>
      </c>
      <c r="C4732" s="409">
        <f>Return!S1102</f>
        <v>3.7813007727188208E-3</v>
      </c>
    </row>
    <row r="4733" spans="1:3">
      <c r="A4733" s="406">
        <f>Return!A1103</f>
        <v>44462</v>
      </c>
      <c r="B4733" s="408" t="s">
        <v>75</v>
      </c>
      <c r="C4733" s="409">
        <f>Return!S1103</f>
        <v>3.1198996577452842E-3</v>
      </c>
    </row>
    <row r="4734" spans="1:3">
      <c r="A4734" s="406">
        <f>Return!A1104</f>
        <v>44461</v>
      </c>
      <c r="B4734" s="408" t="s">
        <v>75</v>
      </c>
      <c r="C4734" s="409">
        <f>Return!S1104</f>
        <v>-9.2987553535310297E-3</v>
      </c>
    </row>
    <row r="4735" spans="1:3">
      <c r="A4735" s="406">
        <f>Return!A1105</f>
        <v>44460</v>
      </c>
      <c r="B4735" s="408" t="s">
        <v>75</v>
      </c>
      <c r="C4735" s="409">
        <f>Return!S1105</f>
        <v>-1.0853594846098047E-2</v>
      </c>
    </row>
    <row r="4736" spans="1:3">
      <c r="A4736" s="406">
        <f>Return!A1106</f>
        <v>44459</v>
      </c>
      <c r="B4736" s="408" t="s">
        <v>75</v>
      </c>
      <c r="C4736" s="409">
        <f>Return!S1106</f>
        <v>-2.8579148987567526E-4</v>
      </c>
    </row>
    <row r="4737" spans="1:3">
      <c r="A4737" s="406">
        <f>Return!A1107</f>
        <v>44456</v>
      </c>
      <c r="B4737" s="408" t="s">
        <v>75</v>
      </c>
      <c r="C4737" s="409">
        <f>Return!S1107</f>
        <v>5.3681557656451995E-3</v>
      </c>
    </row>
    <row r="4738" spans="1:3">
      <c r="A4738" s="406">
        <f>Return!A1108</f>
        <v>44455</v>
      </c>
      <c r="B4738" s="408" t="s">
        <v>75</v>
      </c>
      <c r="C4738" s="409">
        <f>Return!S1108</f>
        <v>7.5629501102376651E-3</v>
      </c>
    </row>
    <row r="4739" spans="1:3">
      <c r="A4739" s="406">
        <f>Return!A1109</f>
        <v>44454</v>
      </c>
      <c r="B4739" s="408" t="s">
        <v>75</v>
      </c>
      <c r="C4739" s="409">
        <f>Return!S1109</f>
        <v>-2.1536141296740752E-4</v>
      </c>
    </row>
    <row r="4740" spans="1:3">
      <c r="A4740" s="406">
        <f>Return!A1110</f>
        <v>44453</v>
      </c>
      <c r="B4740" s="408" t="s">
        <v>75</v>
      </c>
      <c r="C4740" s="409">
        <f>Return!S1110</f>
        <v>6.4252360302912148E-3</v>
      </c>
    </row>
    <row r="4741" spans="1:3">
      <c r="A4741" s="406">
        <f>Return!A1111</f>
        <v>44452</v>
      </c>
      <c r="B4741" s="408" t="s">
        <v>75</v>
      </c>
      <c r="C4741" s="409">
        <f>Return!S1111</f>
        <v>5.075211332136953E-3</v>
      </c>
    </row>
    <row r="4742" spans="1:3">
      <c r="A4742" s="406">
        <f>Return!A1112</f>
        <v>44448</v>
      </c>
      <c r="B4742" s="408" t="s">
        <v>75</v>
      </c>
      <c r="C4742" s="409">
        <f>Return!S1112</f>
        <v>3.8226498838954126E-3</v>
      </c>
    </row>
    <row r="4743" spans="1:3">
      <c r="A4743" s="406">
        <f>Return!A1113</f>
        <v>44447</v>
      </c>
      <c r="B4743" s="408" t="s">
        <v>75</v>
      </c>
      <c r="C4743" s="409">
        <f>Return!S1113</f>
        <v>-1.6695209973818237E-3</v>
      </c>
    </row>
    <row r="4744" spans="1:3">
      <c r="A4744" s="406">
        <f>Return!A1114</f>
        <v>44446</v>
      </c>
      <c r="B4744" s="408" t="s">
        <v>75</v>
      </c>
      <c r="C4744" s="409">
        <f>Return!S1114</f>
        <v>2.0757721368798165E-3</v>
      </c>
    </row>
    <row r="4745" spans="1:3">
      <c r="A4745" s="406">
        <f>Return!A1115</f>
        <v>44445</v>
      </c>
      <c r="B4745" s="408" t="s">
        <v>75</v>
      </c>
      <c r="C4745" s="409">
        <f>Return!S1115</f>
        <v>6.5122863719893065E-3</v>
      </c>
    </row>
    <row r="4746" spans="1:3">
      <c r="A4746" s="406">
        <f>Return!A1116</f>
        <v>44442</v>
      </c>
      <c r="B4746" s="408" t="s">
        <v>75</v>
      </c>
      <c r="C4746" s="409">
        <f>Return!S1116</f>
        <v>-3.214373314476715E-3</v>
      </c>
    </row>
    <row r="4747" spans="1:3">
      <c r="A4747" s="406">
        <f>Return!A1117</f>
        <v>44441</v>
      </c>
      <c r="B4747" s="408" t="s">
        <v>75</v>
      </c>
      <c r="C4747" s="409">
        <f>Return!S1117</f>
        <v>-3.1174343336192734E-3</v>
      </c>
    </row>
    <row r="4748" spans="1:3">
      <c r="A4748" s="406">
        <f>Return!A1118</f>
        <v>44440</v>
      </c>
      <c r="B4748" s="408" t="s">
        <v>75</v>
      </c>
      <c r="C4748" s="409">
        <f>Return!S1118</f>
        <v>6.3483370047815457E-3</v>
      </c>
    </row>
    <row r="4749" spans="1:3">
      <c r="A4749" s="406">
        <f>Return!A1119</f>
        <v>44439</v>
      </c>
      <c r="B4749" s="408" t="s">
        <v>75</v>
      </c>
      <c r="C4749" s="409">
        <f>Return!S1119</f>
        <v>1.4036835031742245E-2</v>
      </c>
    </row>
    <row r="4750" spans="1:3">
      <c r="A4750" s="406">
        <f>Return!A1120</f>
        <v>44438</v>
      </c>
      <c r="B4750" s="408" t="s">
        <v>75</v>
      </c>
      <c r="C4750" s="409">
        <f>Return!S1120</f>
        <v>-2.3831339028987375E-3</v>
      </c>
    </row>
    <row r="4751" spans="1:3">
      <c r="A4751" s="406">
        <f>Return!A1121</f>
        <v>44435</v>
      </c>
      <c r="B4751" s="408" t="s">
        <v>75</v>
      </c>
      <c r="C4751" s="409">
        <f>Return!S1121</f>
        <v>-4.018543740628322E-3</v>
      </c>
    </row>
    <row r="4752" spans="1:3">
      <c r="A4752" s="406">
        <f>Return!A1122</f>
        <v>44434</v>
      </c>
      <c r="B4752" s="408" t="s">
        <v>75</v>
      </c>
      <c r="C4752" s="409">
        <f>Return!S1122</f>
        <v>4.2580128367007974E-3</v>
      </c>
    </row>
    <row r="4753" spans="1:3">
      <c r="A4753" s="406">
        <f>Return!A1123</f>
        <v>44433</v>
      </c>
      <c r="B4753" s="408" t="s">
        <v>75</v>
      </c>
      <c r="C4753" s="409">
        <f>Return!S1123</f>
        <v>-9.2329026761230337E-3</v>
      </c>
    </row>
    <row r="4754" spans="1:3">
      <c r="A4754" s="406">
        <f>Return!A1124</f>
        <v>44432</v>
      </c>
      <c r="B4754" s="408" t="s">
        <v>75</v>
      </c>
      <c r="C4754" s="409">
        <f>Return!S1124</f>
        <v>-1.1980334750488264E-2</v>
      </c>
    </row>
    <row r="4755" spans="1:3">
      <c r="A4755" s="406">
        <f>Return!A1125</f>
        <v>44431</v>
      </c>
      <c r="B4755" s="408" t="s">
        <v>75</v>
      </c>
      <c r="C4755" s="409">
        <f>Return!S1125</f>
        <v>-1.1910103639932168E-3</v>
      </c>
    </row>
    <row r="4756" spans="1:3">
      <c r="A4756" s="406">
        <f>Return!A1126</f>
        <v>44428</v>
      </c>
      <c r="B4756" s="408" t="s">
        <v>75</v>
      </c>
      <c r="C4756" s="409">
        <f>Return!S1126</f>
        <v>4.7412254083975536E-3</v>
      </c>
    </row>
    <row r="4757" spans="1:3">
      <c r="A4757" s="406">
        <f>Return!A1127</f>
        <v>44426</v>
      </c>
      <c r="B4757" s="408" t="s">
        <v>75</v>
      </c>
      <c r="C4757" s="409">
        <f>Return!S1127</f>
        <v>-1.1560255626722471E-3</v>
      </c>
    </row>
    <row r="4758" spans="1:3">
      <c r="A4758" s="406">
        <f>Return!A1128</f>
        <v>44425</v>
      </c>
      <c r="B4758" s="408" t="s">
        <v>75</v>
      </c>
      <c r="C4758" s="409">
        <f>Return!S1128</f>
        <v>-9.1444233455528767E-3</v>
      </c>
    </row>
    <row r="4759" spans="1:3">
      <c r="A4759" s="406">
        <f>Return!A1129</f>
        <v>44424</v>
      </c>
      <c r="B4759" s="408" t="s">
        <v>75</v>
      </c>
      <c r="C4759" s="409">
        <f>Return!S1129</f>
        <v>4.2069155830148919E-3</v>
      </c>
    </row>
    <row r="4760" spans="1:3">
      <c r="A4760" s="406">
        <f>Return!A1130</f>
        <v>44421</v>
      </c>
      <c r="B4760" s="408" t="s">
        <v>75</v>
      </c>
      <c r="C4760" s="409">
        <f>Return!S1130</f>
        <v>-2.4381385145468282E-3</v>
      </c>
    </row>
    <row r="4761" spans="1:3">
      <c r="A4761" s="406">
        <f>Return!A1131</f>
        <v>44420</v>
      </c>
      <c r="B4761" s="408" t="s">
        <v>75</v>
      </c>
      <c r="C4761" s="409">
        <f>Return!S1131</f>
        <v>9.0588302862061321E-3</v>
      </c>
    </row>
    <row r="4762" spans="1:3">
      <c r="A4762" s="406">
        <f>Return!A1132</f>
        <v>44419</v>
      </c>
      <c r="B4762" s="408" t="s">
        <v>75</v>
      </c>
      <c r="C4762" s="409">
        <f>Return!S1132</f>
        <v>-1.8503025035006559E-3</v>
      </c>
    </row>
    <row r="4763" spans="1:3">
      <c r="A4763" s="406">
        <f>Return!A1133</f>
        <v>44418</v>
      </c>
      <c r="B4763" s="408" t="s">
        <v>75</v>
      </c>
      <c r="C4763" s="409">
        <f>Return!S1133</f>
        <v>-1.7416783088839427E-3</v>
      </c>
    </row>
    <row r="4764" spans="1:3">
      <c r="A4764" s="406">
        <f>Return!A1134</f>
        <v>44417</v>
      </c>
      <c r="B4764" s="408" t="s">
        <v>75</v>
      </c>
      <c r="C4764" s="409">
        <f>Return!S1134</f>
        <v>-1.3966182805077887E-2</v>
      </c>
    </row>
    <row r="4765" spans="1:3">
      <c r="A4765" s="406">
        <f>Return!A1135</f>
        <v>44414</v>
      </c>
      <c r="B4765" s="408" t="s">
        <v>75</v>
      </c>
      <c r="C4765" s="409">
        <f>Return!S1135</f>
        <v>-1.2788000893863005E-3</v>
      </c>
    </row>
    <row r="4766" spans="1:3">
      <c r="A4766" s="406">
        <f>Return!A1136</f>
        <v>44413</v>
      </c>
      <c r="B4766" s="408" t="s">
        <v>75</v>
      </c>
      <c r="C4766" s="409">
        <f>Return!S1136</f>
        <v>2.2804151081652346E-3</v>
      </c>
    </row>
    <row r="4767" spans="1:3">
      <c r="A4767" s="406">
        <f>Return!A1137</f>
        <v>44412</v>
      </c>
      <c r="B4767" s="408" t="s">
        <v>75</v>
      </c>
      <c r="C4767" s="409">
        <f>Return!S1137</f>
        <v>8.828536538384113E-3</v>
      </c>
    </row>
    <row r="4768" spans="1:3">
      <c r="A4768" s="406">
        <f>Return!A1138</f>
        <v>44411</v>
      </c>
      <c r="B4768" s="408" t="s">
        <v>75</v>
      </c>
      <c r="C4768" s="409">
        <f>Return!S1138</f>
        <v>6.3437148855268188E-3</v>
      </c>
    </row>
    <row r="4769" spans="1:3">
      <c r="A4769" s="406">
        <f>Return!A1139</f>
        <v>44410</v>
      </c>
      <c r="B4769" s="408" t="s">
        <v>75</v>
      </c>
      <c r="C4769" s="409">
        <f>Return!S1139</f>
        <v>-9.7090155337553607E-4</v>
      </c>
    </row>
    <row r="4770" spans="1:3">
      <c r="A4770" s="406">
        <f>Return!A1140</f>
        <v>44407</v>
      </c>
      <c r="B4770" s="408" t="s">
        <v>75</v>
      </c>
      <c r="C4770" s="409">
        <f>Return!S1140</f>
        <v>2.8320901698658529E-3</v>
      </c>
    </row>
    <row r="4771" spans="1:3">
      <c r="A4771" s="406">
        <f>Return!A1141</f>
        <v>44406</v>
      </c>
      <c r="B4771" s="408" t="s">
        <v>75</v>
      </c>
      <c r="C4771" s="409">
        <f>Return!S1141</f>
        <v>-1.7245920667373238E-2</v>
      </c>
    </row>
    <row r="4772" spans="1:3">
      <c r="A4772" s="406">
        <f>Return!A1142</f>
        <v>44405</v>
      </c>
      <c r="B4772" s="408" t="s">
        <v>75</v>
      </c>
      <c r="C4772" s="409">
        <f>Return!S1142</f>
        <v>4.201759456671339E-3</v>
      </c>
    </row>
    <row r="4773" spans="1:3">
      <c r="A4773" s="406">
        <f>Return!A1143</f>
        <v>44404</v>
      </c>
      <c r="B4773" s="408" t="s">
        <v>75</v>
      </c>
      <c r="C4773" s="409">
        <f>Return!S1143</f>
        <v>2.9317994229885458E-3</v>
      </c>
    </row>
    <row r="4774" spans="1:3">
      <c r="A4774" s="406">
        <f>Return!A1144</f>
        <v>44403</v>
      </c>
      <c r="B4774" s="408" t="s">
        <v>75</v>
      </c>
      <c r="C4774" s="409">
        <f>Return!S1144</f>
        <v>7.0241552669961793E-3</v>
      </c>
    </row>
    <row r="4775" spans="1:3">
      <c r="A4775" s="406">
        <f>Return!A1145</f>
        <v>44400</v>
      </c>
      <c r="B4775" s="408" t="s">
        <v>75</v>
      </c>
      <c r="C4775" s="409">
        <f>Return!S1145</f>
        <v>-2.0764137408093575E-3</v>
      </c>
    </row>
    <row r="4776" spans="1:3">
      <c r="A4776" s="406">
        <f>Return!A1146</f>
        <v>44399</v>
      </c>
      <c r="B4776" s="408" t="s">
        <v>75</v>
      </c>
      <c r="C4776" s="409">
        <f>Return!S1146</f>
        <v>-3.8421107092806994E-3</v>
      </c>
    </row>
    <row r="4777" spans="1:3">
      <c r="A4777" s="406">
        <f>Return!A1147</f>
        <v>44397</v>
      </c>
      <c r="B4777" s="408" t="s">
        <v>75</v>
      </c>
      <c r="C4777" s="409">
        <f>Return!S1147</f>
        <v>7.0768294785585883E-3</v>
      </c>
    </row>
    <row r="4778" spans="1:3">
      <c r="A4778" s="406">
        <f>Return!A1148</f>
        <v>44396</v>
      </c>
      <c r="B4778" s="408" t="s">
        <v>75</v>
      </c>
      <c r="C4778" s="409">
        <f>Return!S1148</f>
        <v>-5.6984133008177729E-3</v>
      </c>
    </row>
    <row r="4779" spans="1:3">
      <c r="A4779" s="406">
        <f>Return!A1149</f>
        <v>44393</v>
      </c>
      <c r="B4779" s="408" t="s">
        <v>75</v>
      </c>
      <c r="C4779" s="409">
        <f>Return!S1149</f>
        <v>1.5383210053975249E-3</v>
      </c>
    </row>
    <row r="4780" spans="1:3">
      <c r="A4780" s="406">
        <f>Return!A1150</f>
        <v>44392</v>
      </c>
      <c r="B4780" s="408" t="s">
        <v>75</v>
      </c>
      <c r="C4780" s="409">
        <f>Return!S1150</f>
        <v>8.5463925084658943E-3</v>
      </c>
    </row>
    <row r="4781" spans="1:3">
      <c r="A4781" s="406">
        <f>Return!A1151</f>
        <v>44391</v>
      </c>
      <c r="B4781" s="408" t="s">
        <v>75</v>
      </c>
      <c r="C4781" s="409">
        <f>Return!S1151</f>
        <v>2.3413826637812551E-3</v>
      </c>
    </row>
    <row r="4782" spans="1:3">
      <c r="A4782" s="406">
        <f>Return!A1152</f>
        <v>44390</v>
      </c>
      <c r="B4782" s="408" t="s">
        <v>75</v>
      </c>
      <c r="C4782" s="409">
        <f>Return!S1152</f>
        <v>3.2727493956714593E-3</v>
      </c>
    </row>
    <row r="4783" spans="1:3">
      <c r="A4783" s="406">
        <f>Return!A1153</f>
        <v>44389</v>
      </c>
      <c r="B4783" s="408" t="s">
        <v>75</v>
      </c>
      <c r="C4783" s="409">
        <f>Return!S1153</f>
        <v>-1.7140233033904329E-3</v>
      </c>
    </row>
    <row r="4784" spans="1:3">
      <c r="A4784" s="406">
        <f>Return!A1154</f>
        <v>44386</v>
      </c>
      <c r="B4784" s="408" t="s">
        <v>75</v>
      </c>
      <c r="C4784" s="409">
        <f>Return!S1154</f>
        <v>4.4704920669534909E-3</v>
      </c>
    </row>
    <row r="4785" spans="1:3">
      <c r="A4785" s="406">
        <f>Return!A1155</f>
        <v>44385</v>
      </c>
      <c r="B4785" s="408" t="s">
        <v>75</v>
      </c>
      <c r="C4785" s="409">
        <f>Return!S1155</f>
        <v>1.2507835859719707E-3</v>
      </c>
    </row>
    <row r="4786" spans="1:3">
      <c r="A4786" s="406">
        <f>Return!A1156</f>
        <v>44384</v>
      </c>
      <c r="B4786" s="408" t="s">
        <v>75</v>
      </c>
      <c r="C4786" s="409">
        <f>Return!S1156</f>
        <v>5.8279773422689196E-3</v>
      </c>
    </row>
    <row r="4787" spans="1:3">
      <c r="A4787" s="406">
        <f>Return!A1157</f>
        <v>44383</v>
      </c>
      <c r="B4787" s="408" t="s">
        <v>75</v>
      </c>
      <c r="C4787" s="409">
        <f>Return!S1157</f>
        <v>5.1453537711411146E-3</v>
      </c>
    </row>
    <row r="4788" spans="1:3">
      <c r="A4788" s="406">
        <f>Return!A1158</f>
        <v>44382</v>
      </c>
      <c r="B4788" s="408" t="s">
        <v>75</v>
      </c>
      <c r="C4788" s="409">
        <f>Return!S1158</f>
        <v>4.0609917998833955E-3</v>
      </c>
    </row>
    <row r="4789" spans="1:3">
      <c r="A4789" s="406">
        <f>Return!A1159</f>
        <v>44379</v>
      </c>
      <c r="B4789" s="408" t="s">
        <v>75</v>
      </c>
      <c r="C4789" s="409">
        <f>Return!S1159</f>
        <v>3.6646340675615674E-3</v>
      </c>
    </row>
    <row r="4790" spans="1:3">
      <c r="A4790" s="406">
        <f>Return!A1160</f>
        <v>44378</v>
      </c>
      <c r="B4790" s="408" t="s">
        <v>75</v>
      </c>
      <c r="C4790" s="409">
        <f>Return!S1160</f>
        <v>5.5723737759949543E-4</v>
      </c>
    </row>
    <row r="4791" spans="1:3">
      <c r="A4791" s="406">
        <f>Return!A1161</f>
        <v>44377</v>
      </c>
      <c r="B4791" s="408" t="s">
        <v>75</v>
      </c>
      <c r="C4791" s="409">
        <f>Return!S1161</f>
        <v>3.0203051101106992E-3</v>
      </c>
    </row>
    <row r="4792" spans="1:3">
      <c r="A4792" s="406">
        <f>Return!A1162</f>
        <v>44376</v>
      </c>
      <c r="B4792" s="408" t="s">
        <v>75</v>
      </c>
      <c r="C4792" s="409">
        <f>Return!S1162</f>
        <v>2.9607694832591847E-3</v>
      </c>
    </row>
    <row r="4793" spans="1:3">
      <c r="A4793" s="406">
        <f>Return!A1163</f>
        <v>44375</v>
      </c>
      <c r="B4793" s="408" t="s">
        <v>75</v>
      </c>
      <c r="C4793" s="409">
        <f>Return!S1163</f>
        <v>-4.8826124548052574E-3</v>
      </c>
    </row>
    <row r="4794" spans="1:3">
      <c r="A4794" s="406">
        <f>Return!A1164</f>
        <v>44372</v>
      </c>
      <c r="B4794" s="408" t="s">
        <v>75</v>
      </c>
      <c r="C4794" s="409">
        <f>Return!S1164</f>
        <v>-3.0631408256805437E-3</v>
      </c>
    </row>
    <row r="4795" spans="1:3">
      <c r="A4795" s="406">
        <f>Return!A1165</f>
        <v>44371</v>
      </c>
      <c r="B4795" s="408" t="s">
        <v>75</v>
      </c>
      <c r="C4795" s="409">
        <f>Return!S1165</f>
        <v>8.0730679039546782E-3</v>
      </c>
    </row>
    <row r="4796" spans="1:3">
      <c r="A4796" s="406">
        <f>Return!A1166</f>
        <v>44370</v>
      </c>
      <c r="B4796" s="408" t="s">
        <v>75</v>
      </c>
      <c r="C4796" s="409">
        <f>Return!S1166</f>
        <v>7.8071045872829536E-3</v>
      </c>
    </row>
    <row r="4797" spans="1:3">
      <c r="A4797" s="406">
        <f>Return!A1167</f>
        <v>44369</v>
      </c>
      <c r="B4797" s="408" t="s">
        <v>75</v>
      </c>
      <c r="C4797" s="409">
        <f>Return!S1167</f>
        <v>-6.0875932385615061E-3</v>
      </c>
    </row>
    <row r="4798" spans="1:3">
      <c r="A4798" s="406">
        <f>Return!A1168</f>
        <v>44368</v>
      </c>
      <c r="B4798" s="408" t="s">
        <v>75</v>
      </c>
      <c r="C4798" s="409">
        <f>Return!S1168</f>
        <v>-3.0194743772877231E-3</v>
      </c>
    </row>
    <row r="4799" spans="1:3">
      <c r="A4799" s="406">
        <f>Return!A1169</f>
        <v>44365</v>
      </c>
      <c r="B4799" s="408" t="s">
        <v>75</v>
      </c>
      <c r="C4799" s="409">
        <f>Return!S1169</f>
        <v>-2.375470165742577E-3</v>
      </c>
    </row>
    <row r="4800" spans="1:3">
      <c r="A4800" s="406">
        <f>Return!A1170</f>
        <v>44364</v>
      </c>
      <c r="B4800" s="408" t="s">
        <v>75</v>
      </c>
      <c r="C4800" s="409">
        <f>Return!S1170</f>
        <v>-3.1251892088604571E-3</v>
      </c>
    </row>
    <row r="4801" spans="1:3">
      <c r="A4801" s="406">
        <f>Return!A1171</f>
        <v>44363</v>
      </c>
      <c r="B4801" s="408" t="s">
        <v>75</v>
      </c>
      <c r="C4801" s="409">
        <f>Return!S1171</f>
        <v>-3.2799542034386842E-3</v>
      </c>
    </row>
    <row r="4802" spans="1:3">
      <c r="A4802" s="406">
        <f>Return!A1172</f>
        <v>44362</v>
      </c>
      <c r="B4802" s="408" t="s">
        <v>75</v>
      </c>
      <c r="C4802" s="409">
        <f>Return!S1172</f>
        <v>1.0256349420199151E-2</v>
      </c>
    </row>
    <row r="4803" spans="1:3">
      <c r="A4803" s="406">
        <f>Return!A1173</f>
        <v>44361</v>
      </c>
      <c r="B4803" s="408" t="s">
        <v>75</v>
      </c>
      <c r="C4803" s="409">
        <f>Return!S1173</f>
        <v>5.2535342977189092E-3</v>
      </c>
    </row>
    <row r="4804" spans="1:3">
      <c r="A4804" s="406">
        <f>Return!A1174</f>
        <v>44358</v>
      </c>
      <c r="B4804" s="408" t="s">
        <v>75</v>
      </c>
      <c r="C4804" s="409">
        <f>Return!S1174</f>
        <v>-2.5140995964341717E-3</v>
      </c>
    </row>
    <row r="4805" spans="1:3">
      <c r="A4805" s="406">
        <f>Return!A1175</f>
        <v>44357</v>
      </c>
      <c r="B4805" s="408" t="s">
        <v>75</v>
      </c>
      <c r="C4805" s="409">
        <f>Return!S1175</f>
        <v>1.1902376544786764E-3</v>
      </c>
    </row>
    <row r="4806" spans="1:3">
      <c r="A4806" s="406">
        <f>Return!A1176</f>
        <v>44356</v>
      </c>
      <c r="B4806" s="408" t="s">
        <v>75</v>
      </c>
      <c r="C4806" s="409">
        <f>Return!S1176</f>
        <v>-2.1643249780307627E-3</v>
      </c>
    </row>
    <row r="4807" spans="1:3">
      <c r="A4807" s="406">
        <f>Return!A1177</f>
        <v>44355</v>
      </c>
      <c r="B4807" s="408" t="s">
        <v>75</v>
      </c>
      <c r="C4807" s="409">
        <f>Return!S1177</f>
        <v>2.4369972808956919E-3</v>
      </c>
    </row>
    <row r="4808" spans="1:3">
      <c r="A4808" s="406">
        <f>Return!A1178</f>
        <v>44354</v>
      </c>
      <c r="B4808" s="408" t="s">
        <v>75</v>
      </c>
      <c r="C4808" s="409">
        <f>Return!S1178</f>
        <v>2.145110316482346E-3</v>
      </c>
    </row>
    <row r="4809" spans="1:3">
      <c r="A4809" s="406">
        <f>Return!A1179</f>
        <v>44351</v>
      </c>
      <c r="B4809" s="408" t="s">
        <v>75</v>
      </c>
      <c r="C4809" s="409">
        <f>Return!S1179</f>
        <v>5.3403489117552772E-3</v>
      </c>
    </row>
    <row r="4810" spans="1:3">
      <c r="A4810" s="406">
        <f>Return!A1180</f>
        <v>44350</v>
      </c>
      <c r="B4810" s="408" t="s">
        <v>75</v>
      </c>
      <c r="C4810" s="409">
        <f>Return!S1180</f>
        <v>3.6661145031282594E-3</v>
      </c>
    </row>
    <row r="4811" spans="1:3">
      <c r="A4811" s="406">
        <f>Return!A1181</f>
        <v>44349</v>
      </c>
      <c r="B4811" s="408" t="s">
        <v>75</v>
      </c>
      <c r="C4811" s="409">
        <f>Return!S1181</f>
        <v>-1.5585781229999762E-3</v>
      </c>
    </row>
    <row r="4812" spans="1:3">
      <c r="A4812" s="406">
        <f>Return!A1182</f>
        <v>44348</v>
      </c>
      <c r="B4812" s="408" t="s">
        <v>75</v>
      </c>
      <c r="C4812" s="409">
        <f>Return!S1182</f>
        <v>2.3058823089388003E-3</v>
      </c>
    </row>
    <row r="4813" spans="1:3">
      <c r="A4813" s="406">
        <f>Return!A1183</f>
        <v>44347</v>
      </c>
      <c r="B4813" s="408" t="s">
        <v>75</v>
      </c>
      <c r="C4813" s="409">
        <f>Return!S1183</f>
        <v>1.1522064906034912E-3</v>
      </c>
    </row>
    <row r="4814" spans="1:3">
      <c r="A4814" s="406">
        <f>Return!A1184</f>
        <v>44344</v>
      </c>
      <c r="B4814" s="408" t="s">
        <v>75</v>
      </c>
      <c r="C4814" s="409">
        <f>Return!S1184</f>
        <v>5.2623140415131164E-4</v>
      </c>
    </row>
    <row r="4815" spans="1:3">
      <c r="A4815" s="406">
        <f>Return!A1185</f>
        <v>44343</v>
      </c>
      <c r="B4815" s="408" t="s">
        <v>75</v>
      </c>
      <c r="C4815" s="409">
        <f>Return!S1185</f>
        <v>-5.7060828789376461E-3</v>
      </c>
    </row>
    <row r="4816" spans="1:3">
      <c r="A4816" s="406">
        <f>Return!A1186</f>
        <v>44342</v>
      </c>
      <c r="B4816" s="408" t="s">
        <v>75</v>
      </c>
      <c r="C4816" s="409">
        <f>Return!S1186</f>
        <v>1.4648349619966194E-3</v>
      </c>
    </row>
    <row r="4817" spans="1:3">
      <c r="A4817" s="406">
        <f>Return!A1187</f>
        <v>44341</v>
      </c>
      <c r="B4817" s="408" t="s">
        <v>75</v>
      </c>
      <c r="C4817" s="409">
        <f>Return!S1187</f>
        <v>1.4558296968216755E-3</v>
      </c>
    </row>
    <row r="4818" spans="1:3">
      <c r="A4818" s="406">
        <f>Return!A1188</f>
        <v>44340</v>
      </c>
      <c r="B4818" s="408" t="s">
        <v>75</v>
      </c>
      <c r="C4818" s="409">
        <f>Return!S1188</f>
        <v>9.9663354348045741E-3</v>
      </c>
    </row>
    <row r="4819" spans="1:3">
      <c r="A4819" s="406">
        <f>Return!A1189</f>
        <v>44337</v>
      </c>
      <c r="B4819" s="408" t="s">
        <v>75</v>
      </c>
      <c r="C4819" s="409">
        <f>Return!S1189</f>
        <v>9.200771635366034E-3</v>
      </c>
    </row>
    <row r="4820" spans="1:3">
      <c r="A4820" s="406">
        <f>Return!A1190</f>
        <v>44336</v>
      </c>
      <c r="B4820" s="408" t="s">
        <v>75</v>
      </c>
      <c r="C4820" s="409">
        <f>Return!S1190</f>
        <v>1.666982466286826E-4</v>
      </c>
    </row>
    <row r="4821" spans="1:3">
      <c r="A4821" s="406">
        <f>Return!A1191</f>
        <v>44335</v>
      </c>
      <c r="B4821" s="408" t="s">
        <v>75</v>
      </c>
      <c r="C4821" s="409">
        <f>Return!S1191</f>
        <v>1.9223828731731674E-2</v>
      </c>
    </row>
    <row r="4822" spans="1:3">
      <c r="A4822" s="406">
        <f>Return!A1192</f>
        <v>44334</v>
      </c>
      <c r="B4822" s="408" t="s">
        <v>75</v>
      </c>
      <c r="C4822" s="409">
        <f>Return!S1192</f>
        <v>-1.5955786104400738E-2</v>
      </c>
    </row>
    <row r="4823" spans="1:3">
      <c r="A4823" s="406">
        <f>Return!A1193</f>
        <v>44333</v>
      </c>
      <c r="B4823" s="408" t="s">
        <v>75</v>
      </c>
      <c r="C4823" s="409">
        <f>Return!S1193</f>
        <v>3.0997365682228217E-3</v>
      </c>
    </row>
    <row r="4824" spans="1:3">
      <c r="A4824" s="406">
        <f>Return!A1194</f>
        <v>44330</v>
      </c>
      <c r="B4824" s="408" t="s">
        <v>75</v>
      </c>
      <c r="C4824" s="409">
        <f>Return!S1194</f>
        <v>4.8607556795738915E-3</v>
      </c>
    </row>
    <row r="4825" spans="1:3">
      <c r="A4825" s="406">
        <f>Return!A1195</f>
        <v>44328</v>
      </c>
      <c r="B4825" s="408" t="s">
        <v>75</v>
      </c>
      <c r="C4825" s="409">
        <f>Return!S1195</f>
        <v>1.4103006266862894E-2</v>
      </c>
    </row>
    <row r="4826" spans="1:3">
      <c r="A4826" s="406">
        <f>Return!A1196</f>
        <v>44327</v>
      </c>
      <c r="B4826" s="408" t="s">
        <v>75</v>
      </c>
      <c r="C4826" s="409">
        <f>Return!S1196</f>
        <v>9.8774386241018419E-4</v>
      </c>
    </row>
    <row r="4827" spans="1:3">
      <c r="A4827" s="406">
        <f>Return!A1197</f>
        <v>44326</v>
      </c>
      <c r="B4827" s="408" t="s">
        <v>75</v>
      </c>
      <c r="C4827" s="409">
        <f>Return!S1197</f>
        <v>2.6942576326323131E-3</v>
      </c>
    </row>
    <row r="4828" spans="1:3">
      <c r="A4828" s="406">
        <f>Return!A1198</f>
        <v>44323</v>
      </c>
      <c r="B4828" s="408" t="s">
        <v>75</v>
      </c>
      <c r="C4828" s="409">
        <f>Return!S1198</f>
        <v>1.4163944619542845E-2</v>
      </c>
    </row>
    <row r="4829" spans="1:3">
      <c r="A4829" s="406">
        <f>Return!A1199</f>
        <v>44322</v>
      </c>
      <c r="B4829" s="408" t="s">
        <v>75</v>
      </c>
      <c r="C4829" s="409">
        <f>Return!S1199</f>
        <v>-9.715534388404945E-3</v>
      </c>
    </row>
    <row r="4830" spans="1:3">
      <c r="A4830" s="406">
        <f>Return!A1200</f>
        <v>44321</v>
      </c>
      <c r="B4830" s="408" t="s">
        <v>75</v>
      </c>
      <c r="C4830" s="409">
        <f>Return!S1200</f>
        <v>2.222644773215765E-3</v>
      </c>
    </row>
    <row r="4831" spans="1:3">
      <c r="A4831" s="406">
        <f>Return!A1201</f>
        <v>44320</v>
      </c>
      <c r="B4831" s="408" t="s">
        <v>75</v>
      </c>
      <c r="C4831" s="409">
        <f>Return!S1201</f>
        <v>1.0854286448869321E-2</v>
      </c>
    </row>
    <row r="4832" spans="1:3">
      <c r="A4832" s="406">
        <f>Return!A1202</f>
        <v>44319</v>
      </c>
      <c r="B4832" s="408" t="s">
        <v>75</v>
      </c>
      <c r="C4832" s="409">
        <f>Return!S1202</f>
        <v>5.3388143835610968E-3</v>
      </c>
    </row>
    <row r="4833" spans="1:3">
      <c r="A4833" s="406">
        <f>Return!A1203</f>
        <v>44316</v>
      </c>
      <c r="B4833" s="408" t="s">
        <v>75</v>
      </c>
      <c r="C4833" s="409">
        <f>Return!S1203</f>
        <v>6.8495380163330344E-3</v>
      </c>
    </row>
    <row r="4834" spans="1:3">
      <c r="A4834" s="406">
        <f>Return!A1204</f>
        <v>44315</v>
      </c>
      <c r="B4834" s="408" t="s">
        <v>75</v>
      </c>
      <c r="C4834" s="409">
        <f>Return!S1204</f>
        <v>9.392437511277163E-3</v>
      </c>
    </row>
    <row r="4835" spans="1:3">
      <c r="A4835" s="406">
        <f>Return!A1205</f>
        <v>44314</v>
      </c>
      <c r="B4835" s="408" t="s">
        <v>75</v>
      </c>
      <c r="C4835" s="409">
        <f>Return!S1205</f>
        <v>-9.1071634248247046E-3</v>
      </c>
    </row>
    <row r="4836" spans="1:3">
      <c r="A4836" s="406">
        <f>Return!A1206</f>
        <v>44313</v>
      </c>
      <c r="B4836" s="408" t="s">
        <v>75</v>
      </c>
      <c r="C4836" s="409">
        <f>Return!S1206</f>
        <v>-4.9577918598063819E-3</v>
      </c>
    </row>
    <row r="4837" spans="1:3">
      <c r="A4837" s="406">
        <f>Return!A1207</f>
        <v>44312</v>
      </c>
      <c r="B4837" s="408" t="s">
        <v>75</v>
      </c>
      <c r="C4837" s="409">
        <f>Return!S1207</f>
        <v>1.384880674061606E-2</v>
      </c>
    </row>
    <row r="4838" spans="1:3">
      <c r="A4838" s="406">
        <f>Return!A1208</f>
        <v>44309</v>
      </c>
      <c r="B4838" s="408" t="s">
        <v>75</v>
      </c>
      <c r="C4838" s="409">
        <f>Return!S1208</f>
        <v>8.3809396424390226E-3</v>
      </c>
    </row>
    <row r="4839" spans="1:3">
      <c r="A4839" s="406">
        <f>Return!A1209</f>
        <v>44308</v>
      </c>
      <c r="B4839" s="408" t="s">
        <v>75</v>
      </c>
      <c r="C4839" s="409">
        <f>Return!S1209</f>
        <v>4.8088974442892507E-3</v>
      </c>
    </row>
    <row r="4840" spans="1:3">
      <c r="A4840" s="406">
        <f>Return!A1210</f>
        <v>44306</v>
      </c>
      <c r="B4840" s="408" t="s">
        <v>75</v>
      </c>
      <c r="C4840" s="409">
        <f>Return!S1210</f>
        <v>1.4861126714218686E-2</v>
      </c>
    </row>
    <row r="4841" spans="1:3">
      <c r="A4841" s="406">
        <f>Return!A1211</f>
        <v>44305</v>
      </c>
      <c r="B4841" s="408" t="s">
        <v>75</v>
      </c>
      <c r="C4841" s="409">
        <f>Return!S1211</f>
        <v>8.6287417150885393E-3</v>
      </c>
    </row>
    <row r="4842" spans="1:3">
      <c r="A4842" s="406">
        <f>Return!A2</f>
        <v>46080</v>
      </c>
      <c r="B4842" s="408" t="s">
        <v>76</v>
      </c>
      <c r="C4842" s="409">
        <f>Return!O2</f>
        <v>-1.01774888266839E-2</v>
      </c>
    </row>
    <row r="4843" spans="1:3">
      <c r="A4843" s="406">
        <f>Return!A3</f>
        <v>46079</v>
      </c>
      <c r="B4843" s="408" t="s">
        <v>76</v>
      </c>
      <c r="C4843" s="409">
        <f>Return!O3</f>
        <v>1.1710969478196276E-2</v>
      </c>
    </row>
    <row r="4844" spans="1:3">
      <c r="A4844" s="406">
        <f>Return!A4</f>
        <v>46078</v>
      </c>
      <c r="B4844" s="408" t="s">
        <v>76</v>
      </c>
      <c r="C4844" s="409">
        <f>Return!O4</f>
        <v>1.4566179315260941E-2</v>
      </c>
    </row>
    <row r="4845" spans="1:3">
      <c r="A4845" s="406">
        <f>Return!A5</f>
        <v>46077</v>
      </c>
      <c r="B4845" s="408" t="s">
        <v>76</v>
      </c>
      <c r="C4845" s="409">
        <f>Return!O5</f>
        <v>2.7319212839436169E-3</v>
      </c>
    </row>
    <row r="4846" spans="1:3">
      <c r="A4846" s="406">
        <f>Return!A6</f>
        <v>46076</v>
      </c>
      <c r="B4846" s="408" t="s">
        <v>76</v>
      </c>
      <c r="C4846" s="409">
        <f>Return!O6</f>
        <v>6.1263879630590878E-3</v>
      </c>
    </row>
    <row r="4847" spans="1:3">
      <c r="A4847" s="406">
        <f>Return!A7</f>
        <v>46073</v>
      </c>
      <c r="B4847" s="408" t="s">
        <v>76</v>
      </c>
      <c r="C4847" s="409">
        <f>Return!O7</f>
        <v>-1.7318398153143288E-3</v>
      </c>
    </row>
    <row r="4848" spans="1:3">
      <c r="A4848" s="406">
        <f>Return!A8</f>
        <v>46072</v>
      </c>
      <c r="B4848" s="408" t="s">
        <v>76</v>
      </c>
      <c r="C4848" s="409">
        <f>Return!O8</f>
        <v>-6.1605393683544785E-3</v>
      </c>
    </row>
    <row r="4849" spans="1:3">
      <c r="A4849" s="406">
        <f>Return!A9</f>
        <v>46071</v>
      </c>
      <c r="B4849" s="408" t="s">
        <v>76</v>
      </c>
      <c r="C4849" s="409">
        <f>Return!O9</f>
        <v>5.0751997184121933E-3</v>
      </c>
    </row>
    <row r="4850" spans="1:3">
      <c r="A4850" s="406">
        <f>Return!A10</f>
        <v>46070</v>
      </c>
      <c r="B4850" s="408" t="s">
        <v>76</v>
      </c>
      <c r="C4850" s="409">
        <f>Return!O10</f>
        <v>6.4350538378881161E-3</v>
      </c>
    </row>
    <row r="4851" spans="1:3">
      <c r="A4851" s="406">
        <f>Return!A11</f>
        <v>46069</v>
      </c>
      <c r="B4851" s="408" t="s">
        <v>76</v>
      </c>
      <c r="C4851" s="409">
        <f>Return!O11</f>
        <v>4.9656156227970705E-3</v>
      </c>
    </row>
    <row r="4852" spans="1:3">
      <c r="A4852" s="406">
        <f>Return!A12</f>
        <v>46066</v>
      </c>
      <c r="B4852" s="408" t="s">
        <v>76</v>
      </c>
      <c r="C4852" s="409">
        <f>Return!O12</f>
        <v>-1.0106898582514567E-2</v>
      </c>
    </row>
    <row r="4853" spans="1:3">
      <c r="A4853" s="406">
        <f>Return!A13</f>
        <v>46065</v>
      </c>
      <c r="B4853" s="408" t="s">
        <v>76</v>
      </c>
      <c r="C4853" s="409">
        <f>Return!O13</f>
        <v>-3.2031894418477203E-3</v>
      </c>
    </row>
    <row r="4854" spans="1:3">
      <c r="A4854" s="406">
        <f>Return!A14</f>
        <v>46064</v>
      </c>
      <c r="B4854" s="408" t="s">
        <v>76</v>
      </c>
      <c r="C4854" s="409">
        <f>Return!O14</f>
        <v>1.1019904950960058E-2</v>
      </c>
    </row>
    <row r="4855" spans="1:3">
      <c r="A4855" s="406">
        <f>Return!A15</f>
        <v>46063</v>
      </c>
      <c r="B4855" s="408" t="s">
        <v>76</v>
      </c>
      <c r="C4855" s="409">
        <f>Return!O15</f>
        <v>5.1667323160151657E-3</v>
      </c>
    </row>
    <row r="4856" spans="1:3">
      <c r="A4856" s="406">
        <f>Return!A16</f>
        <v>46062</v>
      </c>
      <c r="B4856" s="408" t="s">
        <v>76</v>
      </c>
      <c r="C4856" s="409">
        <f>Return!O16</f>
        <v>1.251561839556703E-2</v>
      </c>
    </row>
    <row r="4857" spans="1:3">
      <c r="A4857" s="406">
        <f>Return!A17</f>
        <v>46059</v>
      </c>
      <c r="B4857" s="408" t="s">
        <v>76</v>
      </c>
      <c r="C4857" s="409">
        <f>Return!O17</f>
        <v>7.5345944799276587E-4</v>
      </c>
    </row>
    <row r="4858" spans="1:3">
      <c r="A4858" s="406">
        <f>Return!A18</f>
        <v>46058</v>
      </c>
      <c r="B4858" s="408" t="s">
        <v>76</v>
      </c>
      <c r="C4858" s="409">
        <f>Return!O18</f>
        <v>-7.3538121059835149E-4</v>
      </c>
    </row>
    <row r="4859" spans="1:3">
      <c r="A4859" s="406">
        <f>Return!A19</f>
        <v>46057</v>
      </c>
      <c r="B4859" s="408" t="s">
        <v>76</v>
      </c>
      <c r="C4859" s="409">
        <f>Return!O19</f>
        <v>-4.1301843875120037E-3</v>
      </c>
    </row>
    <row r="4860" spans="1:3">
      <c r="A4860" s="406">
        <f>Return!A20</f>
        <v>46056</v>
      </c>
      <c r="B4860" s="408" t="s">
        <v>76</v>
      </c>
      <c r="C4860" s="409">
        <f>Return!O20</f>
        <v>2.3774753977814367E-2</v>
      </c>
    </row>
    <row r="4861" spans="1:3">
      <c r="A4861" s="406">
        <f>Return!A21</f>
        <v>46055</v>
      </c>
      <c r="B4861" s="408" t="s">
        <v>76</v>
      </c>
      <c r="C4861" s="409">
        <f>Return!O21</f>
        <v>-6.0560727507535939E-3</v>
      </c>
    </row>
    <row r="4862" spans="1:3">
      <c r="A4862" s="406">
        <f>Return!A22</f>
        <v>46054</v>
      </c>
      <c r="B4862" s="408" t="s">
        <v>76</v>
      </c>
      <c r="C4862" s="409">
        <f>Return!O22</f>
        <v>-2.3534793303636725E-5</v>
      </c>
    </row>
    <row r="4863" spans="1:3">
      <c r="A4863" s="406">
        <f>Return!A23</f>
        <v>46052</v>
      </c>
      <c r="B4863" s="408" t="s">
        <v>76</v>
      </c>
      <c r="C4863" s="409">
        <f>Return!O23</f>
        <v>8.6123908372448543E-3</v>
      </c>
    </row>
    <row r="4864" spans="1:3">
      <c r="A4864" s="406">
        <f>Return!A24</f>
        <v>46051</v>
      </c>
      <c r="B4864" s="408" t="s">
        <v>76</v>
      </c>
      <c r="C4864" s="409">
        <f>Return!O24</f>
        <v>-5.9100247534575878E-3</v>
      </c>
    </row>
    <row r="4865" spans="1:3">
      <c r="A4865" s="406">
        <f>Return!A25</f>
        <v>46050</v>
      </c>
      <c r="B4865" s="408" t="s">
        <v>76</v>
      </c>
      <c r="C4865" s="409">
        <f>Return!O25</f>
        <v>2.469200051870013E-3</v>
      </c>
    </row>
    <row r="4866" spans="1:3">
      <c r="A4866" s="406">
        <f>Return!A26</f>
        <v>46049</v>
      </c>
      <c r="B4866" s="408" t="s">
        <v>76</v>
      </c>
      <c r="C4866" s="409">
        <f>Return!O26</f>
        <v>1.9169644349985582E-3</v>
      </c>
    </row>
    <row r="4867" spans="1:3">
      <c r="A4867" s="406">
        <f>Return!A27</f>
        <v>46045</v>
      </c>
      <c r="B4867" s="408" t="s">
        <v>76</v>
      </c>
      <c r="C4867" s="409">
        <f>Return!O27</f>
        <v>-7.5859548751472383E-3</v>
      </c>
    </row>
    <row r="4868" spans="1:3">
      <c r="A4868" s="406">
        <f>Return!A28</f>
        <v>46044</v>
      </c>
      <c r="B4868" s="408" t="s">
        <v>76</v>
      </c>
      <c r="C4868" s="409">
        <f>Return!O28</f>
        <v>1.035443547176218E-2</v>
      </c>
    </row>
    <row r="4869" spans="1:3">
      <c r="A4869" s="406">
        <f>Return!A29</f>
        <v>46043</v>
      </c>
      <c r="B4869" s="408" t="s">
        <v>76</v>
      </c>
      <c r="C4869" s="409">
        <f>Return!O29</f>
        <v>-3.7529771782311983E-3</v>
      </c>
    </row>
    <row r="4870" spans="1:3">
      <c r="A4870" s="406">
        <f>Return!A30</f>
        <v>46042</v>
      </c>
      <c r="B4870" s="408" t="s">
        <v>76</v>
      </c>
      <c r="C4870" s="409">
        <f>Return!O30</f>
        <v>-2.1476153870454873E-2</v>
      </c>
    </row>
    <row r="4871" spans="1:3">
      <c r="A4871" s="406">
        <f>Return!A31</f>
        <v>46041</v>
      </c>
      <c r="B4871" s="408" t="s">
        <v>76</v>
      </c>
      <c r="C4871" s="409">
        <f>Return!O31</f>
        <v>-8.9088928413463275E-3</v>
      </c>
    </row>
    <row r="4872" spans="1:3">
      <c r="A4872" s="406">
        <f>Return!A32</f>
        <v>46038</v>
      </c>
      <c r="B4872" s="408" t="s">
        <v>76</v>
      </c>
      <c r="C4872" s="409">
        <f>Return!O32</f>
        <v>-1.1063230194867324E-2</v>
      </c>
    </row>
    <row r="4873" spans="1:3">
      <c r="A4873" s="406">
        <f>Return!A33</f>
        <v>46036</v>
      </c>
      <c r="B4873" s="408" t="s">
        <v>76</v>
      </c>
      <c r="C4873" s="409">
        <f>Return!O33</f>
        <v>-3.8008628495156405E-4</v>
      </c>
    </row>
    <row r="4874" spans="1:3">
      <c r="A4874" s="406">
        <f>Return!A34</f>
        <v>46035</v>
      </c>
      <c r="B4874" s="408" t="s">
        <v>76</v>
      </c>
      <c r="C4874" s="409">
        <f>Return!O34</f>
        <v>2.289461569102258E-3</v>
      </c>
    </row>
    <row r="4875" spans="1:3">
      <c r="A4875" s="406">
        <f>Return!A35</f>
        <v>46034</v>
      </c>
      <c r="B4875" s="408" t="s">
        <v>76</v>
      </c>
      <c r="C4875" s="409">
        <f>Return!O35</f>
        <v>-2.4657788597423069E-3</v>
      </c>
    </row>
    <row r="4876" spans="1:3">
      <c r="A4876" s="406">
        <f>Return!A36</f>
        <v>46031</v>
      </c>
      <c r="B4876" s="408" t="s">
        <v>76</v>
      </c>
      <c r="C4876" s="409">
        <f>Return!O36</f>
        <v>-9.6538901601831428E-3</v>
      </c>
    </row>
    <row r="4877" spans="1:3">
      <c r="A4877" s="406">
        <f>Return!A37</f>
        <v>46030</v>
      </c>
      <c r="B4877" s="408" t="s">
        <v>76</v>
      </c>
      <c r="C4877" s="409">
        <f>Return!O37</f>
        <v>-1.3010499467827397E-2</v>
      </c>
    </row>
    <row r="4878" spans="1:3">
      <c r="A4878" s="406">
        <f>Return!A38</f>
        <v>46029</v>
      </c>
      <c r="B4878" s="408" t="s">
        <v>76</v>
      </c>
      <c r="C4878" s="409">
        <f>Return!O38</f>
        <v>5.4150167977438102E-3</v>
      </c>
    </row>
    <row r="4879" spans="1:3">
      <c r="A4879" s="406">
        <f>Return!A39</f>
        <v>46028</v>
      </c>
      <c r="B4879" s="408" t="s">
        <v>76</v>
      </c>
      <c r="C4879" s="409">
        <f>Return!O39</f>
        <v>1.1130572974196395E-2</v>
      </c>
    </row>
    <row r="4880" spans="1:3">
      <c r="A4880" s="406">
        <f>Return!A40</f>
        <v>46027</v>
      </c>
      <c r="B4880" s="408" t="s">
        <v>76</v>
      </c>
      <c r="C4880" s="409">
        <f>Return!O40</f>
        <v>-1.2203422036104472E-3</v>
      </c>
    </row>
    <row r="4881" spans="1:3">
      <c r="A4881" s="406">
        <f>Return!A41</f>
        <v>46024</v>
      </c>
      <c r="B4881" s="408" t="s">
        <v>76</v>
      </c>
      <c r="C4881" s="409">
        <f>Return!O41</f>
        <v>8.3729703759176655E-3</v>
      </c>
    </row>
    <row r="4882" spans="1:3">
      <c r="A4882" s="406">
        <f>Return!A42</f>
        <v>46023</v>
      </c>
      <c r="B4882" s="408" t="s">
        <v>76</v>
      </c>
      <c r="C4882" s="409">
        <f>Return!O42</f>
        <v>-1.0244849214878782E-3</v>
      </c>
    </row>
    <row r="4883" spans="1:3">
      <c r="A4883" s="406">
        <f>Return!A43</f>
        <v>46022</v>
      </c>
      <c r="B4883" s="408" t="s">
        <v>76</v>
      </c>
      <c r="C4883" s="409">
        <f>Return!O43</f>
        <v>9.5337765465681734E-3</v>
      </c>
    </row>
    <row r="4884" spans="1:3">
      <c r="A4884" s="406">
        <f>Return!A44</f>
        <v>46021</v>
      </c>
      <c r="B4884" s="408" t="s">
        <v>76</v>
      </c>
      <c r="C4884" s="409">
        <f>Return!O44</f>
        <v>-3.7817884617179498E-3</v>
      </c>
    </row>
    <row r="4885" spans="1:3">
      <c r="A4885" s="406">
        <f>Return!A45</f>
        <v>46020</v>
      </c>
      <c r="B4885" s="408" t="s">
        <v>76</v>
      </c>
      <c r="C4885" s="409">
        <f>Return!O45</f>
        <v>-6.1944638628443904E-3</v>
      </c>
    </row>
    <row r="4886" spans="1:3">
      <c r="A4886" s="406">
        <f>Return!A46</f>
        <v>46017</v>
      </c>
      <c r="B4886" s="408" t="s">
        <v>76</v>
      </c>
      <c r="C4886" s="409">
        <f>Return!O46</f>
        <v>-2.3411376740325451E-3</v>
      </c>
    </row>
    <row r="4887" spans="1:3">
      <c r="A4887" s="406">
        <f>Return!A47</f>
        <v>46015</v>
      </c>
      <c r="B4887" s="408" t="s">
        <v>76</v>
      </c>
      <c r="C4887" s="409">
        <f>Return!O47</f>
        <v>-4.0367703133612487E-3</v>
      </c>
    </row>
    <row r="4888" spans="1:3">
      <c r="A4888" s="406">
        <f>Return!A48</f>
        <v>46014</v>
      </c>
      <c r="B4888" s="408" t="s">
        <v>76</v>
      </c>
      <c r="C4888" s="409">
        <f>Return!O48</f>
        <v>-2.044614794940558E-3</v>
      </c>
    </row>
    <row r="4889" spans="1:3">
      <c r="A4889" s="406">
        <f>Return!A49</f>
        <v>46013</v>
      </c>
      <c r="B4889" s="408" t="s">
        <v>76</v>
      </c>
      <c r="C4889" s="409">
        <f>Return!O49</f>
        <v>5.0688239079357267E-3</v>
      </c>
    </row>
    <row r="4890" spans="1:3">
      <c r="A4890" s="406">
        <f>Return!A50</f>
        <v>46010</v>
      </c>
      <c r="B4890" s="408" t="s">
        <v>76</v>
      </c>
      <c r="C4890" s="409">
        <f>Return!O50</f>
        <v>9.5399287730673077E-3</v>
      </c>
    </row>
    <row r="4891" spans="1:3">
      <c r="A4891" s="406">
        <f>Return!A51</f>
        <v>46009</v>
      </c>
      <c r="B4891" s="408" t="s">
        <v>76</v>
      </c>
      <c r="C4891" s="409">
        <f>Return!O51</f>
        <v>-2.6332562326499831E-3</v>
      </c>
    </row>
    <row r="4892" spans="1:3">
      <c r="A4892" s="406">
        <f>Return!A52</f>
        <v>46008</v>
      </c>
      <c r="B4892" s="408" t="s">
        <v>76</v>
      </c>
      <c r="C4892" s="409">
        <f>Return!O52</f>
        <v>-4.468005619863491E-3</v>
      </c>
    </row>
    <row r="4893" spans="1:3">
      <c r="A4893" s="406">
        <f>Return!A53</f>
        <v>46007</v>
      </c>
      <c r="B4893" s="408" t="s">
        <v>76</v>
      </c>
      <c r="C4893" s="409">
        <f>Return!O53</f>
        <v>-4.6864843823825053E-3</v>
      </c>
    </row>
    <row r="4894" spans="1:3">
      <c r="A4894" s="406">
        <f>Return!A54</f>
        <v>46006</v>
      </c>
      <c r="B4894" s="408" t="s">
        <v>76</v>
      </c>
      <c r="C4894" s="409">
        <f>Return!O54</f>
        <v>-1.8281584275751106E-3</v>
      </c>
    </row>
    <row r="4895" spans="1:3">
      <c r="A4895" s="406">
        <f>Return!A55</f>
        <v>46003</v>
      </c>
      <c r="B4895" s="408" t="s">
        <v>76</v>
      </c>
      <c r="C4895" s="409">
        <f>Return!O55</f>
        <v>1.395313957933908E-3</v>
      </c>
    </row>
    <row r="4896" spans="1:3">
      <c r="A4896" s="406">
        <f>Return!A56</f>
        <v>46002</v>
      </c>
      <c r="B4896" s="408" t="s">
        <v>76</v>
      </c>
      <c r="C4896" s="409">
        <f>Return!O56</f>
        <v>5.4052183356771977E-3</v>
      </c>
    </row>
    <row r="4897" spans="1:3">
      <c r="A4897" s="406">
        <f>Return!A57</f>
        <v>46001</v>
      </c>
      <c r="B4897" s="408" t="s">
        <v>76</v>
      </c>
      <c r="C4897" s="409">
        <f>Return!O57</f>
        <v>-2.1324806151673537E-3</v>
      </c>
    </row>
    <row r="4898" spans="1:3">
      <c r="A4898" s="406">
        <f>Return!A58</f>
        <v>46000</v>
      </c>
      <c r="B4898" s="408" t="s">
        <v>76</v>
      </c>
      <c r="C4898" s="409">
        <f>Return!O58</f>
        <v>1.4838759217867814E-3</v>
      </c>
    </row>
    <row r="4899" spans="1:3">
      <c r="A4899" s="406">
        <f>Return!A59</f>
        <v>45999</v>
      </c>
      <c r="B4899" s="408" t="s">
        <v>76</v>
      </c>
      <c r="C4899" s="409">
        <f>Return!O59</f>
        <v>-1.6370706752033115E-2</v>
      </c>
    </row>
    <row r="4900" spans="1:3">
      <c r="A4900" s="406">
        <f>Return!A60</f>
        <v>45996</v>
      </c>
      <c r="B4900" s="408" t="s">
        <v>76</v>
      </c>
      <c r="C4900" s="409">
        <f>Return!O60</f>
        <v>-2.9668354434979616E-3</v>
      </c>
    </row>
    <row r="4901" spans="1:3">
      <c r="A4901" s="406">
        <f>Return!A61</f>
        <v>45995</v>
      </c>
      <c r="B4901" s="408" t="s">
        <v>76</v>
      </c>
      <c r="C4901" s="409">
        <f>Return!O61</f>
        <v>-1.355092231355659E-3</v>
      </c>
    </row>
    <row r="4902" spans="1:3">
      <c r="A4902" s="406">
        <f>Return!A62</f>
        <v>45994</v>
      </c>
      <c r="B4902" s="408" t="s">
        <v>76</v>
      </c>
      <c r="C4902" s="409">
        <f>Return!O62</f>
        <v>-2.744768683216714E-3</v>
      </c>
    </row>
    <row r="4903" spans="1:3">
      <c r="A4903" s="406">
        <f>Return!A63</f>
        <v>45993</v>
      </c>
      <c r="B4903" s="408" t="s">
        <v>76</v>
      </c>
      <c r="C4903" s="409">
        <f>Return!O63</f>
        <v>-3.1296382595973338E-3</v>
      </c>
    </row>
    <row r="4904" spans="1:3">
      <c r="A4904" s="406">
        <f>Return!A64</f>
        <v>45992</v>
      </c>
      <c r="B4904" s="408" t="s">
        <v>76</v>
      </c>
      <c r="C4904" s="409">
        <f>Return!O64</f>
        <v>-6.6196485648766235E-3</v>
      </c>
    </row>
    <row r="4905" spans="1:3">
      <c r="A4905" s="406">
        <f>Return!A65</f>
        <v>45989</v>
      </c>
      <c r="B4905" s="408" t="s">
        <v>76</v>
      </c>
      <c r="C4905" s="409">
        <f>Return!O65</f>
        <v>-3.6436008811535636E-5</v>
      </c>
    </row>
    <row r="4906" spans="1:3">
      <c r="A4906" s="406">
        <f>Return!A66</f>
        <v>45988</v>
      </c>
      <c r="B4906" s="408" t="s">
        <v>76</v>
      </c>
      <c r="C4906" s="409">
        <f>Return!O66</f>
        <v>5.5210016082316571E-3</v>
      </c>
    </row>
    <row r="4907" spans="1:3">
      <c r="A4907" s="406">
        <f>Return!A67</f>
        <v>45987</v>
      </c>
      <c r="B4907" s="408" t="s">
        <v>76</v>
      </c>
      <c r="C4907" s="409">
        <f>Return!O67</f>
        <v>-1.4591503862479982E-3</v>
      </c>
    </row>
    <row r="4908" spans="1:3">
      <c r="A4908" s="406">
        <f>Return!A68</f>
        <v>45986</v>
      </c>
      <c r="B4908" s="408" t="s">
        <v>76</v>
      </c>
      <c r="C4908" s="409">
        <f>Return!O68</f>
        <v>8.758784647796336E-3</v>
      </c>
    </row>
    <row r="4909" spans="1:3">
      <c r="A4909" s="406">
        <f>Return!A69</f>
        <v>45985</v>
      </c>
      <c r="B4909" s="408" t="s">
        <v>76</v>
      </c>
      <c r="C4909" s="409">
        <f>Return!O69</f>
        <v>9.4782027553197423E-6</v>
      </c>
    </row>
    <row r="4910" spans="1:3">
      <c r="A4910" s="406">
        <f>Return!A70</f>
        <v>45982</v>
      </c>
      <c r="B4910" s="408" t="s">
        <v>76</v>
      </c>
      <c r="C4910" s="409">
        <f>Return!O70</f>
        <v>2.2031813850271753E-3</v>
      </c>
    </row>
    <row r="4911" spans="1:3">
      <c r="A4911" s="406">
        <f>Return!A71</f>
        <v>45981</v>
      </c>
      <c r="B4911" s="408" t="s">
        <v>76</v>
      </c>
      <c r="C4911" s="409">
        <f>Return!O71</f>
        <v>-3.3054311886540066E-3</v>
      </c>
    </row>
    <row r="4912" spans="1:3">
      <c r="A4912" s="406">
        <f>Return!A72</f>
        <v>45980</v>
      </c>
      <c r="B4912" s="408" t="s">
        <v>76</v>
      </c>
      <c r="C4912" s="409">
        <f>Return!O72</f>
        <v>6.0831615347467505E-4</v>
      </c>
    </row>
    <row r="4913" spans="1:3">
      <c r="A4913" s="406">
        <f>Return!A73</f>
        <v>45979</v>
      </c>
      <c r="B4913" s="408" t="s">
        <v>76</v>
      </c>
      <c r="C4913" s="409">
        <f>Return!O73</f>
        <v>-1.4577902009850208E-3</v>
      </c>
    </row>
    <row r="4914" spans="1:3">
      <c r="A4914" s="406">
        <f>Return!A74</f>
        <v>45978</v>
      </c>
      <c r="B4914" s="408" t="s">
        <v>76</v>
      </c>
      <c r="C4914" s="409">
        <f>Return!O74</f>
        <v>-5.058732521370235E-3</v>
      </c>
    </row>
    <row r="4915" spans="1:3">
      <c r="A4915" s="406">
        <f>Return!A75</f>
        <v>45975</v>
      </c>
      <c r="B4915" s="408" t="s">
        <v>76</v>
      </c>
      <c r="C4915" s="409">
        <f>Return!O75</f>
        <v>1.4890753012846147E-3</v>
      </c>
    </row>
    <row r="4916" spans="1:3">
      <c r="A4916" s="406">
        <f>Return!A76</f>
        <v>45974</v>
      </c>
      <c r="B4916" s="408" t="s">
        <v>76</v>
      </c>
      <c r="C4916" s="409">
        <f>Return!O76</f>
        <v>8.7194388085687358E-4</v>
      </c>
    </row>
    <row r="4917" spans="1:3">
      <c r="A4917" s="406">
        <f>Return!A77</f>
        <v>45973</v>
      </c>
      <c r="B4917" s="408" t="s">
        <v>76</v>
      </c>
      <c r="C4917" s="409">
        <f>Return!O77</f>
        <v>-2.9906941240498419E-5</v>
      </c>
    </row>
    <row r="4918" spans="1:3">
      <c r="A4918" s="406">
        <f>Return!A78</f>
        <v>45972</v>
      </c>
      <c r="B4918" s="408" t="s">
        <v>76</v>
      </c>
      <c r="C4918" s="409">
        <f>Return!O78</f>
        <v>5.1963474852341207E-3</v>
      </c>
    </row>
    <row r="4919" spans="1:3">
      <c r="A4919" s="406">
        <f>Return!A79</f>
        <v>45971</v>
      </c>
      <c r="B4919" s="408" t="s">
        <v>76</v>
      </c>
      <c r="C4919" s="409">
        <f>Return!O79</f>
        <v>-3.9932671096376549E-4</v>
      </c>
    </row>
    <row r="4920" spans="1:3">
      <c r="A4920" s="406">
        <f>Return!A80</f>
        <v>45968</v>
      </c>
      <c r="B4920" s="408" t="s">
        <v>76</v>
      </c>
      <c r="C4920" s="409">
        <f>Return!O80</f>
        <v>4.039267653739298E-4</v>
      </c>
    </row>
    <row r="4921" spans="1:3">
      <c r="A4921" s="406">
        <f>Return!A81</f>
        <v>45967</v>
      </c>
      <c r="B4921" s="408" t="s">
        <v>76</v>
      </c>
      <c r="C4921" s="409">
        <f>Return!O81</f>
        <v>-3.3073981995221935E-3</v>
      </c>
    </row>
    <row r="4922" spans="1:3">
      <c r="A4922" s="406">
        <f>Return!A82</f>
        <v>45965</v>
      </c>
      <c r="B4922" s="408" t="s">
        <v>76</v>
      </c>
      <c r="C4922" s="409">
        <f>Return!O82</f>
        <v>-7.5166856170489904E-3</v>
      </c>
    </row>
    <row r="4923" spans="1:3">
      <c r="A4923" s="406">
        <f>Return!A83</f>
        <v>45964</v>
      </c>
      <c r="B4923" s="408" t="s">
        <v>76</v>
      </c>
      <c r="C4923" s="409">
        <f>Return!O83</f>
        <v>-2.8484908550965304E-3</v>
      </c>
    </row>
    <row r="4924" spans="1:3">
      <c r="A4924" s="406">
        <f>Return!A84</f>
        <v>45961</v>
      </c>
      <c r="B4924" s="408" t="s">
        <v>76</v>
      </c>
      <c r="C4924" s="409">
        <f>Return!O84</f>
        <v>6.7720343572699182E-3</v>
      </c>
    </row>
    <row r="4925" spans="1:3">
      <c r="A4925" s="406">
        <f>Return!A85</f>
        <v>45960</v>
      </c>
      <c r="B4925" s="408" t="s">
        <v>76</v>
      </c>
      <c r="C4925" s="409">
        <f>Return!O85</f>
        <v>-6.1400282488294211E-3</v>
      </c>
    </row>
    <row r="4926" spans="1:3">
      <c r="A4926" s="406">
        <f>Return!A86</f>
        <v>45959</v>
      </c>
      <c r="B4926" s="408" t="s">
        <v>76</v>
      </c>
      <c r="C4926" s="409">
        <f>Return!O86</f>
        <v>-2.0998066914026392E-3</v>
      </c>
    </row>
    <row r="4927" spans="1:3">
      <c r="A4927" s="406">
        <f>Return!A87</f>
        <v>45958</v>
      </c>
      <c r="B4927" s="408" t="s">
        <v>76</v>
      </c>
      <c r="C4927" s="409">
        <f>Return!O87</f>
        <v>5.0311792515382869E-3</v>
      </c>
    </row>
    <row r="4928" spans="1:3">
      <c r="A4928" s="406">
        <f>Return!A88</f>
        <v>45957</v>
      </c>
      <c r="B4928" s="408" t="s">
        <v>76</v>
      </c>
      <c r="C4928" s="409">
        <f>Return!O88</f>
        <v>-2.0645595895194546E-3</v>
      </c>
    </row>
    <row r="4929" spans="1:3">
      <c r="A4929" s="406">
        <f>Return!A89</f>
        <v>45954</v>
      </c>
      <c r="B4929" s="408" t="s">
        <v>76</v>
      </c>
      <c r="C4929" s="409">
        <f>Return!O89</f>
        <v>-2.084718488421955E-3</v>
      </c>
    </row>
    <row r="4930" spans="1:3">
      <c r="A4930" s="406">
        <f>Return!A90</f>
        <v>45953</v>
      </c>
      <c r="B4930" s="408" t="s">
        <v>76</v>
      </c>
      <c r="C4930" s="409">
        <f>Return!O90</f>
        <v>-5.8038082647321465E-3</v>
      </c>
    </row>
    <row r="4931" spans="1:3">
      <c r="A4931" s="406">
        <f>Return!A91</f>
        <v>45951</v>
      </c>
      <c r="B4931" s="408" t="s">
        <v>76</v>
      </c>
      <c r="C4931" s="409">
        <f>Return!O91</f>
        <v>-5.2233077708119247E-4</v>
      </c>
    </row>
    <row r="4932" spans="1:3">
      <c r="A4932" s="406">
        <f>Return!A92</f>
        <v>45950</v>
      </c>
      <c r="B4932" s="408" t="s">
        <v>76</v>
      </c>
      <c r="C4932" s="409">
        <f>Return!O92</f>
        <v>5.253330191758554E-3</v>
      </c>
    </row>
    <row r="4933" spans="1:3">
      <c r="A4933" s="406">
        <f>Return!A93</f>
        <v>45947</v>
      </c>
      <c r="B4933" s="408" t="s">
        <v>76</v>
      </c>
      <c r="C4933" s="409">
        <f>Return!O93</f>
        <v>6.2396598722682661E-3</v>
      </c>
    </row>
    <row r="4934" spans="1:3">
      <c r="A4934" s="406">
        <f>Return!A94</f>
        <v>45946</v>
      </c>
      <c r="B4934" s="408" t="s">
        <v>76</v>
      </c>
      <c r="C4934" s="409">
        <f>Return!O94</f>
        <v>5.6832540323479286E-3</v>
      </c>
    </row>
    <row r="4935" spans="1:3">
      <c r="A4935" s="406">
        <f>Return!A95</f>
        <v>45945</v>
      </c>
      <c r="B4935" s="408" t="s">
        <v>76</v>
      </c>
      <c r="C4935" s="409">
        <f>Return!O95</f>
        <v>3.3502922252000022E-3</v>
      </c>
    </row>
    <row r="4936" spans="1:3">
      <c r="A4936" s="406">
        <f>Return!A96</f>
        <v>45944</v>
      </c>
      <c r="B4936" s="408" t="s">
        <v>76</v>
      </c>
      <c r="C4936" s="409">
        <f>Return!O96</f>
        <v>-4.8589994869205899E-3</v>
      </c>
    </row>
    <row r="4937" spans="1:3">
      <c r="A4937" s="406">
        <f>Return!A97</f>
        <v>45943</v>
      </c>
      <c r="B4937" s="408" t="s">
        <v>76</v>
      </c>
      <c r="C4937" s="409">
        <f>Return!O97</f>
        <v>1.6096739676352279E-3</v>
      </c>
    </row>
    <row r="4938" spans="1:3">
      <c r="A4938" s="406">
        <f>Return!A98</f>
        <v>45940</v>
      </c>
      <c r="B4938" s="408" t="s">
        <v>76</v>
      </c>
      <c r="C4938" s="409">
        <f>Return!O98</f>
        <v>7.6253449375096594E-3</v>
      </c>
    </row>
    <row r="4939" spans="1:3">
      <c r="A4939" s="406">
        <f>Return!A99</f>
        <v>45939</v>
      </c>
      <c r="B4939" s="408" t="s">
        <v>76</v>
      </c>
      <c r="C4939" s="409">
        <f>Return!O99</f>
        <v>5.0993729174284574E-3</v>
      </c>
    </row>
    <row r="4940" spans="1:3">
      <c r="A4940" s="406">
        <f>Return!A100</f>
        <v>45938</v>
      </c>
      <c r="B4940" s="408" t="s">
        <v>76</v>
      </c>
      <c r="C4940" s="409">
        <f>Return!O100</f>
        <v>1.4331251753683105E-3</v>
      </c>
    </row>
    <row r="4941" spans="1:3">
      <c r="A4941" s="406">
        <f>Return!A101</f>
        <v>45937</v>
      </c>
      <c r="B4941" s="408" t="s">
        <v>76</v>
      </c>
      <c r="C4941" s="409">
        <f>Return!O101</f>
        <v>-5.7145512365364137E-4</v>
      </c>
    </row>
    <row r="4942" spans="1:3">
      <c r="A4942" s="406">
        <f>Return!A102</f>
        <v>45936</v>
      </c>
      <c r="B4942" s="408" t="s">
        <v>76</v>
      </c>
      <c r="C4942" s="409">
        <f>Return!O102</f>
        <v>9.8545140968411271E-3</v>
      </c>
    </row>
    <row r="4943" spans="1:3">
      <c r="A4943" s="406">
        <f>Return!A103</f>
        <v>45933</v>
      </c>
      <c r="B4943" s="408" t="s">
        <v>76</v>
      </c>
      <c r="C4943" s="409">
        <f>Return!O103</f>
        <v>-1.0446197150435488E-3</v>
      </c>
    </row>
    <row r="4944" spans="1:3">
      <c r="A4944" s="406">
        <f>Return!A104</f>
        <v>45931</v>
      </c>
      <c r="B4944" s="408" t="s">
        <v>76</v>
      </c>
      <c r="C4944" s="409">
        <f>Return!O104</f>
        <v>8.8963450313321868E-3</v>
      </c>
    </row>
    <row r="4945" spans="1:3">
      <c r="A4945" s="406">
        <f>Return!A105</f>
        <v>45930</v>
      </c>
      <c r="B4945" s="408" t="s">
        <v>76</v>
      </c>
      <c r="C4945" s="409">
        <f>Return!O105</f>
        <v>1.8744567036867998E-3</v>
      </c>
    </row>
    <row r="4946" spans="1:3">
      <c r="A4946" s="406">
        <f>Return!A106</f>
        <v>45929</v>
      </c>
      <c r="B4946" s="408" t="s">
        <v>76</v>
      </c>
      <c r="C4946" s="409">
        <f>Return!O106</f>
        <v>-5.6907855589460876E-4</v>
      </c>
    </row>
    <row r="4947" spans="1:3">
      <c r="A4947" s="406">
        <f>Return!A107</f>
        <v>45926</v>
      </c>
      <c r="B4947" s="408" t="s">
        <v>76</v>
      </c>
      <c r="C4947" s="409">
        <f>Return!O107</f>
        <v>-1.9309903749894386E-2</v>
      </c>
    </row>
    <row r="4948" spans="1:3">
      <c r="A4948" s="406">
        <f>Return!A108</f>
        <v>45925</v>
      </c>
      <c r="B4948" s="408" t="s">
        <v>76</v>
      </c>
      <c r="C4948" s="409">
        <f>Return!O108</f>
        <v>-5.5831579629624928E-3</v>
      </c>
    </row>
    <row r="4949" spans="1:3">
      <c r="A4949" s="406">
        <f>Return!A109</f>
        <v>45924</v>
      </c>
      <c r="B4949" s="408" t="s">
        <v>76</v>
      </c>
      <c r="C4949" s="409">
        <f>Return!O109</f>
        <v>-5.7560253198256639E-3</v>
      </c>
    </row>
    <row r="4950" spans="1:3">
      <c r="A4950" s="406">
        <f>Return!A110</f>
        <v>45923</v>
      </c>
      <c r="B4950" s="408" t="s">
        <v>76</v>
      </c>
      <c r="C4950" s="409">
        <f>Return!O110</f>
        <v>-4.2936208660389052E-3</v>
      </c>
    </row>
    <row r="4951" spans="1:3">
      <c r="A4951" s="406">
        <f>Return!A111</f>
        <v>45922</v>
      </c>
      <c r="B4951" s="408" t="s">
        <v>76</v>
      </c>
      <c r="C4951" s="409">
        <f>Return!O111</f>
        <v>-8.28088718422193E-3</v>
      </c>
    </row>
    <row r="4952" spans="1:3">
      <c r="A4952" s="406">
        <f>Return!A112</f>
        <v>45919</v>
      </c>
      <c r="B4952" s="408" t="s">
        <v>76</v>
      </c>
      <c r="C4952" s="409">
        <f>Return!O112</f>
        <v>1.9735384458439142E-3</v>
      </c>
    </row>
    <row r="4953" spans="1:3">
      <c r="A4953" s="406">
        <f>Return!A113</f>
        <v>45918</v>
      </c>
      <c r="B4953" s="408" t="s">
        <v>76</v>
      </c>
      <c r="C4953" s="409">
        <f>Return!O113</f>
        <v>8.815191330817429E-3</v>
      </c>
    </row>
    <row r="4954" spans="1:3">
      <c r="A4954" s="406">
        <f>Return!A114</f>
        <v>45917</v>
      </c>
      <c r="B4954" s="408" t="s">
        <v>76</v>
      </c>
      <c r="C4954" s="409">
        <f>Return!O114</f>
        <v>-1.8245868596842296E-3</v>
      </c>
    </row>
    <row r="4955" spans="1:3">
      <c r="A4955" s="406">
        <f>Return!A115</f>
        <v>45916</v>
      </c>
      <c r="B4955" s="408" t="s">
        <v>76</v>
      </c>
      <c r="C4955" s="409">
        <f>Return!O115</f>
        <v>1.8160886187024161E-4</v>
      </c>
    </row>
    <row r="4956" spans="1:3">
      <c r="A4956" s="406">
        <f>Return!A116</f>
        <v>45915</v>
      </c>
      <c r="B4956" s="408" t="s">
        <v>76</v>
      </c>
      <c r="C4956" s="409">
        <f>Return!O116</f>
        <v>-3.0116299774523014E-3</v>
      </c>
    </row>
    <row r="4957" spans="1:3">
      <c r="A4957" s="406">
        <f>Return!A117</f>
        <v>45912</v>
      </c>
      <c r="B4957" s="408" t="s">
        <v>76</v>
      </c>
      <c r="C4957" s="409">
        <f>Return!O117</f>
        <v>1.5416996286616858E-3</v>
      </c>
    </row>
    <row r="4958" spans="1:3">
      <c r="A4958" s="406">
        <f>Return!A118</f>
        <v>45911</v>
      </c>
      <c r="B4958" s="408" t="s">
        <v>76</v>
      </c>
      <c r="C4958" s="409">
        <f>Return!O118</f>
        <v>3.0917263056422506E-3</v>
      </c>
    </row>
    <row r="4959" spans="1:3">
      <c r="A4959" s="406">
        <f>Return!A119</f>
        <v>45910</v>
      </c>
      <c r="B4959" s="408" t="s">
        <v>76</v>
      </c>
      <c r="C4959" s="409">
        <f>Return!O119</f>
        <v>1.5716449246054864E-3</v>
      </c>
    </row>
    <row r="4960" spans="1:3">
      <c r="A4960" s="406">
        <f>Return!A120</f>
        <v>45909</v>
      </c>
      <c r="B4960" s="408" t="s">
        <v>76</v>
      </c>
      <c r="C4960" s="409">
        <f>Return!O120</f>
        <v>3.8674122471085148E-3</v>
      </c>
    </row>
    <row r="4961" spans="1:3">
      <c r="A4961" s="406">
        <f>Return!A121</f>
        <v>45908</v>
      </c>
      <c r="B4961" s="408" t="s">
        <v>76</v>
      </c>
      <c r="C4961" s="409">
        <f>Return!O121</f>
        <v>-2.4646728875499235E-3</v>
      </c>
    </row>
    <row r="4962" spans="1:3">
      <c r="A4962" s="406">
        <f>Return!A122</f>
        <v>45905</v>
      </c>
      <c r="B4962" s="408" t="s">
        <v>76</v>
      </c>
      <c r="C4962" s="409">
        <f>Return!O122</f>
        <v>2.7383791295987336E-4</v>
      </c>
    </row>
    <row r="4963" spans="1:3">
      <c r="A4963" s="406">
        <f>Return!A123</f>
        <v>45904</v>
      </c>
      <c r="B4963" s="408" t="s">
        <v>76</v>
      </c>
      <c r="C4963" s="409">
        <f>Return!O123</f>
        <v>3.2516218775247019E-4</v>
      </c>
    </row>
    <row r="4964" spans="1:3">
      <c r="A4964" s="406">
        <f>Return!A124</f>
        <v>45903</v>
      </c>
      <c r="B4964" s="408" t="s">
        <v>76</v>
      </c>
      <c r="C4964" s="409">
        <f>Return!O124</f>
        <v>7.5389737199851314E-3</v>
      </c>
    </row>
    <row r="4965" spans="1:3">
      <c r="A4965" s="406">
        <f>Return!A125</f>
        <v>45902</v>
      </c>
      <c r="B4965" s="408" t="s">
        <v>76</v>
      </c>
      <c r="C4965" s="409">
        <f>Return!O125</f>
        <v>9.0745061503638702E-4</v>
      </c>
    </row>
    <row r="4966" spans="1:3">
      <c r="A4966" s="406">
        <f>Return!A126</f>
        <v>45901</v>
      </c>
      <c r="B4966" s="408" t="s">
        <v>76</v>
      </c>
      <c r="C4966" s="409">
        <f>Return!O126</f>
        <v>3.1281628521988569E-3</v>
      </c>
    </row>
    <row r="4967" spans="1:3">
      <c r="A4967" s="406">
        <f>Return!A127</f>
        <v>45898</v>
      </c>
      <c r="B4967" s="408" t="s">
        <v>76</v>
      </c>
      <c r="C4967" s="409">
        <f>Return!O127</f>
        <v>-3.6932587417548568E-5</v>
      </c>
    </row>
    <row r="4968" spans="1:3">
      <c r="A4968" s="406">
        <f>Return!A128</f>
        <v>45897</v>
      </c>
      <c r="B4968" s="408" t="s">
        <v>76</v>
      </c>
      <c r="C4968" s="409">
        <f>Return!O128</f>
        <v>-1.1812619570673588E-3</v>
      </c>
    </row>
    <row r="4969" spans="1:3">
      <c r="A4969" s="406">
        <f>Return!A129</f>
        <v>45895</v>
      </c>
      <c r="B4969" s="408" t="s">
        <v>76</v>
      </c>
      <c r="C4969" s="409">
        <f>Return!O129</f>
        <v>-9.7251091516655785E-3</v>
      </c>
    </row>
    <row r="4970" spans="1:3">
      <c r="A4970" s="406">
        <f>Return!A130</f>
        <v>45894</v>
      </c>
      <c r="B4970" s="408" t="s">
        <v>76</v>
      </c>
      <c r="C4970" s="409">
        <f>Return!O130</f>
        <v>-1.2725881558261487E-2</v>
      </c>
    </row>
    <row r="4971" spans="1:3">
      <c r="A4971" s="406">
        <f>Return!A131</f>
        <v>45891</v>
      </c>
      <c r="B4971" s="408" t="s">
        <v>76</v>
      </c>
      <c r="C4971" s="409">
        <f>Return!O131</f>
        <v>-4.8815331600504663E-5</v>
      </c>
    </row>
    <row r="4972" spans="1:3">
      <c r="A4972" s="406">
        <f>Return!A132</f>
        <v>45890</v>
      </c>
      <c r="B4972" s="408" t="s">
        <v>76</v>
      </c>
      <c r="C4972" s="409">
        <f>Return!O132</f>
        <v>1.3587105617300921E-3</v>
      </c>
    </row>
    <row r="4973" spans="1:3">
      <c r="A4973" s="406">
        <f>Return!A133</f>
        <v>45889</v>
      </c>
      <c r="B4973" s="408" t="s">
        <v>76</v>
      </c>
      <c r="C4973" s="409">
        <f>Return!O133</f>
        <v>4.0517809025419904E-3</v>
      </c>
    </row>
    <row r="4974" spans="1:3">
      <c r="A4974" s="406">
        <f>Return!A134</f>
        <v>45888</v>
      </c>
      <c r="B4974" s="408" t="s">
        <v>76</v>
      </c>
      <c r="C4974" s="409">
        <f>Return!O134</f>
        <v>4.5915614675995364E-4</v>
      </c>
    </row>
    <row r="4975" spans="1:3">
      <c r="A4975" s="406">
        <f>Return!A135</f>
        <v>45887</v>
      </c>
      <c r="B4975" s="408" t="s">
        <v>76</v>
      </c>
      <c r="C4975" s="409">
        <f>Return!O135</f>
        <v>3.6494419630510588E-3</v>
      </c>
    </row>
    <row r="4976" spans="1:3">
      <c r="A4976" s="406">
        <f>Return!A136</f>
        <v>45883</v>
      </c>
      <c r="B4976" s="408" t="s">
        <v>76</v>
      </c>
      <c r="C4976" s="409">
        <f>Return!O136</f>
        <v>3.2959894153776759E-3</v>
      </c>
    </row>
    <row r="4977" spans="1:3">
      <c r="A4977" s="406">
        <f>Return!A137</f>
        <v>45882</v>
      </c>
      <c r="B4977" s="408" t="s">
        <v>76</v>
      </c>
      <c r="C4977" s="409">
        <f>Return!O137</f>
        <v>-1.1415552728041289E-3</v>
      </c>
    </row>
    <row r="4978" spans="1:3">
      <c r="A4978" s="406">
        <f>Return!A138</f>
        <v>45881</v>
      </c>
      <c r="B4978" s="408" t="s">
        <v>76</v>
      </c>
      <c r="C4978" s="409">
        <f>Return!O138</f>
        <v>1.2241719790841543E-2</v>
      </c>
    </row>
    <row r="4979" spans="1:3">
      <c r="A4979" s="406">
        <f>Return!A139</f>
        <v>45880</v>
      </c>
      <c r="B4979" s="408" t="s">
        <v>76</v>
      </c>
      <c r="C4979" s="409">
        <f>Return!O139</f>
        <v>6.1911946860229161E-3</v>
      </c>
    </row>
    <row r="4980" spans="1:3">
      <c r="A4980" s="406">
        <f>Return!A140</f>
        <v>45877</v>
      </c>
      <c r="B4980" s="408" t="s">
        <v>76</v>
      </c>
      <c r="C4980" s="409">
        <f>Return!O140</f>
        <v>9.932558874909958E-3</v>
      </c>
    </row>
    <row r="4981" spans="1:3">
      <c r="A4981" s="406">
        <f>Return!A141</f>
        <v>45876</v>
      </c>
      <c r="B4981" s="408" t="s">
        <v>76</v>
      </c>
      <c r="C4981" s="409">
        <f>Return!O141</f>
        <v>-1.4642676761485451E-2</v>
      </c>
    </row>
    <row r="4982" spans="1:3">
      <c r="A4982" s="406">
        <f>Return!A142</f>
        <v>45875</v>
      </c>
      <c r="B4982" s="408" t="s">
        <v>76</v>
      </c>
      <c r="C4982" s="409">
        <f>Return!O142</f>
        <v>2.6925485669753169E-3</v>
      </c>
    </row>
    <row r="4983" spans="1:3">
      <c r="A4983" s="406">
        <f>Return!A143</f>
        <v>45874</v>
      </c>
      <c r="B4983" s="408" t="s">
        <v>76</v>
      </c>
      <c r="C4983" s="409">
        <f>Return!O143</f>
        <v>-1.6249694168216089E-2</v>
      </c>
    </row>
    <row r="4984" spans="1:3">
      <c r="A4984" s="406">
        <f>Return!A144</f>
        <v>45873</v>
      </c>
      <c r="B4984" s="408" t="s">
        <v>76</v>
      </c>
      <c r="C4984" s="409">
        <f>Return!O144</f>
        <v>-3.7065757384338038E-3</v>
      </c>
    </row>
    <row r="4985" spans="1:3">
      <c r="A4985" s="406">
        <f>Return!A145</f>
        <v>45870</v>
      </c>
      <c r="B4985" s="408" t="s">
        <v>76</v>
      </c>
      <c r="C4985" s="409">
        <f>Return!O145</f>
        <v>4.9142622159923377E-3</v>
      </c>
    </row>
    <row r="4986" spans="1:3">
      <c r="A4986" s="406">
        <f>Return!A146</f>
        <v>45869</v>
      </c>
      <c r="B4986" s="408" t="s">
        <v>76</v>
      </c>
      <c r="C4986" s="409">
        <f>Return!O146</f>
        <v>-1.9926450725426981E-2</v>
      </c>
    </row>
    <row r="4987" spans="1:3">
      <c r="A4987" s="406">
        <f>Return!A147</f>
        <v>45868</v>
      </c>
      <c r="B4987" s="408" t="s">
        <v>76</v>
      </c>
      <c r="C4987" s="409">
        <f>Return!O147</f>
        <v>-6.4047572358076899E-3</v>
      </c>
    </row>
    <row r="4988" spans="1:3">
      <c r="A4988" s="406">
        <f>Return!A148</f>
        <v>45867</v>
      </c>
      <c r="B4988" s="408" t="s">
        <v>76</v>
      </c>
      <c r="C4988" s="409">
        <f>Return!O148</f>
        <v>-1.4632710720452469E-3</v>
      </c>
    </row>
    <row r="4989" spans="1:3">
      <c r="A4989" s="406">
        <f>Return!A149</f>
        <v>45866</v>
      </c>
      <c r="B4989" s="408" t="s">
        <v>76</v>
      </c>
      <c r="C4989" s="409">
        <f>Return!O149</f>
        <v>1.1537577604866067E-2</v>
      </c>
    </row>
    <row r="4990" spans="1:3">
      <c r="A4990" s="406">
        <f>Return!A150</f>
        <v>45863</v>
      </c>
      <c r="B4990" s="408" t="s">
        <v>76</v>
      </c>
      <c r="C4990" s="409">
        <f>Return!O150</f>
        <v>-2.5998653945128458E-3</v>
      </c>
    </row>
    <row r="4991" spans="1:3">
      <c r="A4991" s="406">
        <f>Return!A151</f>
        <v>45862</v>
      </c>
      <c r="B4991" s="408" t="s">
        <v>76</v>
      </c>
      <c r="C4991" s="409">
        <f>Return!O151</f>
        <v>-2.4198004207696133E-3</v>
      </c>
    </row>
    <row r="4992" spans="1:3">
      <c r="A4992" s="406">
        <f>Return!A152</f>
        <v>45861</v>
      </c>
      <c r="B4992" s="408" t="s">
        <v>76</v>
      </c>
      <c r="C4992" s="409">
        <f>Return!O152</f>
        <v>4.424259205338954E-3</v>
      </c>
    </row>
    <row r="4993" spans="1:3">
      <c r="A4993" s="406">
        <f>Return!A153</f>
        <v>45860</v>
      </c>
      <c r="B4993" s="408" t="s">
        <v>76</v>
      </c>
      <c r="C4993" s="409">
        <f>Return!O153</f>
        <v>9.6825829460054358E-3</v>
      </c>
    </row>
    <row r="4994" spans="1:3">
      <c r="A4994" s="406">
        <f>Return!A154</f>
        <v>45859</v>
      </c>
      <c r="B4994" s="408" t="s">
        <v>76</v>
      </c>
      <c r="C4994" s="409">
        <f>Return!O154</f>
        <v>-4.7317804031341559E-3</v>
      </c>
    </row>
    <row r="4995" spans="1:3">
      <c r="A4995" s="406">
        <f>Return!A155</f>
        <v>45856</v>
      </c>
      <c r="B4995" s="408" t="s">
        <v>76</v>
      </c>
      <c r="C4995" s="409">
        <f>Return!O155</f>
        <v>-3.95014051914655E-3</v>
      </c>
    </row>
    <row r="4996" spans="1:3">
      <c r="A4996" s="406">
        <f>Return!A156</f>
        <v>45855</v>
      </c>
      <c r="B4996" s="408" t="s">
        <v>76</v>
      </c>
      <c r="C4996" s="409">
        <f>Return!O156</f>
        <v>-4.5709962874735943E-3</v>
      </c>
    </row>
    <row r="4997" spans="1:3">
      <c r="A4997" s="406">
        <f>Return!A157</f>
        <v>45854</v>
      </c>
      <c r="B4997" s="408" t="s">
        <v>76</v>
      </c>
      <c r="C4997" s="409">
        <f>Return!O157</f>
        <v>2.5101555305839796E-3</v>
      </c>
    </row>
    <row r="4998" spans="1:3">
      <c r="A4998" s="406">
        <f>Return!A158</f>
        <v>45853</v>
      </c>
      <c r="B4998" s="408" t="s">
        <v>76</v>
      </c>
      <c r="C4998" s="409">
        <f>Return!O158</f>
        <v>2.1036748793901161E-3</v>
      </c>
    </row>
    <row r="4999" spans="1:3">
      <c r="A4999" s="406">
        <f>Return!A159</f>
        <v>45852</v>
      </c>
      <c r="B4999" s="408" t="s">
        <v>76</v>
      </c>
      <c r="C4999" s="409">
        <f>Return!O159</f>
        <v>9.178355830089302E-3</v>
      </c>
    </row>
    <row r="5000" spans="1:3">
      <c r="A5000" s="406">
        <f>Return!A160</f>
        <v>45849</v>
      </c>
      <c r="B5000" s="408" t="s">
        <v>76</v>
      </c>
      <c r="C5000" s="409">
        <f>Return!O160</f>
        <v>7.7289457903695347E-3</v>
      </c>
    </row>
    <row r="5001" spans="1:3">
      <c r="A5001" s="406">
        <f>Return!A161</f>
        <v>45848</v>
      </c>
      <c r="B5001" s="408" t="s">
        <v>76</v>
      </c>
      <c r="C5001" s="409">
        <f>Return!O161</f>
        <v>-1.5806708383192536E-4</v>
      </c>
    </row>
    <row r="5002" spans="1:3">
      <c r="A5002" s="406">
        <f>Return!A162</f>
        <v>45847</v>
      </c>
      <c r="B5002" s="408" t="s">
        <v>76</v>
      </c>
      <c r="C5002" s="409">
        <f>Return!O162</f>
        <v>-4.8687891850041076E-3</v>
      </c>
    </row>
    <row r="5003" spans="1:3">
      <c r="A5003" s="406">
        <f>Return!A163</f>
        <v>45846</v>
      </c>
      <c r="B5003" s="408" t="s">
        <v>76</v>
      </c>
      <c r="C5003" s="409">
        <f>Return!O163</f>
        <v>1.5049245032894287E-3</v>
      </c>
    </row>
    <row r="5004" spans="1:3">
      <c r="A5004" s="406">
        <f>Return!A164</f>
        <v>45845</v>
      </c>
      <c r="B5004" s="408" t="s">
        <v>76</v>
      </c>
      <c r="C5004" s="409">
        <f>Return!O164</f>
        <v>-6.4037479737156788E-3</v>
      </c>
    </row>
    <row r="5005" spans="1:3">
      <c r="A5005" s="406">
        <f>Return!A165</f>
        <v>45842</v>
      </c>
      <c r="B5005" s="408" t="s">
        <v>76</v>
      </c>
      <c r="C5005" s="409">
        <f>Return!O165</f>
        <v>-1.0442102942480602E-3</v>
      </c>
    </row>
    <row r="5006" spans="1:3">
      <c r="A5006" s="406">
        <f>Return!A166</f>
        <v>45841</v>
      </c>
      <c r="B5006" s="408" t="s">
        <v>76</v>
      </c>
      <c r="C5006" s="409">
        <f>Return!O166</f>
        <v>6.4327855607508866E-3</v>
      </c>
    </row>
    <row r="5007" spans="1:3">
      <c r="A5007" s="406">
        <f>Return!A167</f>
        <v>45840</v>
      </c>
      <c r="B5007" s="408" t="s">
        <v>76</v>
      </c>
      <c r="C5007" s="409">
        <f>Return!O167</f>
        <v>6.3498516446509612E-3</v>
      </c>
    </row>
    <row r="5008" spans="1:3">
      <c r="A5008" s="406">
        <f>Return!A168</f>
        <v>45839</v>
      </c>
      <c r="B5008" s="408" t="s">
        <v>76</v>
      </c>
      <c r="C5008" s="409">
        <f>Return!O168</f>
        <v>6.8713360042815808E-4</v>
      </c>
    </row>
    <row r="5009" spans="1:3">
      <c r="A5009" s="406">
        <f>Return!A169</f>
        <v>45838</v>
      </c>
      <c r="B5009" s="408" t="s">
        <v>76</v>
      </c>
      <c r="C5009" s="409">
        <f>Return!O169</f>
        <v>-1.7474619473946129E-3</v>
      </c>
    </row>
    <row r="5010" spans="1:3">
      <c r="A5010" s="406">
        <f>Return!A170</f>
        <v>45835</v>
      </c>
      <c r="B5010" s="408" t="s">
        <v>76</v>
      </c>
      <c r="C5010" s="409">
        <f>Return!O170</f>
        <v>1.0735789149525665E-2</v>
      </c>
    </row>
    <row r="5011" spans="1:3">
      <c r="A5011" s="406">
        <f>Return!A171</f>
        <v>45834</v>
      </c>
      <c r="B5011" s="408" t="s">
        <v>76</v>
      </c>
      <c r="C5011" s="409">
        <f>Return!O171</f>
        <v>5.79541542711004E-3</v>
      </c>
    </row>
    <row r="5012" spans="1:3">
      <c r="A5012" s="406">
        <f>Return!A172</f>
        <v>45833</v>
      </c>
      <c r="B5012" s="408" t="s">
        <v>76</v>
      </c>
      <c r="C5012" s="409">
        <f>Return!O172</f>
        <v>7.5875209772819918E-3</v>
      </c>
    </row>
    <row r="5013" spans="1:3">
      <c r="A5013" s="406">
        <f>Return!A173</f>
        <v>45832</v>
      </c>
      <c r="B5013" s="408" t="s">
        <v>76</v>
      </c>
      <c r="C5013" s="409">
        <f>Return!O173</f>
        <v>1.0679244904157281E-2</v>
      </c>
    </row>
    <row r="5014" spans="1:3">
      <c r="A5014" s="406">
        <f>Return!A174</f>
        <v>45831</v>
      </c>
      <c r="B5014" s="408" t="s">
        <v>76</v>
      </c>
      <c r="C5014" s="409">
        <f>Return!O174</f>
        <v>3.0065786954702745E-4</v>
      </c>
    </row>
    <row r="5015" spans="1:3">
      <c r="A5015" s="406">
        <f>Return!A175</f>
        <v>45828</v>
      </c>
      <c r="B5015" s="408" t="s">
        <v>76</v>
      </c>
      <c r="C5015" s="409">
        <f>Return!O175</f>
        <v>1.5380481729243556E-4</v>
      </c>
    </row>
    <row r="5016" spans="1:3">
      <c r="A5016" s="406">
        <f>Return!A176</f>
        <v>45827</v>
      </c>
      <c r="B5016" s="408" t="s">
        <v>76</v>
      </c>
      <c r="C5016" s="409">
        <f>Return!O176</f>
        <v>4.6511627906977715E-3</v>
      </c>
    </row>
    <row r="5017" spans="1:3">
      <c r="A5017" s="406">
        <f>Return!A177</f>
        <v>45826</v>
      </c>
      <c r="B5017" s="408" t="s">
        <v>76</v>
      </c>
      <c r="C5017" s="409">
        <f>Return!O177</f>
        <v>-1.0295987802279694E-2</v>
      </c>
    </row>
    <row r="5018" spans="1:3">
      <c r="A5018" s="406">
        <f>Return!A178</f>
        <v>45825</v>
      </c>
      <c r="B5018" s="408" t="s">
        <v>76</v>
      </c>
      <c r="C5018" s="409">
        <f>Return!O178</f>
        <v>-4.7289489705901744E-3</v>
      </c>
    </row>
    <row r="5019" spans="1:3">
      <c r="A5019" s="406">
        <f>Return!A179</f>
        <v>45824</v>
      </c>
      <c r="B5019" s="408" t="s">
        <v>76</v>
      </c>
      <c r="C5019" s="409">
        <f>Return!O179</f>
        <v>-1.470259973499477E-2</v>
      </c>
    </row>
    <row r="5020" spans="1:3">
      <c r="A5020" s="406">
        <f>Return!A180</f>
        <v>45821</v>
      </c>
      <c r="B5020" s="408" t="s">
        <v>76</v>
      </c>
      <c r="C5020" s="409">
        <f>Return!O180</f>
        <v>4.4409430809597694E-3</v>
      </c>
    </row>
    <row r="5021" spans="1:3">
      <c r="A5021" s="406">
        <f>Return!A181</f>
        <v>45820</v>
      </c>
      <c r="B5021" s="408" t="s">
        <v>76</v>
      </c>
      <c r="C5021" s="409">
        <f>Return!O181</f>
        <v>-3.0732232313557262E-4</v>
      </c>
    </row>
    <row r="5022" spans="1:3">
      <c r="A5022" s="406">
        <f>Return!A182</f>
        <v>45819</v>
      </c>
      <c r="B5022" s="408" t="s">
        <v>76</v>
      </c>
      <c r="C5022" s="409">
        <f>Return!O182</f>
        <v>-4.2842857028757564E-4</v>
      </c>
    </row>
    <row r="5023" spans="1:3">
      <c r="A5023" s="406">
        <f>Return!A183</f>
        <v>45818</v>
      </c>
      <c r="B5023" s="408" t="s">
        <v>76</v>
      </c>
      <c r="C5023" s="409">
        <f>Return!O183</f>
        <v>2.2759213961447422E-3</v>
      </c>
    </row>
    <row r="5024" spans="1:3">
      <c r="A5024" s="406">
        <f>Return!A184</f>
        <v>45817</v>
      </c>
      <c r="B5024" s="408" t="s">
        <v>76</v>
      </c>
      <c r="C5024" s="409">
        <f>Return!O184</f>
        <v>3.3892042640208953E-3</v>
      </c>
    </row>
    <row r="5025" spans="1:3">
      <c r="A5025" s="406">
        <f>Return!A185</f>
        <v>45814</v>
      </c>
      <c r="B5025" s="408" t="s">
        <v>76</v>
      </c>
      <c r="C5025" s="409">
        <f>Return!O185</f>
        <v>6.6196923511974148E-3</v>
      </c>
    </row>
    <row r="5026" spans="1:3">
      <c r="A5026" s="406">
        <f>Return!A186</f>
        <v>45813</v>
      </c>
      <c r="B5026" s="408" t="s">
        <v>76</v>
      </c>
      <c r="C5026" s="409">
        <f>Return!O186</f>
        <v>1.8100545571004822E-3</v>
      </c>
    </row>
    <row r="5027" spans="1:3">
      <c r="A5027" s="406">
        <f>Return!A187</f>
        <v>45812</v>
      </c>
      <c r="B5027" s="408" t="s">
        <v>76</v>
      </c>
      <c r="C5027" s="409">
        <f>Return!O187</f>
        <v>7.1764985205413634E-3</v>
      </c>
    </row>
    <row r="5028" spans="1:3">
      <c r="A5028" s="406">
        <f>Return!A188</f>
        <v>45811</v>
      </c>
      <c r="B5028" s="408" t="s">
        <v>76</v>
      </c>
      <c r="C5028" s="409">
        <f>Return!O188</f>
        <v>4.4992144445543669E-3</v>
      </c>
    </row>
    <row r="5029" spans="1:3">
      <c r="A5029" s="406">
        <f>Return!A189</f>
        <v>45810</v>
      </c>
      <c r="B5029" s="408" t="s">
        <v>76</v>
      </c>
      <c r="C5029" s="409">
        <f>Return!O189</f>
        <v>-1.6184970613212224E-3</v>
      </c>
    </row>
    <row r="5030" spans="1:3">
      <c r="A5030" s="406">
        <f>Return!A190</f>
        <v>45807</v>
      </c>
      <c r="B5030" s="408" t="s">
        <v>76</v>
      </c>
      <c r="C5030" s="409">
        <f>Return!O190</f>
        <v>-2.9348650717170299E-3</v>
      </c>
    </row>
    <row r="5031" spans="1:3">
      <c r="A5031" s="406">
        <f>Return!A191</f>
        <v>45806</v>
      </c>
      <c r="B5031" s="408" t="s">
        <v>76</v>
      </c>
      <c r="C5031" s="409">
        <f>Return!O191</f>
        <v>-1.8197463817370974E-5</v>
      </c>
    </row>
    <row r="5032" spans="1:3">
      <c r="A5032" s="406">
        <f>Return!A192</f>
        <v>45805</v>
      </c>
      <c r="B5032" s="408" t="s">
        <v>76</v>
      </c>
      <c r="C5032" s="409">
        <f>Return!O192</f>
        <v>-9.7880223886459561E-5</v>
      </c>
    </row>
    <row r="5033" spans="1:3">
      <c r="A5033" s="406">
        <f>Return!A193</f>
        <v>45804</v>
      </c>
      <c r="B5033" s="408" t="s">
        <v>76</v>
      </c>
      <c r="C5033" s="409">
        <f>Return!O193</f>
        <v>3.0460469149964364E-3</v>
      </c>
    </row>
    <row r="5034" spans="1:3">
      <c r="A5034" s="406">
        <f>Return!A194</f>
        <v>45803</v>
      </c>
      <c r="B5034" s="408" t="s">
        <v>76</v>
      </c>
      <c r="C5034" s="409">
        <f>Return!O194</f>
        <v>-2.8265736413222164E-3</v>
      </c>
    </row>
    <row r="5035" spans="1:3">
      <c r="A5035" s="406">
        <f>Return!A195</f>
        <v>45800</v>
      </c>
      <c r="B5035" s="408" t="s">
        <v>76</v>
      </c>
      <c r="C5035" s="409">
        <f>Return!O195</f>
        <v>1.4206010586104156E-4</v>
      </c>
    </row>
    <row r="5036" spans="1:3">
      <c r="A5036" s="406">
        <f>Return!A196</f>
        <v>45799</v>
      </c>
      <c r="B5036" s="408" t="s">
        <v>76</v>
      </c>
      <c r="C5036" s="409">
        <f>Return!O196</f>
        <v>1.2868899370779285E-3</v>
      </c>
    </row>
    <row r="5037" spans="1:3">
      <c r="A5037" s="406">
        <f>Return!A197</f>
        <v>45798</v>
      </c>
      <c r="B5037" s="408" t="s">
        <v>76</v>
      </c>
      <c r="C5037" s="409">
        <f>Return!O197</f>
        <v>-3.5239191675860981E-3</v>
      </c>
    </row>
    <row r="5038" spans="1:3">
      <c r="A5038" s="406">
        <f>Return!A198</f>
        <v>45797</v>
      </c>
      <c r="B5038" s="408" t="s">
        <v>76</v>
      </c>
      <c r="C5038" s="409">
        <f>Return!O198</f>
        <v>-1.2459393863831769E-3</v>
      </c>
    </row>
    <row r="5039" spans="1:3">
      <c r="A5039" s="406">
        <f>Return!A199</f>
        <v>45796</v>
      </c>
      <c r="B5039" s="408" t="s">
        <v>76</v>
      </c>
      <c r="C5039" s="409">
        <f>Return!O199</f>
        <v>6.3990227206538464E-3</v>
      </c>
    </row>
    <row r="5040" spans="1:3">
      <c r="A5040" s="406">
        <f>Return!A200</f>
        <v>45793</v>
      </c>
      <c r="B5040" s="408" t="s">
        <v>76</v>
      </c>
      <c r="C5040" s="409">
        <f>Return!O200</f>
        <v>-9.3797352323109484E-3</v>
      </c>
    </row>
    <row r="5041" spans="1:3">
      <c r="A5041" s="406">
        <f>Return!A201</f>
        <v>45792</v>
      </c>
      <c r="B5041" s="408" t="s">
        <v>76</v>
      </c>
      <c r="C5041" s="409">
        <f>Return!O201</f>
        <v>6.8935754840027119E-3</v>
      </c>
    </row>
    <row r="5042" spans="1:3">
      <c r="A5042" s="406">
        <f>Return!A202</f>
        <v>45791</v>
      </c>
      <c r="B5042" s="408" t="s">
        <v>76</v>
      </c>
      <c r="C5042" s="409">
        <f>Return!O202</f>
        <v>-3.8891774797589207E-4</v>
      </c>
    </row>
    <row r="5043" spans="1:3">
      <c r="A5043" s="406">
        <f>Return!A203</f>
        <v>45790</v>
      </c>
      <c r="B5043" s="408" t="s">
        <v>76</v>
      </c>
      <c r="C5043" s="409">
        <f>Return!O203</f>
        <v>5.7977290526973757E-3</v>
      </c>
    </row>
    <row r="5044" spans="1:3">
      <c r="A5044" s="406">
        <f>Return!A204</f>
        <v>45789</v>
      </c>
      <c r="B5044" s="408" t="s">
        <v>76</v>
      </c>
      <c r="C5044" s="409">
        <f>Return!O204</f>
        <v>1.8116339192508768E-3</v>
      </c>
    </row>
    <row r="5045" spans="1:3">
      <c r="A5045" s="406">
        <f>Return!A205</f>
        <v>45786</v>
      </c>
      <c r="B5045" s="408" t="s">
        <v>76</v>
      </c>
      <c r="C5045" s="409">
        <f>Return!O205</f>
        <v>3.3592066840639756E-3</v>
      </c>
    </row>
    <row r="5046" spans="1:3">
      <c r="A5046" s="406">
        <f>Return!A206</f>
        <v>45785</v>
      </c>
      <c r="B5046" s="408" t="s">
        <v>76</v>
      </c>
      <c r="C5046" s="409">
        <f>Return!O206</f>
        <v>3.3098451819226771E-3</v>
      </c>
    </row>
    <row r="5047" spans="1:3">
      <c r="A5047" s="406">
        <f>Return!A207</f>
        <v>45784</v>
      </c>
      <c r="B5047" s="408" t="s">
        <v>76</v>
      </c>
      <c r="C5047" s="409">
        <f>Return!O207</f>
        <v>-2.1995924782745035E-3</v>
      </c>
    </row>
    <row r="5048" spans="1:3">
      <c r="A5048" s="406">
        <f>Return!A208</f>
        <v>45783</v>
      </c>
      <c r="B5048" s="408" t="s">
        <v>76</v>
      </c>
      <c r="C5048" s="409">
        <f>Return!O208</f>
        <v>-1.4313935226009766E-2</v>
      </c>
    </row>
    <row r="5049" spans="1:3">
      <c r="A5049" s="406">
        <f>Return!A209</f>
        <v>45782</v>
      </c>
      <c r="B5049" s="408" t="s">
        <v>76</v>
      </c>
      <c r="C5049" s="409">
        <f>Return!O209</f>
        <v>-2.2415478091701857E-3</v>
      </c>
    </row>
    <row r="5050" spans="1:3">
      <c r="A5050" s="406">
        <f>Return!A210</f>
        <v>45779</v>
      </c>
      <c r="B5050" s="408" t="s">
        <v>76</v>
      </c>
      <c r="C5050" s="409">
        <f>Return!O210</f>
        <v>-5.077337930134318E-3</v>
      </c>
    </row>
    <row r="5051" spans="1:3">
      <c r="A5051" s="406">
        <f>Return!A211</f>
        <v>45777</v>
      </c>
      <c r="B5051" s="408" t="s">
        <v>76</v>
      </c>
      <c r="C5051" s="409">
        <f>Return!O211</f>
        <v>9.3803635575782085E-3</v>
      </c>
    </row>
    <row r="5052" spans="1:3">
      <c r="A5052" s="406">
        <f>Return!A212</f>
        <v>45776</v>
      </c>
      <c r="B5052" s="408" t="s">
        <v>76</v>
      </c>
      <c r="C5052" s="409">
        <f>Return!O212</f>
        <v>-3.7541851486860844E-3</v>
      </c>
    </row>
    <row r="5053" spans="1:3">
      <c r="A5053" s="406">
        <f>Return!A213</f>
        <v>45775</v>
      </c>
      <c r="B5053" s="408" t="s">
        <v>76</v>
      </c>
      <c r="C5053" s="409">
        <f>Return!O213</f>
        <v>-2.9784592825865541E-4</v>
      </c>
    </row>
    <row r="5054" spans="1:3">
      <c r="A5054" s="406">
        <f>Return!A214</f>
        <v>45772</v>
      </c>
      <c r="B5054" s="408" t="s">
        <v>76</v>
      </c>
      <c r="C5054" s="409">
        <f>Return!O214</f>
        <v>-5.233508460448566E-3</v>
      </c>
    </row>
    <row r="5055" spans="1:3">
      <c r="A5055" s="406">
        <f>Return!A215</f>
        <v>45771</v>
      </c>
      <c r="B5055" s="408" t="s">
        <v>76</v>
      </c>
      <c r="C5055" s="409">
        <f>Return!O215</f>
        <v>1.3928068738051858E-2</v>
      </c>
    </row>
    <row r="5056" spans="1:3">
      <c r="A5056" s="406">
        <f>Return!A216</f>
        <v>45770</v>
      </c>
      <c r="B5056" s="408" t="s">
        <v>76</v>
      </c>
      <c r="C5056" s="409">
        <f>Return!O216</f>
        <v>-1.8101010117678951E-2</v>
      </c>
    </row>
    <row r="5057" spans="1:3">
      <c r="A5057" s="406">
        <f>Return!A217</f>
        <v>45769</v>
      </c>
      <c r="B5057" s="408" t="s">
        <v>76</v>
      </c>
      <c r="C5057" s="409">
        <f>Return!O217</f>
        <v>3.857765051547668E-3</v>
      </c>
    </row>
    <row r="5058" spans="1:3">
      <c r="A5058" s="406">
        <f>Return!A218</f>
        <v>45768</v>
      </c>
      <c r="B5058" s="408" t="s">
        <v>76</v>
      </c>
      <c r="C5058" s="409">
        <f>Return!O218</f>
        <v>9.5190214238605186E-3</v>
      </c>
    </row>
    <row r="5059" spans="1:3">
      <c r="A5059" s="406">
        <f>Return!A219</f>
        <v>45764</v>
      </c>
      <c r="B5059" s="408" t="s">
        <v>76</v>
      </c>
      <c r="C5059" s="409">
        <f>Return!O219</f>
        <v>7.4676294962308098E-3</v>
      </c>
    </row>
    <row r="5060" spans="1:3">
      <c r="A5060" s="406">
        <f>Return!A220</f>
        <v>45763</v>
      </c>
      <c r="B5060" s="408" t="s">
        <v>76</v>
      </c>
      <c r="C5060" s="409">
        <f>Return!O220</f>
        <v>6.0218589539187128E-3</v>
      </c>
    </row>
    <row r="5061" spans="1:3">
      <c r="A5061" s="406">
        <f>Return!A221</f>
        <v>45762</v>
      </c>
      <c r="B5061" s="408" t="s">
        <v>76</v>
      </c>
      <c r="C5061" s="409">
        <f>Return!O221</f>
        <v>8.8079842756245696E-3</v>
      </c>
    </row>
    <row r="5062" spans="1:3">
      <c r="A5062" s="406">
        <f>Return!A222</f>
        <v>45758</v>
      </c>
      <c r="B5062" s="408" t="s">
        <v>76</v>
      </c>
      <c r="C5062" s="409">
        <f>Return!O222</f>
        <v>1.1870194384866473E-3</v>
      </c>
    </row>
    <row r="5063" spans="1:3">
      <c r="A5063" s="406">
        <f>Return!A223</f>
        <v>45756</v>
      </c>
      <c r="B5063" s="408" t="s">
        <v>76</v>
      </c>
      <c r="C5063" s="409">
        <f>Return!O223</f>
        <v>1.8619639905493646E-2</v>
      </c>
    </row>
    <row r="5064" spans="1:3">
      <c r="A5064" s="406">
        <f>Return!A224</f>
        <v>45755</v>
      </c>
      <c r="B5064" s="408" t="s">
        <v>76</v>
      </c>
      <c r="C5064" s="409">
        <f>Return!O224</f>
        <v>2.0922139935058981E-2</v>
      </c>
    </row>
    <row r="5065" spans="1:3">
      <c r="A5065" s="406">
        <f>Return!A225</f>
        <v>45754</v>
      </c>
      <c r="B5065" s="408" t="s">
        <v>76</v>
      </c>
      <c r="C5065" s="409">
        <f>Return!O225</f>
        <v>-5.2226985492135336E-3</v>
      </c>
    </row>
    <row r="5066" spans="1:3">
      <c r="A5066" s="406">
        <f>Return!A226</f>
        <v>45751</v>
      </c>
      <c r="B5066" s="408" t="s">
        <v>76</v>
      </c>
      <c r="C5066" s="409">
        <f>Return!O226</f>
        <v>2.0834750467287E-2</v>
      </c>
    </row>
    <row r="5067" spans="1:3">
      <c r="A5067" s="406">
        <f>Return!A227</f>
        <v>45750</v>
      </c>
      <c r="B5067" s="408" t="s">
        <v>76</v>
      </c>
      <c r="C5067" s="409">
        <f>Return!O227</f>
        <v>-3.0250626445580409E-2</v>
      </c>
    </row>
    <row r="5068" spans="1:3">
      <c r="A5068" s="406">
        <f>Return!A228</f>
        <v>45749</v>
      </c>
      <c r="B5068" s="408" t="s">
        <v>76</v>
      </c>
      <c r="C5068" s="409">
        <f>Return!O228</f>
        <v>-3.1443900301919903E-2</v>
      </c>
    </row>
    <row r="5069" spans="1:3">
      <c r="A5069" s="406">
        <f>Return!A229</f>
        <v>45748</v>
      </c>
      <c r="B5069" s="408" t="s">
        <v>76</v>
      </c>
      <c r="C5069" s="409">
        <f>Return!O229</f>
        <v>1.8886842015340521E-2</v>
      </c>
    </row>
    <row r="5070" spans="1:3">
      <c r="A5070" s="406">
        <f>Return!A230</f>
        <v>45744</v>
      </c>
      <c r="B5070" s="408" t="s">
        <v>76</v>
      </c>
      <c r="C5070" s="409">
        <f>Return!O230</f>
        <v>1.4634736935350556E-3</v>
      </c>
    </row>
    <row r="5071" spans="1:3">
      <c r="A5071" s="406">
        <f>Return!A231</f>
        <v>45743</v>
      </c>
      <c r="B5071" s="408" t="s">
        <v>76</v>
      </c>
      <c r="C5071" s="409">
        <f>Return!O231</f>
        <v>-1.6013893583402994E-2</v>
      </c>
    </row>
    <row r="5072" spans="1:3">
      <c r="A5072" s="406">
        <f>Return!A232</f>
        <v>45742</v>
      </c>
      <c r="B5072" s="408" t="s">
        <v>76</v>
      </c>
      <c r="C5072" s="409">
        <f>Return!O232</f>
        <v>-1.3344661752199283E-3</v>
      </c>
    </row>
    <row r="5073" spans="1:3">
      <c r="A5073" s="406">
        <f>Return!A233</f>
        <v>45741</v>
      </c>
      <c r="B5073" s="408" t="s">
        <v>76</v>
      </c>
      <c r="C5073" s="409">
        <f>Return!O233</f>
        <v>2.3244244617515175E-3</v>
      </c>
    </row>
    <row r="5074" spans="1:3">
      <c r="A5074" s="406">
        <f>Return!A234</f>
        <v>45740</v>
      </c>
      <c r="B5074" s="408" t="s">
        <v>76</v>
      </c>
      <c r="C5074" s="409">
        <f>Return!O234</f>
        <v>-1.2630125662080882E-3</v>
      </c>
    </row>
    <row r="5075" spans="1:3">
      <c r="A5075" s="406">
        <f>Return!A235</f>
        <v>45737</v>
      </c>
      <c r="B5075" s="408" t="s">
        <v>76</v>
      </c>
      <c r="C5075" s="409">
        <f>Return!O235</f>
        <v>-1.2860570451731057E-2</v>
      </c>
    </row>
    <row r="5076" spans="1:3">
      <c r="A5076" s="406">
        <f>Return!A236</f>
        <v>45736</v>
      </c>
      <c r="B5076" s="408" t="s">
        <v>76</v>
      </c>
      <c r="C5076" s="409">
        <f>Return!O236</f>
        <v>-5.4518619664856161E-3</v>
      </c>
    </row>
    <row r="5077" spans="1:3">
      <c r="A5077" s="406">
        <f>Return!A237</f>
        <v>45735</v>
      </c>
      <c r="B5077" s="408" t="s">
        <v>76</v>
      </c>
      <c r="C5077" s="409">
        <f>Return!O237</f>
        <v>6.2692500284677877E-3</v>
      </c>
    </row>
    <row r="5078" spans="1:3">
      <c r="A5078" s="406">
        <f>Return!A238</f>
        <v>45734</v>
      </c>
      <c r="B5078" s="408" t="s">
        <v>76</v>
      </c>
      <c r="C5078" s="409">
        <f>Return!O238</f>
        <v>1.3532058960626481E-2</v>
      </c>
    </row>
    <row r="5079" spans="1:3">
      <c r="A5079" s="406">
        <f>Return!A239</f>
        <v>45733</v>
      </c>
      <c r="B5079" s="408" t="s">
        <v>76</v>
      </c>
      <c r="C5079" s="409">
        <f>Return!O239</f>
        <v>9.3055663513064157E-3</v>
      </c>
    </row>
    <row r="5080" spans="1:3">
      <c r="A5080" s="406">
        <f>Return!A240</f>
        <v>45729</v>
      </c>
      <c r="B5080" s="408" t="s">
        <v>76</v>
      </c>
      <c r="C5080" s="409">
        <f>Return!O240</f>
        <v>1.172179636763504E-2</v>
      </c>
    </row>
    <row r="5081" spans="1:3">
      <c r="A5081" s="406">
        <f>Return!A241</f>
        <v>45728</v>
      </c>
      <c r="B5081" s="408" t="s">
        <v>76</v>
      </c>
      <c r="C5081" s="409">
        <f>Return!O241</f>
        <v>1.2072757994324501E-2</v>
      </c>
    </row>
    <row r="5082" spans="1:3">
      <c r="A5082" s="406">
        <f>Return!A242</f>
        <v>45727</v>
      </c>
      <c r="B5082" s="408" t="s">
        <v>76</v>
      </c>
      <c r="C5082" s="409">
        <f>Return!O242</f>
        <v>7.853515405835676E-3</v>
      </c>
    </row>
    <row r="5083" spans="1:3">
      <c r="A5083" s="406">
        <f>Return!A243</f>
        <v>45726</v>
      </c>
      <c r="B5083" s="408" t="s">
        <v>76</v>
      </c>
      <c r="C5083" s="409">
        <f>Return!O243</f>
        <v>-4.0357849968297721E-4</v>
      </c>
    </row>
    <row r="5084" spans="1:3">
      <c r="A5084" s="406">
        <f>Return!A244</f>
        <v>45723</v>
      </c>
      <c r="B5084" s="408" t="s">
        <v>76</v>
      </c>
      <c r="C5084" s="409">
        <f>Return!O244</f>
        <v>4.7176739889498442E-4</v>
      </c>
    </row>
    <row r="5085" spans="1:3">
      <c r="A5085" s="406">
        <f>Return!A245</f>
        <v>45722</v>
      </c>
      <c r="B5085" s="408" t="s">
        <v>76</v>
      </c>
      <c r="C5085" s="409">
        <f>Return!O245</f>
        <v>3.2649983702877083E-3</v>
      </c>
    </row>
    <row r="5086" spans="1:3">
      <c r="A5086" s="406">
        <f>Return!A246</f>
        <v>45721</v>
      </c>
      <c r="B5086" s="408" t="s">
        <v>76</v>
      </c>
      <c r="C5086" s="409">
        <f>Return!O246</f>
        <v>-1.0267900091527227E-2</v>
      </c>
    </row>
    <row r="5087" spans="1:3">
      <c r="A5087" s="406">
        <f>Return!A247</f>
        <v>45720</v>
      </c>
      <c r="B5087" s="408" t="s">
        <v>76</v>
      </c>
      <c r="C5087" s="409">
        <f>Return!O247</f>
        <v>-4.5356130963218888E-3</v>
      </c>
    </row>
    <row r="5088" spans="1:3">
      <c r="A5088" s="406">
        <f>Return!A248</f>
        <v>45719</v>
      </c>
      <c r="B5088" s="408" t="s">
        <v>76</v>
      </c>
      <c r="C5088" s="409">
        <f>Return!O248</f>
        <v>9.4874552368702236E-3</v>
      </c>
    </row>
    <row r="5089" spans="1:3">
      <c r="A5089" s="406">
        <f>Return!A249</f>
        <v>45716</v>
      </c>
      <c r="B5089" s="408" t="s">
        <v>76</v>
      </c>
      <c r="C5089" s="409">
        <f>Return!O249</f>
        <v>1.8291471355930566E-2</v>
      </c>
    </row>
    <row r="5090" spans="1:3">
      <c r="A5090" s="406">
        <f>Return!A250</f>
        <v>45715</v>
      </c>
      <c r="B5090" s="408" t="s">
        <v>76</v>
      </c>
      <c r="C5090" s="409">
        <f>Return!O250</f>
        <v>1.0342871977701895E-2</v>
      </c>
    </row>
    <row r="5091" spans="1:3">
      <c r="A5091" s="406">
        <f>Return!A251</f>
        <v>45713</v>
      </c>
      <c r="B5091" s="408" t="s">
        <v>76</v>
      </c>
      <c r="C5091" s="409">
        <f>Return!O251</f>
        <v>3.8314351725794449E-3</v>
      </c>
    </row>
    <row r="5092" spans="1:3">
      <c r="A5092" s="406">
        <f>Return!A252</f>
        <v>45712</v>
      </c>
      <c r="B5092" s="408" t="s">
        <v>76</v>
      </c>
      <c r="C5092" s="409">
        <f>Return!O252</f>
        <v>-1.5273642902855822E-2</v>
      </c>
    </row>
    <row r="5093" spans="1:3">
      <c r="A5093" s="406">
        <f>Return!A253</f>
        <v>45709</v>
      </c>
      <c r="B5093" s="408" t="s">
        <v>76</v>
      </c>
      <c r="C5093" s="409">
        <f>Return!O253</f>
        <v>-7.441555020212709E-3</v>
      </c>
    </row>
    <row r="5094" spans="1:3">
      <c r="A5094" s="406">
        <f>Return!A254</f>
        <v>45708</v>
      </c>
      <c r="B5094" s="408" t="s">
        <v>76</v>
      </c>
      <c r="C5094" s="409">
        <f>Return!O254</f>
        <v>5.9162818092739489E-3</v>
      </c>
    </row>
    <row r="5095" spans="1:3">
      <c r="A5095" s="406">
        <f>Return!A255</f>
        <v>45707</v>
      </c>
      <c r="B5095" s="408" t="s">
        <v>76</v>
      </c>
      <c r="C5095" s="409">
        <f>Return!O255</f>
        <v>-7.5854333224590897E-3</v>
      </c>
    </row>
    <row r="5096" spans="1:3">
      <c r="A5096" s="406">
        <f>Return!A256</f>
        <v>45706</v>
      </c>
      <c r="B5096" s="408" t="s">
        <v>76</v>
      </c>
      <c r="C5096" s="409">
        <f>Return!O256</f>
        <v>-1.1163414491338286E-2</v>
      </c>
    </row>
    <row r="5097" spans="1:3">
      <c r="A5097" s="406">
        <f>Return!A257</f>
        <v>45705</v>
      </c>
      <c r="B5097" s="408" t="s">
        <v>76</v>
      </c>
      <c r="C5097" s="409">
        <f>Return!O257</f>
        <v>3.9470727577670672E-3</v>
      </c>
    </row>
    <row r="5098" spans="1:3">
      <c r="A5098" s="406">
        <f>Return!A258</f>
        <v>45702</v>
      </c>
      <c r="B5098" s="408" t="s">
        <v>76</v>
      </c>
      <c r="C5098" s="409">
        <f>Return!O258</f>
        <v>-9.1660836289897407E-4</v>
      </c>
    </row>
    <row r="5099" spans="1:3">
      <c r="A5099" s="406">
        <f>Return!A259</f>
        <v>45701</v>
      </c>
      <c r="B5099" s="408" t="s">
        <v>76</v>
      </c>
      <c r="C5099" s="409">
        <f>Return!O259</f>
        <v>-5.4910505397490761E-3</v>
      </c>
    </row>
    <row r="5100" spans="1:3">
      <c r="A5100" s="406">
        <f>Return!A260</f>
        <v>45700</v>
      </c>
      <c r="B5100" s="408" t="s">
        <v>76</v>
      </c>
      <c r="C5100" s="409">
        <f>Return!O260</f>
        <v>5.9819685110773513E-3</v>
      </c>
    </row>
    <row r="5101" spans="1:3">
      <c r="A5101" s="406">
        <f>Return!A261</f>
        <v>45699</v>
      </c>
      <c r="B5101" s="408" t="s">
        <v>76</v>
      </c>
      <c r="C5101" s="409">
        <f>Return!O261</f>
        <v>-2.6511267202224631E-2</v>
      </c>
    </row>
    <row r="5102" spans="1:3">
      <c r="A5102" s="406">
        <f>Return!A262</f>
        <v>45698</v>
      </c>
      <c r="B5102" s="408" t="s">
        <v>76</v>
      </c>
      <c r="C5102" s="409">
        <f>Return!O262</f>
        <v>6.7343798653514142E-3</v>
      </c>
    </row>
    <row r="5103" spans="1:3">
      <c r="A5103" s="406">
        <f>Return!A263</f>
        <v>45695</v>
      </c>
      <c r="B5103" s="408" t="s">
        <v>76</v>
      </c>
      <c r="C5103" s="409">
        <f>Return!O263</f>
        <v>-5.6935331341719797E-3</v>
      </c>
    </row>
    <row r="5104" spans="1:3">
      <c r="A5104" s="406">
        <f>Return!A264</f>
        <v>45694</v>
      </c>
      <c r="B5104" s="408" t="s">
        <v>76</v>
      </c>
      <c r="C5104" s="409">
        <f>Return!O264</f>
        <v>-2.7098626413241456E-2</v>
      </c>
    </row>
    <row r="5105" spans="1:3">
      <c r="A5105" s="406">
        <f>Return!A265</f>
        <v>45693</v>
      </c>
      <c r="B5105" s="408" t="s">
        <v>76</v>
      </c>
      <c r="C5105" s="409">
        <f>Return!O265</f>
        <v>-2.0696128854959972E-2</v>
      </c>
    </row>
    <row r="5106" spans="1:3">
      <c r="A5106" s="406">
        <f>Return!A266</f>
        <v>45692</v>
      </c>
      <c r="B5106" s="408" t="s">
        <v>76</v>
      </c>
      <c r="C5106" s="409">
        <f>Return!O266</f>
        <v>-1.0318981558882223E-3</v>
      </c>
    </row>
    <row r="5107" spans="1:3">
      <c r="A5107" s="406">
        <f>Return!A267</f>
        <v>45691</v>
      </c>
      <c r="B5107" s="408" t="s">
        <v>76</v>
      </c>
      <c r="C5107" s="409">
        <f>Return!O267</f>
        <v>-4.0494543206137656E-4</v>
      </c>
    </row>
    <row r="5108" spans="1:3">
      <c r="A5108" s="406">
        <f>Return!A268</f>
        <v>45689</v>
      </c>
      <c r="B5108" s="408" t="s">
        <v>76</v>
      </c>
      <c r="C5108" s="409">
        <f>Return!O268</f>
        <v>1.1191620886258802E-2</v>
      </c>
    </row>
    <row r="5109" spans="1:3">
      <c r="A5109" s="406">
        <f>Return!A269</f>
        <v>45688</v>
      </c>
      <c r="B5109" s="408" t="s">
        <v>76</v>
      </c>
      <c r="C5109" s="409">
        <f>Return!O269</f>
        <v>1.664045299257455E-2</v>
      </c>
    </row>
    <row r="5110" spans="1:3">
      <c r="A5110" s="406">
        <f>Return!A270</f>
        <v>45687</v>
      </c>
      <c r="B5110" s="408" t="s">
        <v>76</v>
      </c>
      <c r="C5110" s="409">
        <f>Return!O270</f>
        <v>7.3364159123061601E-3</v>
      </c>
    </row>
    <row r="5111" spans="1:3">
      <c r="A5111" s="406">
        <f>Return!A271</f>
        <v>45686</v>
      </c>
      <c r="B5111" s="408" t="s">
        <v>76</v>
      </c>
      <c r="C5111" s="409">
        <f>Return!O271</f>
        <v>2.9089452735724386E-3</v>
      </c>
    </row>
    <row r="5112" spans="1:3">
      <c r="A5112" s="406">
        <f>Return!A272</f>
        <v>45685</v>
      </c>
      <c r="B5112" s="408" t="s">
        <v>76</v>
      </c>
      <c r="C5112" s="409">
        <f>Return!O272</f>
        <v>1.3172269948151349E-2</v>
      </c>
    </row>
    <row r="5113" spans="1:3">
      <c r="A5113" s="406">
        <f>Return!A273</f>
        <v>45684</v>
      </c>
      <c r="B5113" s="408" t="s">
        <v>76</v>
      </c>
      <c r="C5113" s="409">
        <f>Return!O273</f>
        <v>2.1377180515933958E-2</v>
      </c>
    </row>
    <row r="5114" spans="1:3">
      <c r="A5114" s="406">
        <f>Return!A274</f>
        <v>45681</v>
      </c>
      <c r="B5114" s="408" t="s">
        <v>76</v>
      </c>
      <c r="C5114" s="409">
        <f>Return!O274</f>
        <v>-1.7324492419204973E-2</v>
      </c>
    </row>
    <row r="5115" spans="1:3">
      <c r="A5115" s="406">
        <f>Return!A275</f>
        <v>45680</v>
      </c>
      <c r="B5115" s="408" t="s">
        <v>76</v>
      </c>
      <c r="C5115" s="409">
        <f>Return!O275</f>
        <v>-2.1701635746299353E-2</v>
      </c>
    </row>
    <row r="5116" spans="1:3">
      <c r="A5116" s="406">
        <f>Return!A276</f>
        <v>45679</v>
      </c>
      <c r="B5116" s="408" t="s">
        <v>76</v>
      </c>
      <c r="C5116" s="409">
        <f>Return!O276</f>
        <v>-1.4634947707665047E-2</v>
      </c>
    </row>
    <row r="5117" spans="1:3">
      <c r="A5117" s="406">
        <f>Return!A277</f>
        <v>45678</v>
      </c>
      <c r="B5117" s="408" t="s">
        <v>76</v>
      </c>
      <c r="C5117" s="409">
        <f>Return!O277</f>
        <v>1.1354181856971568E-2</v>
      </c>
    </row>
    <row r="5118" spans="1:3">
      <c r="A5118" s="406">
        <f>Return!A278</f>
        <v>45677</v>
      </c>
      <c r="B5118" s="408" t="s">
        <v>76</v>
      </c>
      <c r="C5118" s="409">
        <f>Return!O278</f>
        <v>-3.8334702731058767E-3</v>
      </c>
    </row>
    <row r="5119" spans="1:3">
      <c r="A5119" s="406">
        <f>Return!A279</f>
        <v>45674</v>
      </c>
      <c r="B5119" s="408" t="s">
        <v>76</v>
      </c>
      <c r="C5119" s="409">
        <f>Return!O279</f>
        <v>-8.6310216807050644E-3</v>
      </c>
    </row>
    <row r="5120" spans="1:3">
      <c r="A5120" s="406">
        <f>Return!A280</f>
        <v>45673</v>
      </c>
      <c r="B5120" s="408" t="s">
        <v>76</v>
      </c>
      <c r="C5120" s="409">
        <f>Return!O280</f>
        <v>9.2773059464670293E-3</v>
      </c>
    </row>
    <row r="5121" spans="1:3">
      <c r="A5121" s="406">
        <f>Return!A281</f>
        <v>45672</v>
      </c>
      <c r="B5121" s="408" t="s">
        <v>76</v>
      </c>
      <c r="C5121" s="409">
        <f>Return!O281</f>
        <v>-4.5967733603069494E-4</v>
      </c>
    </row>
    <row r="5122" spans="1:3">
      <c r="A5122" s="406">
        <f>Return!A282</f>
        <v>45671</v>
      </c>
      <c r="B5122" s="408" t="s">
        <v>76</v>
      </c>
      <c r="C5122" s="409">
        <f>Return!O282</f>
        <v>2.6427301558977767E-3</v>
      </c>
    </row>
    <row r="5123" spans="1:3">
      <c r="A5123" s="406">
        <f>Return!A283</f>
        <v>45670</v>
      </c>
      <c r="B5123" s="408" t="s">
        <v>76</v>
      </c>
      <c r="C5123" s="409">
        <f>Return!O283</f>
        <v>-1.1625934001087357E-2</v>
      </c>
    </row>
    <row r="5124" spans="1:3">
      <c r="A5124" s="406">
        <f>Return!A284</f>
        <v>45667</v>
      </c>
      <c r="B5124" s="408" t="s">
        <v>76</v>
      </c>
      <c r="C5124" s="409">
        <f>Return!O284</f>
        <v>6.4882567810169434E-3</v>
      </c>
    </row>
    <row r="5125" spans="1:3">
      <c r="A5125" s="406">
        <f>Return!A285</f>
        <v>45666</v>
      </c>
      <c r="B5125" s="408" t="s">
        <v>76</v>
      </c>
      <c r="C5125" s="409">
        <f>Return!O285</f>
        <v>-2.4842125642782653E-2</v>
      </c>
    </row>
    <row r="5126" spans="1:3">
      <c r="A5126" s="406">
        <f>Return!A286</f>
        <v>45665</v>
      </c>
      <c r="B5126" s="408" t="s">
        <v>76</v>
      </c>
      <c r="C5126" s="409">
        <f>Return!O286</f>
        <v>-2.1274199816293415E-2</v>
      </c>
    </row>
    <row r="5127" spans="1:3">
      <c r="A5127" s="406">
        <f>Return!A287</f>
        <v>45664</v>
      </c>
      <c r="B5127" s="408" t="s">
        <v>76</v>
      </c>
      <c r="C5127" s="409">
        <f>Return!O287</f>
        <v>-8.6474232843651855E-3</v>
      </c>
    </row>
    <row r="5128" spans="1:3">
      <c r="A5128" s="406">
        <f>Return!A288</f>
        <v>45663</v>
      </c>
      <c r="B5128" s="408" t="s">
        <v>76</v>
      </c>
      <c r="C5128" s="409">
        <f>Return!O288</f>
        <v>-4.6139468994014221E-3</v>
      </c>
    </row>
    <row r="5129" spans="1:3">
      <c r="A5129" s="406">
        <f>Return!A289</f>
        <v>45660</v>
      </c>
      <c r="B5129" s="408" t="s">
        <v>76</v>
      </c>
      <c r="C5129" s="409">
        <f>Return!O289</f>
        <v>1.4150196739199483E-2</v>
      </c>
    </row>
    <row r="5130" spans="1:3">
      <c r="A5130" s="406">
        <f>Return!A290</f>
        <v>45659</v>
      </c>
      <c r="B5130" s="408" t="s">
        <v>76</v>
      </c>
      <c r="C5130" s="409">
        <f>Return!O290</f>
        <v>-7.1384750883334291E-3</v>
      </c>
    </row>
    <row r="5131" spans="1:3">
      <c r="A5131" s="406">
        <f>Return!A291</f>
        <v>45658</v>
      </c>
      <c r="B5131" s="408" t="s">
        <v>76</v>
      </c>
      <c r="C5131" s="409">
        <f>Return!O291</f>
        <v>-5.6330930863646156E-4</v>
      </c>
    </row>
    <row r="5132" spans="1:3">
      <c r="A5132" s="406">
        <f>Return!A292</f>
        <v>45657</v>
      </c>
      <c r="B5132" s="408" t="s">
        <v>76</v>
      </c>
      <c r="C5132" s="409">
        <f>Return!O292</f>
        <v>5.855548696290791E-3</v>
      </c>
    </row>
    <row r="5133" spans="1:3">
      <c r="A5133" s="406">
        <f>Return!A293</f>
        <v>45656</v>
      </c>
      <c r="B5133" s="408" t="s">
        <v>76</v>
      </c>
      <c r="C5133" s="409">
        <f>Return!O293</f>
        <v>2.9798347356064792E-3</v>
      </c>
    </row>
    <row r="5134" spans="1:3">
      <c r="A5134" s="406">
        <f>Return!A294</f>
        <v>45653</v>
      </c>
      <c r="B5134" s="408" t="s">
        <v>76</v>
      </c>
      <c r="C5134" s="409">
        <f>Return!O294</f>
        <v>1.3070176639682352E-3</v>
      </c>
    </row>
    <row r="5135" spans="1:3">
      <c r="A5135" s="406">
        <f>Return!A295</f>
        <v>45652</v>
      </c>
      <c r="B5135" s="408" t="s">
        <v>76</v>
      </c>
      <c r="C5135" s="409">
        <f>Return!O295</f>
        <v>1.078794056252641E-2</v>
      </c>
    </row>
    <row r="5136" spans="1:3">
      <c r="A5136" s="406">
        <f>Return!A296</f>
        <v>45650</v>
      </c>
      <c r="B5136" s="408" t="s">
        <v>76</v>
      </c>
      <c r="C5136" s="409">
        <f>Return!O296</f>
        <v>5.3252982563976037E-3</v>
      </c>
    </row>
    <row r="5137" spans="1:3">
      <c r="A5137" s="406">
        <f>Return!A297</f>
        <v>45649</v>
      </c>
      <c r="B5137" s="408" t="s">
        <v>76</v>
      </c>
      <c r="C5137" s="409">
        <f>Return!O297</f>
        <v>4.5955903135144194E-3</v>
      </c>
    </row>
    <row r="5138" spans="1:3">
      <c r="A5138" s="406">
        <f>Return!A298</f>
        <v>45646</v>
      </c>
      <c r="B5138" s="408" t="s">
        <v>76</v>
      </c>
      <c r="C5138" s="409">
        <f>Return!O298</f>
        <v>2.3048424560756509E-3</v>
      </c>
    </row>
    <row r="5139" spans="1:3">
      <c r="A5139" s="406">
        <f>Return!A299</f>
        <v>45645</v>
      </c>
      <c r="B5139" s="408" t="s">
        <v>76</v>
      </c>
      <c r="C5139" s="409">
        <f>Return!O299</f>
        <v>2.4935863422601567E-3</v>
      </c>
    </row>
    <row r="5140" spans="1:3">
      <c r="A5140" s="406">
        <f>Return!A300</f>
        <v>45644</v>
      </c>
      <c r="B5140" s="408" t="s">
        <v>76</v>
      </c>
      <c r="C5140" s="409">
        <f>Return!O300</f>
        <v>-8.979447302112975E-3</v>
      </c>
    </row>
    <row r="5141" spans="1:3">
      <c r="A5141" s="406">
        <f>Return!A301</f>
        <v>45643</v>
      </c>
      <c r="B5141" s="408" t="s">
        <v>76</v>
      </c>
      <c r="C5141" s="409">
        <f>Return!O301</f>
        <v>3.7175943189322602E-3</v>
      </c>
    </row>
    <row r="5142" spans="1:3">
      <c r="A5142" s="406">
        <f>Return!A302</f>
        <v>45642</v>
      </c>
      <c r="B5142" s="408" t="s">
        <v>76</v>
      </c>
      <c r="C5142" s="409">
        <f>Return!O302</f>
        <v>4.5010045226738793E-3</v>
      </c>
    </row>
    <row r="5143" spans="1:3">
      <c r="A5143" s="406">
        <f>Return!A303</f>
        <v>45639</v>
      </c>
      <c r="B5143" s="408" t="s">
        <v>76</v>
      </c>
      <c r="C5143" s="409">
        <f>Return!O303</f>
        <v>-2.7198073598420081E-3</v>
      </c>
    </row>
    <row r="5144" spans="1:3">
      <c r="A5144" s="406">
        <f>Return!A304</f>
        <v>45638</v>
      </c>
      <c r="B5144" s="408" t="s">
        <v>76</v>
      </c>
      <c r="C5144" s="409">
        <f>Return!O304</f>
        <v>-7.0132717426851787E-4</v>
      </c>
    </row>
    <row r="5145" spans="1:3">
      <c r="A5145" s="406">
        <f>Return!A305</f>
        <v>45637</v>
      </c>
      <c r="B5145" s="408" t="s">
        <v>76</v>
      </c>
      <c r="C5145" s="409">
        <f>Return!O305</f>
        <v>-5.6494748800317574E-3</v>
      </c>
    </row>
    <row r="5146" spans="1:3">
      <c r="A5146" s="406">
        <f>Return!A306</f>
        <v>45636</v>
      </c>
      <c r="B5146" s="408" t="s">
        <v>76</v>
      </c>
      <c r="C5146" s="409">
        <f>Return!O306</f>
        <v>-5.1099197346869962E-3</v>
      </c>
    </row>
    <row r="5147" spans="1:3">
      <c r="A5147" s="406">
        <f>Return!A307</f>
        <v>45635</v>
      </c>
      <c r="B5147" s="408" t="s">
        <v>76</v>
      </c>
      <c r="C5147" s="409">
        <f>Return!O307</f>
        <v>2.0951443459851227E-3</v>
      </c>
    </row>
    <row r="5148" spans="1:3">
      <c r="A5148" s="406">
        <f>Return!A308</f>
        <v>45632</v>
      </c>
      <c r="B5148" s="408" t="s">
        <v>76</v>
      </c>
      <c r="C5148" s="409">
        <f>Return!O308</f>
        <v>-2.2109464225917863E-3</v>
      </c>
    </row>
    <row r="5149" spans="1:3">
      <c r="A5149" s="406">
        <f>Return!A309</f>
        <v>45631</v>
      </c>
      <c r="B5149" s="408" t="s">
        <v>76</v>
      </c>
      <c r="C5149" s="409">
        <f>Return!O309</f>
        <v>1.977642972457172E-3</v>
      </c>
    </row>
    <row r="5150" spans="1:3">
      <c r="A5150" s="406">
        <f>Return!A310</f>
        <v>45630</v>
      </c>
      <c r="B5150" s="408" t="s">
        <v>76</v>
      </c>
      <c r="C5150" s="409">
        <f>Return!O310</f>
        <v>-1.8598240766343199E-3</v>
      </c>
    </row>
    <row r="5151" spans="1:3">
      <c r="A5151" s="406">
        <f>Return!A311</f>
        <v>45629</v>
      </c>
      <c r="B5151" s="408" t="s">
        <v>76</v>
      </c>
      <c r="C5151" s="409">
        <f>Return!O311</f>
        <v>1.6850384361182247E-3</v>
      </c>
    </row>
    <row r="5152" spans="1:3">
      <c r="A5152" s="406">
        <f>Return!A312</f>
        <v>45628</v>
      </c>
      <c r="B5152" s="408" t="s">
        <v>76</v>
      </c>
      <c r="C5152" s="409">
        <f>Return!O312</f>
        <v>5.2996959953253153E-3</v>
      </c>
    </row>
    <row r="5153" spans="1:3">
      <c r="A5153" s="406">
        <f>Return!A313</f>
        <v>45625</v>
      </c>
      <c r="B5153" s="408" t="s">
        <v>76</v>
      </c>
      <c r="C5153" s="409">
        <f>Return!O313</f>
        <v>4.4391395835798875E-3</v>
      </c>
    </row>
    <row r="5154" spans="1:3">
      <c r="A5154" s="406">
        <f>Return!A314</f>
        <v>45624</v>
      </c>
      <c r="B5154" s="408" t="s">
        <v>76</v>
      </c>
      <c r="C5154" s="409">
        <f>Return!O314</f>
        <v>1.0403300477850763E-2</v>
      </c>
    </row>
    <row r="5155" spans="1:3">
      <c r="A5155" s="406">
        <f>Return!A315</f>
        <v>45623</v>
      </c>
      <c r="B5155" s="408" t="s">
        <v>76</v>
      </c>
      <c r="C5155" s="409">
        <f>Return!O315</f>
        <v>-1.7673986885458071E-5</v>
      </c>
    </row>
    <row r="5156" spans="1:3">
      <c r="A5156" s="406">
        <f>Return!A316</f>
        <v>45622</v>
      </c>
      <c r="B5156" s="408" t="s">
        <v>76</v>
      </c>
      <c r="C5156" s="409">
        <f>Return!O316</f>
        <v>1.9054316827785245E-2</v>
      </c>
    </row>
    <row r="5157" spans="1:3">
      <c r="A5157" s="406">
        <f>Return!A317</f>
        <v>45621</v>
      </c>
      <c r="B5157" s="408" t="s">
        <v>76</v>
      </c>
      <c r="C5157" s="409">
        <f>Return!O317</f>
        <v>-5.086925715495183E-3</v>
      </c>
    </row>
    <row r="5158" spans="1:3">
      <c r="A5158" s="406">
        <f>Return!A318</f>
        <v>45618</v>
      </c>
      <c r="B5158" s="408" t="s">
        <v>76</v>
      </c>
      <c r="C5158" s="409">
        <f>Return!O318</f>
        <v>-4.6524071464767447E-3</v>
      </c>
    </row>
    <row r="5159" spans="1:3">
      <c r="A5159" s="406">
        <f>Return!A319</f>
        <v>45617</v>
      </c>
      <c r="B5159" s="408" t="s">
        <v>76</v>
      </c>
      <c r="C5159" s="409">
        <f>Return!O319</f>
        <v>-1.0832326323493291E-2</v>
      </c>
    </row>
    <row r="5160" spans="1:3">
      <c r="A5160" s="406">
        <f>Return!A320</f>
        <v>45615</v>
      </c>
      <c r="B5160" s="408" t="s">
        <v>76</v>
      </c>
      <c r="C5160" s="409">
        <f>Return!O320</f>
        <v>1.4805790375857164E-2</v>
      </c>
    </row>
    <row r="5161" spans="1:3">
      <c r="A5161" s="406">
        <f>Return!A321</f>
        <v>45614</v>
      </c>
      <c r="B5161" s="408" t="s">
        <v>76</v>
      </c>
      <c r="C5161" s="409">
        <f>Return!O321</f>
        <v>7.4427143987261246E-3</v>
      </c>
    </row>
    <row r="5162" spans="1:3">
      <c r="A5162" s="406">
        <f>Return!A322</f>
        <v>45610</v>
      </c>
      <c r="B5162" s="408" t="s">
        <v>76</v>
      </c>
      <c r="C5162" s="409">
        <f>Return!O322</f>
        <v>5.5246449692274435E-3</v>
      </c>
    </row>
    <row r="5163" spans="1:3">
      <c r="A5163" s="406">
        <f>Return!A323</f>
        <v>45609</v>
      </c>
      <c r="B5163" s="408" t="s">
        <v>76</v>
      </c>
      <c r="C5163" s="409">
        <f>Return!O323</f>
        <v>8.3303983268203652E-3</v>
      </c>
    </row>
    <row r="5164" spans="1:3">
      <c r="A5164" s="406">
        <f>Return!A324</f>
        <v>45608</v>
      </c>
      <c r="B5164" s="408" t="s">
        <v>76</v>
      </c>
      <c r="C5164" s="409">
        <f>Return!O324</f>
        <v>-1.0973538175549802E-2</v>
      </c>
    </row>
    <row r="5165" spans="1:3">
      <c r="A5165" s="406">
        <f>Return!A325</f>
        <v>45607</v>
      </c>
      <c r="B5165" s="408" t="s">
        <v>76</v>
      </c>
      <c r="C5165" s="409">
        <f>Return!O325</f>
        <v>3.2091253324293412E-3</v>
      </c>
    </row>
    <row r="5166" spans="1:3">
      <c r="A5166" s="406">
        <f>Return!A326</f>
        <v>45604</v>
      </c>
      <c r="B5166" s="408" t="s">
        <v>76</v>
      </c>
      <c r="C5166" s="409">
        <f>Return!O326</f>
        <v>-1.7888257669069318E-2</v>
      </c>
    </row>
    <row r="5167" spans="1:3">
      <c r="A5167" s="406">
        <f>Return!A327</f>
        <v>45603</v>
      </c>
      <c r="B5167" s="408" t="s">
        <v>76</v>
      </c>
      <c r="C5167" s="409">
        <f>Return!O327</f>
        <v>-1.5392086880616773E-3</v>
      </c>
    </row>
    <row r="5168" spans="1:3">
      <c r="A5168" s="406">
        <f>Return!A328</f>
        <v>45602</v>
      </c>
      <c r="B5168" s="408" t="s">
        <v>76</v>
      </c>
      <c r="C5168" s="409">
        <f>Return!O328</f>
        <v>-1.3436476703112876E-2</v>
      </c>
    </row>
    <row r="5169" spans="1:3">
      <c r="A5169" s="406">
        <f>Return!A329</f>
        <v>45601</v>
      </c>
      <c r="B5169" s="408" t="s">
        <v>76</v>
      </c>
      <c r="C5169" s="409">
        <f>Return!O329</f>
        <v>1.2468564948817651E-3</v>
      </c>
    </row>
    <row r="5170" spans="1:3">
      <c r="A5170" s="406">
        <f>Return!A330</f>
        <v>45600</v>
      </c>
      <c r="B5170" s="408" t="s">
        <v>76</v>
      </c>
      <c r="C5170" s="409">
        <f>Return!O330</f>
        <v>-7.2411898172962674E-3</v>
      </c>
    </row>
    <row r="5171" spans="1:3">
      <c r="A5171" s="406">
        <f>Return!A331</f>
        <v>45597</v>
      </c>
      <c r="B5171" s="408" t="s">
        <v>76</v>
      </c>
      <c r="C5171" s="409">
        <f>Return!O331</f>
        <v>7.7980976646876421E-3</v>
      </c>
    </row>
    <row r="5172" spans="1:3">
      <c r="A5172" s="406">
        <f>Return!A332</f>
        <v>45596</v>
      </c>
      <c r="B5172" s="408" t="s">
        <v>76</v>
      </c>
      <c r="C5172" s="409">
        <f>Return!O332</f>
        <v>6.2847943375587967E-4</v>
      </c>
    </row>
    <row r="5173" spans="1:3">
      <c r="A5173" s="406">
        <f>Return!A333</f>
        <v>45595</v>
      </c>
      <c r="B5173" s="408" t="s">
        <v>76</v>
      </c>
      <c r="C5173" s="409">
        <f>Return!O333</f>
        <v>2.7323050915570857E-3</v>
      </c>
    </row>
    <row r="5174" spans="1:3">
      <c r="A5174" s="406">
        <f>Return!A334</f>
        <v>45594</v>
      </c>
      <c r="B5174" s="408" t="s">
        <v>76</v>
      </c>
      <c r="C5174" s="409">
        <f>Return!O334</f>
        <v>1.4864388602192191E-2</v>
      </c>
    </row>
    <row r="5175" spans="1:3">
      <c r="A5175" s="406">
        <f>Return!A335</f>
        <v>45593</v>
      </c>
      <c r="B5175" s="408" t="s">
        <v>76</v>
      </c>
      <c r="C5175" s="409">
        <f>Return!O335</f>
        <v>5.8563211632123302E-3</v>
      </c>
    </row>
    <row r="5176" spans="1:3">
      <c r="A5176" s="406">
        <f>Return!A336</f>
        <v>45590</v>
      </c>
      <c r="B5176" s="408" t="s">
        <v>76</v>
      </c>
      <c r="C5176" s="409">
        <f>Return!O336</f>
        <v>-3.0884576204515124E-4</v>
      </c>
    </row>
    <row r="5177" spans="1:3">
      <c r="A5177" s="406">
        <f>Return!A337</f>
        <v>45589</v>
      </c>
      <c r="B5177" s="408" t="s">
        <v>76</v>
      </c>
      <c r="C5177" s="409">
        <f>Return!O337</f>
        <v>1.4444347744803299E-2</v>
      </c>
    </row>
    <row r="5178" spans="1:3">
      <c r="A5178" s="406">
        <f>Return!A338</f>
        <v>45588</v>
      </c>
      <c r="B5178" s="408" t="s">
        <v>76</v>
      </c>
      <c r="C5178" s="409">
        <f>Return!O338</f>
        <v>1.2976718506121365E-3</v>
      </c>
    </row>
    <row r="5179" spans="1:3">
      <c r="A5179" s="406">
        <f>Return!A339</f>
        <v>45587</v>
      </c>
      <c r="B5179" s="408" t="s">
        <v>76</v>
      </c>
      <c r="C5179" s="409">
        <f>Return!O339</f>
        <v>4.1522482378115733E-3</v>
      </c>
    </row>
    <row r="5180" spans="1:3">
      <c r="A5180" s="406">
        <f>Return!A340</f>
        <v>45586</v>
      </c>
      <c r="B5180" s="408" t="s">
        <v>76</v>
      </c>
      <c r="C5180" s="409">
        <f>Return!O340</f>
        <v>-7.9988751849686679E-3</v>
      </c>
    </row>
    <row r="5181" spans="1:3">
      <c r="A5181" s="406">
        <f>Return!A341</f>
        <v>45583</v>
      </c>
      <c r="B5181" s="408" t="s">
        <v>76</v>
      </c>
      <c r="C5181" s="409">
        <f>Return!O341</f>
        <v>-1.7373096783460218E-2</v>
      </c>
    </row>
    <row r="5182" spans="1:3">
      <c r="A5182" s="406">
        <f>Return!A342</f>
        <v>45582</v>
      </c>
      <c r="B5182" s="408" t="s">
        <v>76</v>
      </c>
      <c r="C5182" s="409">
        <f>Return!O342</f>
        <v>-7.6194425367042129E-3</v>
      </c>
    </row>
    <row r="5183" spans="1:3">
      <c r="A5183" s="406">
        <f>Return!A343</f>
        <v>45581</v>
      </c>
      <c r="B5183" s="408" t="s">
        <v>76</v>
      </c>
      <c r="C5183" s="409">
        <f>Return!O343</f>
        <v>4.3044901497555355E-3</v>
      </c>
    </row>
    <row r="5184" spans="1:3">
      <c r="A5184" s="406">
        <f>Return!A344</f>
        <v>45580</v>
      </c>
      <c r="B5184" s="408" t="s">
        <v>76</v>
      </c>
      <c r="C5184" s="409">
        <f>Return!O344</f>
        <v>-8.8605764679815513E-3</v>
      </c>
    </row>
    <row r="5185" spans="1:3">
      <c r="A5185" s="406">
        <f>Return!A345</f>
        <v>45579</v>
      </c>
      <c r="B5185" s="408" t="s">
        <v>76</v>
      </c>
      <c r="C5185" s="409">
        <f>Return!O345</f>
        <v>-4.0456175756959922E-3</v>
      </c>
    </row>
    <row r="5186" spans="1:3">
      <c r="A5186" s="406">
        <f>Return!A346</f>
        <v>45576</v>
      </c>
      <c r="B5186" s="408" t="s">
        <v>76</v>
      </c>
      <c r="C5186" s="409">
        <f>Return!O346</f>
        <v>4.5264163757738896E-3</v>
      </c>
    </row>
    <row r="5187" spans="1:3">
      <c r="A5187" s="406">
        <f>Return!A347</f>
        <v>45575</v>
      </c>
      <c r="B5187" s="408" t="s">
        <v>76</v>
      </c>
      <c r="C5187" s="409">
        <f>Return!O347</f>
        <v>1.8796988561446959E-3</v>
      </c>
    </row>
    <row r="5188" spans="1:3">
      <c r="A5188" s="406">
        <f>Return!A348</f>
        <v>45574</v>
      </c>
      <c r="B5188" s="408" t="s">
        <v>76</v>
      </c>
      <c r="C5188" s="409">
        <f>Return!O348</f>
        <v>6.0375482254908519E-3</v>
      </c>
    </row>
    <row r="5189" spans="1:3">
      <c r="A5189" s="406">
        <f>Return!A349</f>
        <v>45573</v>
      </c>
      <c r="B5189" s="408" t="s">
        <v>76</v>
      </c>
      <c r="C5189" s="409">
        <f>Return!O349</f>
        <v>-1.0865462371999701E-2</v>
      </c>
    </row>
    <row r="5190" spans="1:3">
      <c r="A5190" s="406">
        <f>Return!A350</f>
        <v>45572</v>
      </c>
      <c r="B5190" s="408" t="s">
        <v>76</v>
      </c>
      <c r="C5190" s="409">
        <f>Return!O350</f>
        <v>1.3680070408136569E-2</v>
      </c>
    </row>
    <row r="5191" spans="1:3">
      <c r="A5191" s="406">
        <f>Return!A351</f>
        <v>45569</v>
      </c>
      <c r="B5191" s="408" t="s">
        <v>76</v>
      </c>
      <c r="C5191" s="409">
        <f>Return!O351</f>
        <v>1.6459212455121053E-2</v>
      </c>
    </row>
    <row r="5192" spans="1:3">
      <c r="A5192" s="406">
        <f>Return!A352</f>
        <v>45568</v>
      </c>
      <c r="B5192" s="408" t="s">
        <v>76</v>
      </c>
      <c r="C5192" s="409">
        <f>Return!O352</f>
        <v>-1.1430546205476788E-2</v>
      </c>
    </row>
    <row r="5193" spans="1:3">
      <c r="A5193" s="406">
        <f>Return!A353</f>
        <v>45566</v>
      </c>
      <c r="B5193" s="408" t="s">
        <v>76</v>
      </c>
      <c r="C5193" s="409">
        <f>Return!O353</f>
        <v>-6.7085302045444273E-4</v>
      </c>
    </row>
    <row r="5194" spans="1:3">
      <c r="A5194" s="406">
        <f>Return!A354</f>
        <v>45565</v>
      </c>
      <c r="B5194" s="408" t="s">
        <v>76</v>
      </c>
      <c r="C5194" s="409">
        <f>Return!O354</f>
        <v>-9.605067586296423E-3</v>
      </c>
    </row>
    <row r="5195" spans="1:3">
      <c r="A5195" s="406">
        <f>Return!A355</f>
        <v>45562</v>
      </c>
      <c r="B5195" s="408" t="s">
        <v>76</v>
      </c>
      <c r="C5195" s="409">
        <f>Return!O355</f>
        <v>3.2137274621439893E-3</v>
      </c>
    </row>
    <row r="5196" spans="1:3">
      <c r="A5196" s="406">
        <f>Return!A356</f>
        <v>45561</v>
      </c>
      <c r="B5196" s="408" t="s">
        <v>76</v>
      </c>
      <c r="C5196" s="409">
        <f>Return!O356</f>
        <v>-1.1822630359173969E-3</v>
      </c>
    </row>
    <row r="5197" spans="1:3">
      <c r="A5197" s="406">
        <f>Return!A357</f>
        <v>45560</v>
      </c>
      <c r="B5197" s="408" t="s">
        <v>76</v>
      </c>
      <c r="C5197" s="409">
        <f>Return!O357</f>
        <v>1.7592953075238338E-3</v>
      </c>
    </row>
    <row r="5198" spans="1:3">
      <c r="A5198" s="406">
        <f>Return!A358</f>
        <v>45559</v>
      </c>
      <c r="B5198" s="408" t="s">
        <v>76</v>
      </c>
      <c r="C5198" s="409">
        <f>Return!O358</f>
        <v>1.270160192409886E-3</v>
      </c>
    </row>
    <row r="5199" spans="1:3">
      <c r="A5199" s="406">
        <f>Return!A359</f>
        <v>45558</v>
      </c>
      <c r="B5199" s="408" t="s">
        <v>76</v>
      </c>
      <c r="C5199" s="409">
        <f>Return!O359</f>
        <v>-6.1346372859396592E-3</v>
      </c>
    </row>
    <row r="5200" spans="1:3">
      <c r="A5200" s="406">
        <f>Return!A360</f>
        <v>45555</v>
      </c>
      <c r="B5200" s="408" t="s">
        <v>76</v>
      </c>
      <c r="C5200" s="409">
        <f>Return!O360</f>
        <v>1.2015380859120572E-3</v>
      </c>
    </row>
    <row r="5201" spans="1:3">
      <c r="A5201" s="406">
        <f>Return!A361</f>
        <v>45554</v>
      </c>
      <c r="B5201" s="408" t="s">
        <v>76</v>
      </c>
      <c r="C5201" s="409">
        <f>Return!O361</f>
        <v>4.9168254203197925E-3</v>
      </c>
    </row>
    <row r="5202" spans="1:3">
      <c r="A5202" s="406">
        <f>Return!A362</f>
        <v>45553</v>
      </c>
      <c r="B5202" s="408" t="s">
        <v>76</v>
      </c>
      <c r="C5202" s="409">
        <f>Return!O362</f>
        <v>6.2273569168702636E-3</v>
      </c>
    </row>
    <row r="5203" spans="1:3">
      <c r="A5203" s="406">
        <f>Return!A363</f>
        <v>45552</v>
      </c>
      <c r="B5203" s="408" t="s">
        <v>76</v>
      </c>
      <c r="C5203" s="409">
        <f>Return!O363</f>
        <v>1.1716980280864764E-3</v>
      </c>
    </row>
    <row r="5204" spans="1:3">
      <c r="A5204" s="406">
        <f>Return!A364</f>
        <v>45551</v>
      </c>
      <c r="B5204" s="408" t="s">
        <v>76</v>
      </c>
      <c r="C5204" s="409">
        <f>Return!O364</f>
        <v>-9.3287355858772125E-3</v>
      </c>
    </row>
    <row r="5205" spans="1:3">
      <c r="A5205" s="406">
        <f>Return!A365</f>
        <v>45548</v>
      </c>
      <c r="B5205" s="408" t="s">
        <v>76</v>
      </c>
      <c r="C5205" s="409">
        <f>Return!O365</f>
        <v>-3.7776835725948921E-3</v>
      </c>
    </row>
    <row r="5206" spans="1:3">
      <c r="A5206" s="406">
        <f>Return!A366</f>
        <v>45547</v>
      </c>
      <c r="B5206" s="408" t="s">
        <v>76</v>
      </c>
      <c r="C5206" s="409">
        <f>Return!O366</f>
        <v>-5.2857943337114577E-4</v>
      </c>
    </row>
    <row r="5207" spans="1:3">
      <c r="A5207" s="406">
        <f>Return!A367</f>
        <v>45546</v>
      </c>
      <c r="B5207" s="408" t="s">
        <v>76</v>
      </c>
      <c r="C5207" s="409">
        <f>Return!O367</f>
        <v>2.5226364944483937E-3</v>
      </c>
    </row>
    <row r="5208" spans="1:3">
      <c r="A5208" s="406">
        <f>Return!A368</f>
        <v>45545</v>
      </c>
      <c r="B5208" s="408" t="s">
        <v>76</v>
      </c>
      <c r="C5208" s="409">
        <f>Return!O368</f>
        <v>9.2486859010809663E-3</v>
      </c>
    </row>
    <row r="5209" spans="1:3">
      <c r="A5209" s="406">
        <f>Return!A369</f>
        <v>45544</v>
      </c>
      <c r="B5209" s="408" t="s">
        <v>76</v>
      </c>
      <c r="C5209" s="409">
        <f>Return!O369</f>
        <v>-2.2045656360273336E-3</v>
      </c>
    </row>
    <row r="5210" spans="1:3">
      <c r="A5210" s="406">
        <f>Return!A370</f>
        <v>45541</v>
      </c>
      <c r="B5210" s="408" t="s">
        <v>76</v>
      </c>
      <c r="C5210" s="409">
        <f>Return!O370</f>
        <v>1.3636101246662147E-2</v>
      </c>
    </row>
    <row r="5211" spans="1:3">
      <c r="A5211" s="406">
        <f>Return!A371</f>
        <v>45540</v>
      </c>
      <c r="B5211" s="408" t="s">
        <v>76</v>
      </c>
      <c r="C5211" s="409">
        <f>Return!O371</f>
        <v>-1.4340285998718505E-3</v>
      </c>
    </row>
    <row r="5212" spans="1:3">
      <c r="A5212" s="406">
        <f>Return!A372</f>
        <v>45539</v>
      </c>
      <c r="B5212" s="408" t="s">
        <v>76</v>
      </c>
      <c r="C5212" s="409">
        <f>Return!O372</f>
        <v>-2.1512088033821541E-3</v>
      </c>
    </row>
    <row r="5213" spans="1:3">
      <c r="A5213" s="406">
        <f>Return!A373</f>
        <v>45538</v>
      </c>
      <c r="B5213" s="408" t="s">
        <v>76</v>
      </c>
      <c r="C5213" s="409">
        <f>Return!O373</f>
        <v>4.4847722530449996E-3</v>
      </c>
    </row>
    <row r="5214" spans="1:3">
      <c r="A5214" s="406">
        <f>Return!A374</f>
        <v>45537</v>
      </c>
      <c r="B5214" s="408" t="s">
        <v>76</v>
      </c>
      <c r="C5214" s="409">
        <f>Return!O374</f>
        <v>9.7872598805537336E-3</v>
      </c>
    </row>
    <row r="5215" spans="1:3">
      <c r="A5215" s="406">
        <f>Return!A375</f>
        <v>45534</v>
      </c>
      <c r="B5215" s="408" t="s">
        <v>76</v>
      </c>
      <c r="C5215" s="409">
        <f>Return!O375</f>
        <v>2.8204679818593092E-3</v>
      </c>
    </row>
    <row r="5216" spans="1:3">
      <c r="A5216" s="406">
        <f>Return!A376</f>
        <v>45533</v>
      </c>
      <c r="B5216" s="408" t="s">
        <v>76</v>
      </c>
      <c r="C5216" s="409">
        <f>Return!O376</f>
        <v>-3.7842424833783861E-3</v>
      </c>
    </row>
    <row r="5217" spans="1:3">
      <c r="A5217" s="406">
        <f>Return!A377</f>
        <v>45532</v>
      </c>
      <c r="B5217" s="408" t="s">
        <v>76</v>
      </c>
      <c r="C5217" s="409">
        <f>Return!O377</f>
        <v>-1.8780542667129474E-5</v>
      </c>
    </row>
    <row r="5218" spans="1:3">
      <c r="A5218" s="406">
        <f>Return!A378</f>
        <v>45531</v>
      </c>
      <c r="B5218" s="408" t="s">
        <v>76</v>
      </c>
      <c r="C5218" s="409">
        <f>Return!O378</f>
        <v>1.196589187793462E-2</v>
      </c>
    </row>
    <row r="5219" spans="1:3">
      <c r="A5219" s="406">
        <f>Return!A379</f>
        <v>45530</v>
      </c>
      <c r="B5219" s="408" t="s">
        <v>76</v>
      </c>
      <c r="C5219" s="409">
        <f>Return!O379</f>
        <v>-4.000812869092818E-3</v>
      </c>
    </row>
    <row r="5220" spans="1:3">
      <c r="A5220" s="406">
        <f>Return!A380</f>
        <v>45527</v>
      </c>
      <c r="B5220" s="408" t="s">
        <v>76</v>
      </c>
      <c r="C5220" s="409">
        <f>Return!O380</f>
        <v>9.677474629911087E-3</v>
      </c>
    </row>
    <row r="5221" spans="1:3">
      <c r="A5221" s="406">
        <f>Return!A381</f>
        <v>45526</v>
      </c>
      <c r="B5221" s="408" t="s">
        <v>76</v>
      </c>
      <c r="C5221" s="409">
        <f>Return!O381</f>
        <v>5.5888210324706034E-3</v>
      </c>
    </row>
    <row r="5222" spans="1:3">
      <c r="A5222" s="406">
        <f>Return!A382</f>
        <v>45525</v>
      </c>
      <c r="B5222" s="408" t="s">
        <v>76</v>
      </c>
      <c r="C5222" s="409">
        <f>Return!O382</f>
        <v>9.0124372075695014E-4</v>
      </c>
    </row>
    <row r="5223" spans="1:3">
      <c r="A5223" s="406">
        <f>Return!A383</f>
        <v>45524</v>
      </c>
      <c r="B5223" s="408" t="s">
        <v>76</v>
      </c>
      <c r="C5223" s="409">
        <f>Return!O383</f>
        <v>5.3990883772545573E-3</v>
      </c>
    </row>
    <row r="5224" spans="1:3">
      <c r="A5224" s="406">
        <f>Return!A384</f>
        <v>45523</v>
      </c>
      <c r="B5224" s="408" t="s">
        <v>76</v>
      </c>
      <c r="C5224" s="409">
        <f>Return!O384</f>
        <v>1.6406204074652653E-3</v>
      </c>
    </row>
    <row r="5225" spans="1:3">
      <c r="A5225" s="406">
        <f>Return!A385</f>
        <v>45520</v>
      </c>
      <c r="B5225" s="408" t="s">
        <v>76</v>
      </c>
      <c r="C5225" s="409">
        <f>Return!O385</f>
        <v>2.9590860019823584E-3</v>
      </c>
    </row>
    <row r="5226" spans="1:3">
      <c r="A5226" s="406">
        <f>Return!A386</f>
        <v>45518</v>
      </c>
      <c r="B5226" s="408" t="s">
        <v>76</v>
      </c>
      <c r="C5226" s="409">
        <f>Return!O386</f>
        <v>4.6966412239088928E-3</v>
      </c>
    </row>
    <row r="5227" spans="1:3">
      <c r="A5227" s="406">
        <f>Return!A387</f>
        <v>45517</v>
      </c>
      <c r="B5227" s="408" t="s">
        <v>76</v>
      </c>
      <c r="C5227" s="409">
        <f>Return!O387</f>
        <v>4.2107976496323918E-3</v>
      </c>
    </row>
    <row r="5228" spans="1:3">
      <c r="A5228" s="406">
        <f>Return!A388</f>
        <v>45516</v>
      </c>
      <c r="B5228" s="408" t="s">
        <v>76</v>
      </c>
      <c r="C5228" s="409">
        <f>Return!O388</f>
        <v>9.7268460997856909E-3</v>
      </c>
    </row>
    <row r="5229" spans="1:3">
      <c r="A5229" s="406">
        <f>Return!A389</f>
        <v>45513</v>
      </c>
      <c r="B5229" s="408" t="s">
        <v>76</v>
      </c>
      <c r="C5229" s="409">
        <f>Return!O389</f>
        <v>-6.9956652793556895E-4</v>
      </c>
    </row>
    <row r="5230" spans="1:3">
      <c r="A5230" s="406">
        <f>Return!A390</f>
        <v>45512</v>
      </c>
      <c r="B5230" s="408" t="s">
        <v>76</v>
      </c>
      <c r="C5230" s="409">
        <f>Return!O390</f>
        <v>8.1094475063459015E-4</v>
      </c>
    </row>
    <row r="5231" spans="1:3">
      <c r="A5231" s="406">
        <f>Return!A391</f>
        <v>45511</v>
      </c>
      <c r="B5231" s="408" t="s">
        <v>76</v>
      </c>
      <c r="C5231" s="409">
        <f>Return!O391</f>
        <v>-4.8714855711240457E-4</v>
      </c>
    </row>
    <row r="5232" spans="1:3">
      <c r="A5232" s="406">
        <f>Return!A392</f>
        <v>45510</v>
      </c>
      <c r="B5232" s="408" t="s">
        <v>76</v>
      </c>
      <c r="C5232" s="409">
        <f>Return!O392</f>
        <v>6.0833844915453295E-3</v>
      </c>
    </row>
    <row r="5233" spans="1:3">
      <c r="A5233" s="406">
        <f>Return!A393</f>
        <v>45509</v>
      </c>
      <c r="B5233" s="408" t="s">
        <v>76</v>
      </c>
      <c r="C5233" s="409">
        <f>Return!O393</f>
        <v>4.0239719930079687E-3</v>
      </c>
    </row>
    <row r="5234" spans="1:3">
      <c r="A5234" s="406">
        <f>Return!A394</f>
        <v>45506</v>
      </c>
      <c r="B5234" s="408" t="s">
        <v>76</v>
      </c>
      <c r="C5234" s="409">
        <f>Return!O394</f>
        <v>1.3179039041107954E-2</v>
      </c>
    </row>
    <row r="5235" spans="1:3">
      <c r="A5235" s="406">
        <f>Return!A395</f>
        <v>45505</v>
      </c>
      <c r="B5235" s="408" t="s">
        <v>76</v>
      </c>
      <c r="C5235" s="409">
        <f>Return!O395</f>
        <v>5.0421803628668549E-3</v>
      </c>
    </row>
    <row r="5236" spans="1:3">
      <c r="A5236" s="406">
        <f>Return!A396</f>
        <v>45504</v>
      </c>
      <c r="B5236" s="408" t="s">
        <v>76</v>
      </c>
      <c r="C5236" s="409">
        <f>Return!O396</f>
        <v>-1.7227505890099359E-2</v>
      </c>
    </row>
    <row r="5237" spans="1:3">
      <c r="A5237" s="406">
        <f>Return!A397</f>
        <v>45503</v>
      </c>
      <c r="B5237" s="408" t="s">
        <v>76</v>
      </c>
      <c r="C5237" s="409">
        <f>Return!O397</f>
        <v>2.295776053186982E-3</v>
      </c>
    </row>
    <row r="5238" spans="1:3">
      <c r="A5238" s="406">
        <f>Return!A398</f>
        <v>45502</v>
      </c>
      <c r="B5238" s="408" t="s">
        <v>76</v>
      </c>
      <c r="C5238" s="409">
        <f>Return!O398</f>
        <v>-8.6403857621264457E-5</v>
      </c>
    </row>
    <row r="5239" spans="1:3">
      <c r="A5239" s="406">
        <f>Return!A399</f>
        <v>45499</v>
      </c>
      <c r="B5239" s="408" t="s">
        <v>76</v>
      </c>
      <c r="C5239" s="409">
        <f>Return!O399</f>
        <v>6.8760881997100842E-3</v>
      </c>
    </row>
    <row r="5240" spans="1:3">
      <c r="A5240" s="406">
        <f>Return!A400</f>
        <v>45498</v>
      </c>
      <c r="B5240" s="408" t="s">
        <v>76</v>
      </c>
      <c r="C5240" s="409">
        <f>Return!O400</f>
        <v>-1.9599702177308664E-4</v>
      </c>
    </row>
    <row r="5241" spans="1:3">
      <c r="A5241" s="406">
        <f>Return!A401</f>
        <v>45497</v>
      </c>
      <c r="B5241" s="408" t="s">
        <v>76</v>
      </c>
      <c r="C5241" s="409">
        <f>Return!O401</f>
        <v>2.1948706695356091E-3</v>
      </c>
    </row>
    <row r="5242" spans="1:3">
      <c r="A5242" s="406">
        <f>Return!A402</f>
        <v>45496</v>
      </c>
      <c r="B5242" s="408" t="s">
        <v>76</v>
      </c>
      <c r="C5242" s="409">
        <f>Return!O402</f>
        <v>1.9098466347122978E-2</v>
      </c>
    </row>
    <row r="5243" spans="1:3">
      <c r="A5243" s="406">
        <f>Return!A403</f>
        <v>45495</v>
      </c>
      <c r="B5243" s="408" t="s">
        <v>76</v>
      </c>
      <c r="C5243" s="409">
        <f>Return!O403</f>
        <v>9.054222546895474E-3</v>
      </c>
    </row>
    <row r="5244" spans="1:3">
      <c r="A5244" s="406">
        <f>Return!A404</f>
        <v>45492</v>
      </c>
      <c r="B5244" s="408" t="s">
        <v>76</v>
      </c>
      <c r="C5244" s="409">
        <f>Return!O404</f>
        <v>8.4910550055083966E-3</v>
      </c>
    </row>
    <row r="5245" spans="1:3">
      <c r="A5245" s="406">
        <f>Return!A405</f>
        <v>45491</v>
      </c>
      <c r="B5245" s="408" t="s">
        <v>76</v>
      </c>
      <c r="C5245" s="409">
        <f>Return!O405</f>
        <v>4.505262812624089E-4</v>
      </c>
    </row>
    <row r="5246" spans="1:3">
      <c r="A5246" s="406">
        <f>Return!A406</f>
        <v>45489</v>
      </c>
      <c r="B5246" s="408" t="s">
        <v>76</v>
      </c>
      <c r="C5246" s="409">
        <f>Return!O406</f>
        <v>6.8278331209399301E-3</v>
      </c>
    </row>
    <row r="5247" spans="1:3">
      <c r="A5247" s="406">
        <f>Return!A407</f>
        <v>45488</v>
      </c>
      <c r="B5247" s="408" t="s">
        <v>76</v>
      </c>
      <c r="C5247" s="409">
        <f>Return!O407</f>
        <v>-1.3700414911523628E-2</v>
      </c>
    </row>
    <row r="5248" spans="1:3">
      <c r="A5248" s="406">
        <f>Return!A408</f>
        <v>45485</v>
      </c>
      <c r="B5248" s="408" t="s">
        <v>76</v>
      </c>
      <c r="C5248" s="409">
        <f>Return!O408</f>
        <v>-7.072249188246893E-4</v>
      </c>
    </row>
    <row r="5249" spans="1:3">
      <c r="A5249" s="406">
        <f>Return!A409</f>
        <v>45484</v>
      </c>
      <c r="B5249" s="408" t="s">
        <v>76</v>
      </c>
      <c r="C5249" s="409">
        <f>Return!O409</f>
        <v>-8.94060843960931E-4</v>
      </c>
    </row>
    <row r="5250" spans="1:3">
      <c r="A5250" s="406">
        <f>Return!A410</f>
        <v>45483</v>
      </c>
      <c r="B5250" s="408" t="s">
        <v>76</v>
      </c>
      <c r="C5250" s="409">
        <f>Return!O410</f>
        <v>6.5029739914734819E-3</v>
      </c>
    </row>
    <row r="5251" spans="1:3">
      <c r="A5251" s="406">
        <f>Return!A411</f>
        <v>45482</v>
      </c>
      <c r="B5251" s="408" t="s">
        <v>76</v>
      </c>
      <c r="C5251" s="409">
        <f>Return!O411</f>
        <v>-2.2011494197666792E-3</v>
      </c>
    </row>
    <row r="5252" spans="1:3">
      <c r="A5252" s="406">
        <f>Return!A412</f>
        <v>45481</v>
      </c>
      <c r="B5252" s="408" t="s">
        <v>76</v>
      </c>
      <c r="C5252" s="409">
        <f>Return!O412</f>
        <v>-4.8412621407947221E-3</v>
      </c>
    </row>
    <row r="5253" spans="1:3">
      <c r="A5253" s="406">
        <f>Return!A413</f>
        <v>45478</v>
      </c>
      <c r="B5253" s="408" t="s">
        <v>76</v>
      </c>
      <c r="C5253" s="409">
        <f>Return!O413</f>
        <v>6.9863058202368489E-3</v>
      </c>
    </row>
    <row r="5254" spans="1:3">
      <c r="A5254" s="406">
        <f>Return!A414</f>
        <v>45477</v>
      </c>
      <c r="B5254" s="408" t="s">
        <v>76</v>
      </c>
      <c r="C5254" s="409">
        <f>Return!O414</f>
        <v>9.6638628918646052E-3</v>
      </c>
    </row>
    <row r="5255" spans="1:3">
      <c r="A5255" s="406">
        <f>Return!A415</f>
        <v>45476</v>
      </c>
      <c r="B5255" s="408" t="s">
        <v>76</v>
      </c>
      <c r="C5255" s="409">
        <f>Return!O415</f>
        <v>-5.9085472249005289E-3</v>
      </c>
    </row>
    <row r="5256" spans="1:3">
      <c r="A5256" s="406">
        <f>Return!A416</f>
        <v>45475</v>
      </c>
      <c r="B5256" s="408" t="s">
        <v>76</v>
      </c>
      <c r="C5256" s="409">
        <f>Return!O416</f>
        <v>7.4522828806278252E-3</v>
      </c>
    </row>
    <row r="5257" spans="1:3">
      <c r="A5257" s="406">
        <f>Return!A417</f>
        <v>45474</v>
      </c>
      <c r="B5257" s="408" t="s">
        <v>76</v>
      </c>
      <c r="C5257" s="409">
        <f>Return!O417</f>
        <v>8.3918160224574212E-3</v>
      </c>
    </row>
    <row r="5258" spans="1:3">
      <c r="A5258" s="406">
        <f>Return!A418</f>
        <v>45471</v>
      </c>
      <c r="B5258" s="408" t="s">
        <v>76</v>
      </c>
      <c r="C5258" s="409">
        <f>Return!O418</f>
        <v>8.3078861331191689E-3</v>
      </c>
    </row>
    <row r="5259" spans="1:3">
      <c r="A5259" s="406">
        <f>Return!A419</f>
        <v>45470</v>
      </c>
      <c r="B5259" s="408" t="s">
        <v>76</v>
      </c>
      <c r="C5259" s="409">
        <f>Return!O419</f>
        <v>-4.8838641913481196E-3</v>
      </c>
    </row>
    <row r="5260" spans="1:3">
      <c r="A5260" s="406">
        <f>Return!A420</f>
        <v>45469</v>
      </c>
      <c r="B5260" s="408" t="s">
        <v>76</v>
      </c>
      <c r="C5260" s="409">
        <f>Return!O420</f>
        <v>3.0698119190695206E-3</v>
      </c>
    </row>
    <row r="5261" spans="1:3">
      <c r="A5261" s="406">
        <f>Return!A421</f>
        <v>45468</v>
      </c>
      <c r="B5261" s="408" t="s">
        <v>76</v>
      </c>
      <c r="C5261" s="409">
        <f>Return!O421</f>
        <v>-4.4699205218545757E-5</v>
      </c>
    </row>
    <row r="5262" spans="1:3">
      <c r="A5262" s="406">
        <f>Return!A422</f>
        <v>45467</v>
      </c>
      <c r="B5262" s="408" t="s">
        <v>76</v>
      </c>
      <c r="C5262" s="409">
        <f>Return!O422</f>
        <v>8.0644378307124231E-3</v>
      </c>
    </row>
    <row r="5263" spans="1:3">
      <c r="A5263" s="406">
        <f>Return!A423</f>
        <v>45464</v>
      </c>
      <c r="B5263" s="408" t="s">
        <v>76</v>
      </c>
      <c r="C5263" s="409">
        <f>Return!O423</f>
        <v>2.6669495475895033E-4</v>
      </c>
    </row>
    <row r="5264" spans="1:3">
      <c r="A5264" s="406">
        <f>Return!A424</f>
        <v>45463</v>
      </c>
      <c r="B5264" s="408" t="s">
        <v>76</v>
      </c>
      <c r="C5264" s="409">
        <f>Return!O424</f>
        <v>1.2059375909221348E-3</v>
      </c>
    </row>
    <row r="5265" spans="1:3">
      <c r="A5265" s="406">
        <f>Return!A425</f>
        <v>45462</v>
      </c>
      <c r="B5265" s="408" t="s">
        <v>76</v>
      </c>
      <c r="C5265" s="409">
        <f>Return!O425</f>
        <v>-9.2982823210574495E-4</v>
      </c>
    </row>
    <row r="5266" spans="1:3">
      <c r="A5266" s="406">
        <f>Return!A426</f>
        <v>45461</v>
      </c>
      <c r="B5266" s="408" t="s">
        <v>76</v>
      </c>
      <c r="C5266" s="409">
        <f>Return!O426</f>
        <v>-2.9290845629744711E-3</v>
      </c>
    </row>
    <row r="5267" spans="1:3">
      <c r="A5267" s="406">
        <f>Return!A427</f>
        <v>45457</v>
      </c>
      <c r="B5267" s="408" t="s">
        <v>76</v>
      </c>
      <c r="C5267" s="409">
        <f>Return!O427</f>
        <v>-1.2962145376437251E-3</v>
      </c>
    </row>
    <row r="5268" spans="1:3">
      <c r="A5268" s="406">
        <f>Return!A428</f>
        <v>45456</v>
      </c>
      <c r="B5268" s="408" t="s">
        <v>76</v>
      </c>
      <c r="C5268" s="409">
        <f>Return!O428</f>
        <v>-1.2937943696784693E-3</v>
      </c>
    </row>
    <row r="5269" spans="1:3">
      <c r="A5269" s="406">
        <f>Return!A429</f>
        <v>45455</v>
      </c>
      <c r="B5269" s="408" t="s">
        <v>76</v>
      </c>
      <c r="C5269" s="409">
        <f>Return!O429</f>
        <v>-6.6752917994966632E-3</v>
      </c>
    </row>
    <row r="5270" spans="1:3">
      <c r="A5270" s="406">
        <f>Return!A430</f>
        <v>45454</v>
      </c>
      <c r="B5270" s="408" t="s">
        <v>76</v>
      </c>
      <c r="C5270" s="409">
        <f>Return!O430</f>
        <v>-2.2164826963114725E-3</v>
      </c>
    </row>
    <row r="5271" spans="1:3">
      <c r="A5271" s="406">
        <f>Return!A431</f>
        <v>45453</v>
      </c>
      <c r="B5271" s="408" t="s">
        <v>76</v>
      </c>
      <c r="C5271" s="409">
        <f>Return!O431</f>
        <v>6.4103957920287336E-3</v>
      </c>
    </row>
    <row r="5272" spans="1:3">
      <c r="A5272" s="406">
        <f>Return!A432</f>
        <v>45450</v>
      </c>
      <c r="B5272" s="408" t="s">
        <v>76</v>
      </c>
      <c r="C5272" s="409">
        <f>Return!O432</f>
        <v>8.0850032517858494E-3</v>
      </c>
    </row>
    <row r="5273" spans="1:3">
      <c r="A5273" s="406">
        <f>Return!A433</f>
        <v>45449</v>
      </c>
      <c r="B5273" s="408" t="s">
        <v>76</v>
      </c>
      <c r="C5273" s="409">
        <f>Return!O433</f>
        <v>8.1828025791210734E-3</v>
      </c>
    </row>
    <row r="5274" spans="1:3">
      <c r="A5274" s="406">
        <f>Return!A434</f>
        <v>45448</v>
      </c>
      <c r="B5274" s="408" t="s">
        <v>76</v>
      </c>
      <c r="C5274" s="409">
        <f>Return!O434</f>
        <v>-2.6945388692054539E-3</v>
      </c>
    </row>
    <row r="5275" spans="1:3">
      <c r="A5275" s="406">
        <f>Return!A435</f>
        <v>45447</v>
      </c>
      <c r="B5275" s="408" t="s">
        <v>76</v>
      </c>
      <c r="C5275" s="409">
        <f>Return!O435</f>
        <v>8.2821287277849986E-3</v>
      </c>
    </row>
    <row r="5276" spans="1:3">
      <c r="A5276" s="406">
        <f>Return!A436</f>
        <v>45446</v>
      </c>
      <c r="B5276" s="408" t="s">
        <v>76</v>
      </c>
      <c r="C5276" s="409">
        <f>Return!O436</f>
        <v>1.164643378737984E-2</v>
      </c>
    </row>
    <row r="5277" spans="1:3">
      <c r="A5277" s="406">
        <f>Return!A437</f>
        <v>45443</v>
      </c>
      <c r="B5277" s="408" t="s">
        <v>76</v>
      </c>
      <c r="C5277" s="409">
        <f>Return!O437</f>
        <v>1.4869998653521677E-4</v>
      </c>
    </row>
    <row r="5278" spans="1:3">
      <c r="A5278" s="406">
        <f>Return!A438</f>
        <v>45442</v>
      </c>
      <c r="B5278" s="408" t="s">
        <v>76</v>
      </c>
      <c r="C5278" s="409">
        <f>Return!O438</f>
        <v>3.2122222192921601E-2</v>
      </c>
    </row>
    <row r="5279" spans="1:3">
      <c r="A5279" s="406">
        <f>Return!A439</f>
        <v>45441</v>
      </c>
      <c r="B5279" s="408" t="s">
        <v>76</v>
      </c>
      <c r="C5279" s="409">
        <f>Return!O439</f>
        <v>-1.30599199956275E-2</v>
      </c>
    </row>
    <row r="5280" spans="1:3">
      <c r="A5280" s="406">
        <f>Return!A440</f>
        <v>45440</v>
      </c>
      <c r="B5280" s="408" t="s">
        <v>76</v>
      </c>
      <c r="C5280" s="409">
        <f>Return!O440</f>
        <v>1.3635446740705159E-3</v>
      </c>
    </row>
    <row r="5281" spans="1:3">
      <c r="A5281" s="406">
        <f>Return!A441</f>
        <v>45439</v>
      </c>
      <c r="B5281" s="408" t="s">
        <v>76</v>
      </c>
      <c r="C5281" s="409">
        <f>Return!O441</f>
        <v>-5.7071720389267888E-5</v>
      </c>
    </row>
    <row r="5282" spans="1:3">
      <c r="A5282" s="406">
        <f>Return!A442</f>
        <v>45436</v>
      </c>
      <c r="B5282" s="408" t="s">
        <v>76</v>
      </c>
      <c r="C5282" s="409">
        <f>Return!O442</f>
        <v>-1.0689556580115278E-2</v>
      </c>
    </row>
    <row r="5283" spans="1:3">
      <c r="A5283" s="406">
        <f>Return!A443</f>
        <v>45435</v>
      </c>
      <c r="B5283" s="408" t="s">
        <v>76</v>
      </c>
      <c r="C5283" s="409">
        <f>Return!O443</f>
        <v>-5.4137763989237087E-4</v>
      </c>
    </row>
    <row r="5284" spans="1:3">
      <c r="A5284" s="406">
        <f>Return!A444</f>
        <v>45434</v>
      </c>
      <c r="B5284" s="408" t="s">
        <v>76</v>
      </c>
      <c r="C5284" s="409">
        <f>Return!O444</f>
        <v>-3.5572421044549607E-4</v>
      </c>
    </row>
    <row r="5285" spans="1:3">
      <c r="A5285" s="406">
        <f>Return!A445</f>
        <v>45433</v>
      </c>
      <c r="B5285" s="408" t="s">
        <v>76</v>
      </c>
      <c r="C5285" s="409">
        <f>Return!O445</f>
        <v>1.86400096206496E-3</v>
      </c>
    </row>
    <row r="5286" spans="1:3">
      <c r="A5286" s="406">
        <f>Return!A446</f>
        <v>45430</v>
      </c>
      <c r="B5286" s="408" t="s">
        <v>76</v>
      </c>
      <c r="C5286" s="409">
        <f>Return!O446</f>
        <v>-5.5101183944022969E-3</v>
      </c>
    </row>
    <row r="5287" spans="1:3">
      <c r="A5287" s="406">
        <f>Return!A447</f>
        <v>45429</v>
      </c>
      <c r="B5287" s="408" t="s">
        <v>76</v>
      </c>
      <c r="C5287" s="409">
        <f>Return!O447</f>
        <v>-6.5752941290451172E-3</v>
      </c>
    </row>
    <row r="5288" spans="1:3">
      <c r="A5288" s="406">
        <f>Return!A448</f>
        <v>45428</v>
      </c>
      <c r="B5288" s="408" t="s">
        <v>76</v>
      </c>
      <c r="C5288" s="409">
        <f>Return!O448</f>
        <v>-4.4373486575256527E-3</v>
      </c>
    </row>
    <row r="5289" spans="1:3">
      <c r="A5289" s="406">
        <f>Return!A449</f>
        <v>45427</v>
      </c>
      <c r="B5289" s="408" t="s">
        <v>76</v>
      </c>
      <c r="C5289" s="409">
        <f>Return!O449</f>
        <v>2.0627576857434882E-3</v>
      </c>
    </row>
    <row r="5290" spans="1:3">
      <c r="A5290" s="406">
        <f>Return!A450</f>
        <v>45426</v>
      </c>
      <c r="B5290" s="408" t="s">
        <v>76</v>
      </c>
      <c r="C5290" s="409">
        <f>Return!O450</f>
        <v>-8.515924219202331E-4</v>
      </c>
    </row>
    <row r="5291" spans="1:3">
      <c r="A5291" s="406">
        <f>Return!A451</f>
        <v>45425</v>
      </c>
      <c r="B5291" s="408" t="s">
        <v>76</v>
      </c>
      <c r="C5291" s="409">
        <f>Return!O451</f>
        <v>4.2062024259801323E-3</v>
      </c>
    </row>
    <row r="5292" spans="1:3">
      <c r="A5292" s="406">
        <f>Return!A452</f>
        <v>45422</v>
      </c>
      <c r="B5292" s="408" t="s">
        <v>76</v>
      </c>
      <c r="C5292" s="409">
        <f>Return!O452</f>
        <v>3.3684612674325098E-3</v>
      </c>
    </row>
    <row r="5293" spans="1:3">
      <c r="A5293" s="406">
        <f>Return!A453</f>
        <v>45421</v>
      </c>
      <c r="B5293" s="408" t="s">
        <v>76</v>
      </c>
      <c r="C5293" s="409">
        <f>Return!O453</f>
        <v>-1.2755950134157867E-3</v>
      </c>
    </row>
    <row r="5294" spans="1:3">
      <c r="A5294" s="406">
        <f>Return!A454</f>
        <v>45420</v>
      </c>
      <c r="B5294" s="408" t="s">
        <v>76</v>
      </c>
      <c r="C5294" s="409">
        <f>Return!O454</f>
        <v>9.3685193588706195E-3</v>
      </c>
    </row>
    <row r="5295" spans="1:3">
      <c r="A5295" s="406">
        <f>Return!A455</f>
        <v>45419</v>
      </c>
      <c r="B5295" s="408" t="s">
        <v>76</v>
      </c>
      <c r="C5295" s="409">
        <f>Return!O455</f>
        <v>9.4665878696347239E-3</v>
      </c>
    </row>
    <row r="5296" spans="1:3">
      <c r="A5296" s="406">
        <f>Return!A456</f>
        <v>45418</v>
      </c>
      <c r="B5296" s="408" t="s">
        <v>76</v>
      </c>
      <c r="C5296" s="409">
        <f>Return!O456</f>
        <v>-1.3814837999438723E-2</v>
      </c>
    </row>
    <row r="5297" spans="1:3">
      <c r="A5297" s="406">
        <f>Return!A457</f>
        <v>45415</v>
      </c>
      <c r="B5297" s="408" t="s">
        <v>76</v>
      </c>
      <c r="C5297" s="409">
        <f>Return!O457</f>
        <v>5.3684648967178283E-4</v>
      </c>
    </row>
    <row r="5298" spans="1:3">
      <c r="A5298" s="406">
        <f>Return!A458</f>
        <v>45414</v>
      </c>
      <c r="B5298" s="408" t="s">
        <v>76</v>
      </c>
      <c r="C5298" s="409">
        <f>Return!O458</f>
        <v>-1.7434352130865305E-2</v>
      </c>
    </row>
    <row r="5299" spans="1:3">
      <c r="A5299" s="406">
        <f>Return!A459</f>
        <v>45412</v>
      </c>
      <c r="B5299" s="408" t="s">
        <v>76</v>
      </c>
      <c r="C5299" s="409">
        <f>Return!O459</f>
        <v>9.1917093346598477E-3</v>
      </c>
    </row>
    <row r="5300" spans="1:3">
      <c r="A5300" s="406">
        <f>Return!A460</f>
        <v>45411</v>
      </c>
      <c r="B5300" s="408" t="s">
        <v>76</v>
      </c>
      <c r="C5300" s="409">
        <f>Return!O460</f>
        <v>2.2908620540740277E-3</v>
      </c>
    </row>
    <row r="5301" spans="1:3">
      <c r="A5301" s="406">
        <f>Return!A461</f>
        <v>45408</v>
      </c>
      <c r="B5301" s="408" t="s">
        <v>76</v>
      </c>
      <c r="C5301" s="409">
        <f>Return!O461</f>
        <v>-1.0983549690287697E-3</v>
      </c>
    </row>
    <row r="5302" spans="1:3">
      <c r="A5302" s="406">
        <f>Return!A462</f>
        <v>45407</v>
      </c>
      <c r="B5302" s="408" t="s">
        <v>76</v>
      </c>
      <c r="C5302" s="409">
        <f>Return!O462</f>
        <v>-5.2946149959502975E-3</v>
      </c>
    </row>
    <row r="5303" spans="1:3">
      <c r="A5303" s="406">
        <f>Return!A463</f>
        <v>45406</v>
      </c>
      <c r="B5303" s="408" t="s">
        <v>76</v>
      </c>
      <c r="C5303" s="409">
        <f>Return!O463</f>
        <v>8.0528437316278456E-3</v>
      </c>
    </row>
    <row r="5304" spans="1:3">
      <c r="A5304" s="406">
        <f>Return!A464</f>
        <v>45405</v>
      </c>
      <c r="B5304" s="408" t="s">
        <v>76</v>
      </c>
      <c r="C5304" s="409">
        <f>Return!O464</f>
        <v>3.5399412064618385E-3</v>
      </c>
    </row>
    <row r="5305" spans="1:3">
      <c r="A5305" s="406">
        <f>Return!A465</f>
        <v>45404</v>
      </c>
      <c r="B5305" s="408" t="s">
        <v>76</v>
      </c>
      <c r="C5305" s="409">
        <f>Return!O465</f>
        <v>2.2398794825908563E-3</v>
      </c>
    </row>
    <row r="5306" spans="1:3">
      <c r="A5306" s="406">
        <f>Return!A466</f>
        <v>45401</v>
      </c>
      <c r="B5306" s="408" t="s">
        <v>76</v>
      </c>
      <c r="C5306" s="409">
        <f>Return!O466</f>
        <v>8.2768014917344868E-3</v>
      </c>
    </row>
    <row r="5307" spans="1:3">
      <c r="A5307" s="406">
        <f>Return!A467</f>
        <v>45400</v>
      </c>
      <c r="B5307" s="408" t="s">
        <v>76</v>
      </c>
      <c r="C5307" s="409">
        <f>Return!O467</f>
        <v>1.6373760593679787E-3</v>
      </c>
    </row>
    <row r="5308" spans="1:3">
      <c r="A5308" s="406">
        <f>Return!A468</f>
        <v>45398</v>
      </c>
      <c r="B5308" s="408" t="s">
        <v>76</v>
      </c>
      <c r="C5308" s="409">
        <f>Return!O468</f>
        <v>7.2975688039276232E-3</v>
      </c>
    </row>
    <row r="5309" spans="1:3">
      <c r="A5309" s="406">
        <f>Return!A469</f>
        <v>45397</v>
      </c>
      <c r="B5309" s="408" t="s">
        <v>76</v>
      </c>
      <c r="C5309" s="409">
        <f>Return!O469</f>
        <v>-6.923003303900499E-3</v>
      </c>
    </row>
    <row r="5310" spans="1:3">
      <c r="A5310" s="406">
        <f>Return!A470</f>
        <v>45394</v>
      </c>
      <c r="B5310" s="408" t="s">
        <v>76</v>
      </c>
      <c r="C5310" s="409">
        <f>Return!O470</f>
        <v>-8.9972789094606709E-3</v>
      </c>
    </row>
    <row r="5311" spans="1:3">
      <c r="A5311" s="406">
        <f>Return!A471</f>
        <v>45392</v>
      </c>
      <c r="B5311" s="408" t="s">
        <v>76</v>
      </c>
      <c r="C5311" s="409">
        <f>Return!O471</f>
        <v>2.2426111619111566E-3</v>
      </c>
    </row>
    <row r="5312" spans="1:3">
      <c r="A5312" s="406">
        <f>Return!A472</f>
        <v>45391</v>
      </c>
      <c r="B5312" s="408" t="s">
        <v>76</v>
      </c>
      <c r="C5312" s="409">
        <f>Return!O472</f>
        <v>-9.4290741770381992E-3</v>
      </c>
    </row>
    <row r="5313" spans="1:3">
      <c r="A5313" s="406">
        <f>Return!A473</f>
        <v>45390</v>
      </c>
      <c r="B5313" s="408" t="s">
        <v>76</v>
      </c>
      <c r="C5313" s="409">
        <f>Return!O473</f>
        <v>-1.0864660217419719E-2</v>
      </c>
    </row>
    <row r="5314" spans="1:3">
      <c r="A5314" s="406">
        <f>Return!A474</f>
        <v>45387</v>
      </c>
      <c r="B5314" s="408" t="s">
        <v>76</v>
      </c>
      <c r="C5314" s="409">
        <f>Return!O474</f>
        <v>8.2017851927629337E-4</v>
      </c>
    </row>
    <row r="5315" spans="1:3">
      <c r="A5315" s="406">
        <f>Return!A475</f>
        <v>45386</v>
      </c>
      <c r="B5315" s="408" t="s">
        <v>76</v>
      </c>
      <c r="C5315" s="409">
        <f>Return!O475</f>
        <v>-2.0139599503322669E-3</v>
      </c>
    </row>
    <row r="5316" spans="1:3">
      <c r="A5316" s="406">
        <f>Return!A476</f>
        <v>45385</v>
      </c>
      <c r="B5316" s="408" t="s">
        <v>76</v>
      </c>
      <c r="C5316" s="409">
        <f>Return!O476</f>
        <v>8.0747647737717809E-3</v>
      </c>
    </row>
    <row r="5317" spans="1:3">
      <c r="A5317" s="406">
        <f>Return!A477</f>
        <v>45384</v>
      </c>
      <c r="B5317" s="408" t="s">
        <v>76</v>
      </c>
      <c r="C5317" s="409">
        <f>Return!O477</f>
        <v>6.82988216158531E-5</v>
      </c>
    </row>
    <row r="5318" spans="1:3">
      <c r="A5318" s="406">
        <f>Return!A478</f>
        <v>45383</v>
      </c>
      <c r="B5318" s="408" t="s">
        <v>76</v>
      </c>
      <c r="C5318" s="409">
        <f>Return!O478</f>
        <v>3.2924611664983949E-3</v>
      </c>
    </row>
    <row r="5319" spans="1:3">
      <c r="A5319" s="406">
        <f>Return!A479</f>
        <v>45379</v>
      </c>
      <c r="B5319" s="408" t="s">
        <v>76</v>
      </c>
      <c r="C5319" s="409">
        <f>Return!O479</f>
        <v>-2.0195069028794421E-4</v>
      </c>
    </row>
    <row r="5320" spans="1:3">
      <c r="A5320" s="406">
        <f>Return!A480</f>
        <v>45378</v>
      </c>
      <c r="B5320" s="408" t="s">
        <v>76</v>
      </c>
      <c r="C5320" s="409">
        <f>Return!O480</f>
        <v>4.9105788702918929E-4</v>
      </c>
    </row>
    <row r="5321" spans="1:3">
      <c r="A5321" s="406">
        <f>Return!A481</f>
        <v>45377</v>
      </c>
      <c r="B5321" s="408" t="s">
        <v>76</v>
      </c>
      <c r="C5321" s="409">
        <f>Return!O481</f>
        <v>9.0449299306971653E-3</v>
      </c>
    </row>
    <row r="5322" spans="1:3">
      <c r="A5322" s="406">
        <f>Return!A482</f>
        <v>45373</v>
      </c>
      <c r="B5322" s="408" t="s">
        <v>76</v>
      </c>
      <c r="C5322" s="409">
        <f>Return!O482</f>
        <v>-6.8900647588687747E-5</v>
      </c>
    </row>
    <row r="5323" spans="1:3">
      <c r="A5323" s="406">
        <f>Return!A483</f>
        <v>45372</v>
      </c>
      <c r="B5323" s="408" t="s">
        <v>76</v>
      </c>
      <c r="C5323" s="409">
        <f>Return!O483</f>
        <v>9.1131880559842671E-3</v>
      </c>
    </row>
    <row r="5324" spans="1:3">
      <c r="A5324" s="406">
        <f>Return!A484</f>
        <v>45371</v>
      </c>
      <c r="B5324" s="408" t="s">
        <v>76</v>
      </c>
      <c r="C5324" s="409">
        <f>Return!O484</f>
        <v>6.6549367955326399E-3</v>
      </c>
    </row>
    <row r="5325" spans="1:3">
      <c r="A5325" s="406">
        <f>Return!A485</f>
        <v>45370</v>
      </c>
      <c r="B5325" s="408" t="s">
        <v>76</v>
      </c>
      <c r="C5325" s="409">
        <f>Return!O485</f>
        <v>5.4307188658770933E-3</v>
      </c>
    </row>
    <row r="5326" spans="1:3">
      <c r="A5326" s="406">
        <f>Return!A486</f>
        <v>45369</v>
      </c>
      <c r="B5326" s="408" t="s">
        <v>76</v>
      </c>
      <c r="C5326" s="409">
        <f>Return!O486</f>
        <v>1.102461532558241E-2</v>
      </c>
    </row>
    <row r="5327" spans="1:3">
      <c r="A5327" s="406">
        <f>Return!A487</f>
        <v>45366</v>
      </c>
      <c r="B5327" s="408" t="s">
        <v>76</v>
      </c>
      <c r="C5327" s="409">
        <f>Return!O487</f>
        <v>7.6876520143904781E-3</v>
      </c>
    </row>
    <row r="5328" spans="1:3">
      <c r="A5328" s="406">
        <f>Return!A488</f>
        <v>45365</v>
      </c>
      <c r="B5328" s="408" t="s">
        <v>76</v>
      </c>
      <c r="C5328" s="409">
        <f>Return!O488</f>
        <v>5.5939928234232106E-3</v>
      </c>
    </row>
    <row r="5329" spans="1:3">
      <c r="A5329" s="406">
        <f>Return!A489</f>
        <v>45364</v>
      </c>
      <c r="B5329" s="408" t="s">
        <v>76</v>
      </c>
      <c r="C5329" s="409">
        <f>Return!O489</f>
        <v>-9.1220648069540999E-3</v>
      </c>
    </row>
    <row r="5330" spans="1:3">
      <c r="A5330" s="406">
        <f>Return!A490</f>
        <v>45363</v>
      </c>
      <c r="B5330" s="408" t="s">
        <v>76</v>
      </c>
      <c r="C5330" s="409">
        <f>Return!O490</f>
        <v>6.8060873886968132E-3</v>
      </c>
    </row>
    <row r="5331" spans="1:3">
      <c r="A5331" s="406">
        <f>Return!A491</f>
        <v>45362</v>
      </c>
      <c r="B5331" s="408" t="s">
        <v>76</v>
      </c>
      <c r="C5331" s="409">
        <f>Return!O491</f>
        <v>-4.6201953293421028E-3</v>
      </c>
    </row>
    <row r="5332" spans="1:3">
      <c r="A5332" s="406">
        <f>Return!A492</f>
        <v>45358</v>
      </c>
      <c r="B5332" s="408" t="s">
        <v>76</v>
      </c>
      <c r="C5332" s="409">
        <f>Return!O492</f>
        <v>1.0628752940500474E-2</v>
      </c>
    </row>
    <row r="5333" spans="1:3">
      <c r="A5333" s="406">
        <f>Return!A493</f>
        <v>45357</v>
      </c>
      <c r="B5333" s="408" t="s">
        <v>76</v>
      </c>
      <c r="C5333" s="409">
        <f>Return!O493</f>
        <v>-1.9449598522215172E-2</v>
      </c>
    </row>
    <row r="5334" spans="1:3">
      <c r="A5334" s="406">
        <f>Return!A494</f>
        <v>45356</v>
      </c>
      <c r="B5334" s="408" t="s">
        <v>76</v>
      </c>
      <c r="C5334" s="409">
        <f>Return!O494</f>
        <v>-1.1230313781456447E-2</v>
      </c>
    </row>
    <row r="5335" spans="1:3">
      <c r="A5335" s="406">
        <f>Return!A495</f>
        <v>45355</v>
      </c>
      <c r="B5335" s="408" t="s">
        <v>76</v>
      </c>
      <c r="C5335" s="409">
        <f>Return!O495</f>
        <v>-1.5736258317015084E-3</v>
      </c>
    </row>
    <row r="5336" spans="1:3">
      <c r="A5336" s="406">
        <f>Return!A496</f>
        <v>45353</v>
      </c>
      <c r="B5336" s="408" t="s">
        <v>76</v>
      </c>
      <c r="C5336" s="409">
        <f>Return!O496</f>
        <v>4.5650850050764635E-3</v>
      </c>
    </row>
    <row r="5337" spans="1:3">
      <c r="A5337" s="406">
        <f>Return!A497</f>
        <v>45352</v>
      </c>
      <c r="B5337" s="408" t="s">
        <v>76</v>
      </c>
      <c r="C5337" s="409">
        <f>Return!O497</f>
        <v>2.6179781039910033E-3</v>
      </c>
    </row>
    <row r="5338" spans="1:3">
      <c r="A5338" s="406">
        <f>Return!A498</f>
        <v>45351</v>
      </c>
      <c r="B5338" s="408" t="s">
        <v>76</v>
      </c>
      <c r="C5338" s="409">
        <f>Return!O498</f>
        <v>-2.1788720850500765E-3</v>
      </c>
    </row>
    <row r="5339" spans="1:3">
      <c r="A5339" s="406">
        <f>Return!A499</f>
        <v>45350</v>
      </c>
      <c r="B5339" s="408" t="s">
        <v>76</v>
      </c>
      <c r="C5339" s="409">
        <f>Return!O499</f>
        <v>-6.5623376242436304E-3</v>
      </c>
    </row>
    <row r="5340" spans="1:3">
      <c r="A5340" s="406">
        <f>Return!A500</f>
        <v>45349</v>
      </c>
      <c r="B5340" s="408" t="s">
        <v>76</v>
      </c>
      <c r="C5340" s="409">
        <f>Return!O500</f>
        <v>-1.3646399463102532E-2</v>
      </c>
    </row>
    <row r="5341" spans="1:3">
      <c r="A5341" s="406">
        <f>Return!A501</f>
        <v>45348</v>
      </c>
      <c r="B5341" s="408" t="s">
        <v>76</v>
      </c>
      <c r="C5341" s="409">
        <f>Return!O501</f>
        <v>-1.1156111223930787E-2</v>
      </c>
    </row>
    <row r="5342" spans="1:3">
      <c r="A5342" s="406">
        <f>Return!A502</f>
        <v>45345</v>
      </c>
      <c r="B5342" s="408" t="s">
        <v>76</v>
      </c>
      <c r="C5342" s="409">
        <f>Return!O502</f>
        <v>-1.6250222828503302E-3</v>
      </c>
    </row>
    <row r="5343" spans="1:3">
      <c r="A5343" s="406">
        <f>Return!A503</f>
        <v>45344</v>
      </c>
      <c r="B5343" s="408" t="s">
        <v>76</v>
      </c>
      <c r="C5343" s="409">
        <f>Return!O503</f>
        <v>6.8439703655622797E-3</v>
      </c>
    </row>
    <row r="5344" spans="1:3">
      <c r="A5344" s="406">
        <f>Return!A504</f>
        <v>45343</v>
      </c>
      <c r="B5344" s="408" t="s">
        <v>76</v>
      </c>
      <c r="C5344" s="409">
        <f>Return!O504</f>
        <v>-1.123697345093666E-2</v>
      </c>
    </row>
    <row r="5345" spans="1:3">
      <c r="A5345" s="406">
        <f>Return!A505</f>
        <v>45342</v>
      </c>
      <c r="B5345" s="408" t="s">
        <v>76</v>
      </c>
      <c r="C5345" s="409">
        <f>Return!O505</f>
        <v>3.2030914315013259E-3</v>
      </c>
    </row>
    <row r="5346" spans="1:3">
      <c r="A5346" s="406">
        <f>Return!A506</f>
        <v>45341</v>
      </c>
      <c r="B5346" s="408" t="s">
        <v>76</v>
      </c>
      <c r="C5346" s="409">
        <f>Return!O506</f>
        <v>1.9029027113237618E-3</v>
      </c>
    </row>
    <row r="5347" spans="1:3">
      <c r="A5347" s="406">
        <f>Return!A507</f>
        <v>45338</v>
      </c>
      <c r="B5347" s="408" t="s">
        <v>76</v>
      </c>
      <c r="C5347" s="409">
        <f>Return!O507</f>
        <v>-8.2356360817747998E-4</v>
      </c>
    </row>
    <row r="5348" spans="1:3">
      <c r="A5348" s="406">
        <f>Return!A508</f>
        <v>45337</v>
      </c>
      <c r="B5348" s="408" t="s">
        <v>76</v>
      </c>
      <c r="C5348" s="409">
        <f>Return!O508</f>
        <v>4.9412723278785542E-4</v>
      </c>
    </row>
    <row r="5349" spans="1:3">
      <c r="A5349" s="406">
        <f>Return!A509</f>
        <v>45336</v>
      </c>
      <c r="B5349" s="408" t="s">
        <v>76</v>
      </c>
      <c r="C5349" s="409">
        <f>Return!O509</f>
        <v>4.981010681908149E-3</v>
      </c>
    </row>
    <row r="5350" spans="1:3">
      <c r="A5350" s="406">
        <f>Return!A510</f>
        <v>45335</v>
      </c>
      <c r="B5350" s="408" t="s">
        <v>76</v>
      </c>
      <c r="C5350" s="409">
        <f>Return!O510</f>
        <v>1.028986610845295E-2</v>
      </c>
    </row>
    <row r="5351" spans="1:3">
      <c r="A5351" s="406">
        <f>Return!A511</f>
        <v>45334</v>
      </c>
      <c r="B5351" s="408" t="s">
        <v>76</v>
      </c>
      <c r="C5351" s="409">
        <f>Return!O511</f>
        <v>7.2133895855031049E-4</v>
      </c>
    </row>
    <row r="5352" spans="1:3">
      <c r="A5352" s="406">
        <f>Return!A512</f>
        <v>45331</v>
      </c>
      <c r="B5352" s="408" t="s">
        <v>76</v>
      </c>
      <c r="C5352" s="409">
        <f>Return!O512</f>
        <v>-3.1771909880117244E-3</v>
      </c>
    </row>
    <row r="5353" spans="1:3">
      <c r="A5353" s="406">
        <f>Return!A513</f>
        <v>45330</v>
      </c>
      <c r="B5353" s="408" t="s">
        <v>76</v>
      </c>
      <c r="C5353" s="409">
        <f>Return!O513</f>
        <v>4.7738700642341314E-3</v>
      </c>
    </row>
    <row r="5354" spans="1:3">
      <c r="A5354" s="406">
        <f>Return!A514</f>
        <v>45329</v>
      </c>
      <c r="B5354" s="408" t="s">
        <v>76</v>
      </c>
      <c r="C5354" s="409">
        <f>Return!O514</f>
        <v>3.2603262982899839E-3</v>
      </c>
    </row>
    <row r="5355" spans="1:3">
      <c r="A5355" s="406">
        <f>Return!A515</f>
        <v>45328</v>
      </c>
      <c r="B5355" s="408" t="s">
        <v>76</v>
      </c>
      <c r="C5355" s="409">
        <f>Return!O515</f>
        <v>6.1100431426643897E-3</v>
      </c>
    </row>
    <row r="5356" spans="1:3">
      <c r="A5356" s="406">
        <f>Return!A516</f>
        <v>45327</v>
      </c>
      <c r="B5356" s="408" t="s">
        <v>76</v>
      </c>
      <c r="C5356" s="409">
        <f>Return!O516</f>
        <v>3.0879806372994256E-3</v>
      </c>
    </row>
    <row r="5357" spans="1:3">
      <c r="A5357" s="406">
        <f>Return!A517</f>
        <v>45324</v>
      </c>
      <c r="B5357" s="408" t="s">
        <v>76</v>
      </c>
      <c r="C5357" s="409">
        <f>Return!O517</f>
        <v>6.100184563176958E-3</v>
      </c>
    </row>
    <row r="5358" spans="1:3">
      <c r="A5358" s="406">
        <f>Return!A518</f>
        <v>45323</v>
      </c>
      <c r="B5358" s="408" t="s">
        <v>76</v>
      </c>
      <c r="C5358" s="409">
        <f>Return!O518</f>
        <v>1.6797745134841113E-2</v>
      </c>
    </row>
    <row r="5359" spans="1:3">
      <c r="A5359" s="406">
        <f>Return!A519</f>
        <v>45322</v>
      </c>
      <c r="B5359" s="408" t="s">
        <v>76</v>
      </c>
      <c r="C5359" s="409">
        <f>Return!O519</f>
        <v>1.0294490787552624E-2</v>
      </c>
    </row>
    <row r="5360" spans="1:3">
      <c r="A5360" s="406">
        <f>Return!A520</f>
        <v>45321</v>
      </c>
      <c r="B5360" s="408" t="s">
        <v>76</v>
      </c>
      <c r="C5360" s="409">
        <f>Return!O520</f>
        <v>2.7292447055677904E-3</v>
      </c>
    </row>
    <row r="5361" spans="1:3">
      <c r="A5361" s="406">
        <f>Return!A521</f>
        <v>45320</v>
      </c>
      <c r="B5361" s="408" t="s">
        <v>76</v>
      </c>
      <c r="C5361" s="409">
        <f>Return!O521</f>
        <v>1.5595060981981046E-3</v>
      </c>
    </row>
    <row r="5362" spans="1:3">
      <c r="A5362" s="406">
        <f>Return!A522</f>
        <v>45316</v>
      </c>
      <c r="B5362" s="408" t="s">
        <v>76</v>
      </c>
      <c r="C5362" s="409">
        <f>Return!O522</f>
        <v>2.0549013187387111E-2</v>
      </c>
    </row>
    <row r="5363" spans="1:3">
      <c r="A5363" s="406">
        <f>Return!A523</f>
        <v>45315</v>
      </c>
      <c r="B5363" s="408" t="s">
        <v>76</v>
      </c>
      <c r="C5363" s="409">
        <f>Return!O523</f>
        <v>-6.4265503118937639E-3</v>
      </c>
    </row>
    <row r="5364" spans="1:3">
      <c r="A5364" s="406">
        <f>Return!A524</f>
        <v>45314</v>
      </c>
      <c r="B5364" s="408" t="s">
        <v>76</v>
      </c>
      <c r="C5364" s="409">
        <f>Return!O524</f>
        <v>7.4428920729088244E-3</v>
      </c>
    </row>
    <row r="5365" spans="1:3">
      <c r="A5365" s="406">
        <f>Return!A525</f>
        <v>45311</v>
      </c>
      <c r="B5365" s="408" t="s">
        <v>76</v>
      </c>
      <c r="C5365" s="409">
        <f>Return!O525</f>
        <v>-1.2043856820735721E-2</v>
      </c>
    </row>
    <row r="5366" spans="1:3">
      <c r="A5366" s="406">
        <f>Return!A526</f>
        <v>45310</v>
      </c>
      <c r="B5366" s="408" t="s">
        <v>76</v>
      </c>
      <c r="C5366" s="409">
        <f>Return!O526</f>
        <v>2.8533211244068379E-3</v>
      </c>
    </row>
    <row r="5367" spans="1:3">
      <c r="A5367" s="406">
        <f>Return!A527</f>
        <v>45309</v>
      </c>
      <c r="B5367" s="408" t="s">
        <v>76</v>
      </c>
      <c r="C5367" s="409">
        <f>Return!O527</f>
        <v>3.9975325584458155E-3</v>
      </c>
    </row>
    <row r="5368" spans="1:3">
      <c r="A5368" s="406">
        <f>Return!A528</f>
        <v>45308</v>
      </c>
      <c r="B5368" s="408" t="s">
        <v>76</v>
      </c>
      <c r="C5368" s="409">
        <f>Return!O528</f>
        <v>7.4130698717167487E-3</v>
      </c>
    </row>
    <row r="5369" spans="1:3">
      <c r="A5369" s="406">
        <f>Return!A529</f>
        <v>45307</v>
      </c>
      <c r="B5369" s="408" t="s">
        <v>76</v>
      </c>
      <c r="C5369" s="409">
        <f>Return!O529</f>
        <v>4.6666453411272624E-3</v>
      </c>
    </row>
    <row r="5370" spans="1:3">
      <c r="A5370" s="406">
        <f>Return!A530</f>
        <v>45306</v>
      </c>
      <c r="B5370" s="408" t="s">
        <v>76</v>
      </c>
      <c r="C5370" s="409">
        <f>Return!O530</f>
        <v>-3.5108342061952458E-3</v>
      </c>
    </row>
    <row r="5371" spans="1:3">
      <c r="A5371" s="406">
        <f>Return!A531</f>
        <v>45303</v>
      </c>
      <c r="B5371" s="408" t="s">
        <v>76</v>
      </c>
      <c r="C5371" s="409">
        <f>Return!O531</f>
        <v>-6.9426530692145993E-3</v>
      </c>
    </row>
    <row r="5372" spans="1:3">
      <c r="A5372" s="406">
        <f>Return!A532</f>
        <v>45302</v>
      </c>
      <c r="B5372" s="408" t="s">
        <v>76</v>
      </c>
      <c r="C5372" s="409">
        <f>Return!O532</f>
        <v>-8.4960658495059072E-5</v>
      </c>
    </row>
    <row r="5373" spans="1:3">
      <c r="A5373" s="406">
        <f>Return!A533</f>
        <v>45301</v>
      </c>
      <c r="B5373" s="408" t="s">
        <v>76</v>
      </c>
      <c r="C5373" s="409">
        <f>Return!O533</f>
        <v>-4.4070532755051683E-3</v>
      </c>
    </row>
    <row r="5374" spans="1:3">
      <c r="A5374" s="406">
        <f>Return!A534</f>
        <v>45300</v>
      </c>
      <c r="B5374" s="408" t="s">
        <v>76</v>
      </c>
      <c r="C5374" s="409">
        <f>Return!O534</f>
        <v>6.1493533583647508E-3</v>
      </c>
    </row>
    <row r="5375" spans="1:3">
      <c r="A5375" s="406">
        <f>Return!A535</f>
        <v>45299</v>
      </c>
      <c r="B5375" s="408" t="s">
        <v>76</v>
      </c>
      <c r="C5375" s="409">
        <f>Return!O535</f>
        <v>5.0011068848236917E-3</v>
      </c>
    </row>
    <row r="5376" spans="1:3">
      <c r="A5376" s="406">
        <f>Return!A536</f>
        <v>45296</v>
      </c>
      <c r="B5376" s="408" t="s">
        <v>76</v>
      </c>
      <c r="C5376" s="409">
        <f>Return!O536</f>
        <v>8.4478743321614314E-3</v>
      </c>
    </row>
    <row r="5377" spans="1:3">
      <c r="A5377" s="406">
        <f>Return!A537</f>
        <v>45295</v>
      </c>
      <c r="B5377" s="408" t="s">
        <v>76</v>
      </c>
      <c r="C5377" s="409">
        <f>Return!O537</f>
        <v>-8.4222830360021206E-3</v>
      </c>
    </row>
    <row r="5378" spans="1:3">
      <c r="A5378" s="406">
        <f>Return!A538</f>
        <v>45294</v>
      </c>
      <c r="B5378" s="408" t="s">
        <v>76</v>
      </c>
      <c r="C5378" s="409">
        <f>Return!O538</f>
        <v>-9.0728339970158611E-4</v>
      </c>
    </row>
    <row r="5379" spans="1:3">
      <c r="A5379" s="406">
        <f>Return!A539</f>
        <v>45293</v>
      </c>
      <c r="B5379" s="408" t="s">
        <v>76</v>
      </c>
      <c r="C5379" s="409">
        <f>Return!O539</f>
        <v>6.9368875391904172E-3</v>
      </c>
    </row>
    <row r="5380" spans="1:3">
      <c r="A5380" s="406">
        <f>Return!A540</f>
        <v>45292</v>
      </c>
      <c r="B5380" s="408" t="s">
        <v>76</v>
      </c>
      <c r="C5380" s="409">
        <f>Return!O540</f>
        <v>9.2111248616941754E-3</v>
      </c>
    </row>
    <row r="5381" spans="1:3">
      <c r="A5381" s="406">
        <f>Return!A541</f>
        <v>45289</v>
      </c>
      <c r="B5381" s="408" t="s">
        <v>76</v>
      </c>
      <c r="C5381" s="409">
        <f>Return!O541</f>
        <v>1.6418668992618235E-2</v>
      </c>
    </row>
    <row r="5382" spans="1:3">
      <c r="A5382" s="406">
        <f>Return!A542</f>
        <v>45288</v>
      </c>
      <c r="B5382" s="408" t="s">
        <v>76</v>
      </c>
      <c r="C5382" s="409">
        <f>Return!O542</f>
        <v>2.195774261918082E-3</v>
      </c>
    </row>
    <row r="5383" spans="1:3">
      <c r="A5383" s="406">
        <f>Return!A543</f>
        <v>45287</v>
      </c>
      <c r="B5383" s="408" t="s">
        <v>76</v>
      </c>
      <c r="C5383" s="409">
        <f>Return!O543</f>
        <v>-8.7222937206410389E-4</v>
      </c>
    </row>
    <row r="5384" spans="1:3">
      <c r="A5384" s="406">
        <f>Return!A544</f>
        <v>45286</v>
      </c>
      <c r="B5384" s="408" t="s">
        <v>76</v>
      </c>
      <c r="C5384" s="409">
        <f>Return!O544</f>
        <v>6.3688787611031472E-3</v>
      </c>
    </row>
    <row r="5385" spans="1:3">
      <c r="A5385" s="406">
        <f>Return!A545</f>
        <v>45282</v>
      </c>
      <c r="B5385" s="408" t="s">
        <v>76</v>
      </c>
      <c r="C5385" s="409">
        <f>Return!O545</f>
        <v>6.3935099015013375E-3</v>
      </c>
    </row>
    <row r="5386" spans="1:3">
      <c r="A5386" s="406">
        <f>Return!A546</f>
        <v>45281</v>
      </c>
      <c r="B5386" s="408" t="s">
        <v>76</v>
      </c>
      <c r="C5386" s="409">
        <f>Return!O546</f>
        <v>7.9795138520326603E-3</v>
      </c>
    </row>
    <row r="5387" spans="1:3">
      <c r="A5387" s="406">
        <f>Return!A547</f>
        <v>45280</v>
      </c>
      <c r="B5387" s="408" t="s">
        <v>76</v>
      </c>
      <c r="C5387" s="409">
        <f>Return!O547</f>
        <v>9.5142392120957098E-3</v>
      </c>
    </row>
    <row r="5388" spans="1:3">
      <c r="A5388" s="406">
        <f>Return!A548</f>
        <v>45279</v>
      </c>
      <c r="B5388" s="408" t="s">
        <v>76</v>
      </c>
      <c r="C5388" s="409">
        <f>Return!O548</f>
        <v>1.0140200867682525E-2</v>
      </c>
    </row>
    <row r="5389" spans="1:3">
      <c r="A5389" s="406">
        <f>Return!A549</f>
        <v>45278</v>
      </c>
      <c r="B5389" s="408" t="s">
        <v>76</v>
      </c>
      <c r="C5389" s="409">
        <f>Return!O549</f>
        <v>-2.0326798194220785E-2</v>
      </c>
    </row>
    <row r="5390" spans="1:3">
      <c r="A5390" s="406">
        <f>Return!A550</f>
        <v>45275</v>
      </c>
      <c r="B5390" s="408" t="s">
        <v>76</v>
      </c>
      <c r="C5390" s="409">
        <f>Return!O550</f>
        <v>5.7261796525542863E-3</v>
      </c>
    </row>
    <row r="5391" spans="1:3">
      <c r="A5391" s="406">
        <f>Return!A551</f>
        <v>45274</v>
      </c>
      <c r="B5391" s="408" t="s">
        <v>76</v>
      </c>
      <c r="C5391" s="409">
        <f>Return!O551</f>
        <v>7.7968397048575611E-3</v>
      </c>
    </row>
    <row r="5392" spans="1:3">
      <c r="A5392" s="406">
        <f>Return!A552</f>
        <v>45273</v>
      </c>
      <c r="B5392" s="408" t="s">
        <v>76</v>
      </c>
      <c r="C5392" s="409">
        <f>Return!O552</f>
        <v>3.6430909520219767E-3</v>
      </c>
    </row>
    <row r="5393" spans="1:3">
      <c r="A5393" s="406">
        <f>Return!A553</f>
        <v>45272</v>
      </c>
      <c r="B5393" s="408" t="s">
        <v>76</v>
      </c>
      <c r="C5393" s="409">
        <f>Return!O553</f>
        <v>5.7404132567142607E-3</v>
      </c>
    </row>
    <row r="5394" spans="1:3">
      <c r="A5394" s="406">
        <f>Return!A554</f>
        <v>45271</v>
      </c>
      <c r="B5394" s="408" t="s">
        <v>76</v>
      </c>
      <c r="C5394" s="409">
        <f>Return!O554</f>
        <v>9.6374500464619928E-3</v>
      </c>
    </row>
    <row r="5395" spans="1:3">
      <c r="A5395" s="406">
        <f>Return!A555</f>
        <v>45268</v>
      </c>
      <c r="B5395" s="408" t="s">
        <v>76</v>
      </c>
      <c r="C5395" s="409">
        <f>Return!O555</f>
        <v>-4.441695289949088E-3</v>
      </c>
    </row>
    <row r="5396" spans="1:3">
      <c r="A5396" s="406">
        <f>Return!A556</f>
        <v>45267</v>
      </c>
      <c r="B5396" s="408" t="s">
        <v>76</v>
      </c>
      <c r="C5396" s="409">
        <f>Return!O556</f>
        <v>-1.6025931826731954E-3</v>
      </c>
    </row>
    <row r="5397" spans="1:3">
      <c r="A5397" s="406">
        <f>Return!A557</f>
        <v>45266</v>
      </c>
      <c r="B5397" s="408" t="s">
        <v>76</v>
      </c>
      <c r="C5397" s="409">
        <f>Return!O557</f>
        <v>-6.2814489437302834E-3</v>
      </c>
    </row>
    <row r="5398" spans="1:3">
      <c r="A5398" s="406">
        <f>Return!A558</f>
        <v>45265</v>
      </c>
      <c r="B5398" s="408" t="s">
        <v>76</v>
      </c>
      <c r="C5398" s="409">
        <f>Return!O558</f>
        <v>3.7856711036456936E-3</v>
      </c>
    </row>
    <row r="5399" spans="1:3">
      <c r="A5399" s="406">
        <f>Return!A559</f>
        <v>45264</v>
      </c>
      <c r="B5399" s="408" t="s">
        <v>76</v>
      </c>
      <c r="C5399" s="409">
        <f>Return!O559</f>
        <v>-6.9522104805913587E-3</v>
      </c>
    </row>
    <row r="5400" spans="1:3">
      <c r="A5400" s="406">
        <f>Return!A560</f>
        <v>45261</v>
      </c>
      <c r="B5400" s="408" t="s">
        <v>76</v>
      </c>
      <c r="C5400" s="409">
        <f>Return!O560</f>
        <v>1.6942596526436926E-3</v>
      </c>
    </row>
    <row r="5401" spans="1:3">
      <c r="A5401" s="406">
        <f>Return!A561</f>
        <v>45260</v>
      </c>
      <c r="B5401" s="408" t="s">
        <v>76</v>
      </c>
      <c r="C5401" s="409">
        <f>Return!O561</f>
        <v>4.4628337818974906E-3</v>
      </c>
    </row>
    <row r="5402" spans="1:3">
      <c r="A5402" s="406">
        <f>Return!A562</f>
        <v>45259</v>
      </c>
      <c r="B5402" s="408" t="s">
        <v>76</v>
      </c>
      <c r="C5402" s="409">
        <f>Return!O562</f>
        <v>4.0080148191232734E-3</v>
      </c>
    </row>
    <row r="5403" spans="1:3">
      <c r="A5403" s="406">
        <f>Return!A563</f>
        <v>45258</v>
      </c>
      <c r="B5403" s="408" t="s">
        <v>76</v>
      </c>
      <c r="C5403" s="409">
        <f>Return!O563</f>
        <v>1.2479585739892496E-2</v>
      </c>
    </row>
    <row r="5404" spans="1:3">
      <c r="A5404" s="406">
        <f>Return!A564</f>
        <v>45254</v>
      </c>
      <c r="B5404" s="408" t="s">
        <v>76</v>
      </c>
      <c r="C5404" s="409">
        <f>Return!O564</f>
        <v>1.0904590203659748E-3</v>
      </c>
    </row>
    <row r="5405" spans="1:3">
      <c r="A5405" s="406">
        <f>Return!A565</f>
        <v>45253</v>
      </c>
      <c r="B5405" s="408" t="s">
        <v>76</v>
      </c>
      <c r="C5405" s="409">
        <f>Return!O565</f>
        <v>-1.2780817255451105E-3</v>
      </c>
    </row>
    <row r="5406" spans="1:3">
      <c r="A5406" s="406">
        <f>Return!A566</f>
        <v>45252</v>
      </c>
      <c r="B5406" s="408" t="s">
        <v>76</v>
      </c>
      <c r="C5406" s="409">
        <f>Return!O566</f>
        <v>3.8885196715607862E-3</v>
      </c>
    </row>
    <row r="5407" spans="1:3">
      <c r="A5407" s="406">
        <f>Return!A567</f>
        <v>45251</v>
      </c>
      <c r="B5407" s="408" t="s">
        <v>76</v>
      </c>
      <c r="C5407" s="409">
        <f>Return!O567</f>
        <v>-9.8116749186851759E-3</v>
      </c>
    </row>
    <row r="5408" spans="1:3">
      <c r="A5408" s="406">
        <f>Return!A568</f>
        <v>45250</v>
      </c>
      <c r="B5408" s="408" t="s">
        <v>76</v>
      </c>
      <c r="C5408" s="409">
        <f>Return!O568</f>
        <v>7.7617321318586008E-3</v>
      </c>
    </row>
    <row r="5409" spans="1:3">
      <c r="A5409" s="406">
        <f>Return!A569</f>
        <v>45247</v>
      </c>
      <c r="B5409" s="408" t="s">
        <v>76</v>
      </c>
      <c r="C5409" s="409">
        <f>Return!O569</f>
        <v>2.8143605323556198E-3</v>
      </c>
    </row>
    <row r="5410" spans="1:3">
      <c r="A5410" s="406">
        <f>Return!A570</f>
        <v>45246</v>
      </c>
      <c r="B5410" s="408" t="s">
        <v>76</v>
      </c>
      <c r="C5410" s="409">
        <f>Return!O570</f>
        <v>6.3797557426010787E-3</v>
      </c>
    </row>
    <row r="5411" spans="1:3">
      <c r="A5411" s="406">
        <f>Return!A571</f>
        <v>45245</v>
      </c>
      <c r="B5411" s="408" t="s">
        <v>76</v>
      </c>
      <c r="C5411" s="409">
        <f>Return!O571</f>
        <v>8.1134724669282843E-3</v>
      </c>
    </row>
    <row r="5412" spans="1:3">
      <c r="A5412" s="406">
        <f>Return!A572</f>
        <v>45243</v>
      </c>
      <c r="B5412" s="408" t="s">
        <v>76</v>
      </c>
      <c r="C5412" s="409">
        <f>Return!O572</f>
        <v>5.4453417465212262E-3</v>
      </c>
    </row>
    <row r="5413" spans="1:3">
      <c r="A5413" s="406">
        <f>Return!A573</f>
        <v>45242</v>
      </c>
      <c r="B5413" s="408" t="s">
        <v>76</v>
      </c>
      <c r="C5413" s="409">
        <f>Return!O573</f>
        <v>6.9897117725603586E-4</v>
      </c>
    </row>
    <row r="5414" spans="1:3">
      <c r="A5414" s="406">
        <f>Return!A574</f>
        <v>45240</v>
      </c>
      <c r="B5414" s="408" t="s">
        <v>76</v>
      </c>
      <c r="C5414" s="409">
        <f>Return!O574</f>
        <v>8.5740615615725879E-4</v>
      </c>
    </row>
    <row r="5415" spans="1:3">
      <c r="A5415" s="406">
        <f>Return!A575</f>
        <v>45239</v>
      </c>
      <c r="B5415" s="408" t="s">
        <v>76</v>
      </c>
      <c r="C5415" s="409">
        <f>Return!O575</f>
        <v>6.0788167928065295E-3</v>
      </c>
    </row>
    <row r="5416" spans="1:3">
      <c r="A5416" s="406">
        <f>Return!A576</f>
        <v>45238</v>
      </c>
      <c r="B5416" s="408" t="s">
        <v>76</v>
      </c>
      <c r="C5416" s="409">
        <f>Return!O576</f>
        <v>1.8425018982777264E-3</v>
      </c>
    </row>
    <row r="5417" spans="1:3">
      <c r="A5417" s="406">
        <f>Return!A577</f>
        <v>45237</v>
      </c>
      <c r="B5417" s="408" t="s">
        <v>76</v>
      </c>
      <c r="C5417" s="409">
        <f>Return!O577</f>
        <v>7.9669681151977034E-3</v>
      </c>
    </row>
    <row r="5418" spans="1:3">
      <c r="A5418" s="406">
        <f>Return!A578</f>
        <v>45236</v>
      </c>
      <c r="B5418" s="408" t="s">
        <v>76</v>
      </c>
      <c r="C5418" s="409">
        <f>Return!O578</f>
        <v>1.2554435436919364E-2</v>
      </c>
    </row>
    <row r="5419" spans="1:3">
      <c r="A5419" s="406">
        <f>Return!A579</f>
        <v>45233</v>
      </c>
      <c r="B5419" s="408" t="s">
        <v>76</v>
      </c>
      <c r="C5419" s="409">
        <f>Return!O579</f>
        <v>8.989322140819489E-3</v>
      </c>
    </row>
    <row r="5420" spans="1:3">
      <c r="A5420" s="406">
        <f>Return!A580</f>
        <v>45232</v>
      </c>
      <c r="B5420" s="408" t="s">
        <v>76</v>
      </c>
      <c r="C5420" s="409">
        <f>Return!O580</f>
        <v>3.3957458541284957E-3</v>
      </c>
    </row>
    <row r="5421" spans="1:3">
      <c r="A5421" s="406">
        <f>Return!A581</f>
        <v>45231</v>
      </c>
      <c r="B5421" s="408" t="s">
        <v>76</v>
      </c>
      <c r="C5421" s="409">
        <f>Return!O581</f>
        <v>8.2673524431113865E-3</v>
      </c>
    </row>
    <row r="5422" spans="1:3">
      <c r="A5422" s="406">
        <f>Return!A582</f>
        <v>45230</v>
      </c>
      <c r="B5422" s="408" t="s">
        <v>76</v>
      </c>
      <c r="C5422" s="409">
        <f>Return!O582</f>
        <v>8.9852752521268897E-4</v>
      </c>
    </row>
    <row r="5423" spans="1:3">
      <c r="A5423" s="406">
        <f>Return!A583</f>
        <v>45229</v>
      </c>
      <c r="B5423" s="408" t="s">
        <v>76</v>
      </c>
      <c r="C5423" s="409">
        <f>Return!O583</f>
        <v>-4.6451135852303427E-3</v>
      </c>
    </row>
    <row r="5424" spans="1:3">
      <c r="A5424" s="406">
        <f>Return!A584</f>
        <v>45226</v>
      </c>
      <c r="B5424" s="408" t="s">
        <v>76</v>
      </c>
      <c r="C5424" s="409">
        <f>Return!O584</f>
        <v>3.9269660917771176E-3</v>
      </c>
    </row>
    <row r="5425" spans="1:3">
      <c r="A5425" s="406">
        <f>Return!A585</f>
        <v>45225</v>
      </c>
      <c r="B5425" s="408" t="s">
        <v>76</v>
      </c>
      <c r="C5425" s="409">
        <f>Return!O585</f>
        <v>1.3464932742269564E-2</v>
      </c>
    </row>
    <row r="5426" spans="1:3">
      <c r="A5426" s="406">
        <f>Return!A586</f>
        <v>45224</v>
      </c>
      <c r="B5426" s="408" t="s">
        <v>76</v>
      </c>
      <c r="C5426" s="409">
        <f>Return!O586</f>
        <v>-7.7083755359035333E-3</v>
      </c>
    </row>
    <row r="5427" spans="1:3">
      <c r="A5427" s="406">
        <f>Return!A587</f>
        <v>45222</v>
      </c>
      <c r="B5427" s="408" t="s">
        <v>76</v>
      </c>
      <c r="C5427" s="409">
        <f>Return!O587</f>
        <v>-7.026692462092532E-3</v>
      </c>
    </row>
    <row r="5428" spans="1:3">
      <c r="A5428" s="406">
        <f>Return!A588</f>
        <v>45219</v>
      </c>
      <c r="B5428" s="408" t="s">
        <v>76</v>
      </c>
      <c r="C5428" s="409">
        <f>Return!O588</f>
        <v>-1.6526146264453256E-2</v>
      </c>
    </row>
    <row r="5429" spans="1:3">
      <c r="A5429" s="406">
        <f>Return!A589</f>
        <v>45218</v>
      </c>
      <c r="B5429" s="408" t="s">
        <v>76</v>
      </c>
      <c r="C5429" s="409">
        <f>Return!O589</f>
        <v>-9.1312403718051272E-3</v>
      </c>
    </row>
    <row r="5430" spans="1:3">
      <c r="A5430" s="406">
        <f>Return!A590</f>
        <v>45217</v>
      </c>
      <c r="B5430" s="408" t="s">
        <v>76</v>
      </c>
      <c r="C5430" s="409">
        <f>Return!O590</f>
        <v>-1.1176605778453474E-3</v>
      </c>
    </row>
    <row r="5431" spans="1:3">
      <c r="A5431" s="406">
        <f>Return!A591</f>
        <v>45216</v>
      </c>
      <c r="B5431" s="408" t="s">
        <v>76</v>
      </c>
      <c r="C5431" s="409">
        <f>Return!O591</f>
        <v>-3.6610678959625442E-4</v>
      </c>
    </row>
    <row r="5432" spans="1:3">
      <c r="A5432" s="406">
        <f>Return!A592</f>
        <v>45215</v>
      </c>
      <c r="B5432" s="408" t="s">
        <v>76</v>
      </c>
      <c r="C5432" s="409">
        <f>Return!O592</f>
        <v>2.702412111426078E-4</v>
      </c>
    </row>
    <row r="5433" spans="1:3">
      <c r="A5433" s="406">
        <f>Return!A593</f>
        <v>45212</v>
      </c>
      <c r="B5433" s="408" t="s">
        <v>76</v>
      </c>
      <c r="C5433" s="409">
        <f>Return!O593</f>
        <v>-7.0829433507937356E-3</v>
      </c>
    </row>
    <row r="5434" spans="1:3">
      <c r="A5434" s="406">
        <f>Return!A594</f>
        <v>45211</v>
      </c>
      <c r="B5434" s="408" t="s">
        <v>76</v>
      </c>
      <c r="C5434" s="409">
        <f>Return!O594</f>
        <v>4.210825450436495E-3</v>
      </c>
    </row>
    <row r="5435" spans="1:3">
      <c r="A5435" s="406">
        <f>Return!A595</f>
        <v>45210</v>
      </c>
      <c r="B5435" s="408" t="s">
        <v>76</v>
      </c>
      <c r="C5435" s="409">
        <f>Return!O595</f>
        <v>2.8891447175221074E-3</v>
      </c>
    </row>
    <row r="5436" spans="1:3">
      <c r="A5436" s="406">
        <f>Return!A596</f>
        <v>45209</v>
      </c>
      <c r="B5436" s="408" t="s">
        <v>76</v>
      </c>
      <c r="C5436" s="409">
        <f>Return!O596</f>
        <v>3.5807186818370695E-3</v>
      </c>
    </row>
    <row r="5437" spans="1:3">
      <c r="A5437" s="406">
        <f>Return!A597</f>
        <v>45208</v>
      </c>
      <c r="B5437" s="408" t="s">
        <v>76</v>
      </c>
      <c r="C5437" s="409">
        <f>Return!O597</f>
        <v>-8.5024873476424734E-4</v>
      </c>
    </row>
    <row r="5438" spans="1:3">
      <c r="A5438" s="406">
        <f>Return!A598</f>
        <v>45205</v>
      </c>
      <c r="B5438" s="408" t="s">
        <v>76</v>
      </c>
      <c r="C5438" s="409">
        <f>Return!O598</f>
        <v>-7.4013830396205682E-3</v>
      </c>
    </row>
    <row r="5439" spans="1:3">
      <c r="A5439" s="406">
        <f>Return!A599</f>
        <v>45204</v>
      </c>
      <c r="B5439" s="408" t="s">
        <v>76</v>
      </c>
      <c r="C5439" s="409">
        <f>Return!O599</f>
        <v>6.6033003639918153E-3</v>
      </c>
    </row>
    <row r="5440" spans="1:3">
      <c r="A5440" s="406">
        <f>Return!A600</f>
        <v>45203</v>
      </c>
      <c r="B5440" s="408" t="s">
        <v>76</v>
      </c>
      <c r="C5440" s="409">
        <f>Return!O600</f>
        <v>-3.1713022468360386E-3</v>
      </c>
    </row>
    <row r="5441" spans="1:3">
      <c r="A5441" s="406">
        <f>Return!A601</f>
        <v>45202</v>
      </c>
      <c r="B5441" s="408" t="s">
        <v>76</v>
      </c>
      <c r="C5441" s="409">
        <f>Return!O601</f>
        <v>-1.1580572467365435E-2</v>
      </c>
    </row>
    <row r="5442" spans="1:3">
      <c r="A5442" s="406">
        <f>Return!A602</f>
        <v>45198</v>
      </c>
      <c r="B5442" s="408" t="s">
        <v>76</v>
      </c>
      <c r="C5442" s="409">
        <f>Return!O602</f>
        <v>6.0960841773161079E-4</v>
      </c>
    </row>
    <row r="5443" spans="1:3">
      <c r="A5443" s="406">
        <f>Return!A603</f>
        <v>45197</v>
      </c>
      <c r="B5443" s="408" t="s">
        <v>76</v>
      </c>
      <c r="C5443" s="409">
        <f>Return!O603</f>
        <v>1.1283668351132814E-2</v>
      </c>
    </row>
    <row r="5444" spans="1:3">
      <c r="A5444" s="406">
        <f>Return!A604</f>
        <v>45196</v>
      </c>
      <c r="B5444" s="408" t="s">
        <v>76</v>
      </c>
      <c r="C5444" s="409">
        <f>Return!O604</f>
        <v>7.8728988558998125E-3</v>
      </c>
    </row>
    <row r="5445" spans="1:3">
      <c r="A5445" s="406">
        <f>Return!A605</f>
        <v>45195</v>
      </c>
      <c r="B5445" s="408" t="s">
        <v>76</v>
      </c>
      <c r="C5445" s="409">
        <f>Return!O605</f>
        <v>-1.5101938894089839E-3</v>
      </c>
    </row>
    <row r="5446" spans="1:3">
      <c r="A5446" s="406">
        <f>Return!A606</f>
        <v>45194</v>
      </c>
      <c r="B5446" s="408" t="s">
        <v>76</v>
      </c>
      <c r="C5446" s="409">
        <f>Return!O606</f>
        <v>2.8269682443693434E-4</v>
      </c>
    </row>
    <row r="5447" spans="1:3">
      <c r="A5447" s="406">
        <f>Return!A607</f>
        <v>45191</v>
      </c>
      <c r="B5447" s="408" t="s">
        <v>76</v>
      </c>
      <c r="C5447" s="409">
        <f>Return!O607</f>
        <v>-8.9392057251854729E-3</v>
      </c>
    </row>
    <row r="5448" spans="1:3">
      <c r="A5448" s="406">
        <f>Return!A608</f>
        <v>45190</v>
      </c>
      <c r="B5448" s="408" t="s">
        <v>76</v>
      </c>
      <c r="C5448" s="409">
        <f>Return!O608</f>
        <v>-6.0517281773639908E-3</v>
      </c>
    </row>
    <row r="5449" spans="1:3">
      <c r="A5449" s="406">
        <f>Return!A609</f>
        <v>45189</v>
      </c>
      <c r="B5449" s="408" t="s">
        <v>76</v>
      </c>
      <c r="C5449" s="409">
        <f>Return!O609</f>
        <v>-3.9349110552414635E-3</v>
      </c>
    </row>
    <row r="5450" spans="1:3">
      <c r="A5450" s="406">
        <f>Return!A610</f>
        <v>45187</v>
      </c>
      <c r="B5450" s="408" t="s">
        <v>76</v>
      </c>
      <c r="C5450" s="409">
        <f>Return!O610</f>
        <v>1.6019211636588704E-3</v>
      </c>
    </row>
    <row r="5451" spans="1:3">
      <c r="A5451" s="406">
        <f>Return!A611</f>
        <v>45184</v>
      </c>
      <c r="B5451" s="408" t="s">
        <v>76</v>
      </c>
      <c r="C5451" s="409">
        <f>Return!O611</f>
        <v>-1.0448655377175431E-3</v>
      </c>
    </row>
    <row r="5452" spans="1:3">
      <c r="A5452" s="406">
        <f>Return!A612</f>
        <v>45183</v>
      </c>
      <c r="B5452" s="408" t="s">
        <v>76</v>
      </c>
      <c r="C5452" s="409">
        <f>Return!O612</f>
        <v>3.2735892956585744E-3</v>
      </c>
    </row>
    <row r="5453" spans="1:3">
      <c r="A5453" s="406">
        <f>Return!A613</f>
        <v>45182</v>
      </c>
      <c r="B5453" s="408" t="s">
        <v>76</v>
      </c>
      <c r="C5453" s="409">
        <f>Return!O613</f>
        <v>1.4008397399229988E-3</v>
      </c>
    </row>
    <row r="5454" spans="1:3">
      <c r="A5454" s="406">
        <f>Return!A614</f>
        <v>45181</v>
      </c>
      <c r="B5454" s="408" t="s">
        <v>76</v>
      </c>
      <c r="C5454" s="409">
        <f>Return!O614</f>
        <v>-5.4651053466799882E-3</v>
      </c>
    </row>
    <row r="5455" spans="1:3">
      <c r="A5455" s="406">
        <f>Return!A615</f>
        <v>45180</v>
      </c>
      <c r="B5455" s="408" t="s">
        <v>76</v>
      </c>
      <c r="C5455" s="409">
        <f>Return!O615</f>
        <v>6.0677110951659063E-3</v>
      </c>
    </row>
    <row r="5456" spans="1:3">
      <c r="A5456" s="406">
        <f>Return!A616</f>
        <v>45177</v>
      </c>
      <c r="B5456" s="408" t="s">
        <v>76</v>
      </c>
      <c r="C5456" s="409">
        <f>Return!O616</f>
        <v>-1.1426786334048922E-3</v>
      </c>
    </row>
    <row r="5457" spans="1:3">
      <c r="A5457" s="406">
        <f>Return!A617</f>
        <v>45176</v>
      </c>
      <c r="B5457" s="408" t="s">
        <v>76</v>
      </c>
      <c r="C5457" s="409">
        <f>Return!O617</f>
        <v>-2.2069905067348961E-3</v>
      </c>
    </row>
    <row r="5458" spans="1:3">
      <c r="A5458" s="406">
        <f>Return!A618</f>
        <v>45175</v>
      </c>
      <c r="B5458" s="408" t="s">
        <v>76</v>
      </c>
      <c r="C5458" s="409">
        <f>Return!O618</f>
        <v>5.6567401586415933E-3</v>
      </c>
    </row>
    <row r="5459" spans="1:3">
      <c r="A5459" s="406">
        <f>Return!A619</f>
        <v>45174</v>
      </c>
      <c r="B5459" s="408" t="s">
        <v>76</v>
      </c>
      <c r="C5459" s="409">
        <f>Return!O619</f>
        <v>1.0653611639835914E-2</v>
      </c>
    </row>
    <row r="5460" spans="1:3">
      <c r="A5460" s="406">
        <f>Return!A620</f>
        <v>45173</v>
      </c>
      <c r="B5460" s="408" t="s">
        <v>76</v>
      </c>
      <c r="C5460" s="409">
        <f>Return!O620</f>
        <v>2.3142766325319197E-3</v>
      </c>
    </row>
    <row r="5461" spans="1:3">
      <c r="A5461" s="406">
        <f>Return!A621</f>
        <v>45170</v>
      </c>
      <c r="B5461" s="408" t="s">
        <v>76</v>
      </c>
      <c r="C5461" s="409">
        <f>Return!O621</f>
        <v>-1.0550251190362681E-2</v>
      </c>
    </row>
    <row r="5462" spans="1:3">
      <c r="A5462" s="406">
        <f>Return!A622</f>
        <v>45169</v>
      </c>
      <c r="B5462" s="408" t="s">
        <v>76</v>
      </c>
      <c r="C5462" s="409">
        <f>Return!O622</f>
        <v>5.3048785390918951E-3</v>
      </c>
    </row>
    <row r="5463" spans="1:3">
      <c r="A5463" s="406">
        <f>Return!A623</f>
        <v>45168</v>
      </c>
      <c r="B5463" s="408" t="s">
        <v>76</v>
      </c>
      <c r="C5463" s="409">
        <f>Return!O623</f>
        <v>7.3839672633391196E-4</v>
      </c>
    </row>
    <row r="5464" spans="1:3">
      <c r="A5464" s="406">
        <f>Return!A624</f>
        <v>45167</v>
      </c>
      <c r="B5464" s="408" t="s">
        <v>76</v>
      </c>
      <c r="C5464" s="409">
        <f>Return!O624</f>
        <v>-1.0051909139231485E-3</v>
      </c>
    </row>
    <row r="5465" spans="1:3">
      <c r="A5465" s="406">
        <f>Return!A625</f>
        <v>45166</v>
      </c>
      <c r="B5465" s="408" t="s">
        <v>76</v>
      </c>
      <c r="C5465" s="409">
        <f>Return!O625</f>
        <v>5.994189550312834E-3</v>
      </c>
    </row>
    <row r="5466" spans="1:3">
      <c r="A5466" s="406">
        <f>Return!A626</f>
        <v>45163</v>
      </c>
      <c r="B5466" s="408" t="s">
        <v>76</v>
      </c>
      <c r="C5466" s="409">
        <f>Return!O626</f>
        <v>-7.5557119384421778E-3</v>
      </c>
    </row>
    <row r="5467" spans="1:3">
      <c r="A5467" s="406">
        <f>Return!A627</f>
        <v>45162</v>
      </c>
      <c r="B5467" s="408" t="s">
        <v>76</v>
      </c>
      <c r="C5467" s="409">
        <f>Return!O627</f>
        <v>-7.5996068454766696E-3</v>
      </c>
    </row>
    <row r="5468" spans="1:3">
      <c r="A5468" s="406">
        <f>Return!A628</f>
        <v>45161</v>
      </c>
      <c r="B5468" s="408" t="s">
        <v>76</v>
      </c>
      <c r="C5468" s="409">
        <f>Return!O628</f>
        <v>2.1346770966435002E-5</v>
      </c>
    </row>
    <row r="5469" spans="1:3">
      <c r="A5469" s="406">
        <f>Return!A629</f>
        <v>45160</v>
      </c>
      <c r="B5469" s="408" t="s">
        <v>76</v>
      </c>
      <c r="C5469" s="409">
        <f>Return!O629</f>
        <v>5.8631186920197198E-3</v>
      </c>
    </row>
    <row r="5470" spans="1:3">
      <c r="A5470" s="406">
        <f>Return!A630</f>
        <v>45159</v>
      </c>
      <c r="B5470" s="408" t="s">
        <v>76</v>
      </c>
      <c r="C5470" s="409">
        <f>Return!O630</f>
        <v>6.0569383153741274E-3</v>
      </c>
    </row>
    <row r="5471" spans="1:3">
      <c r="A5471" s="406">
        <f>Return!A631</f>
        <v>45156</v>
      </c>
      <c r="B5471" s="408" t="s">
        <v>76</v>
      </c>
      <c r="C5471" s="409">
        <f>Return!O631</f>
        <v>-3.5753571823269326E-3</v>
      </c>
    </row>
    <row r="5472" spans="1:3">
      <c r="A5472" s="406">
        <f>Return!A632</f>
        <v>45155</v>
      </c>
      <c r="B5472" s="408" t="s">
        <v>76</v>
      </c>
      <c r="C5472" s="409">
        <f>Return!O632</f>
        <v>9.4139480009580723E-5</v>
      </c>
    </row>
    <row r="5473" spans="1:3">
      <c r="A5473" s="406">
        <f>Return!A633</f>
        <v>45154</v>
      </c>
      <c r="B5473" s="408" t="s">
        <v>76</v>
      </c>
      <c r="C5473" s="409">
        <f>Return!O633</f>
        <v>1.8324851691982058E-3</v>
      </c>
    </row>
    <row r="5474" spans="1:3">
      <c r="A5474" s="406">
        <f>Return!A634</f>
        <v>45152</v>
      </c>
      <c r="B5474" s="408" t="s">
        <v>76</v>
      </c>
      <c r="C5474" s="409">
        <f>Return!O634</f>
        <v>-9.5797361086602528E-4</v>
      </c>
    </row>
    <row r="5475" spans="1:3">
      <c r="A5475" s="406">
        <f>Return!A635</f>
        <v>45149</v>
      </c>
      <c r="B5475" s="408" t="s">
        <v>76</v>
      </c>
      <c r="C5475" s="409">
        <f>Return!O635</f>
        <v>-1.0236640757311455E-2</v>
      </c>
    </row>
    <row r="5476" spans="1:3">
      <c r="A5476" s="406">
        <f>Return!A636</f>
        <v>45148</v>
      </c>
      <c r="B5476" s="408" t="s">
        <v>76</v>
      </c>
      <c r="C5476" s="409">
        <f>Return!O636</f>
        <v>-6.0968819951384701E-3</v>
      </c>
    </row>
    <row r="5477" spans="1:3">
      <c r="A5477" s="406">
        <f>Return!A637</f>
        <v>45147</v>
      </c>
      <c r="B5477" s="408" t="s">
        <v>76</v>
      </c>
      <c r="C5477" s="409">
        <f>Return!O637</f>
        <v>5.6439193060469073E-3</v>
      </c>
    </row>
    <row r="5478" spans="1:3">
      <c r="A5478" s="406">
        <f>Return!A638</f>
        <v>45146</v>
      </c>
      <c r="B5478" s="408" t="s">
        <v>76</v>
      </c>
      <c r="C5478" s="409">
        <f>Return!O638</f>
        <v>5.8423263069478093E-3</v>
      </c>
    </row>
    <row r="5479" spans="1:3">
      <c r="A5479" s="406">
        <f>Return!A639</f>
        <v>45145</v>
      </c>
      <c r="B5479" s="408" t="s">
        <v>76</v>
      </c>
      <c r="C5479" s="409">
        <f>Return!O639</f>
        <v>9.7970631429120658E-3</v>
      </c>
    </row>
    <row r="5480" spans="1:3">
      <c r="A5480" s="406">
        <f>Return!A640</f>
        <v>45142</v>
      </c>
      <c r="B5480" s="408" t="s">
        <v>76</v>
      </c>
      <c r="C5480" s="409">
        <f>Return!O640</f>
        <v>5.6550947844966615E-3</v>
      </c>
    </row>
    <row r="5481" spans="1:3">
      <c r="A5481" s="406">
        <f>Return!A641</f>
        <v>45141</v>
      </c>
      <c r="B5481" s="408" t="s">
        <v>76</v>
      </c>
      <c r="C5481" s="409">
        <f>Return!O641</f>
        <v>8.4849795674928341E-3</v>
      </c>
    </row>
    <row r="5482" spans="1:3">
      <c r="A5482" s="406">
        <f>Return!A642</f>
        <v>45140</v>
      </c>
      <c r="B5482" s="408" t="s">
        <v>76</v>
      </c>
      <c r="C5482" s="409">
        <f>Return!O642</f>
        <v>-1.0765648345927081E-2</v>
      </c>
    </row>
    <row r="5483" spans="1:3">
      <c r="A5483" s="406">
        <f>Return!A643</f>
        <v>45139</v>
      </c>
      <c r="B5483" s="408" t="s">
        <v>76</v>
      </c>
      <c r="C5483" s="409">
        <f>Return!O643</f>
        <v>2.0524719479286802E-4</v>
      </c>
    </row>
    <row r="5484" spans="1:3">
      <c r="A5484" s="406">
        <f>Return!A644</f>
        <v>45138</v>
      </c>
      <c r="B5484" s="408" t="s">
        <v>76</v>
      </c>
      <c r="C5484" s="409">
        <f>Return!O644</f>
        <v>-4.9682089720082256E-4</v>
      </c>
    </row>
    <row r="5485" spans="1:3">
      <c r="A5485" s="406">
        <f>Return!A645</f>
        <v>45135</v>
      </c>
      <c r="B5485" s="408" t="s">
        <v>76</v>
      </c>
      <c r="C5485" s="409">
        <f>Return!O645</f>
        <v>1.1394802321917918E-3</v>
      </c>
    </row>
    <row r="5486" spans="1:3">
      <c r="A5486" s="406">
        <f>Return!A646</f>
        <v>45134</v>
      </c>
      <c r="B5486" s="408" t="s">
        <v>76</v>
      </c>
      <c r="C5486" s="409">
        <f>Return!O646</f>
        <v>1.9341347111051288E-2</v>
      </c>
    </row>
    <row r="5487" spans="1:3">
      <c r="A5487" s="406">
        <f>Return!A647</f>
        <v>45133</v>
      </c>
      <c r="B5487" s="408" t="s">
        <v>76</v>
      </c>
      <c r="C5487" s="409">
        <f>Return!O647</f>
        <v>-7.0986124916796456E-3</v>
      </c>
    </row>
    <row r="5488" spans="1:3">
      <c r="A5488" s="406">
        <f>Return!A648</f>
        <v>45132</v>
      </c>
      <c r="B5488" s="408" t="s">
        <v>76</v>
      </c>
      <c r="C5488" s="409">
        <f>Return!O648</f>
        <v>4.8907379896265812E-3</v>
      </c>
    </row>
    <row r="5489" spans="1:3">
      <c r="A5489" s="406">
        <f>Return!A649</f>
        <v>45131</v>
      </c>
      <c r="B5489" s="408" t="s">
        <v>76</v>
      </c>
      <c r="C5489" s="409">
        <f>Return!O649</f>
        <v>-3.8606993673417911E-5</v>
      </c>
    </row>
    <row r="5490" spans="1:3">
      <c r="A5490" s="406">
        <f>Return!A650</f>
        <v>45128</v>
      </c>
      <c r="B5490" s="408" t="s">
        <v>76</v>
      </c>
      <c r="C5490" s="409">
        <f>Return!O650</f>
        <v>-3.7866705896749675E-4</v>
      </c>
    </row>
    <row r="5491" spans="1:3">
      <c r="A5491" s="406">
        <f>Return!A651</f>
        <v>45127</v>
      </c>
      <c r="B5491" s="408" t="s">
        <v>76</v>
      </c>
      <c r="C5491" s="409">
        <f>Return!O651</f>
        <v>8.219567132506489E-3</v>
      </c>
    </row>
    <row r="5492" spans="1:3">
      <c r="A5492" s="406">
        <f>Return!A652</f>
        <v>45126</v>
      </c>
      <c r="B5492" s="408" t="s">
        <v>76</v>
      </c>
      <c r="C5492" s="409">
        <f>Return!O652</f>
        <v>1.1805294077466666E-2</v>
      </c>
    </row>
    <row r="5493" spans="1:3">
      <c r="A5493" s="406">
        <f>Return!A653</f>
        <v>45125</v>
      </c>
      <c r="B5493" s="408" t="s">
        <v>76</v>
      </c>
      <c r="C5493" s="409">
        <f>Return!O653</f>
        <v>-7.8265166108576478E-3</v>
      </c>
    </row>
    <row r="5494" spans="1:3">
      <c r="A5494" s="406">
        <f>Return!A654</f>
        <v>45124</v>
      </c>
      <c r="B5494" s="408" t="s">
        <v>76</v>
      </c>
      <c r="C5494" s="409">
        <f>Return!O654</f>
        <v>4.2536099694130414E-3</v>
      </c>
    </row>
    <row r="5495" spans="1:3">
      <c r="A5495" s="406">
        <f>Return!A655</f>
        <v>45121</v>
      </c>
      <c r="B5495" s="408" t="s">
        <v>76</v>
      </c>
      <c r="C5495" s="409">
        <f>Return!O655</f>
        <v>7.7483942683573837E-3</v>
      </c>
    </row>
    <row r="5496" spans="1:3">
      <c r="A5496" s="406">
        <f>Return!A656</f>
        <v>45120</v>
      </c>
      <c r="B5496" s="408" t="s">
        <v>76</v>
      </c>
      <c r="C5496" s="409">
        <f>Return!O656</f>
        <v>-7.2488001124333401E-3</v>
      </c>
    </row>
    <row r="5497" spans="1:3">
      <c r="A5497" s="406">
        <f>Return!A657</f>
        <v>45119</v>
      </c>
      <c r="B5497" s="408" t="s">
        <v>76</v>
      </c>
      <c r="C5497" s="409">
        <f>Return!O657</f>
        <v>1.0536102692766613E-2</v>
      </c>
    </row>
    <row r="5498" spans="1:3">
      <c r="A5498" s="406">
        <f>Return!A658</f>
        <v>45118</v>
      </c>
      <c r="B5498" s="408" t="s">
        <v>76</v>
      </c>
      <c r="C5498" s="409">
        <f>Return!O658</f>
        <v>1.438209494678877E-2</v>
      </c>
    </row>
    <row r="5499" spans="1:3">
      <c r="A5499" s="406">
        <f>Return!A659</f>
        <v>45117</v>
      </c>
      <c r="B5499" s="408" t="s">
        <v>76</v>
      </c>
      <c r="C5499" s="409">
        <f>Return!O659</f>
        <v>-2.1317049857749737E-5</v>
      </c>
    </row>
    <row r="5500" spans="1:3">
      <c r="A5500" s="406">
        <f>Return!A660</f>
        <v>45114</v>
      </c>
      <c r="B5500" s="408" t="s">
        <v>76</v>
      </c>
      <c r="C5500" s="409">
        <f>Return!O660</f>
        <v>-1.7548839350037815E-3</v>
      </c>
    </row>
    <row r="5501" spans="1:3">
      <c r="A5501" s="406">
        <f>Return!A661</f>
        <v>45113</v>
      </c>
      <c r="B5501" s="408" t="s">
        <v>76</v>
      </c>
      <c r="C5501" s="409">
        <f>Return!O661</f>
        <v>7.1554915978282452E-3</v>
      </c>
    </row>
    <row r="5502" spans="1:3">
      <c r="A5502" s="406">
        <f>Return!A662</f>
        <v>45112</v>
      </c>
      <c r="B5502" s="408" t="s">
        <v>76</v>
      </c>
      <c r="C5502" s="409">
        <f>Return!O662</f>
        <v>5.6685428549279049E-3</v>
      </c>
    </row>
    <row r="5503" spans="1:3">
      <c r="A5503" s="406">
        <f>Return!A663</f>
        <v>45111</v>
      </c>
      <c r="B5503" s="408" t="s">
        <v>76</v>
      </c>
      <c r="C5503" s="409">
        <f>Return!O663</f>
        <v>1.8312141562815132E-3</v>
      </c>
    </row>
    <row r="5504" spans="1:3">
      <c r="A5504" s="406">
        <f>Return!A664</f>
        <v>45110</v>
      </c>
      <c r="B5504" s="408" t="s">
        <v>76</v>
      </c>
      <c r="C5504" s="409">
        <f>Return!O664</f>
        <v>-5.5586937450669005E-3</v>
      </c>
    </row>
    <row r="5505" spans="1:3">
      <c r="A5505" s="406">
        <f>Return!A665</f>
        <v>45107</v>
      </c>
      <c r="B5505" s="408" t="s">
        <v>76</v>
      </c>
      <c r="C5505" s="409">
        <f>Return!O665</f>
        <v>6.9501018329938269E-3</v>
      </c>
    </row>
    <row r="5506" spans="1:3">
      <c r="A5506" s="406">
        <f>Return!A666</f>
        <v>45105</v>
      </c>
      <c r="B5506" s="408" t="s">
        <v>76</v>
      </c>
      <c r="C5506" s="409">
        <f>Return!O666</f>
        <v>8.9936911503332162E-3</v>
      </c>
    </row>
    <row r="5507" spans="1:3">
      <c r="A5507" s="406">
        <f>Return!A667</f>
        <v>45104</v>
      </c>
      <c r="B5507" s="408" t="s">
        <v>76</v>
      </c>
      <c r="C5507" s="409">
        <f>Return!O667</f>
        <v>1.4740821609631194E-3</v>
      </c>
    </row>
    <row r="5508" spans="1:3">
      <c r="A5508" s="406">
        <f>Return!A668</f>
        <v>45103</v>
      </c>
      <c r="B5508" s="408" t="s">
        <v>76</v>
      </c>
      <c r="C5508" s="409">
        <f>Return!O668</f>
        <v>8.2362266776145887E-3</v>
      </c>
    </row>
    <row r="5509" spans="1:3">
      <c r="A5509" s="406">
        <f>Return!A669</f>
        <v>45100</v>
      </c>
      <c r="B5509" s="408" t="s">
        <v>76</v>
      </c>
      <c r="C5509" s="409">
        <f>Return!O669</f>
        <v>-6.8179620712263134E-3</v>
      </c>
    </row>
    <row r="5510" spans="1:3">
      <c r="A5510" s="406">
        <f>Return!A670</f>
        <v>45099</v>
      </c>
      <c r="B5510" s="408" t="s">
        <v>76</v>
      </c>
      <c r="C5510" s="409">
        <f>Return!O670</f>
        <v>2.4744918624770573E-3</v>
      </c>
    </row>
    <row r="5511" spans="1:3">
      <c r="A5511" s="406">
        <f>Return!A671</f>
        <v>45098</v>
      </c>
      <c r="B5511" s="408" t="s">
        <v>76</v>
      </c>
      <c r="C5511" s="409">
        <f>Return!O671</f>
        <v>3.8914941483760845E-3</v>
      </c>
    </row>
    <row r="5512" spans="1:3">
      <c r="A5512" s="406">
        <f>Return!A672</f>
        <v>45097</v>
      </c>
      <c r="B5512" s="408" t="s">
        <v>76</v>
      </c>
      <c r="C5512" s="409">
        <f>Return!O672</f>
        <v>2.3301834415612177E-4</v>
      </c>
    </row>
    <row r="5513" spans="1:3">
      <c r="A5513" s="406">
        <f>Return!A673</f>
        <v>45096</v>
      </c>
      <c r="B5513" s="408" t="s">
        <v>76</v>
      </c>
      <c r="C5513" s="409">
        <f>Return!O673</f>
        <v>9.6861010349964527E-3</v>
      </c>
    </row>
    <row r="5514" spans="1:3">
      <c r="A5514" s="406">
        <f>Return!A674</f>
        <v>45093</v>
      </c>
      <c r="B5514" s="408" t="s">
        <v>76</v>
      </c>
      <c r="C5514" s="409">
        <f>Return!O674</f>
        <v>8.1312982851200477E-3</v>
      </c>
    </row>
    <row r="5515" spans="1:3">
      <c r="A5515" s="406">
        <f>Return!A675</f>
        <v>45092</v>
      </c>
      <c r="B5515" s="408" t="s">
        <v>76</v>
      </c>
      <c r="C5515" s="409">
        <f>Return!O675</f>
        <v>6.6776176781793151E-3</v>
      </c>
    </row>
    <row r="5516" spans="1:3">
      <c r="A5516" s="406">
        <f>Return!A676</f>
        <v>45091</v>
      </c>
      <c r="B5516" s="408" t="s">
        <v>76</v>
      </c>
      <c r="C5516" s="409">
        <f>Return!O676</f>
        <v>7.8218999994130733E-3</v>
      </c>
    </row>
    <row r="5517" spans="1:3">
      <c r="A5517" s="406">
        <f>Return!A677</f>
        <v>45090</v>
      </c>
      <c r="B5517" s="408" t="s">
        <v>76</v>
      </c>
      <c r="C5517" s="409">
        <f>Return!O677</f>
        <v>1.1850923635629451E-2</v>
      </c>
    </row>
    <row r="5518" spans="1:3">
      <c r="A5518" s="406">
        <f>Return!A678</f>
        <v>45089</v>
      </c>
      <c r="B5518" s="408" t="s">
        <v>76</v>
      </c>
      <c r="C5518" s="409">
        <f>Return!O678</f>
        <v>1.0876654652847151E-4</v>
      </c>
    </row>
    <row r="5519" spans="1:3">
      <c r="A5519" s="406">
        <f>Return!A679</f>
        <v>45086</v>
      </c>
      <c r="B5519" s="408" t="s">
        <v>76</v>
      </c>
      <c r="C5519" s="409">
        <f>Return!O679</f>
        <v>1.9787816581817719E-3</v>
      </c>
    </row>
    <row r="5520" spans="1:3">
      <c r="A5520" s="406">
        <f>Return!A680</f>
        <v>45085</v>
      </c>
      <c r="B5520" s="408" t="s">
        <v>76</v>
      </c>
      <c r="C5520" s="409">
        <f>Return!O680</f>
        <v>-5.0010436574493555E-3</v>
      </c>
    </row>
    <row r="5521" spans="1:3">
      <c r="A5521" s="406">
        <f>Return!A681</f>
        <v>45084</v>
      </c>
      <c r="B5521" s="408" t="s">
        <v>76</v>
      </c>
      <c r="C5521" s="409">
        <f>Return!O681</f>
        <v>6.0342635365095987E-3</v>
      </c>
    </row>
    <row r="5522" spans="1:3">
      <c r="A5522" s="406">
        <f>Return!A682</f>
        <v>45083</v>
      </c>
      <c r="B5522" s="408" t="s">
        <v>76</v>
      </c>
      <c r="C5522" s="409">
        <f>Return!O682</f>
        <v>1.0089503539111089E-2</v>
      </c>
    </row>
    <row r="5523" spans="1:3">
      <c r="A5523" s="406">
        <f>Return!A683</f>
        <v>45082</v>
      </c>
      <c r="B5523" s="408" t="s">
        <v>76</v>
      </c>
      <c r="C5523" s="409">
        <f>Return!O683</f>
        <v>-1.6107890575981498E-3</v>
      </c>
    </row>
    <row r="5524" spans="1:3">
      <c r="A5524" s="406">
        <f>Return!A684</f>
        <v>45079</v>
      </c>
      <c r="B5524" s="408" t="s">
        <v>76</v>
      </c>
      <c r="C5524" s="409">
        <f>Return!O684</f>
        <v>2.7817280977504577E-3</v>
      </c>
    </row>
    <row r="5525" spans="1:3">
      <c r="A5525" s="406">
        <f>Return!A685</f>
        <v>45078</v>
      </c>
      <c r="B5525" s="408" t="s">
        <v>76</v>
      </c>
      <c r="C5525" s="409">
        <f>Return!O685</f>
        <v>2.2286817683190296E-3</v>
      </c>
    </row>
    <row r="5526" spans="1:3">
      <c r="A5526" s="406">
        <f>Return!A686</f>
        <v>45077</v>
      </c>
      <c r="B5526" s="408" t="s">
        <v>76</v>
      </c>
      <c r="C5526" s="409">
        <f>Return!O686</f>
        <v>6.0851133783275113E-3</v>
      </c>
    </row>
    <row r="5527" spans="1:3">
      <c r="A5527" s="406">
        <f>Return!A687</f>
        <v>45076</v>
      </c>
      <c r="B5527" s="408" t="s">
        <v>76</v>
      </c>
      <c r="C5527" s="409">
        <f>Return!O687</f>
        <v>-2.3215047320211957E-3</v>
      </c>
    </row>
    <row r="5528" spans="1:3">
      <c r="A5528" s="406">
        <f>Return!A688</f>
        <v>45075</v>
      </c>
      <c r="B5528" s="408" t="s">
        <v>76</v>
      </c>
      <c r="C5528" s="409">
        <f>Return!O688</f>
        <v>1.358611136818455E-3</v>
      </c>
    </row>
    <row r="5529" spans="1:3">
      <c r="A5529" s="406">
        <f>Return!A689</f>
        <v>45072</v>
      </c>
      <c r="B5529" s="408" t="s">
        <v>76</v>
      </c>
      <c r="C5529" s="409">
        <f>Return!O689</f>
        <v>1.4384824448814948E-2</v>
      </c>
    </row>
    <row r="5530" spans="1:3">
      <c r="A5530" s="406">
        <f>Return!A690</f>
        <v>45071</v>
      </c>
      <c r="B5530" s="408" t="s">
        <v>76</v>
      </c>
      <c r="C5530" s="409">
        <f>Return!O690</f>
        <v>3.6115106524696738E-3</v>
      </c>
    </row>
    <row r="5531" spans="1:3">
      <c r="A5531" s="406">
        <f>Return!A691</f>
        <v>45070</v>
      </c>
      <c r="B5531" s="408" t="s">
        <v>76</v>
      </c>
      <c r="C5531" s="409">
        <f>Return!O691</f>
        <v>6.3440153661487031E-3</v>
      </c>
    </row>
    <row r="5532" spans="1:3">
      <c r="A5532" s="406">
        <f>Return!A692</f>
        <v>45069</v>
      </c>
      <c r="B5532" s="408" t="s">
        <v>76</v>
      </c>
      <c r="C5532" s="409">
        <f>Return!O692</f>
        <v>3.8414714302263953E-3</v>
      </c>
    </row>
    <row r="5533" spans="1:3">
      <c r="A5533" s="406">
        <f>Return!A693</f>
        <v>45068</v>
      </c>
      <c r="B5533" s="408" t="s">
        <v>76</v>
      </c>
      <c r="C5533" s="409">
        <f>Return!O693</f>
        <v>1.1246144615715936E-2</v>
      </c>
    </row>
    <row r="5534" spans="1:3">
      <c r="A5534" s="406">
        <f>Return!A694</f>
        <v>45065</v>
      </c>
      <c r="B5534" s="408" t="s">
        <v>76</v>
      </c>
      <c r="C5534" s="409">
        <f>Return!O694</f>
        <v>-6.941367770665452E-3</v>
      </c>
    </row>
    <row r="5535" spans="1:3">
      <c r="A5535" s="406">
        <f>Return!A695</f>
        <v>45064</v>
      </c>
      <c r="B5535" s="408" t="s">
        <v>76</v>
      </c>
      <c r="C5535" s="409">
        <f>Return!O695</f>
        <v>-5.3666642639927931E-3</v>
      </c>
    </row>
    <row r="5536" spans="1:3">
      <c r="A5536" s="406">
        <f>Return!A696</f>
        <v>45063</v>
      </c>
      <c r="B5536" s="408" t="s">
        <v>76</v>
      </c>
      <c r="C5536" s="409">
        <f>Return!O696</f>
        <v>2.4461766918379979E-3</v>
      </c>
    </row>
    <row r="5537" spans="1:3">
      <c r="A5537" s="406">
        <f>Return!A697</f>
        <v>45062</v>
      </c>
      <c r="B5537" s="408" t="s">
        <v>76</v>
      </c>
      <c r="C5537" s="409">
        <f>Return!O697</f>
        <v>-5.7781874975244563E-3</v>
      </c>
    </row>
    <row r="5538" spans="1:3">
      <c r="A5538" s="406">
        <f>Return!A698</f>
        <v>45061</v>
      </c>
      <c r="B5538" s="408" t="s">
        <v>76</v>
      </c>
      <c r="C5538" s="409">
        <f>Return!O698</f>
        <v>8.646655120037039E-3</v>
      </c>
    </row>
    <row r="5539" spans="1:3">
      <c r="A5539" s="406">
        <f>Return!A699</f>
        <v>45058</v>
      </c>
      <c r="B5539" s="408" t="s">
        <v>76</v>
      </c>
      <c r="C5539" s="409">
        <f>Return!O699</f>
        <v>3.2674332199915668E-3</v>
      </c>
    </row>
    <row r="5540" spans="1:3">
      <c r="A5540" s="406">
        <f>Return!A700</f>
        <v>45057</v>
      </c>
      <c r="B5540" s="408" t="s">
        <v>76</v>
      </c>
      <c r="C5540" s="409">
        <f>Return!O700</f>
        <v>-6.6797250513639383E-4</v>
      </c>
    </row>
    <row r="5541" spans="1:3">
      <c r="A5541" s="406">
        <f>Return!A701</f>
        <v>45056</v>
      </c>
      <c r="B5541" s="408" t="s">
        <v>76</v>
      </c>
      <c r="C5541" s="409">
        <f>Return!O701</f>
        <v>-2.395376060293497E-5</v>
      </c>
    </row>
    <row r="5542" spans="1:3">
      <c r="A5542" s="406">
        <f>Return!A702</f>
        <v>45055</v>
      </c>
      <c r="B5542" s="408" t="s">
        <v>76</v>
      </c>
      <c r="C5542" s="409">
        <f>Return!O702</f>
        <v>2.5353003169519273E-3</v>
      </c>
    </row>
    <row r="5543" spans="1:3">
      <c r="A5543" s="406">
        <f>Return!A703</f>
        <v>45054</v>
      </c>
      <c r="B5543" s="408" t="s">
        <v>76</v>
      </c>
      <c r="C5543" s="409">
        <f>Return!O703</f>
        <v>2.1153784700864708E-3</v>
      </c>
    </row>
    <row r="5544" spans="1:3">
      <c r="A5544" s="406">
        <f>Return!A704</f>
        <v>45051</v>
      </c>
      <c r="B5544" s="408" t="s">
        <v>76</v>
      </c>
      <c r="C5544" s="409">
        <f>Return!O704</f>
        <v>-2.2114723375041834E-3</v>
      </c>
    </row>
    <row r="5545" spans="1:3">
      <c r="A5545" s="406">
        <f>Return!A705</f>
        <v>45050</v>
      </c>
      <c r="B5545" s="408" t="s">
        <v>76</v>
      </c>
      <c r="C5545" s="409">
        <f>Return!O705</f>
        <v>6.4936634285512884E-3</v>
      </c>
    </row>
    <row r="5546" spans="1:3">
      <c r="A5546" s="406">
        <f>Return!A706</f>
        <v>45049</v>
      </c>
      <c r="B5546" s="408" t="s">
        <v>76</v>
      </c>
      <c r="C5546" s="409">
        <f>Return!O706</f>
        <v>1.1042295083918408E-3</v>
      </c>
    </row>
    <row r="5547" spans="1:3">
      <c r="A5547" s="406">
        <f>Return!A707</f>
        <v>45048</v>
      </c>
      <c r="B5547" s="408" t="s">
        <v>76</v>
      </c>
      <c r="C5547" s="409">
        <f>Return!O707</f>
        <v>1.5468971622745187E-5</v>
      </c>
    </row>
    <row r="5548" spans="1:3">
      <c r="A5548" s="406">
        <f>Return!A708</f>
        <v>45044</v>
      </c>
      <c r="B5548" s="408" t="s">
        <v>76</v>
      </c>
      <c r="C5548" s="409">
        <f>Return!O708</f>
        <v>8.6931194407726675E-3</v>
      </c>
    </row>
    <row r="5549" spans="1:3">
      <c r="A5549" s="406">
        <f>Return!A709</f>
        <v>45043</v>
      </c>
      <c r="B5549" s="408" t="s">
        <v>76</v>
      </c>
      <c r="C5549" s="409">
        <f>Return!O709</f>
        <v>3.3591855741283982E-3</v>
      </c>
    </row>
    <row r="5550" spans="1:3">
      <c r="A5550" s="406">
        <f>Return!A710</f>
        <v>45042</v>
      </c>
      <c r="B5550" s="408" t="s">
        <v>76</v>
      </c>
      <c r="C5550" s="409">
        <f>Return!O710</f>
        <v>-8.2065647704931965E-4</v>
      </c>
    </row>
    <row r="5551" spans="1:3">
      <c r="A5551" s="406">
        <f>Return!A711</f>
        <v>45041</v>
      </c>
      <c r="B5551" s="408" t="s">
        <v>76</v>
      </c>
      <c r="C5551" s="409">
        <f>Return!O711</f>
        <v>-1.5606584320608796E-3</v>
      </c>
    </row>
    <row r="5552" spans="1:3">
      <c r="A5552" s="406">
        <f>Return!A712</f>
        <v>45040</v>
      </c>
      <c r="B5552" s="408" t="s">
        <v>76</v>
      </c>
      <c r="C5552" s="409">
        <f>Return!O712</f>
        <v>-6.566862765458481E-3</v>
      </c>
    </row>
    <row r="5553" spans="1:3">
      <c r="A5553" s="406">
        <f>Return!A713</f>
        <v>45037</v>
      </c>
      <c r="B5553" s="408" t="s">
        <v>76</v>
      </c>
      <c r="C5553" s="409">
        <f>Return!O713</f>
        <v>1.099264806917688E-3</v>
      </c>
    </row>
    <row r="5554" spans="1:3">
      <c r="A5554" s="406">
        <f>Return!A714</f>
        <v>45036</v>
      </c>
      <c r="B5554" s="408" t="s">
        <v>76</v>
      </c>
      <c r="C5554" s="409">
        <f>Return!O714</f>
        <v>-6.7209756630184359E-3</v>
      </c>
    </row>
    <row r="5555" spans="1:3">
      <c r="A5555" s="406">
        <f>Return!A715</f>
        <v>45035</v>
      </c>
      <c r="B5555" s="408" t="s">
        <v>76</v>
      </c>
      <c r="C5555" s="409">
        <f>Return!O715</f>
        <v>6.0283903875291145E-3</v>
      </c>
    </row>
    <row r="5556" spans="1:3">
      <c r="A5556" s="406">
        <f>Return!A716</f>
        <v>45034</v>
      </c>
      <c r="B5556" s="408" t="s">
        <v>76</v>
      </c>
      <c r="C5556" s="409">
        <f>Return!O716</f>
        <v>5.5797706699047822E-3</v>
      </c>
    </row>
    <row r="5557" spans="1:3">
      <c r="A5557" s="406">
        <f>Return!A717</f>
        <v>45033</v>
      </c>
      <c r="B5557" s="408" t="s">
        <v>76</v>
      </c>
      <c r="C5557" s="409">
        <f>Return!O717</f>
        <v>1.3657889896085962E-3</v>
      </c>
    </row>
    <row r="5558" spans="1:3">
      <c r="A5558" s="406">
        <f>Return!A718</f>
        <v>45029</v>
      </c>
      <c r="B5558" s="408" t="s">
        <v>76</v>
      </c>
      <c r="C5558" s="409">
        <f>Return!O718</f>
        <v>-1.8265263956265265E-3</v>
      </c>
    </row>
    <row r="5559" spans="1:3">
      <c r="A5559" s="406">
        <f>Return!A719</f>
        <v>45028</v>
      </c>
      <c r="B5559" s="408" t="s">
        <v>76</v>
      </c>
      <c r="C5559" s="409">
        <f>Return!O719</f>
        <v>1.9294957892050046E-2</v>
      </c>
    </row>
    <row r="5560" spans="1:3">
      <c r="A5560" s="406">
        <f>Return!A720</f>
        <v>45027</v>
      </c>
      <c r="B5560" s="408" t="s">
        <v>76</v>
      </c>
      <c r="C5560" s="409">
        <f>Return!O720</f>
        <v>4.954073403878656E-3</v>
      </c>
    </row>
    <row r="5561" spans="1:3">
      <c r="A5561" s="406">
        <f>Return!A721</f>
        <v>45026</v>
      </c>
      <c r="B5561" s="408" t="s">
        <v>76</v>
      </c>
      <c r="C5561" s="409">
        <f>Return!O721</f>
        <v>5.0143313675747869E-3</v>
      </c>
    </row>
    <row r="5562" spans="1:3">
      <c r="A5562" s="406">
        <f>Return!A722</f>
        <v>45022</v>
      </c>
      <c r="B5562" s="408" t="s">
        <v>76</v>
      </c>
      <c r="C5562" s="409">
        <f>Return!O722</f>
        <v>6.0952240474425601E-3</v>
      </c>
    </row>
    <row r="5563" spans="1:3">
      <c r="A5563" s="406">
        <f>Return!A723</f>
        <v>45021</v>
      </c>
      <c r="B5563" s="408" t="s">
        <v>76</v>
      </c>
      <c r="C5563" s="409">
        <f>Return!O723</f>
        <v>1.4172130050416065E-4</v>
      </c>
    </row>
    <row r="5564" spans="1:3">
      <c r="A5564" s="406">
        <f>Return!A724</f>
        <v>45019</v>
      </c>
      <c r="B5564" s="408" t="s">
        <v>76</v>
      </c>
      <c r="C5564" s="409">
        <f>Return!O724</f>
        <v>-5.781101746484385E-3</v>
      </c>
    </row>
    <row r="5565" spans="1:3">
      <c r="A5565" s="406">
        <f>Return!A725</f>
        <v>45016</v>
      </c>
      <c r="B5565" s="408" t="s">
        <v>76</v>
      </c>
      <c r="C5565" s="409">
        <f>Return!O725</f>
        <v>5.7501174719538639E-3</v>
      </c>
    </row>
    <row r="5566" spans="1:3">
      <c r="A5566" s="406">
        <f>Return!A726</f>
        <v>45014</v>
      </c>
      <c r="B5566" s="408" t="s">
        <v>76</v>
      </c>
      <c r="C5566" s="409">
        <f>Return!O726</f>
        <v>1.1202519393649579E-2</v>
      </c>
    </row>
    <row r="5567" spans="1:3">
      <c r="A5567" s="406">
        <f>Return!A727</f>
        <v>45013</v>
      </c>
      <c r="B5567" s="408" t="s">
        <v>76</v>
      </c>
      <c r="C5567" s="409">
        <f>Return!O727</f>
        <v>-3.8282401822820056E-4</v>
      </c>
    </row>
    <row r="5568" spans="1:3">
      <c r="A5568" s="406">
        <f>Return!A728</f>
        <v>45012</v>
      </c>
      <c r="B5568" s="408" t="s">
        <v>76</v>
      </c>
      <c r="C5568" s="409">
        <f>Return!O728</f>
        <v>2.8840814330852726E-3</v>
      </c>
    </row>
    <row r="5569" spans="1:3">
      <c r="A5569" s="406">
        <f>Return!A729</f>
        <v>45009</v>
      </c>
      <c r="B5569" s="408" t="s">
        <v>76</v>
      </c>
      <c r="C5569" s="409">
        <f>Return!O729</f>
        <v>-8.8739696474017249E-3</v>
      </c>
    </row>
    <row r="5570" spans="1:3">
      <c r="A5570" s="406">
        <f>Return!A730</f>
        <v>45008</v>
      </c>
      <c r="B5570" s="408" t="s">
        <v>76</v>
      </c>
      <c r="C5570" s="409">
        <f>Return!O730</f>
        <v>3.373370942947318E-4</v>
      </c>
    </row>
    <row r="5571" spans="1:3">
      <c r="A5571" s="406">
        <f>Return!A731</f>
        <v>45007</v>
      </c>
      <c r="B5571" s="408" t="s">
        <v>76</v>
      </c>
      <c r="C5571" s="409">
        <f>Return!O731</f>
        <v>3.7601936990943052E-3</v>
      </c>
    </row>
    <row r="5572" spans="1:3">
      <c r="A5572" s="406">
        <f>Return!A732</f>
        <v>45006</v>
      </c>
      <c r="B5572" s="408" t="s">
        <v>76</v>
      </c>
      <c r="C5572" s="409">
        <f>Return!O732</f>
        <v>-1.5622476164559584E-3</v>
      </c>
    </row>
    <row r="5573" spans="1:3">
      <c r="A5573" s="406">
        <f>Return!A733</f>
        <v>45005</v>
      </c>
      <c r="B5573" s="408" t="s">
        <v>76</v>
      </c>
      <c r="C5573" s="409">
        <f>Return!O733</f>
        <v>-1.8509800654070707E-3</v>
      </c>
    </row>
    <row r="5574" spans="1:3">
      <c r="A5574" s="406">
        <f>Return!A734</f>
        <v>45002</v>
      </c>
      <c r="B5574" s="408" t="s">
        <v>76</v>
      </c>
      <c r="C5574" s="409">
        <f>Return!O734</f>
        <v>-1.3762357207224296E-3</v>
      </c>
    </row>
    <row r="5575" spans="1:3">
      <c r="A5575" s="406">
        <f>Return!A735</f>
        <v>45001</v>
      </c>
      <c r="B5575" s="408" t="s">
        <v>76</v>
      </c>
      <c r="C5575" s="409">
        <f>Return!O735</f>
        <v>8.7311302879362618E-3</v>
      </c>
    </row>
    <row r="5576" spans="1:3">
      <c r="A5576" s="406">
        <f>Return!A736</f>
        <v>45000</v>
      </c>
      <c r="B5576" s="408" t="s">
        <v>76</v>
      </c>
      <c r="C5576" s="409">
        <f>Return!O736</f>
        <v>9.3294553715161932E-4</v>
      </c>
    </row>
    <row r="5577" spans="1:3">
      <c r="A5577" s="406">
        <f>Return!A737</f>
        <v>44999</v>
      </c>
      <c r="B5577" s="408" t="s">
        <v>76</v>
      </c>
      <c r="C5577" s="409">
        <f>Return!O737</f>
        <v>1.9322973419111378E-5</v>
      </c>
    </row>
    <row r="5578" spans="1:3">
      <c r="A5578" s="406">
        <f>Return!A738</f>
        <v>44998</v>
      </c>
      <c r="B5578" s="408" t="s">
        <v>76</v>
      </c>
      <c r="C5578" s="409">
        <f>Return!O738</f>
        <v>-5.9324542872807307E-3</v>
      </c>
    </row>
    <row r="5579" spans="1:3">
      <c r="A5579" s="406">
        <f>Return!A739</f>
        <v>44995</v>
      </c>
      <c r="B5579" s="408" t="s">
        <v>76</v>
      </c>
      <c r="C5579" s="409">
        <f>Return!O739</f>
        <v>-2.6213127637607636E-3</v>
      </c>
    </row>
    <row r="5580" spans="1:3">
      <c r="A5580" s="406">
        <f>Return!A740</f>
        <v>44994</v>
      </c>
      <c r="B5580" s="408" t="s">
        <v>76</v>
      </c>
      <c r="C5580" s="409">
        <f>Return!O740</f>
        <v>2.4900600094441838E-3</v>
      </c>
    </row>
    <row r="5581" spans="1:3">
      <c r="A5581" s="406">
        <f>Return!A741</f>
        <v>44993</v>
      </c>
      <c r="B5581" s="408" t="s">
        <v>76</v>
      </c>
      <c r="C5581" s="409">
        <f>Return!O741</f>
        <v>-2.9282016121343624E-3</v>
      </c>
    </row>
    <row r="5582" spans="1:3">
      <c r="A5582" s="406">
        <f>Return!A742</f>
        <v>44991</v>
      </c>
      <c r="B5582" s="408" t="s">
        <v>76</v>
      </c>
      <c r="C5582" s="409">
        <f>Return!O742</f>
        <v>4.3432287984332962E-3</v>
      </c>
    </row>
    <row r="5583" spans="1:3">
      <c r="A5583" s="406">
        <f>Return!A743</f>
        <v>44988</v>
      </c>
      <c r="B5583" s="408" t="s">
        <v>76</v>
      </c>
      <c r="C5583" s="409">
        <f>Return!O743</f>
        <v>2.8301661328482552E-3</v>
      </c>
    </row>
    <row r="5584" spans="1:3">
      <c r="A5584" s="406">
        <f>Return!A744</f>
        <v>44987</v>
      </c>
      <c r="B5584" s="408" t="s">
        <v>76</v>
      </c>
      <c r="C5584" s="409">
        <f>Return!O744</f>
        <v>-4.1868921357668398E-4</v>
      </c>
    </row>
    <row r="5585" spans="1:3">
      <c r="A5585" s="406">
        <f>Return!A745</f>
        <v>44986</v>
      </c>
      <c r="B5585" s="408" t="s">
        <v>76</v>
      </c>
      <c r="C5585" s="409">
        <f>Return!O745</f>
        <v>1.1127120215694841E-3</v>
      </c>
    </row>
    <row r="5586" spans="1:3">
      <c r="A5586" s="406">
        <f>Return!A746</f>
        <v>44985</v>
      </c>
      <c r="B5586" s="408" t="s">
        <v>76</v>
      </c>
      <c r="C5586" s="409">
        <f>Return!O746</f>
        <v>-3.965972043449284E-3</v>
      </c>
    </row>
    <row r="5587" spans="1:3">
      <c r="A5587" s="406">
        <f>Return!A747</f>
        <v>44984</v>
      </c>
      <c r="B5587" s="408" t="s">
        <v>76</v>
      </c>
      <c r="C5587" s="409">
        <f>Return!O747</f>
        <v>-5.0391376209732996E-3</v>
      </c>
    </row>
    <row r="5588" spans="1:3">
      <c r="A5588" s="406">
        <f>Return!A748</f>
        <v>44981</v>
      </c>
      <c r="B5588" s="408" t="s">
        <v>76</v>
      </c>
      <c r="C5588" s="409">
        <f>Return!O748</f>
        <v>1.2473048265617681E-3</v>
      </c>
    </row>
    <row r="5589" spans="1:3">
      <c r="A5589" s="406">
        <f>Return!A749</f>
        <v>44980</v>
      </c>
      <c r="B5589" s="408" t="s">
        <v>76</v>
      </c>
      <c r="C5589" s="409">
        <f>Return!O749</f>
        <v>1.9095679029081936E-3</v>
      </c>
    </row>
    <row r="5590" spans="1:3">
      <c r="A5590" s="406">
        <f>Return!A750</f>
        <v>44979</v>
      </c>
      <c r="B5590" s="408" t="s">
        <v>76</v>
      </c>
      <c r="C5590" s="409">
        <f>Return!O750</f>
        <v>-9.2123295030936969E-3</v>
      </c>
    </row>
    <row r="5591" spans="1:3">
      <c r="A5591" s="406">
        <f>Return!A751</f>
        <v>44978</v>
      </c>
      <c r="B5591" s="408" t="s">
        <v>76</v>
      </c>
      <c r="C5591" s="409">
        <f>Return!O751</f>
        <v>-1.7278083073419825E-3</v>
      </c>
    </row>
    <row r="5592" spans="1:3">
      <c r="A5592" s="406">
        <f>Return!A752</f>
        <v>44977</v>
      </c>
      <c r="B5592" s="408" t="s">
        <v>76</v>
      </c>
      <c r="C5592" s="409">
        <f>Return!O752</f>
        <v>-8.9513622073675858E-3</v>
      </c>
    </row>
    <row r="5593" spans="1:3">
      <c r="A5593" s="406">
        <f>Return!A753</f>
        <v>44974</v>
      </c>
      <c r="B5593" s="408" t="s">
        <v>76</v>
      </c>
      <c r="C5593" s="409">
        <f>Return!O753</f>
        <v>-9.6155142278153694E-4</v>
      </c>
    </row>
    <row r="5594" spans="1:3">
      <c r="A5594" s="406">
        <f>Return!A754</f>
        <v>44973</v>
      </c>
      <c r="B5594" s="408" t="s">
        <v>76</v>
      </c>
      <c r="C5594" s="409">
        <f>Return!O754</f>
        <v>1.1953075590792173E-2</v>
      </c>
    </row>
    <row r="5595" spans="1:3">
      <c r="A5595" s="406">
        <f>Return!A755</f>
        <v>44972</v>
      </c>
      <c r="B5595" s="408" t="s">
        <v>76</v>
      </c>
      <c r="C5595" s="409">
        <f>Return!O755</f>
        <v>6.0303951770057651E-4</v>
      </c>
    </row>
    <row r="5596" spans="1:3">
      <c r="A5596" s="406">
        <f>Return!A756</f>
        <v>44971</v>
      </c>
      <c r="B5596" s="408" t="s">
        <v>76</v>
      </c>
      <c r="C5596" s="409">
        <f>Return!O756</f>
        <v>-5.2904393175213782E-3</v>
      </c>
    </row>
    <row r="5597" spans="1:3">
      <c r="A5597" s="406">
        <f>Return!A757</f>
        <v>44970</v>
      </c>
      <c r="B5597" s="408" t="s">
        <v>76</v>
      </c>
      <c r="C5597" s="409">
        <f>Return!O757</f>
        <v>-1.0874793577104191E-2</v>
      </c>
    </row>
    <row r="5598" spans="1:3">
      <c r="A5598" s="406">
        <f>Return!A758</f>
        <v>44967</v>
      </c>
      <c r="B5598" s="408" t="s">
        <v>76</v>
      </c>
      <c r="C5598" s="409">
        <f>Return!O758</f>
        <v>2.4693211427004869E-3</v>
      </c>
    </row>
    <row r="5599" spans="1:3">
      <c r="A5599" s="406">
        <f>Return!A759</f>
        <v>44966</v>
      </c>
      <c r="B5599" s="408" t="s">
        <v>76</v>
      </c>
      <c r="C5599" s="409">
        <f>Return!O759</f>
        <v>-7.4825053922221718E-3</v>
      </c>
    </row>
    <row r="5600" spans="1:3">
      <c r="A5600" s="406">
        <f>Return!A760</f>
        <v>44965</v>
      </c>
      <c r="B5600" s="408" t="s">
        <v>76</v>
      </c>
      <c r="C5600" s="409">
        <f>Return!O760</f>
        <v>1.0161490144655172E-2</v>
      </c>
    </row>
    <row r="5601" spans="1:3">
      <c r="A5601" s="406">
        <f>Return!A761</f>
        <v>44964</v>
      </c>
      <c r="B5601" s="408" t="s">
        <v>76</v>
      </c>
      <c r="C5601" s="409">
        <f>Return!O761</f>
        <v>4.8914598177733914E-3</v>
      </c>
    </row>
    <row r="5602" spans="1:3">
      <c r="A5602" s="406">
        <f>Return!A762</f>
        <v>44963</v>
      </c>
      <c r="B5602" s="408" t="s">
        <v>76</v>
      </c>
      <c r="C5602" s="409">
        <f>Return!O762</f>
        <v>5.4952661858671537E-3</v>
      </c>
    </row>
    <row r="5603" spans="1:3">
      <c r="A5603" s="406">
        <f>Return!A763</f>
        <v>44960</v>
      </c>
      <c r="B5603" s="408" t="s">
        <v>76</v>
      </c>
      <c r="C5603" s="409">
        <f>Return!O763</f>
        <v>-3.6613521062038856E-3</v>
      </c>
    </row>
    <row r="5604" spans="1:3">
      <c r="A5604" s="406">
        <f>Return!A764</f>
        <v>44959</v>
      </c>
      <c r="B5604" s="408" t="s">
        <v>76</v>
      </c>
      <c r="C5604" s="409">
        <f>Return!O764</f>
        <v>-1.0234054639486345E-3</v>
      </c>
    </row>
    <row r="5605" spans="1:3">
      <c r="A5605" s="406">
        <f>Return!A765</f>
        <v>44958</v>
      </c>
      <c r="B5605" s="408" t="s">
        <v>76</v>
      </c>
      <c r="C5605" s="409">
        <f>Return!O765</f>
        <v>-9.6259137468590605E-3</v>
      </c>
    </row>
    <row r="5606" spans="1:3">
      <c r="A5606" s="406">
        <f>Return!A766</f>
        <v>44957</v>
      </c>
      <c r="B5606" s="408" t="s">
        <v>76</v>
      </c>
      <c r="C5606" s="409">
        <f>Return!O766</f>
        <v>6.2816246784280771E-4</v>
      </c>
    </row>
    <row r="5607" spans="1:3">
      <c r="A5607" s="406">
        <f>Return!A767</f>
        <v>44956</v>
      </c>
      <c r="B5607" s="408" t="s">
        <v>76</v>
      </c>
      <c r="C5607" s="409">
        <f>Return!O767</f>
        <v>-1.9463207661929438E-3</v>
      </c>
    </row>
    <row r="5608" spans="1:3">
      <c r="A5608" s="406">
        <f>Return!A768</f>
        <v>44953</v>
      </c>
      <c r="B5608" s="408" t="s">
        <v>76</v>
      </c>
      <c r="C5608" s="409">
        <f>Return!O768</f>
        <v>2.3247847912342134E-3</v>
      </c>
    </row>
    <row r="5609" spans="1:3">
      <c r="A5609" s="406">
        <f>Return!A769</f>
        <v>44951</v>
      </c>
      <c r="B5609" s="408" t="s">
        <v>76</v>
      </c>
      <c r="C5609" s="409">
        <f>Return!O769</f>
        <v>-4.2137586101459457E-3</v>
      </c>
    </row>
    <row r="5610" spans="1:3">
      <c r="A5610" s="406">
        <f>Return!A770</f>
        <v>44950</v>
      </c>
      <c r="B5610" s="408" t="s">
        <v>76</v>
      </c>
      <c r="C5610" s="409">
        <f>Return!O770</f>
        <v>-9.4726968648514154E-3</v>
      </c>
    </row>
    <row r="5611" spans="1:3">
      <c r="A5611" s="406">
        <f>Return!A771</f>
        <v>44949</v>
      </c>
      <c r="B5611" s="408" t="s">
        <v>76</v>
      </c>
      <c r="C5611" s="409">
        <f>Return!O771</f>
        <v>8.6171888596839885E-3</v>
      </c>
    </row>
    <row r="5612" spans="1:3">
      <c r="A5612" s="406">
        <f>Return!A772</f>
        <v>44946</v>
      </c>
      <c r="B5612" s="408" t="s">
        <v>76</v>
      </c>
      <c r="C5612" s="409">
        <f>Return!O772</f>
        <v>-6.7922092469460127E-3</v>
      </c>
    </row>
    <row r="5613" spans="1:3">
      <c r="A5613" s="406">
        <f>Return!A773</f>
        <v>44945</v>
      </c>
      <c r="B5613" s="408" t="s">
        <v>76</v>
      </c>
      <c r="C5613" s="409">
        <f>Return!O773</f>
        <v>-3.225501989079671E-3</v>
      </c>
    </row>
    <row r="5614" spans="1:3">
      <c r="A5614" s="406">
        <f>Return!A774</f>
        <v>44944</v>
      </c>
      <c r="B5614" s="408" t="s">
        <v>76</v>
      </c>
      <c r="C5614" s="409">
        <f>Return!O774</f>
        <v>3.1389325131523371E-3</v>
      </c>
    </row>
    <row r="5615" spans="1:3">
      <c r="A5615" s="406">
        <f>Return!A775</f>
        <v>44943</v>
      </c>
      <c r="B5615" s="408" t="s">
        <v>76</v>
      </c>
      <c r="C5615" s="409">
        <f>Return!O775</f>
        <v>-1.0584847006701592E-3</v>
      </c>
    </row>
    <row r="5616" spans="1:3">
      <c r="A5616" s="406">
        <f>Return!A776</f>
        <v>44942</v>
      </c>
      <c r="B5616" s="408" t="s">
        <v>76</v>
      </c>
      <c r="C5616" s="409">
        <f>Return!O776</f>
        <v>-7.7495032395502594E-4</v>
      </c>
    </row>
    <row r="5617" spans="1:3">
      <c r="A5617" s="406">
        <f>Return!A777</f>
        <v>44939</v>
      </c>
      <c r="B5617" s="408" t="s">
        <v>76</v>
      </c>
      <c r="C5617" s="409">
        <f>Return!O777</f>
        <v>5.7259249602048534E-4</v>
      </c>
    </row>
    <row r="5618" spans="1:3">
      <c r="A5618" s="406">
        <f>Return!A778</f>
        <v>44938</v>
      </c>
      <c r="B5618" s="408" t="s">
        <v>76</v>
      </c>
      <c r="C5618" s="409">
        <f>Return!O778</f>
        <v>2.0357729949813663E-3</v>
      </c>
    </row>
    <row r="5619" spans="1:3">
      <c r="A5619" s="406">
        <f>Return!A779</f>
        <v>44937</v>
      </c>
      <c r="B5619" s="408" t="s">
        <v>76</v>
      </c>
      <c r="C5619" s="409">
        <f>Return!O779</f>
        <v>-5.1053686800653919E-3</v>
      </c>
    </row>
    <row r="5620" spans="1:3">
      <c r="A5620" s="406">
        <f>Return!A780</f>
        <v>44936</v>
      </c>
      <c r="B5620" s="408" t="s">
        <v>76</v>
      </c>
      <c r="C5620" s="409">
        <f>Return!O780</f>
        <v>-2.5439896543888452E-3</v>
      </c>
    </row>
    <row r="5621" spans="1:3">
      <c r="A5621" s="406">
        <f>Return!A781</f>
        <v>44935</v>
      </c>
      <c r="B5621" s="408" t="s">
        <v>76</v>
      </c>
      <c r="C5621" s="409">
        <f>Return!O781</f>
        <v>1.2447245247920069E-2</v>
      </c>
    </row>
    <row r="5622" spans="1:3">
      <c r="A5622" s="406">
        <f>Return!A782</f>
        <v>44932</v>
      </c>
      <c r="B5622" s="408" t="s">
        <v>76</v>
      </c>
      <c r="C5622" s="409">
        <f>Return!O782</f>
        <v>-1.0528054167870948E-2</v>
      </c>
    </row>
    <row r="5623" spans="1:3">
      <c r="A5623" s="406">
        <f>Return!A783</f>
        <v>44931</v>
      </c>
      <c r="B5623" s="408" t="s">
        <v>76</v>
      </c>
      <c r="C5623" s="409">
        <f>Return!O783</f>
        <v>5.7261286669658684E-3</v>
      </c>
    </row>
    <row r="5624" spans="1:3">
      <c r="A5624" s="406">
        <f>Return!A784</f>
        <v>44930</v>
      </c>
      <c r="B5624" s="408" t="s">
        <v>76</v>
      </c>
      <c r="C5624" s="409">
        <f>Return!O784</f>
        <v>-3.4021326405860863E-3</v>
      </c>
    </row>
    <row r="5625" spans="1:3">
      <c r="A5625" s="406">
        <f>Return!A785</f>
        <v>44929</v>
      </c>
      <c r="B5625" s="408" t="s">
        <v>76</v>
      </c>
      <c r="C5625" s="409">
        <f>Return!O785</f>
        <v>5.3039405952191032E-3</v>
      </c>
    </row>
    <row r="5626" spans="1:3">
      <c r="A5626" s="406">
        <f>Return!A786</f>
        <v>44928</v>
      </c>
      <c r="B5626" s="408" t="s">
        <v>76</v>
      </c>
      <c r="C5626" s="409">
        <f>Return!O786</f>
        <v>1.009746069047246E-5</v>
      </c>
    </row>
    <row r="5627" spans="1:3">
      <c r="A5627" s="406">
        <f>Return!A787</f>
        <v>44925</v>
      </c>
      <c r="B5627" s="408" t="s">
        <v>76</v>
      </c>
      <c r="C5627" s="409">
        <f>Return!O787</f>
        <v>-6.6975211067801244E-3</v>
      </c>
    </row>
    <row r="5628" spans="1:3">
      <c r="A5628" s="406">
        <f>Return!A788</f>
        <v>44924</v>
      </c>
      <c r="B5628" s="408" t="s">
        <v>76</v>
      </c>
      <c r="C5628" s="409">
        <f>Return!O788</f>
        <v>5.8566187701545314E-3</v>
      </c>
    </row>
    <row r="5629" spans="1:3">
      <c r="A5629" s="406">
        <f>Return!A789</f>
        <v>44923</v>
      </c>
      <c r="B5629" s="408" t="s">
        <v>76</v>
      </c>
      <c r="C5629" s="409">
        <f>Return!O789</f>
        <v>-2.0245034590132827E-3</v>
      </c>
    </row>
    <row r="5630" spans="1:3">
      <c r="A5630" s="406">
        <f>Return!A790</f>
        <v>44922</v>
      </c>
      <c r="B5630" s="408" t="s">
        <v>76</v>
      </c>
      <c r="C5630" s="409">
        <f>Return!O790</f>
        <v>-1.8844023827224721E-4</v>
      </c>
    </row>
    <row r="5631" spans="1:3">
      <c r="A5631" s="406">
        <f>Return!A791</f>
        <v>44921</v>
      </c>
      <c r="B5631" s="408" t="s">
        <v>76</v>
      </c>
      <c r="C5631" s="409">
        <f>Return!O791</f>
        <v>4.9390209360105075E-3</v>
      </c>
    </row>
    <row r="5632" spans="1:3">
      <c r="A5632" s="406">
        <f>Return!A792</f>
        <v>44918</v>
      </c>
      <c r="B5632" s="408" t="s">
        <v>76</v>
      </c>
      <c r="C5632" s="409">
        <f>Return!O792</f>
        <v>-1.541729647120893E-2</v>
      </c>
    </row>
    <row r="5633" spans="1:3">
      <c r="A5633" s="406">
        <f>Return!A793</f>
        <v>44917</v>
      </c>
      <c r="B5633" s="408" t="s">
        <v>76</v>
      </c>
      <c r="C5633" s="409">
        <f>Return!O793</f>
        <v>1.8568903382742974E-4</v>
      </c>
    </row>
    <row r="5634" spans="1:3">
      <c r="A5634" s="406">
        <f>Return!A794</f>
        <v>44916</v>
      </c>
      <c r="B5634" s="408" t="s">
        <v>76</v>
      </c>
      <c r="C5634" s="409">
        <f>Return!O794</f>
        <v>1.4268052503587869E-2</v>
      </c>
    </row>
    <row r="5635" spans="1:3">
      <c r="A5635" s="406">
        <f>Return!A795</f>
        <v>44915</v>
      </c>
      <c r="B5635" s="408" t="s">
        <v>76</v>
      </c>
      <c r="C5635" s="409">
        <f>Return!O795</f>
        <v>1.9969479843551241E-4</v>
      </c>
    </row>
    <row r="5636" spans="1:3">
      <c r="A5636" s="406">
        <f>Return!A796</f>
        <v>44914</v>
      </c>
      <c r="B5636" s="408" t="s">
        <v>76</v>
      </c>
      <c r="C5636" s="409">
        <f>Return!O796</f>
        <v>-1.5611611519495971E-3</v>
      </c>
    </row>
    <row r="5637" spans="1:3">
      <c r="A5637" s="406">
        <f>Return!A797</f>
        <v>44911</v>
      </c>
      <c r="B5637" s="408" t="s">
        <v>76</v>
      </c>
      <c r="C5637" s="409">
        <f>Return!O797</f>
        <v>-9.5671688567527946E-3</v>
      </c>
    </row>
    <row r="5638" spans="1:3">
      <c r="A5638" s="406">
        <f>Return!A798</f>
        <v>44910</v>
      </c>
      <c r="B5638" s="408" t="s">
        <v>76</v>
      </c>
      <c r="C5638" s="409">
        <f>Return!O798</f>
        <v>-5.5546522846503521E-3</v>
      </c>
    </row>
    <row r="5639" spans="1:3">
      <c r="A5639" s="406">
        <f>Return!A799</f>
        <v>44909</v>
      </c>
      <c r="B5639" s="408" t="s">
        <v>76</v>
      </c>
      <c r="C5639" s="409">
        <f>Return!O799</f>
        <v>1.4746132822684999E-3</v>
      </c>
    </row>
    <row r="5640" spans="1:3">
      <c r="A5640" s="406">
        <f>Return!A800</f>
        <v>44908</v>
      </c>
      <c r="B5640" s="408" t="s">
        <v>76</v>
      </c>
      <c r="C5640" s="409">
        <f>Return!O800</f>
        <v>-4.6398523524160407E-4</v>
      </c>
    </row>
    <row r="5641" spans="1:3">
      <c r="A5641" s="406">
        <f>Return!A801</f>
        <v>44907</v>
      </c>
      <c r="B5641" s="408" t="s">
        <v>76</v>
      </c>
      <c r="C5641" s="409">
        <f>Return!O801</f>
        <v>6.1119437334844484E-4</v>
      </c>
    </row>
    <row r="5642" spans="1:3">
      <c r="A5642" s="406">
        <f>Return!A802</f>
        <v>44904</v>
      </c>
      <c r="B5642" s="408" t="s">
        <v>76</v>
      </c>
      <c r="C5642" s="409">
        <f>Return!O802</f>
        <v>2.4979862031966338E-3</v>
      </c>
    </row>
    <row r="5643" spans="1:3">
      <c r="A5643" s="406">
        <f>Return!A803</f>
        <v>44903</v>
      </c>
      <c r="B5643" s="408" t="s">
        <v>76</v>
      </c>
      <c r="C5643" s="409">
        <f>Return!O803</f>
        <v>-8.9663924452229038E-3</v>
      </c>
    </row>
    <row r="5644" spans="1:3">
      <c r="A5644" s="406">
        <f>Return!A804</f>
        <v>44902</v>
      </c>
      <c r="B5644" s="408" t="s">
        <v>76</v>
      </c>
      <c r="C5644" s="409">
        <f>Return!O804</f>
        <v>-6.0641519093055374E-3</v>
      </c>
    </row>
    <row r="5645" spans="1:3">
      <c r="A5645" s="406">
        <f>Return!A805</f>
        <v>44901</v>
      </c>
      <c r="B5645" s="408" t="s">
        <v>76</v>
      </c>
      <c r="C5645" s="409">
        <f>Return!O805</f>
        <v>3.504540562992986E-4</v>
      </c>
    </row>
    <row r="5646" spans="1:3">
      <c r="A5646" s="406">
        <f>Return!A806</f>
        <v>44900</v>
      </c>
      <c r="B5646" s="408" t="s">
        <v>76</v>
      </c>
      <c r="C5646" s="409">
        <f>Return!O806</f>
        <v>-2.2361636881237379E-3</v>
      </c>
    </row>
    <row r="5647" spans="1:3">
      <c r="A5647" s="406">
        <f>Return!A807</f>
        <v>44897</v>
      </c>
      <c r="B5647" s="408" t="s">
        <v>76</v>
      </c>
      <c r="C5647" s="409">
        <f>Return!O807</f>
        <v>-5.1710830071067804E-3</v>
      </c>
    </row>
    <row r="5648" spans="1:3">
      <c r="A5648" s="406">
        <f>Return!A808</f>
        <v>44896</v>
      </c>
      <c r="B5648" s="408" t="s">
        <v>76</v>
      </c>
      <c r="C5648" s="409">
        <f>Return!O808</f>
        <v>2.0684080886610445E-3</v>
      </c>
    </row>
    <row r="5649" spans="1:3">
      <c r="A5649" s="406">
        <f>Return!A809</f>
        <v>44895</v>
      </c>
      <c r="B5649" s="408" t="s">
        <v>76</v>
      </c>
      <c r="C5649" s="409">
        <f>Return!O809</f>
        <v>1.1229426575409818E-4</v>
      </c>
    </row>
    <row r="5650" spans="1:3">
      <c r="A5650" s="406">
        <f>Return!A810</f>
        <v>44894</v>
      </c>
      <c r="B5650" s="408" t="s">
        <v>76</v>
      </c>
      <c r="C5650" s="409">
        <f>Return!O810</f>
        <v>9.0785224679019727E-3</v>
      </c>
    </row>
    <row r="5651" spans="1:3">
      <c r="A5651" s="406">
        <f>Return!A811</f>
        <v>44893</v>
      </c>
      <c r="B5651" s="408" t="s">
        <v>76</v>
      </c>
      <c r="C5651" s="409">
        <f>Return!O811</f>
        <v>1.9165757496402147E-3</v>
      </c>
    </row>
    <row r="5652" spans="1:3">
      <c r="A5652" s="406">
        <f>Return!A812</f>
        <v>44890</v>
      </c>
      <c r="B5652" s="408" t="s">
        <v>76</v>
      </c>
      <c r="C5652" s="409">
        <f>Return!O812</f>
        <v>-1.6180609886956576E-3</v>
      </c>
    </row>
    <row r="5653" spans="1:3">
      <c r="A5653" s="406">
        <f>Return!A813</f>
        <v>44889</v>
      </c>
      <c r="B5653" s="408" t="s">
        <v>76</v>
      </c>
      <c r="C5653" s="409">
        <f>Return!O813</f>
        <v>7.7394026976869146E-3</v>
      </c>
    </row>
    <row r="5654" spans="1:3">
      <c r="A5654" s="406">
        <f>Return!A814</f>
        <v>44888</v>
      </c>
      <c r="B5654" s="408" t="s">
        <v>76</v>
      </c>
      <c r="C5654" s="409">
        <f>Return!O814</f>
        <v>6.8830069154663942E-3</v>
      </c>
    </row>
    <row r="5655" spans="1:3">
      <c r="A5655" s="406">
        <f>Return!A815</f>
        <v>44887</v>
      </c>
      <c r="B5655" s="408" t="s">
        <v>76</v>
      </c>
      <c r="C5655" s="409">
        <f>Return!O815</f>
        <v>2.5974307081244596E-4</v>
      </c>
    </row>
    <row r="5656" spans="1:3">
      <c r="A5656" s="406">
        <f>Return!A816</f>
        <v>44886</v>
      </c>
      <c r="B5656" s="408" t="s">
        <v>76</v>
      </c>
      <c r="C5656" s="409">
        <f>Return!O816</f>
        <v>-4.87595318223355E-3</v>
      </c>
    </row>
    <row r="5657" spans="1:3">
      <c r="A5657" s="406">
        <f>Return!A817</f>
        <v>44883</v>
      </c>
      <c r="B5657" s="408" t="s">
        <v>76</v>
      </c>
      <c r="C5657" s="409">
        <f>Return!O817</f>
        <v>2.4776809225746099E-4</v>
      </c>
    </row>
    <row r="5658" spans="1:3">
      <c r="A5658" s="406">
        <f>Return!A818</f>
        <v>44882</v>
      </c>
      <c r="B5658" s="408" t="s">
        <v>76</v>
      </c>
      <c r="C5658" s="409">
        <f>Return!O818</f>
        <v>-5.5223715963297337E-3</v>
      </c>
    </row>
    <row r="5659" spans="1:3">
      <c r="A5659" s="406">
        <f>Return!A819</f>
        <v>44881</v>
      </c>
      <c r="B5659" s="408" t="s">
        <v>76</v>
      </c>
      <c r="C5659" s="409">
        <f>Return!O819</f>
        <v>4.4581580386338082E-3</v>
      </c>
    </row>
    <row r="5660" spans="1:3">
      <c r="A5660" s="406">
        <f>Return!A820</f>
        <v>44880</v>
      </c>
      <c r="B5660" s="408" t="s">
        <v>76</v>
      </c>
      <c r="C5660" s="409">
        <f>Return!O820</f>
        <v>4.5871100486016836E-3</v>
      </c>
    </row>
    <row r="5661" spans="1:3">
      <c r="A5661" s="406">
        <f>Return!A821</f>
        <v>44879</v>
      </c>
      <c r="B5661" s="408" t="s">
        <v>76</v>
      </c>
      <c r="C5661" s="409">
        <f>Return!O821</f>
        <v>7.1100290401118205E-3</v>
      </c>
    </row>
    <row r="5662" spans="1:3">
      <c r="A5662" s="406">
        <f>Return!A822</f>
        <v>44876</v>
      </c>
      <c r="B5662" s="408" t="s">
        <v>76</v>
      </c>
      <c r="C5662" s="409">
        <f>Return!O822</f>
        <v>-2.8976067705976938E-3</v>
      </c>
    </row>
    <row r="5663" spans="1:3">
      <c r="A5663" s="406">
        <f>Return!A823</f>
        <v>44875</v>
      </c>
      <c r="B5663" s="408" t="s">
        <v>76</v>
      </c>
      <c r="C5663" s="409">
        <f>Return!O823</f>
        <v>-4.163955757970017E-3</v>
      </c>
    </row>
    <row r="5664" spans="1:3">
      <c r="A5664" s="406">
        <f>Return!A824</f>
        <v>44874</v>
      </c>
      <c r="B5664" s="408" t="s">
        <v>76</v>
      </c>
      <c r="C5664" s="409">
        <f>Return!O824</f>
        <v>-9.1864350031062303E-3</v>
      </c>
    </row>
    <row r="5665" spans="1:3">
      <c r="A5665" s="406">
        <f>Return!A825</f>
        <v>44872</v>
      </c>
      <c r="B5665" s="408" t="s">
        <v>76</v>
      </c>
      <c r="C5665" s="409">
        <f>Return!O825</f>
        <v>-7.2409545173851564E-3</v>
      </c>
    </row>
    <row r="5666" spans="1:3">
      <c r="A5666" s="406">
        <f>Return!A826</f>
        <v>44869</v>
      </c>
      <c r="B5666" s="408" t="s">
        <v>76</v>
      </c>
      <c r="C5666" s="409">
        <f>Return!O826</f>
        <v>-1.5096301347184982E-3</v>
      </c>
    </row>
    <row r="5667" spans="1:3">
      <c r="A5667" s="406">
        <f>Return!A827</f>
        <v>44868</v>
      </c>
      <c r="B5667" s="408" t="s">
        <v>76</v>
      </c>
      <c r="C5667" s="409">
        <f>Return!O827</f>
        <v>-2.3981597858480086E-4</v>
      </c>
    </row>
    <row r="5668" spans="1:3">
      <c r="A5668" s="406">
        <f>Return!A828</f>
        <v>44867</v>
      </c>
      <c r="B5668" s="408" t="s">
        <v>76</v>
      </c>
      <c r="C5668" s="409">
        <f>Return!O828</f>
        <v>3.2215201331204923E-3</v>
      </c>
    </row>
    <row r="5669" spans="1:3">
      <c r="A5669" s="406">
        <f>Return!A829</f>
        <v>44866</v>
      </c>
      <c r="B5669" s="408" t="s">
        <v>76</v>
      </c>
      <c r="C5669" s="409">
        <f>Return!O829</f>
        <v>1.0345138131762299E-2</v>
      </c>
    </row>
    <row r="5670" spans="1:3">
      <c r="A5670" s="406">
        <f>Return!A830</f>
        <v>44865</v>
      </c>
      <c r="B5670" s="408" t="s">
        <v>76</v>
      </c>
      <c r="C5670" s="409">
        <f>Return!O830</f>
        <v>1.5121519870102684E-2</v>
      </c>
    </row>
    <row r="5671" spans="1:3">
      <c r="A5671" s="406">
        <f>Return!A831</f>
        <v>44862</v>
      </c>
      <c r="B5671" s="408" t="s">
        <v>76</v>
      </c>
      <c r="C5671" s="409">
        <f>Return!O831</f>
        <v>-3.7045127187463889E-3</v>
      </c>
    </row>
    <row r="5672" spans="1:3">
      <c r="A5672" s="406">
        <f>Return!A832</f>
        <v>44861</v>
      </c>
      <c r="B5672" s="408" t="s">
        <v>76</v>
      </c>
      <c r="C5672" s="409">
        <f>Return!O832</f>
        <v>9.9886155601325299E-4</v>
      </c>
    </row>
    <row r="5673" spans="1:3">
      <c r="A5673" s="406">
        <f>Return!A833</f>
        <v>44859</v>
      </c>
      <c r="B5673" s="408" t="s">
        <v>76</v>
      </c>
      <c r="C5673" s="409">
        <f>Return!O833</f>
        <v>1.2862520701021563E-2</v>
      </c>
    </row>
    <row r="5674" spans="1:3">
      <c r="A5674" s="406">
        <f>Return!A834</f>
        <v>44858</v>
      </c>
      <c r="B5674" s="408" t="s">
        <v>76</v>
      </c>
      <c r="C5674" s="409">
        <f>Return!O834</f>
        <v>-3.3913180623290629E-5</v>
      </c>
    </row>
    <row r="5675" spans="1:3">
      <c r="A5675" s="406">
        <f>Return!A835</f>
        <v>44855</v>
      </c>
      <c r="B5675" s="408" t="s">
        <v>76</v>
      </c>
      <c r="C5675" s="409">
        <f>Return!O835</f>
        <v>6.2680367949590199E-3</v>
      </c>
    </row>
    <row r="5676" spans="1:3">
      <c r="A5676" s="406">
        <f>Return!A836</f>
        <v>44854</v>
      </c>
      <c r="B5676" s="408" t="s">
        <v>76</v>
      </c>
      <c r="C5676" s="409">
        <f>Return!O836</f>
        <v>-1.9708787583340159E-3</v>
      </c>
    </row>
    <row r="5677" spans="1:3">
      <c r="A5677" s="406">
        <f>Return!A837</f>
        <v>44853</v>
      </c>
      <c r="B5677" s="408" t="s">
        <v>76</v>
      </c>
      <c r="C5677" s="409">
        <f>Return!O837</f>
        <v>1.6111372327238804E-3</v>
      </c>
    </row>
    <row r="5678" spans="1:3">
      <c r="A5678" s="406">
        <f>Return!A838</f>
        <v>44852</v>
      </c>
      <c r="B5678" s="408" t="s">
        <v>76</v>
      </c>
      <c r="C5678" s="409">
        <f>Return!O838</f>
        <v>-2.1326648796029524E-3</v>
      </c>
    </row>
    <row r="5679" spans="1:3">
      <c r="A5679" s="406">
        <f>Return!A839</f>
        <v>44851</v>
      </c>
      <c r="B5679" s="408" t="s">
        <v>76</v>
      </c>
      <c r="C5679" s="409">
        <f>Return!O839</f>
        <v>5.4012819746285246E-3</v>
      </c>
    </row>
    <row r="5680" spans="1:3">
      <c r="A5680" s="406">
        <f>Return!A840</f>
        <v>44848</v>
      </c>
      <c r="B5680" s="408" t="s">
        <v>76</v>
      </c>
      <c r="C5680" s="409">
        <f>Return!O840</f>
        <v>3.7112024759560214E-3</v>
      </c>
    </row>
    <row r="5681" spans="1:3">
      <c r="A5681" s="406">
        <f>Return!A841</f>
        <v>44847</v>
      </c>
      <c r="B5681" s="408" t="s">
        <v>76</v>
      </c>
      <c r="C5681" s="409">
        <f>Return!O841</f>
        <v>9.7106121579848548E-4</v>
      </c>
    </row>
    <row r="5682" spans="1:3">
      <c r="A5682" s="406">
        <f>Return!A842</f>
        <v>44846</v>
      </c>
      <c r="B5682" s="408" t="s">
        <v>76</v>
      </c>
      <c r="C5682" s="409">
        <f>Return!O842</f>
        <v>-1.1444835776885931E-2</v>
      </c>
    </row>
    <row r="5683" spans="1:3">
      <c r="A5683" s="406">
        <f>Return!A843</f>
        <v>44845</v>
      </c>
      <c r="B5683" s="408" t="s">
        <v>76</v>
      </c>
      <c r="C5683" s="409">
        <f>Return!O843</f>
        <v>-3.791776243587508E-3</v>
      </c>
    </row>
    <row r="5684" spans="1:3">
      <c r="A5684" s="406">
        <f>Return!A844</f>
        <v>44844</v>
      </c>
      <c r="B5684" s="408" t="s">
        <v>76</v>
      </c>
      <c r="C5684" s="409">
        <f>Return!O844</f>
        <v>-7.0621062682320046E-3</v>
      </c>
    </row>
    <row r="5685" spans="1:3">
      <c r="A5685" s="406">
        <f>Return!A845</f>
        <v>44841</v>
      </c>
      <c r="B5685" s="408" t="s">
        <v>76</v>
      </c>
      <c r="C5685" s="409">
        <f>Return!O845</f>
        <v>5.7926667780352492E-3</v>
      </c>
    </row>
    <row r="5686" spans="1:3">
      <c r="A5686" s="406">
        <f>Return!A846</f>
        <v>44840</v>
      </c>
      <c r="B5686" s="408" t="s">
        <v>76</v>
      </c>
      <c r="C5686" s="409">
        <f>Return!O846</f>
        <v>8.232861692771154E-3</v>
      </c>
    </row>
    <row r="5687" spans="1:3">
      <c r="A5687" s="406">
        <f>Return!A847</f>
        <v>44838</v>
      </c>
      <c r="B5687" s="408" t="s">
        <v>76</v>
      </c>
      <c r="C5687" s="409">
        <f>Return!O847</f>
        <v>5.9694424057286088E-3</v>
      </c>
    </row>
    <row r="5688" spans="1:3">
      <c r="A5688" s="406">
        <f>Return!A848</f>
        <v>44837</v>
      </c>
      <c r="B5688" s="408" t="s">
        <v>76</v>
      </c>
      <c r="C5688" s="409">
        <f>Return!O848</f>
        <v>5.8116867192441468E-3</v>
      </c>
    </row>
    <row r="5689" spans="1:3">
      <c r="A5689" s="406">
        <f>Return!A849</f>
        <v>44834</v>
      </c>
      <c r="B5689" s="408" t="s">
        <v>76</v>
      </c>
      <c r="C5689" s="409">
        <f>Return!O849</f>
        <v>1.1576287363716409E-2</v>
      </c>
    </row>
    <row r="5690" spans="1:3">
      <c r="A5690" s="406">
        <f>Return!A850</f>
        <v>44833</v>
      </c>
      <c r="B5690" s="408" t="s">
        <v>76</v>
      </c>
      <c r="C5690" s="409">
        <f>Return!O850</f>
        <v>4.0134194358922848E-3</v>
      </c>
    </row>
    <row r="5691" spans="1:3">
      <c r="A5691" s="406">
        <f>Return!A851</f>
        <v>44832</v>
      </c>
      <c r="B5691" s="408" t="s">
        <v>76</v>
      </c>
      <c r="C5691" s="409">
        <f>Return!O851</f>
        <v>3.7879301519070374E-3</v>
      </c>
    </row>
    <row r="5692" spans="1:3">
      <c r="A5692" s="406">
        <f>Return!A852</f>
        <v>44831</v>
      </c>
      <c r="B5692" s="408" t="s">
        <v>76</v>
      </c>
      <c r="C5692" s="409">
        <f>Return!O852</f>
        <v>-1.5818296241585483E-2</v>
      </c>
    </row>
    <row r="5693" spans="1:3">
      <c r="A5693" s="406">
        <f>Return!A853</f>
        <v>44830</v>
      </c>
      <c r="B5693" s="408" t="s">
        <v>76</v>
      </c>
      <c r="C5693" s="409">
        <f>Return!O853</f>
        <v>-6.8964117618797172E-3</v>
      </c>
    </row>
    <row r="5694" spans="1:3">
      <c r="A5694" s="406">
        <f>Return!A854</f>
        <v>44827</v>
      </c>
      <c r="B5694" s="408" t="s">
        <v>76</v>
      </c>
      <c r="C5694" s="409">
        <f>Return!O854</f>
        <v>-6.6890113683161223E-3</v>
      </c>
    </row>
    <row r="5695" spans="1:3">
      <c r="A5695" s="406">
        <f>Return!A855</f>
        <v>44826</v>
      </c>
      <c r="B5695" s="408" t="s">
        <v>76</v>
      </c>
      <c r="C5695" s="409">
        <f>Return!O855</f>
        <v>-8.326020323028982E-3</v>
      </c>
    </row>
    <row r="5696" spans="1:3">
      <c r="A5696" s="406">
        <f>Return!A856</f>
        <v>44825</v>
      </c>
      <c r="B5696" s="408" t="s">
        <v>76</v>
      </c>
      <c r="C5696" s="409">
        <f>Return!O856</f>
        <v>2.1919620968790854E-2</v>
      </c>
    </row>
    <row r="5697" spans="1:3">
      <c r="A5697" s="406">
        <f>Return!A857</f>
        <v>44824</v>
      </c>
      <c r="B5697" s="408" t="s">
        <v>76</v>
      </c>
      <c r="C5697" s="409">
        <f>Return!O857</f>
        <v>3.2697293131223049E-4</v>
      </c>
    </row>
    <row r="5698" spans="1:3">
      <c r="A5698" s="406">
        <f>Return!A858</f>
        <v>44823</v>
      </c>
      <c r="B5698" s="408" t="s">
        <v>76</v>
      </c>
      <c r="C5698" s="409">
        <f>Return!O858</f>
        <v>-7.852349187682961E-3</v>
      </c>
    </row>
    <row r="5699" spans="1:3">
      <c r="A5699" s="406">
        <f>Return!A859</f>
        <v>44820</v>
      </c>
      <c r="B5699" s="408" t="s">
        <v>76</v>
      </c>
      <c r="C5699" s="409">
        <f>Return!O859</f>
        <v>-7.1218341013218334E-3</v>
      </c>
    </row>
    <row r="5700" spans="1:3">
      <c r="A5700" s="406">
        <f>Return!A860</f>
        <v>44819</v>
      </c>
      <c r="B5700" s="408" t="s">
        <v>76</v>
      </c>
      <c r="C5700" s="409">
        <f>Return!O860</f>
        <v>3.047800523186428E-3</v>
      </c>
    </row>
    <row r="5701" spans="1:3">
      <c r="A5701" s="406">
        <f>Return!A861</f>
        <v>44818</v>
      </c>
      <c r="B5701" s="408" t="s">
        <v>76</v>
      </c>
      <c r="C5701" s="409">
        <f>Return!O861</f>
        <v>6.6175387799884966E-3</v>
      </c>
    </row>
    <row r="5702" spans="1:3">
      <c r="A5702" s="406">
        <f>Return!A862</f>
        <v>44817</v>
      </c>
      <c r="B5702" s="408" t="s">
        <v>76</v>
      </c>
      <c r="C5702" s="409">
        <f>Return!O862</f>
        <v>3.890274438831387E-3</v>
      </c>
    </row>
    <row r="5703" spans="1:3">
      <c r="A5703" s="406">
        <f>Return!A863</f>
        <v>44816</v>
      </c>
      <c r="B5703" s="408" t="s">
        <v>76</v>
      </c>
      <c r="C5703" s="409">
        <f>Return!O863</f>
        <v>5.8111019104092332E-3</v>
      </c>
    </row>
    <row r="5704" spans="1:3">
      <c r="A5704" s="406">
        <f>Return!A864</f>
        <v>44813</v>
      </c>
      <c r="B5704" s="408" t="s">
        <v>76</v>
      </c>
      <c r="C5704" s="409">
        <f>Return!O864</f>
        <v>-2.8096827277790393E-4</v>
      </c>
    </row>
    <row r="5705" spans="1:3">
      <c r="A5705" s="406">
        <f>Return!A865</f>
        <v>44812</v>
      </c>
      <c r="B5705" s="408" t="s">
        <v>76</v>
      </c>
      <c r="C5705" s="409">
        <f>Return!O865</f>
        <v>5.0827135133180157E-3</v>
      </c>
    </row>
    <row r="5706" spans="1:3">
      <c r="A5706" s="406">
        <f>Return!A866</f>
        <v>44811</v>
      </c>
      <c r="B5706" s="408" t="s">
        <v>76</v>
      </c>
      <c r="C5706" s="409">
        <f>Return!O866</f>
        <v>5.0542606541732482E-3</v>
      </c>
    </row>
    <row r="5707" spans="1:3">
      <c r="A5707" s="406">
        <f>Return!A867</f>
        <v>44810</v>
      </c>
      <c r="B5707" s="408" t="s">
        <v>76</v>
      </c>
      <c r="C5707" s="409">
        <f>Return!O867</f>
        <v>1.0406540383711693E-4</v>
      </c>
    </row>
    <row r="5708" spans="1:3">
      <c r="A5708" s="406">
        <f>Return!A868</f>
        <v>44809</v>
      </c>
      <c r="B5708" s="408" t="s">
        <v>76</v>
      </c>
      <c r="C5708" s="409">
        <f>Return!O868</f>
        <v>-2.2934734347064278E-3</v>
      </c>
    </row>
    <row r="5709" spans="1:3">
      <c r="A5709" s="406">
        <f>Return!A869</f>
        <v>44806</v>
      </c>
      <c r="B5709" s="408" t="s">
        <v>76</v>
      </c>
      <c r="C5709" s="409">
        <f>Return!O869</f>
        <v>2.3598715453099217E-4</v>
      </c>
    </row>
    <row r="5710" spans="1:3">
      <c r="A5710" s="406">
        <f>Return!A870</f>
        <v>44805</v>
      </c>
      <c r="B5710" s="408" t="s">
        <v>76</v>
      </c>
      <c r="C5710" s="409">
        <f>Return!O870</f>
        <v>1.368585650755394E-2</v>
      </c>
    </row>
    <row r="5711" spans="1:3">
      <c r="A5711" s="406">
        <f>Return!A871</f>
        <v>44803</v>
      </c>
      <c r="B5711" s="408" t="s">
        <v>76</v>
      </c>
      <c r="C5711" s="409">
        <f>Return!O871</f>
        <v>-3.3314808519820938E-3</v>
      </c>
    </row>
    <row r="5712" spans="1:3">
      <c r="A5712" s="406">
        <f>Return!A872</f>
        <v>44802</v>
      </c>
      <c r="B5712" s="408" t="s">
        <v>76</v>
      </c>
      <c r="C5712" s="409">
        <f>Return!O872</f>
        <v>4.5401420671886683E-4</v>
      </c>
    </row>
    <row r="5713" spans="1:3">
      <c r="A5713" s="406">
        <f>Return!A873</f>
        <v>44799</v>
      </c>
      <c r="B5713" s="408" t="s">
        <v>76</v>
      </c>
      <c r="C5713" s="409">
        <f>Return!O873</f>
        <v>-1.6350164460160466E-3</v>
      </c>
    </row>
    <row r="5714" spans="1:3">
      <c r="A5714" s="406">
        <f>Return!A874</f>
        <v>44798</v>
      </c>
      <c r="B5714" s="408" t="s">
        <v>76</v>
      </c>
      <c r="C5714" s="409">
        <f>Return!O874</f>
        <v>4.1605868455127926E-3</v>
      </c>
    </row>
    <row r="5715" spans="1:3">
      <c r="A5715" s="406">
        <f>Return!A875</f>
        <v>44797</v>
      </c>
      <c r="B5715" s="408" t="s">
        <v>76</v>
      </c>
      <c r="C5715" s="409">
        <f>Return!O875</f>
        <v>6.2306945319683393E-3</v>
      </c>
    </row>
    <row r="5716" spans="1:3">
      <c r="A5716" s="406">
        <f>Return!A876</f>
        <v>44796</v>
      </c>
      <c r="B5716" s="408" t="s">
        <v>76</v>
      </c>
      <c r="C5716" s="409">
        <f>Return!O876</f>
        <v>-1.1829079373505413E-2</v>
      </c>
    </row>
    <row r="5717" spans="1:3">
      <c r="A5717" s="406">
        <f>Return!A877</f>
        <v>44795</v>
      </c>
      <c r="B5717" s="408" t="s">
        <v>76</v>
      </c>
      <c r="C5717" s="409">
        <f>Return!O877</f>
        <v>-9.4279760104020172E-3</v>
      </c>
    </row>
    <row r="5718" spans="1:3">
      <c r="A5718" s="406">
        <f>Return!A878</f>
        <v>44792</v>
      </c>
      <c r="B5718" s="408" t="s">
        <v>76</v>
      </c>
      <c r="C5718" s="409">
        <f>Return!O878</f>
        <v>-4.1000649145473966E-3</v>
      </c>
    </row>
    <row r="5719" spans="1:3">
      <c r="A5719" s="406">
        <f>Return!A879</f>
        <v>44791</v>
      </c>
      <c r="B5719" s="408" t="s">
        <v>76</v>
      </c>
      <c r="C5719" s="409">
        <f>Return!O879</f>
        <v>-3.0292330823544766E-3</v>
      </c>
    </row>
    <row r="5720" spans="1:3">
      <c r="A5720" s="406">
        <f>Return!A880</f>
        <v>44790</v>
      </c>
      <c r="B5720" s="408" t="s">
        <v>76</v>
      </c>
      <c r="C5720" s="409">
        <f>Return!O880</f>
        <v>1.5076409705669702E-2</v>
      </c>
    </row>
    <row r="5721" spans="1:3">
      <c r="A5721" s="406">
        <f>Return!A881</f>
        <v>44789</v>
      </c>
      <c r="B5721" s="408" t="s">
        <v>76</v>
      </c>
      <c r="C5721" s="409">
        <f>Return!O881</f>
        <v>-6.8616754549813974E-3</v>
      </c>
    </row>
    <row r="5722" spans="1:3">
      <c r="A5722" s="406">
        <f>Return!A882</f>
        <v>44785</v>
      </c>
      <c r="B5722" s="408" t="s">
        <v>76</v>
      </c>
      <c r="C5722" s="409">
        <f>Return!O882</f>
        <v>3.2953181348702731E-3</v>
      </c>
    </row>
    <row r="5723" spans="1:3">
      <c r="A5723" s="406">
        <f>Return!A883</f>
        <v>44784</v>
      </c>
      <c r="B5723" s="408" t="s">
        <v>76</v>
      </c>
      <c r="C5723" s="409">
        <f>Return!O883</f>
        <v>1.7200053405783677E-3</v>
      </c>
    </row>
    <row r="5724" spans="1:3">
      <c r="A5724" s="406">
        <f>Return!A884</f>
        <v>44783</v>
      </c>
      <c r="B5724" s="408" t="s">
        <v>76</v>
      </c>
      <c r="C5724" s="409">
        <f>Return!O884</f>
        <v>4.2416348490845746E-3</v>
      </c>
    </row>
    <row r="5725" spans="1:3">
      <c r="A5725" s="406">
        <f>Return!A885</f>
        <v>44781</v>
      </c>
      <c r="B5725" s="408" t="s">
        <v>76</v>
      </c>
      <c r="C5725" s="409">
        <f>Return!O885</f>
        <v>-2.1826577457592089E-3</v>
      </c>
    </row>
    <row r="5726" spans="1:3">
      <c r="A5726" s="406">
        <f>Return!A886</f>
        <v>44778</v>
      </c>
      <c r="B5726" s="408" t="s">
        <v>76</v>
      </c>
      <c r="C5726" s="409">
        <f>Return!O886</f>
        <v>1.4053078592840107E-2</v>
      </c>
    </row>
    <row r="5727" spans="1:3">
      <c r="A5727" s="406">
        <f>Return!A887</f>
        <v>44777</v>
      </c>
      <c r="B5727" s="408" t="s">
        <v>76</v>
      </c>
      <c r="C5727" s="409">
        <f>Return!O887</f>
        <v>-7.7585635866743718E-3</v>
      </c>
    </row>
    <row r="5728" spans="1:3">
      <c r="A5728" s="406">
        <f>Return!A888</f>
        <v>44776</v>
      </c>
      <c r="B5728" s="408" t="s">
        <v>76</v>
      </c>
      <c r="C5728" s="409">
        <f>Return!O888</f>
        <v>2.150039410266924E-4</v>
      </c>
    </row>
    <row r="5729" spans="1:3">
      <c r="A5729" s="406">
        <f>Return!A889</f>
        <v>44775</v>
      </c>
      <c r="B5729" s="408" t="s">
        <v>76</v>
      </c>
      <c r="C5729" s="409">
        <f>Return!O889</f>
        <v>1.4627098873110089E-3</v>
      </c>
    </row>
    <row r="5730" spans="1:3">
      <c r="A5730" s="406">
        <f>Return!A890</f>
        <v>44774</v>
      </c>
      <c r="B5730" s="408" t="s">
        <v>76</v>
      </c>
      <c r="C5730" s="409">
        <f>Return!O890</f>
        <v>1.0926833490203514E-2</v>
      </c>
    </row>
    <row r="5731" spans="1:3">
      <c r="A5731" s="406">
        <f>Return!A891</f>
        <v>44771</v>
      </c>
      <c r="B5731" s="408" t="s">
        <v>76</v>
      </c>
      <c r="C5731" s="409">
        <f>Return!O891</f>
        <v>4.0940243842559898E-3</v>
      </c>
    </row>
    <row r="5732" spans="1:3">
      <c r="A5732" s="406">
        <f>Return!A892</f>
        <v>44770</v>
      </c>
      <c r="B5732" s="408" t="s">
        <v>76</v>
      </c>
      <c r="C5732" s="409">
        <f>Return!O892</f>
        <v>1.1770265933360502E-2</v>
      </c>
    </row>
    <row r="5733" spans="1:3">
      <c r="A5733" s="406">
        <f>Return!A893</f>
        <v>44769</v>
      </c>
      <c r="B5733" s="408" t="s">
        <v>76</v>
      </c>
      <c r="C5733" s="409">
        <f>Return!O893</f>
        <v>-1.1073431589930904E-2</v>
      </c>
    </row>
    <row r="5734" spans="1:3">
      <c r="A5734" s="406">
        <f>Return!A894</f>
        <v>44768</v>
      </c>
      <c r="B5734" s="408" t="s">
        <v>76</v>
      </c>
      <c r="C5734" s="409">
        <f>Return!O894</f>
        <v>-5.4761292219486224E-3</v>
      </c>
    </row>
    <row r="5735" spans="1:3">
      <c r="A5735" s="406">
        <f>Return!A895</f>
        <v>44767</v>
      </c>
      <c r="B5735" s="408" t="s">
        <v>76</v>
      </c>
      <c r="C5735" s="409">
        <f>Return!O895</f>
        <v>-4.0985530187319652E-3</v>
      </c>
    </row>
    <row r="5736" spans="1:3">
      <c r="A5736" s="406">
        <f>Return!A896</f>
        <v>44764</v>
      </c>
      <c r="B5736" s="408" t="s">
        <v>76</v>
      </c>
      <c r="C5736" s="409">
        <f>Return!O896</f>
        <v>-1.327530672538213E-3</v>
      </c>
    </row>
    <row r="5737" spans="1:3">
      <c r="A5737" s="406">
        <f>Return!A897</f>
        <v>44763</v>
      </c>
      <c r="B5737" s="408" t="s">
        <v>76</v>
      </c>
      <c r="C5737" s="409">
        <f>Return!O897</f>
        <v>-1.6053349156265329E-3</v>
      </c>
    </row>
    <row r="5738" spans="1:3">
      <c r="A5738" s="406">
        <f>Return!A898</f>
        <v>44762</v>
      </c>
      <c r="B5738" s="408" t="s">
        <v>76</v>
      </c>
      <c r="C5738" s="409">
        <f>Return!O898</f>
        <v>2.15394928710122E-3</v>
      </c>
    </row>
    <row r="5739" spans="1:3">
      <c r="A5739" s="406">
        <f>Return!A899</f>
        <v>44761</v>
      </c>
      <c r="B5739" s="408" t="s">
        <v>76</v>
      </c>
      <c r="C5739" s="409">
        <f>Return!O899</f>
        <v>6.2776995536897306E-3</v>
      </c>
    </row>
    <row r="5740" spans="1:3">
      <c r="A5740" s="406">
        <f>Return!A900</f>
        <v>44760</v>
      </c>
      <c r="B5740" s="408" t="s">
        <v>76</v>
      </c>
      <c r="C5740" s="409">
        <f>Return!O900</f>
        <v>5.9189534558585777E-3</v>
      </c>
    </row>
    <row r="5741" spans="1:3">
      <c r="A5741" s="406">
        <f>Return!A901</f>
        <v>44757</v>
      </c>
      <c r="B5741" s="408" t="s">
        <v>76</v>
      </c>
      <c r="C5741" s="409">
        <f>Return!O901</f>
        <v>6.9115107352075711E-3</v>
      </c>
    </row>
    <row r="5742" spans="1:3">
      <c r="A5742" s="406">
        <f>Return!A902</f>
        <v>44756</v>
      </c>
      <c r="B5742" s="408" t="s">
        <v>76</v>
      </c>
      <c r="C5742" s="409">
        <f>Return!O902</f>
        <v>6.257074456935463E-3</v>
      </c>
    </row>
    <row r="5743" spans="1:3">
      <c r="A5743" s="406">
        <f>Return!A903</f>
        <v>44755</v>
      </c>
      <c r="B5743" s="408" t="s">
        <v>76</v>
      </c>
      <c r="C5743" s="409">
        <f>Return!O903</f>
        <v>-6.0494756930997706E-3</v>
      </c>
    </row>
    <row r="5744" spans="1:3">
      <c r="A5744" s="406">
        <f>Return!A904</f>
        <v>44754</v>
      </c>
      <c r="B5744" s="408" t="s">
        <v>76</v>
      </c>
      <c r="C5744" s="409">
        <f>Return!O904</f>
        <v>6.1266981585041957E-3</v>
      </c>
    </row>
    <row r="5745" spans="1:3">
      <c r="A5745" s="406">
        <f>Return!A905</f>
        <v>44753</v>
      </c>
      <c r="B5745" s="408" t="s">
        <v>76</v>
      </c>
      <c r="C5745" s="409">
        <f>Return!O905</f>
        <v>2.7498373728298553E-3</v>
      </c>
    </row>
    <row r="5746" spans="1:3">
      <c r="A5746" s="406">
        <f>Return!A906</f>
        <v>44750</v>
      </c>
      <c r="B5746" s="408" t="s">
        <v>76</v>
      </c>
      <c r="C5746" s="409">
        <f>Return!O906</f>
        <v>7.7591977420328195E-3</v>
      </c>
    </row>
    <row r="5747" spans="1:3">
      <c r="A5747" s="406">
        <f>Return!A907</f>
        <v>44749</v>
      </c>
      <c r="B5747" s="408" t="s">
        <v>76</v>
      </c>
      <c r="C5747" s="409">
        <f>Return!O907</f>
        <v>6.7692006533488502E-3</v>
      </c>
    </row>
    <row r="5748" spans="1:3">
      <c r="A5748" s="406">
        <f>Return!A908</f>
        <v>44748</v>
      </c>
      <c r="B5748" s="408" t="s">
        <v>76</v>
      </c>
      <c r="C5748" s="409">
        <f>Return!O908</f>
        <v>2.4303589640188861E-3</v>
      </c>
    </row>
    <row r="5749" spans="1:3">
      <c r="A5749" s="406">
        <f>Return!A909</f>
        <v>44747</v>
      </c>
      <c r="B5749" s="408" t="s">
        <v>76</v>
      </c>
      <c r="C5749" s="409">
        <f>Return!O909</f>
        <v>5.4848163352061441E-4</v>
      </c>
    </row>
    <row r="5750" spans="1:3">
      <c r="A5750" s="406">
        <f>Return!A910</f>
        <v>44746</v>
      </c>
      <c r="B5750" s="408" t="s">
        <v>76</v>
      </c>
      <c r="C5750" s="409">
        <f>Return!O910</f>
        <v>2.0770976407364916E-3</v>
      </c>
    </row>
    <row r="5751" spans="1:3">
      <c r="A5751" s="406">
        <f>Return!A911</f>
        <v>44743</v>
      </c>
      <c r="B5751" s="408" t="s">
        <v>76</v>
      </c>
      <c r="C5751" s="409">
        <f>Return!O911</f>
        <v>-1.6560430931604753E-3</v>
      </c>
    </row>
    <row r="5752" spans="1:3">
      <c r="A5752" s="406">
        <f>Return!A912</f>
        <v>44742</v>
      </c>
      <c r="B5752" s="408" t="s">
        <v>76</v>
      </c>
      <c r="C5752" s="409">
        <f>Return!O912</f>
        <v>-1.4368339629041715E-3</v>
      </c>
    </row>
    <row r="5753" spans="1:3">
      <c r="A5753" s="406">
        <f>Return!A913</f>
        <v>44741</v>
      </c>
      <c r="B5753" s="408" t="s">
        <v>76</v>
      </c>
      <c r="C5753" s="409">
        <f>Return!O913</f>
        <v>1.1759502632939789E-3</v>
      </c>
    </row>
    <row r="5754" spans="1:3">
      <c r="A5754" s="406">
        <f>Return!A914</f>
        <v>44740</v>
      </c>
      <c r="B5754" s="408" t="s">
        <v>76</v>
      </c>
      <c r="C5754" s="409">
        <f>Return!O914</f>
        <v>2.3434174167693556E-3</v>
      </c>
    </row>
    <row r="5755" spans="1:3">
      <c r="A5755" s="406">
        <f>Return!A915</f>
        <v>44739</v>
      </c>
      <c r="B5755" s="408" t="s">
        <v>76</v>
      </c>
      <c r="C5755" s="409">
        <f>Return!O915</f>
        <v>5.4203002089234786E-3</v>
      </c>
    </row>
    <row r="5756" spans="1:3">
      <c r="A5756" s="406">
        <f>Return!A916</f>
        <v>44736</v>
      </c>
      <c r="B5756" s="408" t="s">
        <v>76</v>
      </c>
      <c r="C5756" s="409">
        <f>Return!O916</f>
        <v>1.2109301606595624E-2</v>
      </c>
    </row>
    <row r="5757" spans="1:3">
      <c r="A5757" s="406">
        <f>Return!A917</f>
        <v>44735</v>
      </c>
      <c r="B5757" s="408" t="s">
        <v>76</v>
      </c>
      <c r="C5757" s="409">
        <f>Return!O917</f>
        <v>-7.7064563110116335E-3</v>
      </c>
    </row>
    <row r="5758" spans="1:3">
      <c r="A5758" s="406">
        <f>Return!A918</f>
        <v>44734</v>
      </c>
      <c r="B5758" s="408" t="s">
        <v>76</v>
      </c>
      <c r="C5758" s="409">
        <f>Return!O918</f>
        <v>1.4768588290041018E-2</v>
      </c>
    </row>
    <row r="5759" spans="1:3">
      <c r="A5759" s="406">
        <f>Return!A919</f>
        <v>44733</v>
      </c>
      <c r="B5759" s="408" t="s">
        <v>76</v>
      </c>
      <c r="C5759" s="409">
        <f>Return!O919</f>
        <v>4.3825802539974035E-3</v>
      </c>
    </row>
    <row r="5760" spans="1:3">
      <c r="A5760" s="406">
        <f>Return!A920</f>
        <v>44732</v>
      </c>
      <c r="B5760" s="408" t="s">
        <v>76</v>
      </c>
      <c r="C5760" s="409">
        <f>Return!O920</f>
        <v>-1.1898252906046625E-2</v>
      </c>
    </row>
    <row r="5761" spans="1:3">
      <c r="A5761" s="406">
        <f>Return!A921</f>
        <v>44729</v>
      </c>
      <c r="B5761" s="408" t="s">
        <v>76</v>
      </c>
      <c r="C5761" s="409">
        <f>Return!O921</f>
        <v>-1.2607672213214571E-2</v>
      </c>
    </row>
    <row r="5762" spans="1:3">
      <c r="A5762" s="406">
        <f>Return!A922</f>
        <v>44728</v>
      </c>
      <c r="B5762" s="408" t="s">
        <v>76</v>
      </c>
      <c r="C5762" s="409">
        <f>Return!O922</f>
        <v>5.3674477826808342E-3</v>
      </c>
    </row>
    <row r="5763" spans="1:3">
      <c r="A5763" s="406">
        <f>Return!A923</f>
        <v>44727</v>
      </c>
      <c r="B5763" s="408" t="s">
        <v>76</v>
      </c>
      <c r="C5763" s="409">
        <f>Return!O923</f>
        <v>-6.0255175887735657E-4</v>
      </c>
    </row>
    <row r="5764" spans="1:3">
      <c r="A5764" s="406">
        <f>Return!A924</f>
        <v>44726</v>
      </c>
      <c r="B5764" s="408" t="s">
        <v>76</v>
      </c>
      <c r="C5764" s="409">
        <f>Return!O924</f>
        <v>-1.6929239798287199E-2</v>
      </c>
    </row>
    <row r="5765" spans="1:3">
      <c r="A5765" s="406">
        <f>Return!A925</f>
        <v>44725</v>
      </c>
      <c r="B5765" s="408" t="s">
        <v>76</v>
      </c>
      <c r="C5765" s="409">
        <f>Return!O925</f>
        <v>-3.4517084305837331E-3</v>
      </c>
    </row>
    <row r="5766" spans="1:3">
      <c r="A5766" s="406">
        <f>Return!A926</f>
        <v>44722</v>
      </c>
      <c r="B5766" s="408" t="s">
        <v>76</v>
      </c>
      <c r="C5766" s="409">
        <f>Return!O926</f>
        <v>6.7523831213780472E-3</v>
      </c>
    </row>
    <row r="5767" spans="1:3">
      <c r="A5767" s="406">
        <f>Return!A927</f>
        <v>44721</v>
      </c>
      <c r="B5767" s="408" t="s">
        <v>76</v>
      </c>
      <c r="C5767" s="409">
        <f>Return!O927</f>
        <v>-2.5114460104077585E-3</v>
      </c>
    </row>
    <row r="5768" spans="1:3">
      <c r="A5768" s="406">
        <f>Return!A928</f>
        <v>44720</v>
      </c>
      <c r="B5768" s="408" t="s">
        <v>76</v>
      </c>
      <c r="C5768" s="409">
        <f>Return!O928</f>
        <v>-8.3163815297769839E-3</v>
      </c>
    </row>
    <row r="5769" spans="1:3">
      <c r="A5769" s="406">
        <f>Return!A929</f>
        <v>44719</v>
      </c>
      <c r="B5769" s="408" t="s">
        <v>76</v>
      </c>
      <c r="C5769" s="409">
        <f>Return!O929</f>
        <v>-2.0035993707534505E-4</v>
      </c>
    </row>
    <row r="5770" spans="1:3">
      <c r="A5770" s="406">
        <f>Return!A930</f>
        <v>44718</v>
      </c>
      <c r="B5770" s="408" t="s">
        <v>76</v>
      </c>
      <c r="C5770" s="409">
        <f>Return!O930</f>
        <v>-3.6993644511348345E-3</v>
      </c>
    </row>
    <row r="5771" spans="1:3">
      <c r="A5771" s="406">
        <f>Return!A931</f>
        <v>44715</v>
      </c>
      <c r="B5771" s="408" t="s">
        <v>76</v>
      </c>
      <c r="C5771" s="409">
        <f>Return!O931</f>
        <v>4.1850916333279198E-3</v>
      </c>
    </row>
    <row r="5772" spans="1:3">
      <c r="A5772" s="406">
        <f>Return!A932</f>
        <v>44714</v>
      </c>
      <c r="B5772" s="408" t="s">
        <v>76</v>
      </c>
      <c r="C5772" s="409">
        <f>Return!O932</f>
        <v>-1.1786662075278231E-2</v>
      </c>
    </row>
    <row r="5773" spans="1:3">
      <c r="A5773" s="406">
        <f>Return!A933</f>
        <v>44713</v>
      </c>
      <c r="B5773" s="408" t="s">
        <v>76</v>
      </c>
      <c r="C5773" s="409">
        <f>Return!O933</f>
        <v>-2.9765410727197184E-3</v>
      </c>
    </row>
    <row r="5774" spans="1:3">
      <c r="A5774" s="406">
        <f>Return!A934</f>
        <v>44712</v>
      </c>
      <c r="B5774" s="408" t="s">
        <v>76</v>
      </c>
      <c r="C5774" s="409">
        <f>Return!O934</f>
        <v>2.1820885290697589E-3</v>
      </c>
    </row>
    <row r="5775" spans="1:3">
      <c r="A5775" s="406">
        <f>Return!A935</f>
        <v>44711</v>
      </c>
      <c r="B5775" s="408" t="s">
        <v>76</v>
      </c>
      <c r="C5775" s="409">
        <f>Return!O935</f>
        <v>9.9561675093491342E-3</v>
      </c>
    </row>
    <row r="5776" spans="1:3">
      <c r="A5776" s="406">
        <f>Return!A936</f>
        <v>44708</v>
      </c>
      <c r="B5776" s="408" t="s">
        <v>76</v>
      </c>
      <c r="C5776" s="409">
        <f>Return!O936</f>
        <v>7.3768691104714179E-3</v>
      </c>
    </row>
    <row r="5777" spans="1:3">
      <c r="A5777" s="406">
        <f>Return!A937</f>
        <v>44707</v>
      </c>
      <c r="B5777" s="408" t="s">
        <v>76</v>
      </c>
      <c r="C5777" s="409">
        <f>Return!O937</f>
        <v>-1.0013172900955825E-2</v>
      </c>
    </row>
    <row r="5778" spans="1:3">
      <c r="A5778" s="406">
        <f>Return!A938</f>
        <v>44706</v>
      </c>
      <c r="B5778" s="408" t="s">
        <v>76</v>
      </c>
      <c r="C5778" s="409">
        <f>Return!O938</f>
        <v>-9.7206037753028163E-3</v>
      </c>
    </row>
    <row r="5779" spans="1:3">
      <c r="A5779" s="406">
        <f>Return!A939</f>
        <v>44705</v>
      </c>
      <c r="B5779" s="408" t="s">
        <v>76</v>
      </c>
      <c r="C5779" s="409">
        <f>Return!O939</f>
        <v>-1.2316930071762378E-2</v>
      </c>
    </row>
    <row r="5780" spans="1:3">
      <c r="A5780" s="406">
        <f>Return!A940</f>
        <v>44704</v>
      </c>
      <c r="B5780" s="408" t="s">
        <v>76</v>
      </c>
      <c r="C5780" s="409">
        <f>Return!O940</f>
        <v>2.9205515465133169E-2</v>
      </c>
    </row>
    <row r="5781" spans="1:3">
      <c r="A5781" s="406">
        <f>Return!A941</f>
        <v>44701</v>
      </c>
      <c r="B5781" s="408" t="s">
        <v>76</v>
      </c>
      <c r="C5781" s="409">
        <f>Return!O941</f>
        <v>-1.4232838303516848E-2</v>
      </c>
    </row>
    <row r="5782" spans="1:3">
      <c r="A5782" s="406">
        <f>Return!A942</f>
        <v>44700</v>
      </c>
      <c r="B5782" s="408" t="s">
        <v>76</v>
      </c>
      <c r="C5782" s="409">
        <f>Return!O942</f>
        <v>7.6337362433849254E-3</v>
      </c>
    </row>
    <row r="5783" spans="1:3">
      <c r="A5783" s="406">
        <f>Return!A943</f>
        <v>44699</v>
      </c>
      <c r="B5783" s="408" t="s">
        <v>76</v>
      </c>
      <c r="C5783" s="409">
        <f>Return!O943</f>
        <v>7.8940205467277202E-3</v>
      </c>
    </row>
    <row r="5784" spans="1:3">
      <c r="A5784" s="406">
        <f>Return!A944</f>
        <v>44698</v>
      </c>
      <c r="B5784" s="408" t="s">
        <v>76</v>
      </c>
      <c r="C5784" s="409">
        <f>Return!O944</f>
        <v>2.8386562978721663E-3</v>
      </c>
    </row>
    <row r="5785" spans="1:3">
      <c r="A5785" s="406">
        <f>Return!A945</f>
        <v>44697</v>
      </c>
      <c r="B5785" s="408" t="s">
        <v>76</v>
      </c>
      <c r="C5785" s="409">
        <f>Return!O945</f>
        <v>1.5999019578918139E-2</v>
      </c>
    </row>
    <row r="5786" spans="1:3">
      <c r="A5786" s="406">
        <f>Return!A946</f>
        <v>44694</v>
      </c>
      <c r="B5786" s="408" t="s">
        <v>76</v>
      </c>
      <c r="C5786" s="409">
        <f>Return!O946</f>
        <v>-1.3454350543014582E-2</v>
      </c>
    </row>
    <row r="5787" spans="1:3">
      <c r="A5787" s="406">
        <f>Return!A947</f>
        <v>44693</v>
      </c>
      <c r="B5787" s="408" t="s">
        <v>76</v>
      </c>
      <c r="C5787" s="409">
        <f>Return!O947</f>
        <v>-3.4681673377354727E-3</v>
      </c>
    </row>
    <row r="5788" spans="1:3">
      <c r="A5788" s="406">
        <f>Return!A948</f>
        <v>44692</v>
      </c>
      <c r="B5788" s="408" t="s">
        <v>76</v>
      </c>
      <c r="C5788" s="409">
        <f>Return!O948</f>
        <v>-1.9846233786228407E-2</v>
      </c>
    </row>
    <row r="5789" spans="1:3">
      <c r="A5789" s="406">
        <f>Return!A949</f>
        <v>44691</v>
      </c>
      <c r="B5789" s="408" t="s">
        <v>76</v>
      </c>
      <c r="C5789" s="409">
        <f>Return!O949</f>
        <v>-5.267930018499567E-3</v>
      </c>
    </row>
    <row r="5790" spans="1:3">
      <c r="A5790" s="406">
        <f>Return!A950</f>
        <v>44690</v>
      </c>
      <c r="B5790" s="408" t="s">
        <v>76</v>
      </c>
      <c r="C5790" s="409">
        <f>Return!O950</f>
        <v>-1.647456327430441E-2</v>
      </c>
    </row>
    <row r="5791" spans="1:3">
      <c r="A5791" s="406">
        <f>Return!A951</f>
        <v>44687</v>
      </c>
      <c r="B5791" s="408" t="s">
        <v>76</v>
      </c>
      <c r="C5791" s="409">
        <f>Return!O951</f>
        <v>-6.8384255684272865E-3</v>
      </c>
    </row>
    <row r="5792" spans="1:3">
      <c r="A5792" s="406">
        <f>Return!A952</f>
        <v>44686</v>
      </c>
      <c r="B5792" s="408" t="s">
        <v>76</v>
      </c>
      <c r="C5792" s="409">
        <f>Return!O952</f>
        <v>-2.8618077486738169E-2</v>
      </c>
    </row>
    <row r="5793" spans="1:3">
      <c r="A5793" s="406">
        <f>Return!A953</f>
        <v>44685</v>
      </c>
      <c r="B5793" s="408" t="s">
        <v>76</v>
      </c>
      <c r="C5793" s="409">
        <f>Return!O953</f>
        <v>-1.0413666573931835E-2</v>
      </c>
    </row>
    <row r="5794" spans="1:3">
      <c r="A5794" s="406">
        <f>Return!A954</f>
        <v>44683</v>
      </c>
      <c r="B5794" s="408" t="s">
        <v>76</v>
      </c>
      <c r="C5794" s="409">
        <f>Return!O954</f>
        <v>1.2389500705984879E-3</v>
      </c>
    </row>
    <row r="5795" spans="1:3">
      <c r="A5795" s="406">
        <f>Return!A955</f>
        <v>44680</v>
      </c>
      <c r="B5795" s="408" t="s">
        <v>76</v>
      </c>
      <c r="C5795" s="409">
        <f>Return!O955</f>
        <v>3.1681213381034024E-3</v>
      </c>
    </row>
    <row r="5796" spans="1:3">
      <c r="A5796" s="406">
        <f>Return!A956</f>
        <v>44679</v>
      </c>
      <c r="B5796" s="408" t="s">
        <v>76</v>
      </c>
      <c r="C5796" s="409">
        <f>Return!O956</f>
        <v>-7.7875792020174472E-3</v>
      </c>
    </row>
    <row r="5797" spans="1:3">
      <c r="A5797" s="406">
        <f>Return!A957</f>
        <v>44678</v>
      </c>
      <c r="B5797" s="408" t="s">
        <v>76</v>
      </c>
      <c r="C5797" s="409">
        <f>Return!O957</f>
        <v>8.530686203700899E-3</v>
      </c>
    </row>
    <row r="5798" spans="1:3">
      <c r="A5798" s="406">
        <f>Return!A958</f>
        <v>44677</v>
      </c>
      <c r="B5798" s="408" t="s">
        <v>76</v>
      </c>
      <c r="C5798" s="409">
        <f>Return!O958</f>
        <v>-1.5452760839368973E-2</v>
      </c>
    </row>
    <row r="5799" spans="1:3">
      <c r="A5799" s="406">
        <f>Return!A959</f>
        <v>44676</v>
      </c>
      <c r="B5799" s="408" t="s">
        <v>76</v>
      </c>
      <c r="C5799" s="409">
        <f>Return!O959</f>
        <v>-1.6272652328195414E-2</v>
      </c>
    </row>
    <row r="5800" spans="1:3">
      <c r="A5800" s="406">
        <f>Return!A960</f>
        <v>44673</v>
      </c>
      <c r="B5800" s="408" t="s">
        <v>76</v>
      </c>
      <c r="C5800" s="409">
        <f>Return!O960</f>
        <v>1.0724686031017949E-2</v>
      </c>
    </row>
    <row r="5801" spans="1:3">
      <c r="A5801" s="406">
        <f>Return!A961</f>
        <v>44672</v>
      </c>
      <c r="B5801" s="408" t="s">
        <v>76</v>
      </c>
      <c r="C5801" s="409">
        <f>Return!O961</f>
        <v>1.6149552864871186E-2</v>
      </c>
    </row>
    <row r="5802" spans="1:3">
      <c r="A5802" s="406">
        <f>Return!A962</f>
        <v>44671</v>
      </c>
      <c r="B5802" s="408" t="s">
        <v>76</v>
      </c>
      <c r="C5802" s="409">
        <f>Return!O962</f>
        <v>-7.1419968637177478E-3</v>
      </c>
    </row>
    <row r="5803" spans="1:3">
      <c r="A5803" s="406">
        <f>Return!A963</f>
        <v>44670</v>
      </c>
      <c r="B5803" s="408" t="s">
        <v>76</v>
      </c>
      <c r="C5803" s="409">
        <f>Return!O963</f>
        <v>-5.4904216058212496E-3</v>
      </c>
    </row>
    <row r="5804" spans="1:3">
      <c r="A5804" s="406">
        <f>Return!A964</f>
        <v>44669</v>
      </c>
      <c r="B5804" s="408" t="s">
        <v>76</v>
      </c>
      <c r="C5804" s="409">
        <f>Return!O964</f>
        <v>7.4584006493005894E-4</v>
      </c>
    </row>
    <row r="5805" spans="1:3">
      <c r="A5805" s="406">
        <f>Return!A965</f>
        <v>44664</v>
      </c>
      <c r="B5805" s="408" t="s">
        <v>76</v>
      </c>
      <c r="C5805" s="409">
        <f>Return!O965</f>
        <v>-5.3155700719073051E-3</v>
      </c>
    </row>
    <row r="5806" spans="1:3">
      <c r="A5806" s="406">
        <f>Return!A966</f>
        <v>44663</v>
      </c>
      <c r="B5806" s="408" t="s">
        <v>76</v>
      </c>
      <c r="C5806" s="409">
        <f>Return!O966</f>
        <v>3.9262595103581877E-3</v>
      </c>
    </row>
    <row r="5807" spans="1:3">
      <c r="A5807" s="406">
        <f>Return!A967</f>
        <v>44662</v>
      </c>
      <c r="B5807" s="408" t="s">
        <v>76</v>
      </c>
      <c r="C5807" s="409">
        <f>Return!O967</f>
        <v>2.2547522680820276E-3</v>
      </c>
    </row>
    <row r="5808" spans="1:3">
      <c r="A5808" s="406">
        <f>Return!A968</f>
        <v>44659</v>
      </c>
      <c r="B5808" s="408" t="s">
        <v>76</v>
      </c>
      <c r="C5808" s="409">
        <f>Return!O968</f>
        <v>6.8656028052946905E-3</v>
      </c>
    </row>
    <row r="5809" spans="1:3">
      <c r="A5809" s="406">
        <f>Return!A969</f>
        <v>44658</v>
      </c>
      <c r="B5809" s="408" t="s">
        <v>76</v>
      </c>
      <c r="C5809" s="409">
        <f>Return!O969</f>
        <v>-8.8018566378551544E-3</v>
      </c>
    </row>
    <row r="5810" spans="1:3">
      <c r="A5810" s="406">
        <f>Return!A970</f>
        <v>44657</v>
      </c>
      <c r="B5810" s="408" t="s">
        <v>76</v>
      </c>
      <c r="C5810" s="409">
        <f>Return!O970</f>
        <v>1.7849981806747905E-3</v>
      </c>
    </row>
    <row r="5811" spans="1:3">
      <c r="A5811" s="406">
        <f>Return!A971</f>
        <v>44656</v>
      </c>
      <c r="B5811" s="408" t="s">
        <v>76</v>
      </c>
      <c r="C5811" s="409">
        <f>Return!O971</f>
        <v>1.1961134893795355E-2</v>
      </c>
    </row>
    <row r="5812" spans="1:3">
      <c r="A5812" s="406">
        <f>Return!A972</f>
        <v>44655</v>
      </c>
      <c r="B5812" s="408" t="s">
        <v>76</v>
      </c>
      <c r="C5812" s="409">
        <f>Return!O972</f>
        <v>-8.4320474971322223E-4</v>
      </c>
    </row>
    <row r="5813" spans="1:3">
      <c r="A5813" s="406">
        <f>Return!A973</f>
        <v>44652</v>
      </c>
      <c r="B5813" s="408" t="s">
        <v>76</v>
      </c>
      <c r="C5813" s="409">
        <f>Return!O973</f>
        <v>-8.6160482602334332E-3</v>
      </c>
    </row>
    <row r="5814" spans="1:3">
      <c r="A5814" s="406">
        <f>Return!A974</f>
        <v>44651</v>
      </c>
      <c r="B5814" s="408" t="s">
        <v>76</v>
      </c>
      <c r="C5814" s="409">
        <f>Return!O974</f>
        <v>-2.4889827102714257E-4</v>
      </c>
    </row>
    <row r="5815" spans="1:3">
      <c r="A5815" s="406">
        <f>Return!A975</f>
        <v>44650</v>
      </c>
      <c r="B5815" s="408" t="s">
        <v>76</v>
      </c>
      <c r="C5815" s="409">
        <f>Return!O975</f>
        <v>1.6726749920481065E-2</v>
      </c>
    </row>
    <row r="5816" spans="1:3">
      <c r="A5816" s="406">
        <f>Return!A976</f>
        <v>44649</v>
      </c>
      <c r="B5816" s="408" t="s">
        <v>76</v>
      </c>
      <c r="C5816" s="409">
        <f>Return!O976</f>
        <v>-2.4796000459716971E-3</v>
      </c>
    </row>
    <row r="5817" spans="1:3">
      <c r="A5817" s="406">
        <f>Return!A977</f>
        <v>44648</v>
      </c>
      <c r="B5817" s="408" t="s">
        <v>76</v>
      </c>
      <c r="C5817" s="409">
        <f>Return!O977</f>
        <v>-5.435592414256285E-3</v>
      </c>
    </row>
    <row r="5818" spans="1:3">
      <c r="A5818" s="406">
        <f>Return!A978</f>
        <v>44645</v>
      </c>
      <c r="B5818" s="408" t="s">
        <v>76</v>
      </c>
      <c r="C5818" s="409">
        <f>Return!O978</f>
        <v>1.071660514717232E-2</v>
      </c>
    </row>
    <row r="5819" spans="1:3">
      <c r="A5819" s="406">
        <f>Return!A979</f>
        <v>44644</v>
      </c>
      <c r="B5819" s="408" t="s">
        <v>76</v>
      </c>
      <c r="C5819" s="409">
        <f>Return!O979</f>
        <v>2.7883021230237226E-3</v>
      </c>
    </row>
    <row r="5820" spans="1:3">
      <c r="A5820" s="406">
        <f>Return!A980</f>
        <v>44643</v>
      </c>
      <c r="B5820" s="408" t="s">
        <v>76</v>
      </c>
      <c r="C5820" s="409">
        <f>Return!O980</f>
        <v>-5.5129427420120836E-3</v>
      </c>
    </row>
    <row r="5821" spans="1:3">
      <c r="A5821" s="406">
        <f>Return!A981</f>
        <v>44642</v>
      </c>
      <c r="B5821" s="408" t="s">
        <v>76</v>
      </c>
      <c r="C5821" s="409">
        <f>Return!O981</f>
        <v>1.6379389460308147E-4</v>
      </c>
    </row>
    <row r="5822" spans="1:3">
      <c r="A5822" s="406">
        <f>Return!A982</f>
        <v>44641</v>
      </c>
      <c r="B5822" s="408" t="s">
        <v>76</v>
      </c>
      <c r="C5822" s="409">
        <f>Return!O982</f>
        <v>5.3418078488289833E-3</v>
      </c>
    </row>
    <row r="5823" spans="1:3">
      <c r="A5823" s="406">
        <f>Return!A983</f>
        <v>44637</v>
      </c>
      <c r="B5823" s="408" t="s">
        <v>76</v>
      </c>
      <c r="C5823" s="409">
        <f>Return!O983</f>
        <v>6.4246195050432497E-3</v>
      </c>
    </row>
    <row r="5824" spans="1:3">
      <c r="A5824" s="406">
        <f>Return!A984</f>
        <v>44636</v>
      </c>
      <c r="B5824" s="408" t="s">
        <v>76</v>
      </c>
      <c r="C5824" s="409">
        <f>Return!O984</f>
        <v>-4.6774968304841291E-3</v>
      </c>
    </row>
    <row r="5825" spans="1:3">
      <c r="A5825" s="406">
        <f>Return!A985</f>
        <v>44635</v>
      </c>
      <c r="B5825" s="408" t="s">
        <v>76</v>
      </c>
      <c r="C5825" s="409">
        <f>Return!O985</f>
        <v>-1.9428953401121607E-3</v>
      </c>
    </row>
    <row r="5826" spans="1:3">
      <c r="A5826" s="406">
        <f>Return!A986</f>
        <v>44634</v>
      </c>
      <c r="B5826" s="408" t="s">
        <v>76</v>
      </c>
      <c r="C5826" s="409">
        <f>Return!O986</f>
        <v>1.9044439554769754E-2</v>
      </c>
    </row>
    <row r="5827" spans="1:3">
      <c r="A5827" s="406">
        <f>Return!A987</f>
        <v>44631</v>
      </c>
      <c r="B5827" s="408" t="s">
        <v>76</v>
      </c>
      <c r="C5827" s="409">
        <f>Return!O987</f>
        <v>4.6298550909984471E-3</v>
      </c>
    </row>
    <row r="5828" spans="1:3">
      <c r="A5828" s="406">
        <f>Return!A988</f>
        <v>44630</v>
      </c>
      <c r="B5828" s="408" t="s">
        <v>76</v>
      </c>
      <c r="C5828" s="409">
        <f>Return!O988</f>
        <v>1.6303197029350125E-2</v>
      </c>
    </row>
    <row r="5829" spans="1:3">
      <c r="A5829" s="406">
        <f>Return!A989</f>
        <v>44629</v>
      </c>
      <c r="B5829" s="408" t="s">
        <v>76</v>
      </c>
      <c r="C5829" s="409">
        <f>Return!O989</f>
        <v>1.7712375273368108E-2</v>
      </c>
    </row>
    <row r="5830" spans="1:3">
      <c r="A5830" s="406">
        <f>Return!A990</f>
        <v>44628</v>
      </c>
      <c r="B5830" s="408" t="s">
        <v>76</v>
      </c>
      <c r="C5830" s="409">
        <f>Return!O990</f>
        <v>-1.1881607204530797E-2</v>
      </c>
    </row>
    <row r="5831" spans="1:3">
      <c r="A5831" s="406">
        <f>Return!A991</f>
        <v>44627</v>
      </c>
      <c r="B5831" s="408" t="s">
        <v>76</v>
      </c>
      <c r="C5831" s="409">
        <f>Return!O991</f>
        <v>-1.0951021968393038E-2</v>
      </c>
    </row>
    <row r="5832" spans="1:3">
      <c r="A5832" s="406">
        <f>Return!A992</f>
        <v>44624</v>
      </c>
      <c r="B5832" s="408" t="s">
        <v>76</v>
      </c>
      <c r="C5832" s="409">
        <f>Return!O992</f>
        <v>-9.647684192295447E-4</v>
      </c>
    </row>
    <row r="5833" spans="1:3">
      <c r="A5833" s="406">
        <f>Return!A993</f>
        <v>44623</v>
      </c>
      <c r="B5833" s="408" t="s">
        <v>76</v>
      </c>
      <c r="C5833" s="409">
        <f>Return!O993</f>
        <v>-8.680040358478136E-3</v>
      </c>
    </row>
    <row r="5834" spans="1:3">
      <c r="A5834" s="406">
        <f>Return!A994</f>
        <v>44622</v>
      </c>
      <c r="B5834" s="408" t="s">
        <v>76</v>
      </c>
      <c r="C5834" s="409">
        <f>Return!O994</f>
        <v>1.0324423761807866E-2</v>
      </c>
    </row>
    <row r="5835" spans="1:3">
      <c r="A5835" s="406">
        <f>Return!A995</f>
        <v>44620</v>
      </c>
      <c r="B5835" s="408" t="s">
        <v>76</v>
      </c>
      <c r="C5835" s="409">
        <f>Return!O995</f>
        <v>3.1508263093577238E-2</v>
      </c>
    </row>
    <row r="5836" spans="1:3">
      <c r="A5836" s="406">
        <f>Return!A996</f>
        <v>44617</v>
      </c>
      <c r="B5836" s="408" t="s">
        <v>76</v>
      </c>
      <c r="C5836" s="409">
        <f>Return!O996</f>
        <v>-3.6390403062519172E-2</v>
      </c>
    </row>
    <row r="5837" spans="1:3">
      <c r="A5837" s="406">
        <f>Return!A997</f>
        <v>44616</v>
      </c>
      <c r="B5837" s="408" t="s">
        <v>76</v>
      </c>
      <c r="C5837" s="409">
        <f>Return!O997</f>
        <v>2.4753362616276586E-3</v>
      </c>
    </row>
    <row r="5838" spans="1:3">
      <c r="A5838" s="406">
        <f>Return!A998</f>
        <v>44615</v>
      </c>
      <c r="B5838" s="408" t="s">
        <v>76</v>
      </c>
      <c r="C5838" s="409">
        <f>Return!O998</f>
        <v>-2.1918328568818479E-3</v>
      </c>
    </row>
    <row r="5839" spans="1:3">
      <c r="A5839" s="406">
        <f>Return!A999</f>
        <v>44614</v>
      </c>
      <c r="B5839" s="408" t="s">
        <v>76</v>
      </c>
      <c r="C5839" s="409">
        <f>Return!O999</f>
        <v>-1.4513317268510018E-2</v>
      </c>
    </row>
    <row r="5840" spans="1:3">
      <c r="A5840" s="406">
        <f>Return!A1000</f>
        <v>44613</v>
      </c>
      <c r="B5840" s="408" t="s">
        <v>76</v>
      </c>
      <c r="C5840" s="409">
        <f>Return!O1000</f>
        <v>-1.1501014282928823E-2</v>
      </c>
    </row>
    <row r="5841" spans="1:3">
      <c r="A5841" s="406">
        <f>Return!A1001</f>
        <v>44610</v>
      </c>
      <c r="B5841" s="408" t="s">
        <v>76</v>
      </c>
      <c r="C5841" s="409">
        <f>Return!O1001</f>
        <v>-9.2614208023988898E-3</v>
      </c>
    </row>
    <row r="5842" spans="1:3">
      <c r="A5842" s="406">
        <f>Return!A1002</f>
        <v>44609</v>
      </c>
      <c r="B5842" s="408" t="s">
        <v>76</v>
      </c>
      <c r="C5842" s="409">
        <f>Return!O1002</f>
        <v>1.1354283918616259E-2</v>
      </c>
    </row>
    <row r="5843" spans="1:3">
      <c r="A5843" s="406">
        <f>Return!A1003</f>
        <v>44608</v>
      </c>
      <c r="B5843" s="408" t="s">
        <v>76</v>
      </c>
      <c r="C5843" s="409">
        <f>Return!O1003</f>
        <v>7.2860919466115615E-3</v>
      </c>
    </row>
    <row r="5844" spans="1:3">
      <c r="A5844" s="406">
        <f>Return!A1004</f>
        <v>44607</v>
      </c>
      <c r="B5844" s="408" t="s">
        <v>76</v>
      </c>
      <c r="C5844" s="409">
        <f>Return!O1004</f>
        <v>-1.9490833433571497E-2</v>
      </c>
    </row>
    <row r="5845" spans="1:3">
      <c r="A5845" s="406">
        <f>Return!A1005</f>
        <v>44606</v>
      </c>
      <c r="B5845" s="408" t="s">
        <v>76</v>
      </c>
      <c r="C5845" s="409">
        <f>Return!O1005</f>
        <v>-1.4497731720352514E-2</v>
      </c>
    </row>
    <row r="5846" spans="1:3">
      <c r="A5846" s="406">
        <f>Return!A1006</f>
        <v>44603</v>
      </c>
      <c r="B5846" s="408" t="s">
        <v>76</v>
      </c>
      <c r="C5846" s="409">
        <f>Return!O1006</f>
        <v>4.3808890673229239E-3</v>
      </c>
    </row>
    <row r="5847" spans="1:3">
      <c r="A5847" s="406">
        <f>Return!A1007</f>
        <v>44602</v>
      </c>
      <c r="B5847" s="408" t="s">
        <v>76</v>
      </c>
      <c r="C5847" s="409">
        <f>Return!O1007</f>
        <v>1.270346322662208E-2</v>
      </c>
    </row>
    <row r="5848" spans="1:3">
      <c r="A5848" s="406">
        <f>Return!A1008</f>
        <v>44601</v>
      </c>
      <c r="B5848" s="408" t="s">
        <v>76</v>
      </c>
      <c r="C5848" s="409">
        <f>Return!O1008</f>
        <v>1.8560784714687362E-3</v>
      </c>
    </row>
    <row r="5849" spans="1:3">
      <c r="A5849" s="406">
        <f>Return!A1009</f>
        <v>44600</v>
      </c>
      <c r="B5849" s="408" t="s">
        <v>76</v>
      </c>
      <c r="C5849" s="409">
        <f>Return!O1009</f>
        <v>-1.7655554286556741E-2</v>
      </c>
    </row>
    <row r="5850" spans="1:3">
      <c r="A5850" s="406">
        <f>Return!A1010</f>
        <v>44599</v>
      </c>
      <c r="B5850" s="408" t="s">
        <v>76</v>
      </c>
      <c r="C5850" s="409">
        <f>Return!O1010</f>
        <v>-1.1844343961689985E-3</v>
      </c>
    </row>
    <row r="5851" spans="1:3">
      <c r="A5851" s="406">
        <f>Return!A1011</f>
        <v>44596</v>
      </c>
      <c r="B5851" s="408" t="s">
        <v>76</v>
      </c>
      <c r="C5851" s="409">
        <f>Return!O1011</f>
        <v>-2.2227397537831761E-3</v>
      </c>
    </row>
    <row r="5852" spans="1:3">
      <c r="A5852" s="406">
        <f>Return!A1012</f>
        <v>44595</v>
      </c>
      <c r="B5852" s="408" t="s">
        <v>76</v>
      </c>
      <c r="C5852" s="409">
        <f>Return!O1012</f>
        <v>1.2297985596578354E-2</v>
      </c>
    </row>
    <row r="5853" spans="1:3">
      <c r="A5853" s="406">
        <f>Return!A1013</f>
        <v>44594</v>
      </c>
      <c r="B5853" s="408" t="s">
        <v>76</v>
      </c>
      <c r="C5853" s="409">
        <f>Return!O1013</f>
        <v>1.4389353917263037E-2</v>
      </c>
    </row>
    <row r="5854" spans="1:3">
      <c r="A5854" s="406">
        <f>Return!A1014</f>
        <v>44593</v>
      </c>
      <c r="B5854" s="408" t="s">
        <v>76</v>
      </c>
      <c r="C5854" s="409">
        <f>Return!O1014</f>
        <v>7.6889472114722857E-3</v>
      </c>
    </row>
    <row r="5855" spans="1:3">
      <c r="A5855" s="406">
        <f>Return!A1015</f>
        <v>44592</v>
      </c>
      <c r="B5855" s="408" t="s">
        <v>76</v>
      </c>
      <c r="C5855" s="409">
        <f>Return!O1015</f>
        <v>1.7014750160964098E-3</v>
      </c>
    </row>
    <row r="5856" spans="1:3">
      <c r="A5856" s="406">
        <f>Return!A1016</f>
        <v>44589</v>
      </c>
      <c r="B5856" s="408" t="s">
        <v>76</v>
      </c>
      <c r="C5856" s="409">
        <f>Return!O1016</f>
        <v>-1.5470142571291978E-2</v>
      </c>
    </row>
    <row r="5857" spans="1:3">
      <c r="A5857" s="406">
        <f>Return!A1017</f>
        <v>44588</v>
      </c>
      <c r="B5857" s="408" t="s">
        <v>76</v>
      </c>
      <c r="C5857" s="409">
        <f>Return!O1017</f>
        <v>6.6089030298961404E-3</v>
      </c>
    </row>
    <row r="5858" spans="1:3">
      <c r="A5858" s="406">
        <f>Return!A1018</f>
        <v>44586</v>
      </c>
      <c r="B5858" s="408" t="s">
        <v>76</v>
      </c>
      <c r="C5858" s="409">
        <f>Return!O1018</f>
        <v>-1.9187249220338765E-2</v>
      </c>
    </row>
    <row r="5859" spans="1:3">
      <c r="A5859" s="406">
        <f>Return!A1019</f>
        <v>44585</v>
      </c>
      <c r="B5859" s="408" t="s">
        <v>76</v>
      </c>
      <c r="C5859" s="409">
        <f>Return!O1019</f>
        <v>-1.7301949306599229E-2</v>
      </c>
    </row>
    <row r="5860" spans="1:3">
      <c r="A5860" s="406">
        <f>Return!A1020</f>
        <v>44582</v>
      </c>
      <c r="B5860" s="408" t="s">
        <v>76</v>
      </c>
      <c r="C5860" s="409">
        <f>Return!O1020</f>
        <v>-8.6651480637813805E-3</v>
      </c>
    </row>
    <row r="5861" spans="1:3">
      <c r="A5861" s="406">
        <f>Return!A1021</f>
        <v>44581</v>
      </c>
      <c r="B5861" s="408" t="s">
        <v>76</v>
      </c>
      <c r="C5861" s="409">
        <f>Return!O1021</f>
        <v>-1.99975645512529E-3</v>
      </c>
    </row>
    <row r="5862" spans="1:3">
      <c r="A5862" s="406">
        <f>Return!A1022</f>
        <v>44580</v>
      </c>
      <c r="B5862" s="408" t="s">
        <v>76</v>
      </c>
      <c r="C5862" s="409">
        <f>Return!O1022</f>
        <v>-1.3190580063258794E-2</v>
      </c>
    </row>
    <row r="5863" spans="1:3">
      <c r="A5863" s="406">
        <f>Return!A1023</f>
        <v>44579</v>
      </c>
      <c r="B5863" s="408" t="s">
        <v>76</v>
      </c>
      <c r="C5863" s="409">
        <f>Return!O1023</f>
        <v>-2.6859713153984943E-3</v>
      </c>
    </row>
    <row r="5864" spans="1:3">
      <c r="A5864" s="406">
        <f>Return!A1024</f>
        <v>44578</v>
      </c>
      <c r="B5864" s="408" t="s">
        <v>76</v>
      </c>
      <c r="C5864" s="409">
        <f>Return!O1024</f>
        <v>-3.702553641671491E-3</v>
      </c>
    </row>
    <row r="5865" spans="1:3">
      <c r="A5865" s="406">
        <f>Return!A1025</f>
        <v>44575</v>
      </c>
      <c r="B5865" s="408" t="s">
        <v>76</v>
      </c>
      <c r="C5865" s="409">
        <f>Return!O1025</f>
        <v>8.1316604423073979E-3</v>
      </c>
    </row>
    <row r="5866" spans="1:3">
      <c r="A5866" s="406">
        <f>Return!A1026</f>
        <v>44574</v>
      </c>
      <c r="B5866" s="408" t="s">
        <v>76</v>
      </c>
      <c r="C5866" s="409">
        <f>Return!O1026</f>
        <v>3.8738431238696247E-3</v>
      </c>
    </row>
    <row r="5867" spans="1:3">
      <c r="A5867" s="406">
        <f>Return!A1027</f>
        <v>44573</v>
      </c>
      <c r="B5867" s="408" t="s">
        <v>76</v>
      </c>
      <c r="C5867" s="409">
        <f>Return!O1027</f>
        <v>-2.3293034674173319E-3</v>
      </c>
    </row>
    <row r="5868" spans="1:3">
      <c r="A5868" s="406">
        <f>Return!A1028</f>
        <v>44572</v>
      </c>
      <c r="B5868" s="408" t="s">
        <v>76</v>
      </c>
      <c r="C5868" s="409">
        <f>Return!O1028</f>
        <v>7.5144353663914032E-3</v>
      </c>
    </row>
    <row r="5869" spans="1:3">
      <c r="A5869" s="406">
        <f>Return!A1029</f>
        <v>44571</v>
      </c>
      <c r="B5869" s="408" t="s">
        <v>76</v>
      </c>
      <c r="C5869" s="409">
        <f>Return!O1029</f>
        <v>-4.5067927731143875E-3</v>
      </c>
    </row>
    <row r="5870" spans="1:3">
      <c r="A5870" s="406">
        <f>Return!A1030</f>
        <v>44568</v>
      </c>
      <c r="B5870" s="408" t="s">
        <v>76</v>
      </c>
      <c r="C5870" s="409">
        <f>Return!O1030</f>
        <v>-6.9482969206916545E-3</v>
      </c>
    </row>
    <row r="5871" spans="1:3">
      <c r="A5871" s="406">
        <f>Return!A1031</f>
        <v>44567</v>
      </c>
      <c r="B5871" s="408" t="s">
        <v>76</v>
      </c>
      <c r="C5871" s="409">
        <f>Return!O1031</f>
        <v>-4.8985225680407973E-3</v>
      </c>
    </row>
    <row r="5872" spans="1:3">
      <c r="A5872" s="406">
        <f>Return!A1032</f>
        <v>44566</v>
      </c>
      <c r="B5872" s="408" t="s">
        <v>76</v>
      </c>
      <c r="C5872" s="409">
        <f>Return!O1032</f>
        <v>-8.6157628230719707E-3</v>
      </c>
    </row>
    <row r="5873" spans="1:3">
      <c r="A5873" s="406">
        <f>Return!A1033</f>
        <v>44565</v>
      </c>
      <c r="B5873" s="408" t="s">
        <v>76</v>
      </c>
      <c r="C5873" s="409">
        <f>Return!O1033</f>
        <v>-2.4446669659197173E-3</v>
      </c>
    </row>
    <row r="5874" spans="1:3">
      <c r="A5874" s="406">
        <f>Return!A1034</f>
        <v>44564</v>
      </c>
      <c r="B5874" s="408" t="s">
        <v>76</v>
      </c>
      <c r="C5874" s="409">
        <f>Return!O1034</f>
        <v>8.860902067930887E-3</v>
      </c>
    </row>
    <row r="5875" spans="1:3">
      <c r="A5875" s="406">
        <f>Return!A1035</f>
        <v>44561</v>
      </c>
      <c r="B5875" s="408" t="s">
        <v>76</v>
      </c>
      <c r="C5875" s="409">
        <f>Return!O1035</f>
        <v>4.8965230757740397E-3</v>
      </c>
    </row>
    <row r="5876" spans="1:3">
      <c r="A5876" s="406">
        <f>Return!A1036</f>
        <v>44560</v>
      </c>
      <c r="B5876" s="408" t="s">
        <v>76</v>
      </c>
      <c r="C5876" s="409">
        <f>Return!O1036</f>
        <v>1.9503747883971245E-2</v>
      </c>
    </row>
    <row r="5877" spans="1:3">
      <c r="A5877" s="406">
        <f>Return!A1037</f>
        <v>44559</v>
      </c>
      <c r="B5877" s="408" t="s">
        <v>76</v>
      </c>
      <c r="C5877" s="409">
        <f>Return!O1037</f>
        <v>4.1122916828422174E-3</v>
      </c>
    </row>
    <row r="5878" spans="1:3">
      <c r="A5878" s="406">
        <f>Return!A1038</f>
        <v>44558</v>
      </c>
      <c r="B5878" s="408" t="s">
        <v>76</v>
      </c>
      <c r="C5878" s="409">
        <f>Return!O1038</f>
        <v>1.4575743693782117E-2</v>
      </c>
    </row>
    <row r="5879" spans="1:3">
      <c r="A5879" s="406">
        <f>Return!A1039</f>
        <v>44557</v>
      </c>
      <c r="B5879" s="408" t="s">
        <v>76</v>
      </c>
      <c r="C5879" s="409">
        <f>Return!O1039</f>
        <v>-7.7160722710842844E-3</v>
      </c>
    </row>
    <row r="5880" spans="1:3">
      <c r="A5880" s="406">
        <f>Return!A1040</f>
        <v>44554</v>
      </c>
      <c r="B5880" s="408" t="s">
        <v>76</v>
      </c>
      <c r="C5880" s="409">
        <f>Return!O1040</f>
        <v>2.1240997946598394E-2</v>
      </c>
    </row>
    <row r="5881" spans="1:3">
      <c r="A5881" s="406">
        <f>Return!A1041</f>
        <v>44553</v>
      </c>
      <c r="B5881" s="408" t="s">
        <v>76</v>
      </c>
      <c r="C5881" s="409">
        <f>Return!O1041</f>
        <v>1.2676405502367594E-2</v>
      </c>
    </row>
    <row r="5882" spans="1:3">
      <c r="A5882" s="406">
        <f>Return!A1042</f>
        <v>44552</v>
      </c>
      <c r="B5882" s="408" t="s">
        <v>76</v>
      </c>
      <c r="C5882" s="409">
        <f>Return!O1042</f>
        <v>9.4521660638489102E-3</v>
      </c>
    </row>
    <row r="5883" spans="1:3">
      <c r="A5883" s="406">
        <f>Return!A1043</f>
        <v>44551</v>
      </c>
      <c r="B5883" s="408" t="s">
        <v>76</v>
      </c>
      <c r="C5883" s="409">
        <f>Return!O1043</f>
        <v>-4.6812587208697742E-3</v>
      </c>
    </row>
    <row r="5884" spans="1:3">
      <c r="A5884" s="406">
        <f>Return!A1044</f>
        <v>44550</v>
      </c>
      <c r="B5884" s="408" t="s">
        <v>76</v>
      </c>
      <c r="C5884" s="409">
        <f>Return!O1044</f>
        <v>-1.6899251470034127E-2</v>
      </c>
    </row>
    <row r="5885" spans="1:3">
      <c r="A5885" s="406">
        <f>Return!A1045</f>
        <v>44547</v>
      </c>
      <c r="B5885" s="408" t="s">
        <v>76</v>
      </c>
      <c r="C5885" s="409">
        <f>Return!O1045</f>
        <v>-4.8909528984488748E-3</v>
      </c>
    </row>
    <row r="5886" spans="1:3">
      <c r="A5886" s="406">
        <f>Return!A1046</f>
        <v>44546</v>
      </c>
      <c r="B5886" s="408" t="s">
        <v>76</v>
      </c>
      <c r="C5886" s="409">
        <f>Return!O1046</f>
        <v>-3.5576163726687149E-3</v>
      </c>
    </row>
    <row r="5887" spans="1:3">
      <c r="A5887" s="406">
        <f>Return!A1047</f>
        <v>44545</v>
      </c>
      <c r="B5887" s="408" t="s">
        <v>76</v>
      </c>
      <c r="C5887" s="409">
        <f>Return!O1047</f>
        <v>6.0118447801966735E-3</v>
      </c>
    </row>
    <row r="5888" spans="1:3">
      <c r="A5888" s="406">
        <f>Return!A1048</f>
        <v>44544</v>
      </c>
      <c r="B5888" s="408" t="s">
        <v>76</v>
      </c>
      <c r="C5888" s="409">
        <f>Return!O1048</f>
        <v>1.7648353788728421E-3</v>
      </c>
    </row>
    <row r="5889" spans="1:3">
      <c r="A5889" s="406">
        <f>Return!A1049</f>
        <v>44543</v>
      </c>
      <c r="B5889" s="408" t="s">
        <v>76</v>
      </c>
      <c r="C5889" s="409">
        <f>Return!O1049</f>
        <v>-6.285293435691619E-4</v>
      </c>
    </row>
    <row r="5890" spans="1:3">
      <c r="A5890" s="406">
        <f>Return!A1050</f>
        <v>44540</v>
      </c>
      <c r="B5890" s="408" t="s">
        <v>76</v>
      </c>
      <c r="C5890" s="409">
        <f>Return!O1050</f>
        <v>1.5079602032839201E-3</v>
      </c>
    </row>
    <row r="5891" spans="1:3">
      <c r="A5891" s="406">
        <f>Return!A1051</f>
        <v>44539</v>
      </c>
      <c r="B5891" s="408" t="s">
        <v>76</v>
      </c>
      <c r="C5891" s="409">
        <f>Return!O1051</f>
        <v>1.1795326125331629E-2</v>
      </c>
    </row>
    <row r="5892" spans="1:3">
      <c r="A5892" s="406">
        <f>Return!A1052</f>
        <v>44538</v>
      </c>
      <c r="B5892" s="408" t="s">
        <v>76</v>
      </c>
      <c r="C5892" s="409">
        <f>Return!O1052</f>
        <v>3.6227408814932804E-3</v>
      </c>
    </row>
    <row r="5893" spans="1:3">
      <c r="A5893" s="406">
        <f>Return!A1053</f>
        <v>44537</v>
      </c>
      <c r="B5893" s="408" t="s">
        <v>76</v>
      </c>
      <c r="C5893" s="409">
        <f>Return!O1053</f>
        <v>-1.6897117211484902E-2</v>
      </c>
    </row>
    <row r="5894" spans="1:3">
      <c r="A5894" s="406">
        <f>Return!A1054</f>
        <v>44536</v>
      </c>
      <c r="B5894" s="408" t="s">
        <v>76</v>
      </c>
      <c r="C5894" s="409">
        <f>Return!O1054</f>
        <v>-6.680312389585441E-3</v>
      </c>
    </row>
    <row r="5895" spans="1:3">
      <c r="A5895" s="406">
        <f>Return!A1055</f>
        <v>44533</v>
      </c>
      <c r="B5895" s="408" t="s">
        <v>76</v>
      </c>
      <c r="C5895" s="409">
        <f>Return!O1055</f>
        <v>6.9648494098220048E-3</v>
      </c>
    </row>
    <row r="5896" spans="1:3">
      <c r="A5896" s="406">
        <f>Return!A1056</f>
        <v>44532</v>
      </c>
      <c r="B5896" s="408" t="s">
        <v>76</v>
      </c>
      <c r="C5896" s="409">
        <f>Return!O1056</f>
        <v>-1.4453833941722838E-2</v>
      </c>
    </row>
    <row r="5897" spans="1:3">
      <c r="A5897" s="406">
        <f>Return!A1057</f>
        <v>44531</v>
      </c>
      <c r="B5897" s="408" t="s">
        <v>76</v>
      </c>
      <c r="C5897" s="409">
        <f>Return!O1057</f>
        <v>2.9342547461843616E-3</v>
      </c>
    </row>
    <row r="5898" spans="1:3">
      <c r="A5898" s="406">
        <f>Return!A1058</f>
        <v>44530</v>
      </c>
      <c r="B5898" s="408" t="s">
        <v>76</v>
      </c>
      <c r="C5898" s="409">
        <f>Return!O1058</f>
        <v>-8.134964228609709E-3</v>
      </c>
    </row>
    <row r="5899" spans="1:3">
      <c r="A5899" s="406">
        <f>Return!A1059</f>
        <v>44529</v>
      </c>
      <c r="B5899" s="408" t="s">
        <v>76</v>
      </c>
      <c r="C5899" s="409">
        <f>Return!O1059</f>
        <v>1.5363333744498719E-2</v>
      </c>
    </row>
    <row r="5900" spans="1:3">
      <c r="A5900" s="406">
        <f>Return!A1060</f>
        <v>44526</v>
      </c>
      <c r="B5900" s="408" t="s">
        <v>76</v>
      </c>
      <c r="C5900" s="409">
        <f>Return!O1060</f>
        <v>1.3144636786093011E-2</v>
      </c>
    </row>
    <row r="5901" spans="1:3">
      <c r="A5901" s="406">
        <f>Return!A1061</f>
        <v>44525</v>
      </c>
      <c r="B5901" s="408" t="s">
        <v>76</v>
      </c>
      <c r="C5901" s="409">
        <f>Return!O1061</f>
        <v>-5.3615034975584841E-5</v>
      </c>
    </row>
    <row r="5902" spans="1:3">
      <c r="A5902" s="406">
        <f>Return!A1062</f>
        <v>44524</v>
      </c>
      <c r="B5902" s="408" t="s">
        <v>76</v>
      </c>
      <c r="C5902" s="409">
        <f>Return!O1062</f>
        <v>1.3962674758207116E-2</v>
      </c>
    </row>
    <row r="5903" spans="1:3">
      <c r="A5903" s="406">
        <f>Return!A1063</f>
        <v>44523</v>
      </c>
      <c r="B5903" s="408" t="s">
        <v>76</v>
      </c>
      <c r="C5903" s="409">
        <f>Return!O1063</f>
        <v>-2.076684969842546E-2</v>
      </c>
    </row>
    <row r="5904" spans="1:3">
      <c r="A5904" s="406">
        <f>Return!A1064</f>
        <v>44522</v>
      </c>
      <c r="B5904" s="408" t="s">
        <v>76</v>
      </c>
      <c r="C5904" s="409">
        <f>Return!O1064</f>
        <v>-1.3935633299670624E-2</v>
      </c>
    </row>
    <row r="5905" spans="1:3">
      <c r="A5905" s="406">
        <f>Return!A1065</f>
        <v>44518</v>
      </c>
      <c r="B5905" s="408" t="s">
        <v>76</v>
      </c>
      <c r="C5905" s="409">
        <f>Return!O1065</f>
        <v>-1.3702016228704927E-3</v>
      </c>
    </row>
    <row r="5906" spans="1:3">
      <c r="A5906" s="406">
        <f>Return!A1066</f>
        <v>44517</v>
      </c>
      <c r="B5906" s="408" t="s">
        <v>76</v>
      </c>
      <c r="C5906" s="409">
        <f>Return!O1066</f>
        <v>-6.0552256781968294E-3</v>
      </c>
    </row>
    <row r="5907" spans="1:3">
      <c r="A5907" s="406">
        <f>Return!A1067</f>
        <v>44516</v>
      </c>
      <c r="B5907" s="408" t="s">
        <v>76</v>
      </c>
      <c r="C5907" s="409">
        <f>Return!O1067</f>
        <v>1.5449263860484397E-2</v>
      </c>
    </row>
    <row r="5908" spans="1:3">
      <c r="A5908" s="406">
        <f>Return!A1068</f>
        <v>44515</v>
      </c>
      <c r="B5908" s="408" t="s">
        <v>76</v>
      </c>
      <c r="C5908" s="409">
        <f>Return!O1068</f>
        <v>2.5824789676287541E-3</v>
      </c>
    </row>
    <row r="5909" spans="1:3">
      <c r="A5909" s="406">
        <f>Return!A1069</f>
        <v>44512</v>
      </c>
      <c r="B5909" s="408" t="s">
        <v>76</v>
      </c>
      <c r="C5909" s="409">
        <f>Return!O1069</f>
        <v>-1.1327544300222869E-2</v>
      </c>
    </row>
    <row r="5910" spans="1:3">
      <c r="A5910" s="406">
        <f>Return!A1070</f>
        <v>44511</v>
      </c>
      <c r="B5910" s="408" t="s">
        <v>76</v>
      </c>
      <c r="C5910" s="409">
        <f>Return!O1070</f>
        <v>2.8351613408272858E-3</v>
      </c>
    </row>
    <row r="5911" spans="1:3">
      <c r="A5911" s="406">
        <f>Return!A1071</f>
        <v>44510</v>
      </c>
      <c r="B5911" s="408" t="s">
        <v>76</v>
      </c>
      <c r="C5911" s="409">
        <f>Return!O1071</f>
        <v>5.7709976343101044E-3</v>
      </c>
    </row>
    <row r="5912" spans="1:3">
      <c r="A5912" s="406">
        <f>Return!A1072</f>
        <v>44509</v>
      </c>
      <c r="B5912" s="408" t="s">
        <v>76</v>
      </c>
      <c r="C5912" s="409">
        <f>Return!O1072</f>
        <v>-2.6912679069549528E-3</v>
      </c>
    </row>
    <row r="5913" spans="1:3">
      <c r="A5913" s="406">
        <f>Return!A1073</f>
        <v>44508</v>
      </c>
      <c r="B5913" s="408" t="s">
        <v>76</v>
      </c>
      <c r="C5913" s="409">
        <f>Return!O1073</f>
        <v>-3.8278150246489062E-3</v>
      </c>
    </row>
    <row r="5914" spans="1:3">
      <c r="A5914" s="406">
        <f>Return!A1074</f>
        <v>44504</v>
      </c>
      <c r="B5914" s="408" t="s">
        <v>76</v>
      </c>
      <c r="C5914" s="409">
        <f>Return!O1074</f>
        <v>-1.1834458098103351E-3</v>
      </c>
    </row>
    <row r="5915" spans="1:3">
      <c r="A5915" s="406">
        <f>Return!A1075</f>
        <v>44503</v>
      </c>
      <c r="B5915" s="408" t="s">
        <v>76</v>
      </c>
      <c r="C5915" s="409">
        <f>Return!O1075</f>
        <v>1.4165008922743416E-2</v>
      </c>
    </row>
    <row r="5916" spans="1:3">
      <c r="A5916" s="406">
        <f>Return!A1076</f>
        <v>44502</v>
      </c>
      <c r="B5916" s="408" t="s">
        <v>76</v>
      </c>
      <c r="C5916" s="409">
        <f>Return!O1076</f>
        <v>4.2682162031011384E-3</v>
      </c>
    </row>
    <row r="5917" spans="1:3">
      <c r="A5917" s="406">
        <f>Return!A1077</f>
        <v>44501</v>
      </c>
      <c r="B5917" s="408" t="s">
        <v>76</v>
      </c>
      <c r="C5917" s="409">
        <f>Return!O1077</f>
        <v>-1.8157481936394326E-2</v>
      </c>
    </row>
    <row r="5918" spans="1:3">
      <c r="A5918" s="406">
        <f>Return!A1078</f>
        <v>44498</v>
      </c>
      <c r="B5918" s="408" t="s">
        <v>76</v>
      </c>
      <c r="C5918" s="409">
        <f>Return!O1078</f>
        <v>6.0464379432769721E-3</v>
      </c>
    </row>
    <row r="5919" spans="1:3">
      <c r="A5919" s="406">
        <f>Return!A1079</f>
        <v>44497</v>
      </c>
      <c r="B5919" s="408" t="s">
        <v>76</v>
      </c>
      <c r="C5919" s="409">
        <f>Return!O1079</f>
        <v>5.5695230470416135E-3</v>
      </c>
    </row>
    <row r="5920" spans="1:3">
      <c r="A5920" s="406">
        <f>Return!A1080</f>
        <v>44496</v>
      </c>
      <c r="B5920" s="408" t="s">
        <v>76</v>
      </c>
      <c r="C5920" s="409">
        <f>Return!O1080</f>
        <v>-4.1025453273290102E-3</v>
      </c>
    </row>
    <row r="5921" spans="1:3">
      <c r="A5921" s="406">
        <f>Return!A1081</f>
        <v>44495</v>
      </c>
      <c r="B5921" s="408" t="s">
        <v>76</v>
      </c>
      <c r="C5921" s="409">
        <f>Return!O1081</f>
        <v>-1.436139160112393E-2</v>
      </c>
    </row>
    <row r="5922" spans="1:3">
      <c r="A5922" s="406">
        <f>Return!A1082</f>
        <v>44494</v>
      </c>
      <c r="B5922" s="408" t="s">
        <v>76</v>
      </c>
      <c r="C5922" s="409">
        <f>Return!O1082</f>
        <v>-1.0704341672962414E-4</v>
      </c>
    </row>
    <row r="5923" spans="1:3">
      <c r="A5923" s="406">
        <f>Return!A1083</f>
        <v>44491</v>
      </c>
      <c r="B5923" s="408" t="s">
        <v>76</v>
      </c>
      <c r="C5923" s="409">
        <f>Return!O1083</f>
        <v>-1.2356653396802697E-2</v>
      </c>
    </row>
    <row r="5924" spans="1:3">
      <c r="A5924" s="406">
        <f>Return!A1084</f>
        <v>44490</v>
      </c>
      <c r="B5924" s="408" t="s">
        <v>76</v>
      </c>
      <c r="C5924" s="409">
        <f>Return!O1084</f>
        <v>-1.3367378471008107E-2</v>
      </c>
    </row>
    <row r="5925" spans="1:3">
      <c r="A5925" s="406">
        <f>Return!A1085</f>
        <v>44489</v>
      </c>
      <c r="B5925" s="408" t="s">
        <v>76</v>
      </c>
      <c r="C5925" s="409">
        <f>Return!O1085</f>
        <v>-7.5880729388585477E-3</v>
      </c>
    </row>
    <row r="5926" spans="1:3">
      <c r="A5926" s="406">
        <f>Return!A1086</f>
        <v>44488</v>
      </c>
      <c r="B5926" s="408" t="s">
        <v>76</v>
      </c>
      <c r="C5926" s="409">
        <f>Return!O1086</f>
        <v>3.0067129961788286E-3</v>
      </c>
    </row>
    <row r="5927" spans="1:3">
      <c r="A5927" s="406">
        <f>Return!A1087</f>
        <v>44487</v>
      </c>
      <c r="B5927" s="408" t="s">
        <v>76</v>
      </c>
      <c r="C5927" s="409">
        <f>Return!O1087</f>
        <v>3.1836399681988148E-3</v>
      </c>
    </row>
    <row r="5928" spans="1:3">
      <c r="A5928" s="406">
        <f>Return!A1088</f>
        <v>44483</v>
      </c>
      <c r="B5928" s="408" t="s">
        <v>76</v>
      </c>
      <c r="C5928" s="409">
        <f>Return!O1088</f>
        <v>-1.7263462716490263E-3</v>
      </c>
    </row>
    <row r="5929" spans="1:3">
      <c r="A5929" s="406">
        <f>Return!A1089</f>
        <v>44482</v>
      </c>
      <c r="B5929" s="408" t="s">
        <v>76</v>
      </c>
      <c r="C5929" s="409">
        <f>Return!O1089</f>
        <v>4.8248478490295899E-3</v>
      </c>
    </row>
    <row r="5930" spans="1:3">
      <c r="A5930" s="406">
        <f>Return!A1090</f>
        <v>44481</v>
      </c>
      <c r="B5930" s="408" t="s">
        <v>76</v>
      </c>
      <c r="C5930" s="409">
        <f>Return!O1090</f>
        <v>-3.6966818362395015E-3</v>
      </c>
    </row>
    <row r="5931" spans="1:3">
      <c r="A5931" s="406">
        <f>Return!A1091</f>
        <v>44480</v>
      </c>
      <c r="B5931" s="408" t="s">
        <v>76</v>
      </c>
      <c r="C5931" s="409">
        <f>Return!O1091</f>
        <v>1.4078254952276659E-3</v>
      </c>
    </row>
    <row r="5932" spans="1:3">
      <c r="A5932" s="406">
        <f>Return!A1092</f>
        <v>44477</v>
      </c>
      <c r="B5932" s="408" t="s">
        <v>76</v>
      </c>
      <c r="C5932" s="409">
        <f>Return!O1092</f>
        <v>-1.6335667493876493E-2</v>
      </c>
    </row>
    <row r="5933" spans="1:3">
      <c r="A5933" s="406">
        <f>Return!A1093</f>
        <v>44476</v>
      </c>
      <c r="B5933" s="408" t="s">
        <v>76</v>
      </c>
      <c r="C5933" s="409">
        <f>Return!O1093</f>
        <v>-4.2511599200170114E-3</v>
      </c>
    </row>
    <row r="5934" spans="1:3">
      <c r="A5934" s="406">
        <f>Return!A1094</f>
        <v>44475</v>
      </c>
      <c r="B5934" s="408" t="s">
        <v>76</v>
      </c>
      <c r="C5934" s="409">
        <f>Return!O1094</f>
        <v>1.3789202638359255E-2</v>
      </c>
    </row>
    <row r="5935" spans="1:3">
      <c r="A5935" s="406">
        <f>Return!A1095</f>
        <v>44474</v>
      </c>
      <c r="B5935" s="408" t="s">
        <v>76</v>
      </c>
      <c r="C5935" s="409">
        <f>Return!O1095</f>
        <v>4.635102066886887E-3</v>
      </c>
    </row>
    <row r="5936" spans="1:3">
      <c r="A5936" s="406">
        <f>Return!A1096</f>
        <v>44473</v>
      </c>
      <c r="B5936" s="408" t="s">
        <v>76</v>
      </c>
      <c r="C5936" s="409">
        <f>Return!O1096</f>
        <v>2.863783952264054E-3</v>
      </c>
    </row>
    <row r="5937" spans="1:3">
      <c r="A5937" s="406">
        <f>Return!A1097</f>
        <v>44470</v>
      </c>
      <c r="B5937" s="408" t="s">
        <v>76</v>
      </c>
      <c r="C5937" s="409">
        <f>Return!O1097</f>
        <v>3.993623691945114E-3</v>
      </c>
    </row>
    <row r="5938" spans="1:3">
      <c r="A5938" s="406">
        <f>Return!A1098</f>
        <v>44469</v>
      </c>
      <c r="B5938" s="408" t="s">
        <v>76</v>
      </c>
      <c r="C5938" s="409">
        <f>Return!O1098</f>
        <v>7.2285667306193346E-4</v>
      </c>
    </row>
    <row r="5939" spans="1:3">
      <c r="A5939" s="406">
        <f>Return!A1099</f>
        <v>44468</v>
      </c>
      <c r="B5939" s="408" t="s">
        <v>76</v>
      </c>
      <c r="C5939" s="409">
        <f>Return!O1099</f>
        <v>-8.9952643608246508E-3</v>
      </c>
    </row>
    <row r="5940" spans="1:3">
      <c r="A5940" s="406">
        <f>Return!A1100</f>
        <v>44467</v>
      </c>
      <c r="B5940" s="408" t="s">
        <v>76</v>
      </c>
      <c r="C5940" s="409">
        <f>Return!O1100</f>
        <v>-1.1426813913478218E-2</v>
      </c>
    </row>
    <row r="5941" spans="1:3">
      <c r="A5941" s="406">
        <f>Return!A1101</f>
        <v>44466</v>
      </c>
      <c r="B5941" s="408" t="s">
        <v>76</v>
      </c>
      <c r="C5941" s="409">
        <f>Return!O1101</f>
        <v>6.3026543030286764E-3</v>
      </c>
    </row>
    <row r="5942" spans="1:3">
      <c r="A5942" s="406">
        <f>Return!A1102</f>
        <v>44463</v>
      </c>
      <c r="B5942" s="408" t="s">
        <v>76</v>
      </c>
      <c r="C5942" s="409">
        <f>Return!O1102</f>
        <v>7.674560582090928E-3</v>
      </c>
    </row>
    <row r="5943" spans="1:3">
      <c r="A5943" s="406">
        <f>Return!A1103</f>
        <v>44462</v>
      </c>
      <c r="B5943" s="408" t="s">
        <v>76</v>
      </c>
      <c r="C5943" s="409">
        <f>Return!O1103</f>
        <v>5.9290684354655898E-3</v>
      </c>
    </row>
    <row r="5944" spans="1:3">
      <c r="A5944" s="406">
        <f>Return!A1104</f>
        <v>44461</v>
      </c>
      <c r="B5944" s="408" t="s">
        <v>76</v>
      </c>
      <c r="C5944" s="409">
        <f>Return!O1104</f>
        <v>-1.6919532466210696E-2</v>
      </c>
    </row>
    <row r="5945" spans="1:3">
      <c r="A5945" s="406">
        <f>Return!A1105</f>
        <v>44460</v>
      </c>
      <c r="B5945" s="408" t="s">
        <v>76</v>
      </c>
      <c r="C5945" s="409">
        <f>Return!O1105</f>
        <v>-1.3625149066660236E-2</v>
      </c>
    </row>
    <row r="5946" spans="1:3">
      <c r="A5946" s="406">
        <f>Return!A1106</f>
        <v>44459</v>
      </c>
      <c r="B5946" s="408" t="s">
        <v>76</v>
      </c>
      <c r="C5946" s="409">
        <f>Return!O1106</f>
        <v>1.0572681863441069E-4</v>
      </c>
    </row>
    <row r="5947" spans="1:3">
      <c r="A5947" s="406">
        <f>Return!A1107</f>
        <v>44456</v>
      </c>
      <c r="B5947" s="408" t="s">
        <v>76</v>
      </c>
      <c r="C5947" s="409">
        <f>Return!O1107</f>
        <v>9.2952485066417623E-3</v>
      </c>
    </row>
    <row r="5948" spans="1:3">
      <c r="A5948" s="406">
        <f>Return!A1108</f>
        <v>44455</v>
      </c>
      <c r="B5948" s="408" t="s">
        <v>76</v>
      </c>
      <c r="C5948" s="409">
        <f>Return!O1108</f>
        <v>1.1847996094297653E-2</v>
      </c>
    </row>
    <row r="5949" spans="1:3">
      <c r="A5949" s="406">
        <f>Return!A1109</f>
        <v>44454</v>
      </c>
      <c r="B5949" s="408" t="s">
        <v>76</v>
      </c>
      <c r="C5949" s="409">
        <f>Return!O1109</f>
        <v>3.3957269011897218E-4</v>
      </c>
    </row>
    <row r="5950" spans="1:3">
      <c r="A5950" s="406">
        <f>Return!A1110</f>
        <v>44453</v>
      </c>
      <c r="B5950" s="408" t="s">
        <v>76</v>
      </c>
      <c r="C5950" s="409">
        <f>Return!O1110</f>
        <v>-1.4432348946264995E-3</v>
      </c>
    </row>
    <row r="5951" spans="1:3">
      <c r="A5951" s="406">
        <f>Return!A1111</f>
        <v>44452</v>
      </c>
      <c r="B5951" s="408" t="s">
        <v>76</v>
      </c>
      <c r="C5951" s="409">
        <f>Return!O1111</f>
        <v>2.1847278597442177E-4</v>
      </c>
    </row>
    <row r="5952" spans="1:3">
      <c r="A5952" s="406">
        <f>Return!A1112</f>
        <v>44448</v>
      </c>
      <c r="B5952" s="408" t="s">
        <v>76</v>
      </c>
      <c r="C5952" s="409">
        <f>Return!O1112</f>
        <v>-6.856481747329668E-3</v>
      </c>
    </row>
    <row r="5953" spans="1:3">
      <c r="A5953" s="406">
        <f>Return!A1113</f>
        <v>44447</v>
      </c>
      <c r="B5953" s="408" t="s">
        <v>76</v>
      </c>
      <c r="C5953" s="409">
        <f>Return!O1113</f>
        <v>1.2645215462585568E-3</v>
      </c>
    </row>
    <row r="5954" spans="1:3">
      <c r="A5954" s="406">
        <f>Return!A1114</f>
        <v>44446</v>
      </c>
      <c r="B5954" s="408" t="s">
        <v>76</v>
      </c>
      <c r="C5954" s="409">
        <f>Return!O1114</f>
        <v>4.0596416294977899E-3</v>
      </c>
    </row>
    <row r="5955" spans="1:3">
      <c r="A5955" s="406">
        <f>Return!A1115</f>
        <v>44445</v>
      </c>
      <c r="B5955" s="408" t="s">
        <v>76</v>
      </c>
      <c r="C5955" s="409">
        <f>Return!O1115</f>
        <v>5.0759721353079712E-3</v>
      </c>
    </row>
    <row r="5956" spans="1:3">
      <c r="A5956" s="406">
        <f>Return!A1116</f>
        <v>44442</v>
      </c>
      <c r="B5956" s="408" t="s">
        <v>76</v>
      </c>
      <c r="C5956" s="409">
        <f>Return!O1116</f>
        <v>-2.2891572350306477E-3</v>
      </c>
    </row>
    <row r="5957" spans="1:3">
      <c r="A5957" s="406">
        <f>Return!A1117</f>
        <v>44441</v>
      </c>
      <c r="B5957" s="408" t="s">
        <v>76</v>
      </c>
      <c r="C5957" s="409">
        <f>Return!O1117</f>
        <v>1.185867245768768E-2</v>
      </c>
    </row>
    <row r="5958" spans="1:3">
      <c r="A5958" s="406">
        <f>Return!A1118</f>
        <v>44440</v>
      </c>
      <c r="B5958" s="408" t="s">
        <v>76</v>
      </c>
      <c r="C5958" s="409">
        <f>Return!O1118</f>
        <v>1.512769769027944E-2</v>
      </c>
    </row>
    <row r="5959" spans="1:3">
      <c r="A5959" s="406">
        <f>Return!A1119</f>
        <v>44439</v>
      </c>
      <c r="B5959" s="408" t="s">
        <v>76</v>
      </c>
      <c r="C5959" s="409">
        <f>Return!O1119</f>
        <v>1.2353225405054236E-2</v>
      </c>
    </row>
    <row r="5960" spans="1:3">
      <c r="A5960" s="406">
        <f>Return!A1120</f>
        <v>44438</v>
      </c>
      <c r="B5960" s="408" t="s">
        <v>76</v>
      </c>
      <c r="C5960" s="409">
        <f>Return!O1120</f>
        <v>-2.8389325742435023E-3</v>
      </c>
    </row>
    <row r="5961" spans="1:3">
      <c r="A5961" s="406">
        <f>Return!A1121</f>
        <v>44435</v>
      </c>
      <c r="B5961" s="408" t="s">
        <v>76</v>
      </c>
      <c r="C5961" s="409">
        <f>Return!O1121</f>
        <v>2.1753146999676787E-3</v>
      </c>
    </row>
    <row r="5962" spans="1:3">
      <c r="A5962" s="406">
        <f>Return!A1122</f>
        <v>44434</v>
      </c>
      <c r="B5962" s="408" t="s">
        <v>76</v>
      </c>
      <c r="C5962" s="409">
        <f>Return!O1122</f>
        <v>7.2704203529476708E-3</v>
      </c>
    </row>
    <row r="5963" spans="1:3">
      <c r="A5963" s="406">
        <f>Return!A1123</f>
        <v>44433</v>
      </c>
      <c r="B5963" s="408" t="s">
        <v>76</v>
      </c>
      <c r="C5963" s="409">
        <f>Return!O1123</f>
        <v>-6.7435472795572826E-3</v>
      </c>
    </row>
    <row r="5964" spans="1:3">
      <c r="A5964" s="406">
        <f>Return!A1124</f>
        <v>44432</v>
      </c>
      <c r="B5964" s="408" t="s">
        <v>76</v>
      </c>
      <c r="C5964" s="409">
        <f>Return!O1124</f>
        <v>-2.2251219470774797E-2</v>
      </c>
    </row>
    <row r="5965" spans="1:3">
      <c r="A5965" s="406">
        <f>Return!A1125</f>
        <v>44431</v>
      </c>
      <c r="B5965" s="408" t="s">
        <v>76</v>
      </c>
      <c r="C5965" s="409">
        <f>Return!O1125</f>
        <v>-4.8396004053252728E-4</v>
      </c>
    </row>
    <row r="5966" spans="1:3">
      <c r="A5966" s="406">
        <f>Return!A1126</f>
        <v>44428</v>
      </c>
      <c r="B5966" s="408" t="s">
        <v>76</v>
      </c>
      <c r="C5966" s="409">
        <f>Return!O1126</f>
        <v>1.0876652527324282E-2</v>
      </c>
    </row>
    <row r="5967" spans="1:3">
      <c r="A5967" s="406">
        <f>Return!A1127</f>
        <v>44426</v>
      </c>
      <c r="B5967" s="408" t="s">
        <v>76</v>
      </c>
      <c r="C5967" s="409">
        <f>Return!O1127</f>
        <v>-2.9699917444971913E-3</v>
      </c>
    </row>
    <row r="5968" spans="1:3">
      <c r="A5968" s="406">
        <f>Return!A1128</f>
        <v>44425</v>
      </c>
      <c r="B5968" s="408" t="s">
        <v>76</v>
      </c>
      <c r="C5968" s="409">
        <f>Return!O1128</f>
        <v>-1.1564437516172532E-2</v>
      </c>
    </row>
    <row r="5969" spans="1:3">
      <c r="A5969" s="406">
        <f>Return!A1129</f>
        <v>44424</v>
      </c>
      <c r="B5969" s="408" t="s">
        <v>76</v>
      </c>
      <c r="C5969" s="409">
        <f>Return!O1129</f>
        <v>1.4039208180782747E-3</v>
      </c>
    </row>
    <row r="5970" spans="1:3">
      <c r="A5970" s="406">
        <f>Return!A1130</f>
        <v>44421</v>
      </c>
      <c r="B5970" s="408" t="s">
        <v>76</v>
      </c>
      <c r="C5970" s="409">
        <f>Return!O1130</f>
        <v>-1.3662123372007673E-2</v>
      </c>
    </row>
    <row r="5971" spans="1:3">
      <c r="A5971" s="406">
        <f>Return!A1131</f>
        <v>44420</v>
      </c>
      <c r="B5971" s="408" t="s">
        <v>76</v>
      </c>
      <c r="C5971" s="409">
        <f>Return!O1131</f>
        <v>1.7521102050110926E-4</v>
      </c>
    </row>
    <row r="5972" spans="1:3">
      <c r="A5972" s="406">
        <f>Return!A1132</f>
        <v>44419</v>
      </c>
      <c r="B5972" s="408" t="s">
        <v>76</v>
      </c>
      <c r="C5972" s="409">
        <f>Return!O1132</f>
        <v>-2.768109518732409E-3</v>
      </c>
    </row>
    <row r="5973" spans="1:3">
      <c r="A5973" s="406">
        <f>Return!A1133</f>
        <v>44418</v>
      </c>
      <c r="B5973" s="408" t="s">
        <v>76</v>
      </c>
      <c r="C5973" s="409">
        <f>Return!O1133</f>
        <v>-1.6743292336957039E-3</v>
      </c>
    </row>
    <row r="5974" spans="1:3">
      <c r="A5974" s="406">
        <f>Return!A1134</f>
        <v>44417</v>
      </c>
      <c r="B5974" s="408" t="s">
        <v>76</v>
      </c>
      <c r="C5974" s="409">
        <f>Return!O1134</f>
        <v>-1.3657524442370894E-3</v>
      </c>
    </row>
    <row r="5975" spans="1:3">
      <c r="A5975" s="406">
        <f>Return!A1135</f>
        <v>44414</v>
      </c>
      <c r="B5975" s="408" t="s">
        <v>76</v>
      </c>
      <c r="C5975" s="409">
        <f>Return!O1135</f>
        <v>-5.850358159725122E-3</v>
      </c>
    </row>
    <row r="5976" spans="1:3">
      <c r="A5976" s="406">
        <f>Return!A1136</f>
        <v>44413</v>
      </c>
      <c r="B5976" s="408" t="s">
        <v>76</v>
      </c>
      <c r="C5976" s="409">
        <f>Return!O1136</f>
        <v>7.6002818186355903E-3</v>
      </c>
    </row>
    <row r="5977" spans="1:3">
      <c r="A5977" s="406">
        <f>Return!A1137</f>
        <v>44412</v>
      </c>
      <c r="B5977" s="408" t="s">
        <v>76</v>
      </c>
      <c r="C5977" s="409">
        <f>Return!O1137</f>
        <v>4.450118335606712E-3</v>
      </c>
    </row>
    <row r="5978" spans="1:3">
      <c r="A5978" s="406">
        <f>Return!A1138</f>
        <v>44411</v>
      </c>
      <c r="B5978" s="408" t="s">
        <v>76</v>
      </c>
      <c r="C5978" s="409">
        <f>Return!O1138</f>
        <v>2.0666069305764312E-2</v>
      </c>
    </row>
    <row r="5979" spans="1:3">
      <c r="A5979" s="406">
        <f>Return!A1139</f>
        <v>44410</v>
      </c>
      <c r="B5979" s="408" t="s">
        <v>76</v>
      </c>
      <c r="C5979" s="409">
        <f>Return!O1139</f>
        <v>-6.1641674370216393E-4</v>
      </c>
    </row>
    <row r="5980" spans="1:3">
      <c r="A5980" s="406">
        <f>Return!A1140</f>
        <v>44407</v>
      </c>
      <c r="B5980" s="408" t="s">
        <v>76</v>
      </c>
      <c r="C5980" s="409">
        <f>Return!O1140</f>
        <v>-3.2447519732454744E-3</v>
      </c>
    </row>
    <row r="5981" spans="1:3">
      <c r="A5981" s="406">
        <f>Return!A1141</f>
        <v>44406</v>
      </c>
      <c r="B5981" s="408" t="s">
        <v>76</v>
      </c>
      <c r="C5981" s="409">
        <f>Return!O1141</f>
        <v>-2.8412583060862584E-2</v>
      </c>
    </row>
    <row r="5982" spans="1:3">
      <c r="A5982" s="406">
        <f>Return!A1142</f>
        <v>44405</v>
      </c>
      <c r="B5982" s="408" t="s">
        <v>76</v>
      </c>
      <c r="C5982" s="409">
        <f>Return!O1142</f>
        <v>3.1524858078446627E-3</v>
      </c>
    </row>
    <row r="5983" spans="1:3">
      <c r="A5983" s="406">
        <f>Return!A1143</f>
        <v>44404</v>
      </c>
      <c r="B5983" s="408" t="s">
        <v>76</v>
      </c>
      <c r="C5983" s="409">
        <f>Return!O1143</f>
        <v>-7.2193913776008589E-4</v>
      </c>
    </row>
    <row r="5984" spans="1:3">
      <c r="A5984" s="406">
        <f>Return!A1144</f>
        <v>44403</v>
      </c>
      <c r="B5984" s="408" t="s">
        <v>76</v>
      </c>
      <c r="C5984" s="409">
        <f>Return!O1144</f>
        <v>1.1495017956221654E-2</v>
      </c>
    </row>
    <row r="5985" spans="1:3">
      <c r="A5985" s="406">
        <f>Return!A1145</f>
        <v>44400</v>
      </c>
      <c r="B5985" s="408" t="s">
        <v>76</v>
      </c>
      <c r="C5985" s="409">
        <f>Return!O1145</f>
        <v>-1.1158134190911051E-2</v>
      </c>
    </row>
    <row r="5986" spans="1:3">
      <c r="A5986" s="406">
        <f>Return!A1146</f>
        <v>44399</v>
      </c>
      <c r="B5986" s="408" t="s">
        <v>76</v>
      </c>
      <c r="C5986" s="409">
        <f>Return!O1146</f>
        <v>-3.5322187990238785E-4</v>
      </c>
    </row>
    <row r="5987" spans="1:3">
      <c r="A5987" s="406">
        <f>Return!A1147</f>
        <v>44397</v>
      </c>
      <c r="B5987" s="408" t="s">
        <v>76</v>
      </c>
      <c r="C5987" s="409">
        <f>Return!O1147</f>
        <v>1.2027038445947325E-2</v>
      </c>
    </row>
    <row r="5988" spans="1:3">
      <c r="A5988" s="406">
        <f>Return!A1148</f>
        <v>44396</v>
      </c>
      <c r="B5988" s="408" t="s">
        <v>76</v>
      </c>
      <c r="C5988" s="409">
        <f>Return!O1148</f>
        <v>-3.0916017051167977E-3</v>
      </c>
    </row>
    <row r="5989" spans="1:3">
      <c r="A5989" s="406">
        <f>Return!A1149</f>
        <v>44393</v>
      </c>
      <c r="B5989" s="408" t="s">
        <v>76</v>
      </c>
      <c r="C5989" s="409">
        <f>Return!O1149</f>
        <v>2.433693146861593E-3</v>
      </c>
    </row>
    <row r="5990" spans="1:3">
      <c r="A5990" s="406">
        <f>Return!A1150</f>
        <v>44392</v>
      </c>
      <c r="B5990" s="408" t="s">
        <v>76</v>
      </c>
      <c r="C5990" s="409">
        <f>Return!O1150</f>
        <v>6.3602499455652772E-3</v>
      </c>
    </row>
    <row r="5991" spans="1:3">
      <c r="A5991" s="406">
        <f>Return!A1151</f>
        <v>44391</v>
      </c>
      <c r="B5991" s="408" t="s">
        <v>76</v>
      </c>
      <c r="C5991" s="409">
        <f>Return!O1151</f>
        <v>5.0544113256423273E-4</v>
      </c>
    </row>
    <row r="5992" spans="1:3">
      <c r="A5992" s="406">
        <f>Return!A1152</f>
        <v>44390</v>
      </c>
      <c r="B5992" s="408" t="s">
        <v>76</v>
      </c>
      <c r="C5992" s="409">
        <f>Return!O1152</f>
        <v>5.2031988783052263E-3</v>
      </c>
    </row>
    <row r="5993" spans="1:3">
      <c r="A5993" s="406">
        <f>Return!A1153</f>
        <v>44389</v>
      </c>
      <c r="B5993" s="408" t="s">
        <v>76</v>
      </c>
      <c r="C5993" s="409">
        <f>Return!O1153</f>
        <v>-9.4945955551186678E-3</v>
      </c>
    </row>
    <row r="5994" spans="1:3">
      <c r="A5994" s="406">
        <f>Return!A1154</f>
        <v>44386</v>
      </c>
      <c r="B5994" s="408" t="s">
        <v>76</v>
      </c>
      <c r="C5994" s="409">
        <f>Return!O1154</f>
        <v>1.8235915530113722E-3</v>
      </c>
    </row>
    <row r="5995" spans="1:3">
      <c r="A5995" s="406">
        <f>Return!A1155</f>
        <v>44385</v>
      </c>
      <c r="B5995" s="408" t="s">
        <v>76</v>
      </c>
      <c r="C5995" s="409">
        <f>Return!O1155</f>
        <v>-8.2766126584810085E-3</v>
      </c>
    </row>
    <row r="5996" spans="1:3">
      <c r="A5996" s="406">
        <f>Return!A1156</f>
        <v>44384</v>
      </c>
      <c r="B5996" s="408" t="s">
        <v>76</v>
      </c>
      <c r="C5996" s="409">
        <f>Return!O1156</f>
        <v>2.9949419535619803E-3</v>
      </c>
    </row>
    <row r="5997" spans="1:3">
      <c r="A5997" s="406">
        <f>Return!A1157</f>
        <v>44383</v>
      </c>
      <c r="B5997" s="408" t="s">
        <v>76</v>
      </c>
      <c r="C5997" s="409">
        <f>Return!O1157</f>
        <v>1.358706466681503E-2</v>
      </c>
    </row>
    <row r="5998" spans="1:3">
      <c r="A5998" s="406">
        <f>Return!A1158</f>
        <v>44382</v>
      </c>
      <c r="B5998" s="408" t="s">
        <v>76</v>
      </c>
      <c r="C5998" s="409">
        <f>Return!O1158</f>
        <v>2.6339410585070056E-3</v>
      </c>
    </row>
    <row r="5999" spans="1:3">
      <c r="A5999" s="406">
        <f>Return!A1159</f>
        <v>44379</v>
      </c>
      <c r="B5999" s="408" t="s">
        <v>76</v>
      </c>
      <c r="C5999" s="409">
        <f>Return!O1159</f>
        <v>2.1879412209551141E-3</v>
      </c>
    </row>
    <row r="6000" spans="1:3">
      <c r="A6000" s="406">
        <f>Return!A1160</f>
        <v>44378</v>
      </c>
      <c r="B6000" s="408" t="s">
        <v>76</v>
      </c>
      <c r="C6000" s="409">
        <f>Return!O1160</f>
        <v>7.6606019403453463E-3</v>
      </c>
    </row>
    <row r="6001" spans="1:3">
      <c r="A6001" s="406">
        <f>Return!A1161</f>
        <v>44377</v>
      </c>
      <c r="B6001" s="408" t="s">
        <v>76</v>
      </c>
      <c r="C6001" s="409">
        <f>Return!O1161</f>
        <v>1.4480194763800247E-2</v>
      </c>
    </row>
    <row r="6002" spans="1:3">
      <c r="A6002" s="406">
        <f>Return!A1162</f>
        <v>44376</v>
      </c>
      <c r="B6002" s="408" t="s">
        <v>76</v>
      </c>
      <c r="C6002" s="409">
        <f>Return!O1162</f>
        <v>9.1381327216466524E-3</v>
      </c>
    </row>
    <row r="6003" spans="1:3">
      <c r="A6003" s="406">
        <f>Return!A1163</f>
        <v>44375</v>
      </c>
      <c r="B6003" s="408" t="s">
        <v>76</v>
      </c>
      <c r="C6003" s="409">
        <f>Return!O1163</f>
        <v>-3.772811020905098E-3</v>
      </c>
    </row>
    <row r="6004" spans="1:3">
      <c r="A6004" s="406">
        <f>Return!A1164</f>
        <v>44372</v>
      </c>
      <c r="B6004" s="408" t="s">
        <v>76</v>
      </c>
      <c r="C6004" s="409">
        <f>Return!O1164</f>
        <v>-3.9681848117939511E-3</v>
      </c>
    </row>
    <row r="6005" spans="1:3">
      <c r="A6005" s="406">
        <f>Return!A1165</f>
        <v>44371</v>
      </c>
      <c r="B6005" s="408" t="s">
        <v>76</v>
      </c>
      <c r="C6005" s="409">
        <f>Return!O1165</f>
        <v>3.301404977765765E-3</v>
      </c>
    </row>
    <row r="6006" spans="1:3">
      <c r="A6006" s="406">
        <f>Return!A1166</f>
        <v>44370</v>
      </c>
      <c r="B6006" s="408" t="s">
        <v>76</v>
      </c>
      <c r="C6006" s="409">
        <f>Return!O1166</f>
        <v>2.1299666792853333E-3</v>
      </c>
    </row>
    <row r="6007" spans="1:3">
      <c r="A6007" s="406">
        <f>Return!A1167</f>
        <v>44369</v>
      </c>
      <c r="B6007" s="408" t="s">
        <v>76</v>
      </c>
      <c r="C6007" s="409">
        <f>Return!O1167</f>
        <v>-3.821480748692041E-3</v>
      </c>
    </row>
    <row r="6008" spans="1:3">
      <c r="A6008" s="406">
        <f>Return!A1168</f>
        <v>44368</v>
      </c>
      <c r="B6008" s="408" t="s">
        <v>76</v>
      </c>
      <c r="C6008" s="409">
        <f>Return!O1168</f>
        <v>-1.076438540884872E-2</v>
      </c>
    </row>
    <row r="6009" spans="1:3">
      <c r="A6009" s="406">
        <f>Return!A1169</f>
        <v>44365</v>
      </c>
      <c r="B6009" s="408" t="s">
        <v>76</v>
      </c>
      <c r="C6009" s="409">
        <f>Return!O1169</f>
        <v>-5.2651761782833706E-3</v>
      </c>
    </row>
    <row r="6010" spans="1:3">
      <c r="A6010" s="406">
        <f>Return!A1170</f>
        <v>44364</v>
      </c>
      <c r="B6010" s="408" t="s">
        <v>76</v>
      </c>
      <c r="C6010" s="409">
        <f>Return!O1170</f>
        <v>-5.4012177074125312E-3</v>
      </c>
    </row>
    <row r="6011" spans="1:3">
      <c r="A6011" s="406">
        <f>Return!A1171</f>
        <v>44363</v>
      </c>
      <c r="B6011" s="408" t="s">
        <v>76</v>
      </c>
      <c r="C6011" s="409">
        <f>Return!O1171</f>
        <v>-5.2593868079814365E-3</v>
      </c>
    </row>
    <row r="6012" spans="1:3">
      <c r="A6012" s="406">
        <f>Return!A1172</f>
        <v>44362</v>
      </c>
      <c r="B6012" s="408" t="s">
        <v>76</v>
      </c>
      <c r="C6012" s="409">
        <f>Return!O1172</f>
        <v>1.0921711421032931E-2</v>
      </c>
    </row>
    <row r="6013" spans="1:3">
      <c r="A6013" s="406">
        <f>Return!A1173</f>
        <v>44361</v>
      </c>
      <c r="B6013" s="408" t="s">
        <v>76</v>
      </c>
      <c r="C6013" s="409">
        <f>Return!O1173</f>
        <v>1.128577333183034E-2</v>
      </c>
    </row>
    <row r="6014" spans="1:3">
      <c r="A6014" s="406">
        <f>Return!A1174</f>
        <v>44358</v>
      </c>
      <c r="B6014" s="408" t="s">
        <v>76</v>
      </c>
      <c r="C6014" s="409">
        <f>Return!O1174</f>
        <v>-7.0320401542008915E-3</v>
      </c>
    </row>
    <row r="6015" spans="1:3">
      <c r="A6015" s="406">
        <f>Return!A1175</f>
        <v>44357</v>
      </c>
      <c r="B6015" s="408" t="s">
        <v>76</v>
      </c>
      <c r="C6015" s="409">
        <f>Return!O1175</f>
        <v>8.1755297935832694E-3</v>
      </c>
    </row>
    <row r="6016" spans="1:3">
      <c r="A6016" s="406">
        <f>Return!A1176</f>
        <v>44356</v>
      </c>
      <c r="B6016" s="408" t="s">
        <v>76</v>
      </c>
      <c r="C6016" s="409">
        <f>Return!O1176</f>
        <v>-2.9869524978980433E-3</v>
      </c>
    </row>
    <row r="6017" spans="1:3">
      <c r="A6017" s="406">
        <f>Return!A1177</f>
        <v>44355</v>
      </c>
      <c r="B6017" s="408" t="s">
        <v>76</v>
      </c>
      <c r="C6017" s="409">
        <f>Return!O1177</f>
        <v>-1.3953488372092648E-3</v>
      </c>
    </row>
    <row r="6018" spans="1:3">
      <c r="A6018" s="406">
        <f>Return!A1178</f>
        <v>44354</v>
      </c>
      <c r="B6018" s="408" t="s">
        <v>76</v>
      </c>
      <c r="C6018" s="409">
        <f>Return!O1178</f>
        <v>7.362710831646524E-4</v>
      </c>
    </row>
    <row r="6019" spans="1:3">
      <c r="A6019" s="406">
        <f>Return!A1179</f>
        <v>44351</v>
      </c>
      <c r="B6019" s="408" t="s">
        <v>76</v>
      </c>
      <c r="C6019" s="409">
        <f>Return!O1179</f>
        <v>9.2028818994669415E-3</v>
      </c>
    </row>
    <row r="6020" spans="1:3">
      <c r="A6020" s="406">
        <f>Return!A1180</f>
        <v>44350</v>
      </c>
      <c r="B6020" s="408" t="s">
        <v>76</v>
      </c>
      <c r="C6020" s="409">
        <f>Return!O1180</f>
        <v>3.7987499438658645E-3</v>
      </c>
    </row>
    <row r="6021" spans="1:3">
      <c r="A6021" s="406">
        <f>Return!A1181</f>
        <v>44349</v>
      </c>
      <c r="B6021" s="408" t="s">
        <v>76</v>
      </c>
      <c r="C6021" s="409">
        <f>Return!O1181</f>
        <v>1.2647175682105605E-3</v>
      </c>
    </row>
    <row r="6022" spans="1:3">
      <c r="A6022" s="406">
        <f>Return!A1182</f>
        <v>44348</v>
      </c>
      <c r="B6022" s="408" t="s">
        <v>76</v>
      </c>
      <c r="C6022" s="409">
        <f>Return!O1182</f>
        <v>-1.026631906179043E-2</v>
      </c>
    </row>
    <row r="6023" spans="1:3">
      <c r="A6023" s="406">
        <f>Return!A1183</f>
        <v>44347</v>
      </c>
      <c r="B6023" s="408" t="s">
        <v>76</v>
      </c>
      <c r="C6023" s="409">
        <f>Return!O1183</f>
        <v>-4.1248920248848631E-4</v>
      </c>
    </row>
    <row r="6024" spans="1:3">
      <c r="A6024" s="406">
        <f>Return!A1184</f>
        <v>44344</v>
      </c>
      <c r="B6024" s="408" t="s">
        <v>76</v>
      </c>
      <c r="C6024" s="409">
        <f>Return!O1184</f>
        <v>2.1329029972900759E-3</v>
      </c>
    </row>
    <row r="6025" spans="1:3">
      <c r="A6025" s="406">
        <f>Return!A1185</f>
        <v>44343</v>
      </c>
      <c r="B6025" s="408" t="s">
        <v>76</v>
      </c>
      <c r="C6025" s="409">
        <f>Return!O1185</f>
        <v>5.8878940114204248E-4</v>
      </c>
    </row>
    <row r="6026" spans="1:3">
      <c r="A6026" s="406">
        <f>Return!A1186</f>
        <v>44342</v>
      </c>
      <c r="B6026" s="408" t="s">
        <v>76</v>
      </c>
      <c r="C6026" s="409">
        <f>Return!O1186</f>
        <v>5.155233756509725E-3</v>
      </c>
    </row>
    <row r="6027" spans="1:3">
      <c r="A6027" s="406">
        <f>Return!A1187</f>
        <v>44341</v>
      </c>
      <c r="B6027" s="408" t="s">
        <v>76</v>
      </c>
      <c r="C6027" s="409">
        <f>Return!O1187</f>
        <v>5.4365220684027271E-3</v>
      </c>
    </row>
    <row r="6028" spans="1:3">
      <c r="A6028" s="406">
        <f>Return!A1188</f>
        <v>44340</v>
      </c>
      <c r="B6028" s="408" t="s">
        <v>76</v>
      </c>
      <c r="C6028" s="409">
        <f>Return!O1188</f>
        <v>-3.2795630408072318E-3</v>
      </c>
    </row>
    <row r="6029" spans="1:3">
      <c r="A6029" s="406">
        <f>Return!A1189</f>
        <v>44337</v>
      </c>
      <c r="B6029" s="408" t="s">
        <v>76</v>
      </c>
      <c r="C6029" s="409">
        <f>Return!O1189</f>
        <v>1.4552380447196755E-2</v>
      </c>
    </row>
    <row r="6030" spans="1:3">
      <c r="A6030" s="406">
        <f>Return!A1190</f>
        <v>44336</v>
      </c>
      <c r="B6030" s="408" t="s">
        <v>76</v>
      </c>
      <c r="C6030" s="409">
        <f>Return!O1190</f>
        <v>-1.4419347781402525E-4</v>
      </c>
    </row>
    <row r="6031" spans="1:3">
      <c r="A6031" s="406">
        <f>Return!A1191</f>
        <v>44335</v>
      </c>
      <c r="B6031" s="408" t="s">
        <v>76</v>
      </c>
      <c r="C6031" s="409">
        <f>Return!O1191</f>
        <v>-2.4150717044313375E-4</v>
      </c>
    </row>
    <row r="6032" spans="1:3">
      <c r="A6032" s="406">
        <f>Return!A1192</f>
        <v>44334</v>
      </c>
      <c r="B6032" s="408" t="s">
        <v>76</v>
      </c>
      <c r="C6032" s="409">
        <f>Return!O1192</f>
        <v>-1.110516665328487E-2</v>
      </c>
    </row>
    <row r="6033" spans="1:3">
      <c r="A6033" s="406">
        <f>Return!A1193</f>
        <v>44333</v>
      </c>
      <c r="B6033" s="408" t="s">
        <v>76</v>
      </c>
      <c r="C6033" s="409">
        <f>Return!O1193</f>
        <v>-1.3630889264160118E-3</v>
      </c>
    </row>
    <row r="6034" spans="1:3">
      <c r="A6034" s="406">
        <f>Return!A1194</f>
        <v>44330</v>
      </c>
      <c r="B6034" s="408" t="s">
        <v>76</v>
      </c>
      <c r="C6034" s="409">
        <f>Return!O1194</f>
        <v>-3.102702385263667E-3</v>
      </c>
    </row>
    <row r="6035" spans="1:3">
      <c r="A6035" s="406">
        <f>Return!A1195</f>
        <v>44328</v>
      </c>
      <c r="B6035" s="408" t="s">
        <v>76</v>
      </c>
      <c r="C6035" s="409">
        <f>Return!O1195</f>
        <v>2.5130165982008013E-2</v>
      </c>
    </row>
    <row r="6036" spans="1:3">
      <c r="A6036" s="406">
        <f>Return!A1196</f>
        <v>44327</v>
      </c>
      <c r="B6036" s="408" t="s">
        <v>76</v>
      </c>
      <c r="C6036" s="409">
        <f>Return!O1196</f>
        <v>6.2833515447335841E-4</v>
      </c>
    </row>
    <row r="6037" spans="1:3">
      <c r="A6037" s="406">
        <f>Return!A1197</f>
        <v>44326</v>
      </c>
      <c r="B6037" s="408" t="s">
        <v>76</v>
      </c>
      <c r="C6037" s="409">
        <f>Return!O1197</f>
        <v>1.0309960460337386E-3</v>
      </c>
    </row>
    <row r="6038" spans="1:3">
      <c r="A6038" s="406">
        <f>Return!A1198</f>
        <v>44323</v>
      </c>
      <c r="B6038" s="408" t="s">
        <v>76</v>
      </c>
      <c r="C6038" s="409">
        <f>Return!O1198</f>
        <v>3.7345140970098889E-2</v>
      </c>
    </row>
    <row r="6039" spans="1:3">
      <c r="A6039" s="406">
        <f>Return!A1199</f>
        <v>44322</v>
      </c>
      <c r="B6039" s="408" t="s">
        <v>76</v>
      </c>
      <c r="C6039" s="409">
        <f>Return!O1199</f>
        <v>-1.6967254347824201E-2</v>
      </c>
    </row>
    <row r="6040" spans="1:3">
      <c r="A6040" s="406">
        <f>Return!A1200</f>
        <v>44321</v>
      </c>
      <c r="B6040" s="408" t="s">
        <v>76</v>
      </c>
      <c r="C6040" s="409">
        <f>Return!O1200</f>
        <v>4.0363035794217517E-3</v>
      </c>
    </row>
    <row r="6041" spans="1:3">
      <c r="A6041" s="406">
        <f>Return!A1201</f>
        <v>44320</v>
      </c>
      <c r="B6041" s="408" t="s">
        <v>76</v>
      </c>
      <c r="C6041" s="409">
        <f>Return!O1201</f>
        <v>9.778564396258238E-3</v>
      </c>
    </row>
    <row r="6042" spans="1:3">
      <c r="A6042" s="406">
        <f>Return!A1202</f>
        <v>44319</v>
      </c>
      <c r="B6042" s="408" t="s">
        <v>76</v>
      </c>
      <c r="C6042" s="409">
        <f>Return!O1202</f>
        <v>2.6901967355590362E-3</v>
      </c>
    </row>
    <row r="6043" spans="1:3">
      <c r="A6043" s="406">
        <f>Return!A1203</f>
        <v>44316</v>
      </c>
      <c r="B6043" s="408" t="s">
        <v>76</v>
      </c>
      <c r="C6043" s="409">
        <f>Return!O1203</f>
        <v>-9.9832990076120787E-4</v>
      </c>
    </row>
    <row r="6044" spans="1:3">
      <c r="A6044" s="406">
        <f>Return!A1204</f>
        <v>44315</v>
      </c>
      <c r="B6044" s="408" t="s">
        <v>76</v>
      </c>
      <c r="C6044" s="409">
        <f>Return!O1204</f>
        <v>5.8272831486434473E-3</v>
      </c>
    </row>
    <row r="6045" spans="1:3">
      <c r="A6045" s="406">
        <f>Return!A1205</f>
        <v>44314</v>
      </c>
      <c r="B6045" s="408" t="s">
        <v>76</v>
      </c>
      <c r="C6045" s="409">
        <f>Return!O1205</f>
        <v>-4.3712272920930495E-3</v>
      </c>
    </row>
    <row r="6046" spans="1:3">
      <c r="A6046" s="406">
        <f>Return!A1206</f>
        <v>44313</v>
      </c>
      <c r="B6046" s="408" t="s">
        <v>76</v>
      </c>
      <c r="C6046" s="409">
        <f>Return!O1206</f>
        <v>-2.819752384945029E-3</v>
      </c>
    </row>
    <row r="6047" spans="1:3">
      <c r="A6047" s="406">
        <f>Return!A1207</f>
        <v>44312</v>
      </c>
      <c r="B6047" s="408" t="s">
        <v>76</v>
      </c>
      <c r="C6047" s="409">
        <f>Return!O1207</f>
        <v>1.4047008689717089E-3</v>
      </c>
    </row>
    <row r="6048" spans="1:3">
      <c r="A6048" s="406">
        <f>Return!A1208</f>
        <v>44309</v>
      </c>
      <c r="B6048" s="408" t="s">
        <v>76</v>
      </c>
      <c r="C6048" s="409">
        <f>Return!O1208</f>
        <v>1.329777299655599E-2</v>
      </c>
    </row>
    <row r="6049" spans="1:3">
      <c r="A6049" s="406">
        <f>Return!A1209</f>
        <v>44308</v>
      </c>
      <c r="B6049" s="408" t="s">
        <v>76</v>
      </c>
      <c r="C6049" s="409">
        <f>Return!O1209</f>
        <v>5.3333404020416975E-3</v>
      </c>
    </row>
    <row r="6050" spans="1:3">
      <c r="A6050" s="406">
        <f>Return!A1210</f>
        <v>44306</v>
      </c>
      <c r="B6050" s="408" t="s">
        <v>76</v>
      </c>
      <c r="C6050" s="409">
        <f>Return!O1210</f>
        <v>1.79658734752417E-2</v>
      </c>
    </row>
    <row r="6051" spans="1:3">
      <c r="A6051" s="406">
        <f>Return!A1211</f>
        <v>44305</v>
      </c>
      <c r="B6051" s="408" t="s">
        <v>76</v>
      </c>
      <c r="C6051" s="409">
        <f>Return!O1211</f>
        <v>8.1374645731480122E-3</v>
      </c>
    </row>
    <row r="6052" spans="1:3">
      <c r="A6052" s="406">
        <f>Return!A2</f>
        <v>46080</v>
      </c>
      <c r="B6052" s="408" t="s">
        <v>77</v>
      </c>
      <c r="C6052" s="409">
        <f>Return!P2</f>
        <v>-8.8691148442656687E-3</v>
      </c>
    </row>
    <row r="6053" spans="1:3">
      <c r="A6053" s="406">
        <f>Return!A3</f>
        <v>46079</v>
      </c>
      <c r="B6053" s="408" t="s">
        <v>77</v>
      </c>
      <c r="C6053" s="409">
        <f>Return!P3</f>
        <v>7.8702501289948934E-3</v>
      </c>
    </row>
    <row r="6054" spans="1:3">
      <c r="A6054" s="406">
        <f>Return!A4</f>
        <v>46078</v>
      </c>
      <c r="B6054" s="408" t="s">
        <v>77</v>
      </c>
      <c r="C6054" s="409">
        <f>Return!P4</f>
        <v>1.3631874622767715E-2</v>
      </c>
    </row>
    <row r="6055" spans="1:3">
      <c r="A6055" s="406">
        <f>Return!A5</f>
        <v>46077</v>
      </c>
      <c r="B6055" s="408" t="s">
        <v>77</v>
      </c>
      <c r="C6055" s="409">
        <f>Return!P5</f>
        <v>-2.375459526315904E-3</v>
      </c>
    </row>
    <row r="6056" spans="1:3">
      <c r="A6056" s="406">
        <f>Return!A6</f>
        <v>46076</v>
      </c>
      <c r="B6056" s="408" t="s">
        <v>77</v>
      </c>
      <c r="C6056" s="409">
        <f>Return!P6</f>
        <v>8.1770621781882546E-3</v>
      </c>
    </row>
    <row r="6057" spans="1:3">
      <c r="A6057" s="406">
        <f>Return!A7</f>
        <v>46073</v>
      </c>
      <c r="B6057" s="408" t="s">
        <v>77</v>
      </c>
      <c r="C6057" s="409">
        <f>Return!P7</f>
        <v>-2.6136182747860115E-4</v>
      </c>
    </row>
    <row r="6058" spans="1:3">
      <c r="A6058" s="406">
        <f>Return!A8</f>
        <v>46072</v>
      </c>
      <c r="B6058" s="408" t="s">
        <v>77</v>
      </c>
      <c r="C6058" s="409">
        <f>Return!P8</f>
        <v>-5.3610521718738813E-3</v>
      </c>
    </row>
    <row r="6059" spans="1:3">
      <c r="A6059" s="406">
        <f>Return!A9</f>
        <v>46071</v>
      </c>
      <c r="B6059" s="408" t="s">
        <v>77</v>
      </c>
      <c r="C6059" s="409">
        <f>Return!P9</f>
        <v>8.3559494008733637E-5</v>
      </c>
    </row>
    <row r="6060" spans="1:3">
      <c r="A6060" s="406">
        <f>Return!A10</f>
        <v>46070</v>
      </c>
      <c r="B6060" s="408" t="s">
        <v>77</v>
      </c>
      <c r="C6060" s="409">
        <f>Return!P10</f>
        <v>5.0446837276354461E-3</v>
      </c>
    </row>
    <row r="6061" spans="1:3">
      <c r="A6061" s="406">
        <f>Return!A11</f>
        <v>46069</v>
      </c>
      <c r="B6061" s="408" t="s">
        <v>77</v>
      </c>
      <c r="C6061" s="409">
        <f>Return!P11</f>
        <v>7.3962916876766371E-3</v>
      </c>
    </row>
    <row r="6062" spans="1:3">
      <c r="A6062" s="406">
        <f>Return!A12</f>
        <v>46066</v>
      </c>
      <c r="B6062" s="408" t="s">
        <v>77</v>
      </c>
      <c r="C6062" s="409">
        <f>Return!P12</f>
        <v>-7.9195986350092396E-3</v>
      </c>
    </row>
    <row r="6063" spans="1:3">
      <c r="A6063" s="406">
        <f>Return!A13</f>
        <v>46065</v>
      </c>
      <c r="B6063" s="408" t="s">
        <v>77</v>
      </c>
      <c r="C6063" s="409">
        <f>Return!P13</f>
        <v>-6.1762988540069452E-3</v>
      </c>
    </row>
    <row r="6064" spans="1:3">
      <c r="A6064" s="406">
        <f>Return!A14</f>
        <v>46064</v>
      </c>
      <c r="B6064" s="408" t="s">
        <v>77</v>
      </c>
      <c r="C6064" s="409">
        <f>Return!P14</f>
        <v>9.8993815651735595E-3</v>
      </c>
    </row>
    <row r="6065" spans="1:3">
      <c r="A6065" s="406">
        <f>Return!A15</f>
        <v>46063</v>
      </c>
      <c r="B6065" s="408" t="s">
        <v>77</v>
      </c>
      <c r="C6065" s="409">
        <f>Return!P15</f>
        <v>4.6918948174903274E-3</v>
      </c>
    </row>
    <row r="6066" spans="1:3">
      <c r="A6066" s="406">
        <f>Return!A16</f>
        <v>46062</v>
      </c>
      <c r="B6066" s="408" t="s">
        <v>77</v>
      </c>
      <c r="C6066" s="409">
        <f>Return!P16</f>
        <v>1.2577626695823518E-2</v>
      </c>
    </row>
    <row r="6067" spans="1:3">
      <c r="A6067" s="406">
        <f>Return!A17</f>
        <v>46059</v>
      </c>
      <c r="B6067" s="408" t="s">
        <v>77</v>
      </c>
      <c r="C6067" s="409">
        <f>Return!P17</f>
        <v>-1.6317403882707415E-3</v>
      </c>
    </row>
    <row r="6068" spans="1:3">
      <c r="A6068" s="406">
        <f>Return!A18</f>
        <v>46058</v>
      </c>
      <c r="B6068" s="408" t="s">
        <v>77</v>
      </c>
      <c r="C6068" s="409">
        <f>Return!P18</f>
        <v>8.880175027241588E-4</v>
      </c>
    </row>
    <row r="6069" spans="1:3">
      <c r="A6069" s="406">
        <f>Return!A19</f>
        <v>46057</v>
      </c>
      <c r="B6069" s="408" t="s">
        <v>77</v>
      </c>
      <c r="C6069" s="409">
        <f>Return!P19</f>
        <v>-3.3436750338032839E-3</v>
      </c>
    </row>
    <row r="6070" spans="1:3">
      <c r="A6070" s="406">
        <f>Return!A20</f>
        <v>46056</v>
      </c>
      <c r="B6070" s="408" t="s">
        <v>77</v>
      </c>
      <c r="C6070" s="409">
        <f>Return!P20</f>
        <v>2.7096874711093566E-2</v>
      </c>
    </row>
    <row r="6071" spans="1:3">
      <c r="A6071" s="406">
        <f>Return!A21</f>
        <v>46055</v>
      </c>
      <c r="B6071" s="408" t="s">
        <v>77</v>
      </c>
      <c r="C6071" s="409">
        <f>Return!P21</f>
        <v>-4.5900999834829204E-3</v>
      </c>
    </row>
    <row r="6072" spans="1:3">
      <c r="A6072" s="406">
        <f>Return!A22</f>
        <v>46054</v>
      </c>
      <c r="B6072" s="408" t="s">
        <v>77</v>
      </c>
      <c r="C6072" s="409">
        <f>Return!P22</f>
        <v>1.1551526904762133E-2</v>
      </c>
    </row>
    <row r="6073" spans="1:3">
      <c r="A6073" s="406">
        <f>Return!A23</f>
        <v>46052</v>
      </c>
      <c r="B6073" s="408" t="s">
        <v>77</v>
      </c>
      <c r="C6073" s="409">
        <f>Return!P23</f>
        <v>-1.0878542748490982E-2</v>
      </c>
    </row>
    <row r="6074" spans="1:3">
      <c r="A6074" s="406">
        <f>Return!A24</f>
        <v>46051</v>
      </c>
      <c r="B6074" s="408" t="s">
        <v>77</v>
      </c>
      <c r="C6074" s="409">
        <f>Return!P24</f>
        <v>1.9520729518809343E-3</v>
      </c>
    </row>
    <row r="6075" spans="1:3">
      <c r="A6075" s="406">
        <f>Return!A25</f>
        <v>46050</v>
      </c>
      <c r="B6075" s="408" t="s">
        <v>77</v>
      </c>
      <c r="C6075" s="409">
        <f>Return!P25</f>
        <v>4.2231267022585506E-4</v>
      </c>
    </row>
    <row r="6076" spans="1:3">
      <c r="A6076" s="406">
        <f>Return!A26</f>
        <v>46049</v>
      </c>
      <c r="B6076" s="408" t="s">
        <v>77</v>
      </c>
      <c r="C6076" s="409">
        <f>Return!P26</f>
        <v>-1.2239187446529076E-2</v>
      </c>
    </row>
    <row r="6077" spans="1:3">
      <c r="A6077" s="406">
        <f>Return!A27</f>
        <v>46045</v>
      </c>
      <c r="B6077" s="408" t="s">
        <v>77</v>
      </c>
      <c r="C6077" s="409">
        <f>Return!P27</f>
        <v>1.0851082070050921E-2</v>
      </c>
    </row>
    <row r="6078" spans="1:3">
      <c r="A6078" s="406">
        <f>Return!A28</f>
        <v>46044</v>
      </c>
      <c r="B6078" s="408" t="s">
        <v>77</v>
      </c>
      <c r="C6078" s="409">
        <f>Return!P28</f>
        <v>-3.4001296751098309E-3</v>
      </c>
    </row>
    <row r="6079" spans="1:3">
      <c r="A6079" s="406">
        <f>Return!A29</f>
        <v>46043</v>
      </c>
      <c r="B6079" s="408" t="s">
        <v>77</v>
      </c>
      <c r="C6079" s="409">
        <f>Return!P29</f>
        <v>-1.6985425905337137E-2</v>
      </c>
    </row>
    <row r="6080" spans="1:3">
      <c r="A6080" s="406">
        <f>Return!A30</f>
        <v>46042</v>
      </c>
      <c r="B6080" s="408" t="s">
        <v>77</v>
      </c>
      <c r="C6080" s="409">
        <f>Return!P30</f>
        <v>-7.3762874138616485E-3</v>
      </c>
    </row>
    <row r="6081" spans="1:3">
      <c r="A6081" s="406">
        <f>Return!A31</f>
        <v>46041</v>
      </c>
      <c r="B6081" s="408" t="s">
        <v>77</v>
      </c>
      <c r="C6081" s="409">
        <f>Return!P31</f>
        <v>-1.1073082556721681E-2</v>
      </c>
    </row>
    <row r="6082" spans="1:3">
      <c r="A6082" s="406">
        <f>Return!A32</f>
        <v>46038</v>
      </c>
      <c r="B6082" s="408" t="s">
        <v>77</v>
      </c>
      <c r="C6082" s="409">
        <f>Return!P32</f>
        <v>-3.0206178907806747E-3</v>
      </c>
    </row>
    <row r="6083" spans="1:3">
      <c r="A6083" s="406">
        <f>Return!A33</f>
        <v>46036</v>
      </c>
      <c r="B6083" s="408" t="s">
        <v>77</v>
      </c>
      <c r="C6083" s="409">
        <f>Return!P33</f>
        <v>-8.989347306915807E-4</v>
      </c>
    </row>
    <row r="6084" spans="1:3">
      <c r="A6084" s="406">
        <f>Return!A34</f>
        <v>46035</v>
      </c>
      <c r="B6084" s="408" t="s">
        <v>77</v>
      </c>
      <c r="C6084" s="409">
        <f>Return!P34</f>
        <v>-3.3743516675910357E-3</v>
      </c>
    </row>
    <row r="6085" spans="1:3">
      <c r="A6085" s="406">
        <f>Return!A35</f>
        <v>46034</v>
      </c>
      <c r="B6085" s="408" t="s">
        <v>77</v>
      </c>
      <c r="C6085" s="409">
        <f>Return!P35</f>
        <v>-6.9046934058194509E-3</v>
      </c>
    </row>
    <row r="6086" spans="1:3">
      <c r="A6086" s="406">
        <f>Return!A36</f>
        <v>46031</v>
      </c>
      <c r="B6086" s="408" t="s">
        <v>77</v>
      </c>
      <c r="C6086" s="409">
        <f>Return!P36</f>
        <v>-1.3667172966343899E-2</v>
      </c>
    </row>
    <row r="6087" spans="1:3">
      <c r="A6087" s="406">
        <f>Return!A37</f>
        <v>46030</v>
      </c>
      <c r="B6087" s="408" t="s">
        <v>77</v>
      </c>
      <c r="C6087" s="409">
        <f>Return!P37</f>
        <v>4.1593527344525594E-3</v>
      </c>
    </row>
    <row r="6088" spans="1:3">
      <c r="A6088" s="406">
        <f>Return!A38</f>
        <v>46029</v>
      </c>
      <c r="B6088" s="408" t="s">
        <v>77</v>
      </c>
      <c r="C6088" s="409">
        <f>Return!P38</f>
        <v>1.308614477746084E-2</v>
      </c>
    </row>
    <row r="6089" spans="1:3">
      <c r="A6089" s="406">
        <f>Return!A39</f>
        <v>46028</v>
      </c>
      <c r="B6089" s="408" t="s">
        <v>77</v>
      </c>
      <c r="C6089" s="409">
        <f>Return!P39</f>
        <v>-5.995136870632356E-4</v>
      </c>
    </row>
    <row r="6090" spans="1:3">
      <c r="A6090" s="406">
        <f>Return!A40</f>
        <v>46027</v>
      </c>
      <c r="B6090" s="408" t="s">
        <v>77</v>
      </c>
      <c r="C6090" s="409">
        <f>Return!P40</f>
        <v>6.0692748950452735E-3</v>
      </c>
    </row>
    <row r="6091" spans="1:3">
      <c r="A6091" s="406">
        <f>Return!A41</f>
        <v>46024</v>
      </c>
      <c r="B6091" s="408" t="s">
        <v>77</v>
      </c>
      <c r="C6091" s="409">
        <f>Return!P41</f>
        <v>-5.417532588556373E-4</v>
      </c>
    </row>
    <row r="6092" spans="1:3">
      <c r="A6092" s="406">
        <f>Return!A42</f>
        <v>46023</v>
      </c>
      <c r="B6092" s="408" t="s">
        <v>77</v>
      </c>
      <c r="C6092" s="409">
        <f>Return!P42</f>
        <v>8.9505007156114313E-3</v>
      </c>
    </row>
    <row r="6093" spans="1:3">
      <c r="A6093" s="406">
        <f>Return!A43</f>
        <v>46022</v>
      </c>
      <c r="B6093" s="408" t="s">
        <v>77</v>
      </c>
      <c r="C6093" s="409">
        <f>Return!P43</f>
        <v>-2.7255621173882805E-3</v>
      </c>
    </row>
    <row r="6094" spans="1:3">
      <c r="A6094" s="406">
        <f>Return!A44</f>
        <v>46021</v>
      </c>
      <c r="B6094" s="408" t="s">
        <v>77</v>
      </c>
      <c r="C6094" s="409">
        <f>Return!P44</f>
        <v>-5.4206972107250229E-3</v>
      </c>
    </row>
    <row r="6095" spans="1:3">
      <c r="A6095" s="406">
        <f>Return!A45</f>
        <v>46020</v>
      </c>
      <c r="B6095" s="408" t="s">
        <v>77</v>
      </c>
      <c r="C6095" s="409">
        <f>Return!P45</f>
        <v>-2.5111019119516964E-3</v>
      </c>
    </row>
    <row r="6096" spans="1:3">
      <c r="A6096" s="406">
        <f>Return!A46</f>
        <v>46017</v>
      </c>
      <c r="B6096" s="408" t="s">
        <v>77</v>
      </c>
      <c r="C6096" s="409">
        <f>Return!P46</f>
        <v>-2.5750534510993184E-3</v>
      </c>
    </row>
    <row r="6097" spans="1:3">
      <c r="A6097" s="406">
        <f>Return!A47</f>
        <v>46015</v>
      </c>
      <c r="B6097" s="408" t="s">
        <v>77</v>
      </c>
      <c r="C6097" s="409">
        <f>Return!P47</f>
        <v>-2.8930622781091486E-3</v>
      </c>
    </row>
    <row r="6098" spans="1:3">
      <c r="A6098" s="406">
        <f>Return!A48</f>
        <v>46014</v>
      </c>
      <c r="B6098" s="408" t="s">
        <v>77</v>
      </c>
      <c r="C6098" s="409">
        <f>Return!P48</f>
        <v>6.30122484660256E-3</v>
      </c>
    </row>
    <row r="6099" spans="1:3">
      <c r="A6099" s="406">
        <f>Return!A49</f>
        <v>46013</v>
      </c>
      <c r="B6099" s="408" t="s">
        <v>77</v>
      </c>
      <c r="C6099" s="409">
        <f>Return!P49</f>
        <v>7.8957817596168045E-3</v>
      </c>
    </row>
    <row r="6100" spans="1:3">
      <c r="A6100" s="406">
        <f>Return!A50</f>
        <v>46010</v>
      </c>
      <c r="B6100" s="408" t="s">
        <v>77</v>
      </c>
      <c r="C6100" s="409">
        <f>Return!P50</f>
        <v>-1.7000646366798211E-3</v>
      </c>
    </row>
    <row r="6101" spans="1:3">
      <c r="A6101" s="406">
        <f>Return!A51</f>
        <v>46009</v>
      </c>
      <c r="B6101" s="408" t="s">
        <v>77</v>
      </c>
      <c r="C6101" s="409">
        <f>Return!P51</f>
        <v>-3.4371402065237477E-3</v>
      </c>
    </row>
    <row r="6102" spans="1:3">
      <c r="A6102" s="406">
        <f>Return!A52</f>
        <v>46008</v>
      </c>
      <c r="B6102" s="408" t="s">
        <v>77</v>
      </c>
      <c r="C6102" s="409">
        <f>Return!P52</f>
        <v>-4.3434477985453412E-3</v>
      </c>
    </row>
    <row r="6103" spans="1:3">
      <c r="A6103" s="406">
        <f>Return!A53</f>
        <v>46007</v>
      </c>
      <c r="B6103" s="408" t="s">
        <v>77</v>
      </c>
      <c r="C6103" s="409">
        <f>Return!P53</f>
        <v>-3.0778567939789836E-3</v>
      </c>
    </row>
    <row r="6104" spans="1:3">
      <c r="A6104" s="406">
        <f>Return!A54</f>
        <v>46006</v>
      </c>
      <c r="B6104" s="408" t="s">
        <v>77</v>
      </c>
      <c r="C6104" s="409">
        <f>Return!P54</f>
        <v>8.8410735808919227E-4</v>
      </c>
    </row>
    <row r="6105" spans="1:3">
      <c r="A6105" s="406">
        <f>Return!A55</f>
        <v>46003</v>
      </c>
      <c r="B6105" s="408" t="s">
        <v>77</v>
      </c>
      <c r="C6105" s="409">
        <f>Return!P55</f>
        <v>8.595758878358728E-3</v>
      </c>
    </row>
    <row r="6106" spans="1:3">
      <c r="A6106" s="406">
        <f>Return!A56</f>
        <v>46002</v>
      </c>
      <c r="B6106" s="408" t="s">
        <v>77</v>
      </c>
      <c r="C6106" s="409">
        <f>Return!P56</f>
        <v>-8.2074609569171564E-4</v>
      </c>
    </row>
    <row r="6107" spans="1:3">
      <c r="A6107" s="406">
        <f>Return!A57</f>
        <v>46001</v>
      </c>
      <c r="B6107" s="408" t="s">
        <v>77</v>
      </c>
      <c r="C6107" s="409">
        <f>Return!P57</f>
        <v>-2.9780362369274949E-3</v>
      </c>
    </row>
    <row r="6108" spans="1:3">
      <c r="A6108" s="406">
        <f>Return!A58</f>
        <v>46000</v>
      </c>
      <c r="B6108" s="408" t="s">
        <v>77</v>
      </c>
      <c r="C6108" s="409">
        <f>Return!P58</f>
        <v>-1.0425429197592262E-2</v>
      </c>
    </row>
    <row r="6109" spans="1:3">
      <c r="A6109" s="406">
        <f>Return!A59</f>
        <v>45999</v>
      </c>
      <c r="B6109" s="408" t="s">
        <v>77</v>
      </c>
      <c r="C6109" s="409">
        <f>Return!P59</f>
        <v>-3.3285153430000491E-3</v>
      </c>
    </row>
    <row r="6110" spans="1:3">
      <c r="A6110" s="406">
        <f>Return!A60</f>
        <v>45996</v>
      </c>
      <c r="B6110" s="408" t="s">
        <v>77</v>
      </c>
      <c r="C6110" s="409">
        <f>Return!P60</f>
        <v>4.8469663719423739E-3</v>
      </c>
    </row>
    <row r="6111" spans="1:3">
      <c r="A6111" s="406">
        <f>Return!A61</f>
        <v>45995</v>
      </c>
      <c r="B6111" s="408" t="s">
        <v>77</v>
      </c>
      <c r="C6111" s="409">
        <f>Return!P61</f>
        <v>-1.9607441523964431E-3</v>
      </c>
    </row>
    <row r="6112" spans="1:3">
      <c r="A6112" s="406">
        <f>Return!A62</f>
        <v>45994</v>
      </c>
      <c r="B6112" s="408" t="s">
        <v>77</v>
      </c>
      <c r="C6112" s="409">
        <f>Return!P62</f>
        <v>-1.4723793251251172E-3</v>
      </c>
    </row>
    <row r="6113" spans="1:3">
      <c r="A6113" s="406">
        <f>Return!A63</f>
        <v>45993</v>
      </c>
      <c r="B6113" s="408" t="s">
        <v>77</v>
      </c>
      <c r="C6113" s="409">
        <f>Return!P63</f>
        <v>-7.1610154689566441E-3</v>
      </c>
    </row>
    <row r="6114" spans="1:3">
      <c r="A6114" s="406">
        <f>Return!A64</f>
        <v>45992</v>
      </c>
      <c r="B6114" s="408" t="s">
        <v>77</v>
      </c>
      <c r="C6114" s="409">
        <f>Return!P64</f>
        <v>4.8103466371751669E-3</v>
      </c>
    </row>
    <row r="6115" spans="1:3">
      <c r="A6115" s="406">
        <f>Return!A65</f>
        <v>45989</v>
      </c>
      <c r="B6115" s="408" t="s">
        <v>77</v>
      </c>
      <c r="C6115" s="409">
        <f>Return!P65</f>
        <v>-2.3069863405983382E-3</v>
      </c>
    </row>
    <row r="6116" spans="1:3">
      <c r="A6116" s="406">
        <f>Return!A66</f>
        <v>45988</v>
      </c>
      <c r="B6116" s="408" t="s">
        <v>77</v>
      </c>
      <c r="C6116" s="409">
        <f>Return!P66</f>
        <v>7.7369926645904918E-3</v>
      </c>
    </row>
    <row r="6117" spans="1:3">
      <c r="A6117" s="406">
        <f>Return!A67</f>
        <v>45987</v>
      </c>
      <c r="B6117" s="408" t="s">
        <v>77</v>
      </c>
      <c r="C6117" s="409">
        <f>Return!P67</f>
        <v>2.610829985623786E-3</v>
      </c>
    </row>
    <row r="6118" spans="1:3">
      <c r="A6118" s="406">
        <f>Return!A68</f>
        <v>45986</v>
      </c>
      <c r="B6118" s="408" t="s">
        <v>77</v>
      </c>
      <c r="C6118" s="409">
        <f>Return!P68</f>
        <v>-3.5699330874181534E-3</v>
      </c>
    </row>
    <row r="6119" spans="1:3">
      <c r="A6119" s="406">
        <f>Return!A69</f>
        <v>45985</v>
      </c>
      <c r="B6119" s="408" t="s">
        <v>77</v>
      </c>
      <c r="C6119" s="409">
        <f>Return!P69</f>
        <v>-4.0265769995928569E-3</v>
      </c>
    </row>
    <row r="6120" spans="1:3">
      <c r="A6120" s="406">
        <f>Return!A70</f>
        <v>45982</v>
      </c>
      <c r="B6120" s="408" t="s">
        <v>77</v>
      </c>
      <c r="C6120" s="409">
        <f>Return!P70</f>
        <v>-2.0953775684300346E-3</v>
      </c>
    </row>
    <row r="6121" spans="1:3">
      <c r="A6121" s="406">
        <f>Return!A71</f>
        <v>45981</v>
      </c>
      <c r="B6121" s="408" t="s">
        <v>77</v>
      </c>
      <c r="C6121" s="409">
        <f>Return!P71</f>
        <v>1.4932778295437821E-3</v>
      </c>
    </row>
    <row r="6122" spans="1:3">
      <c r="A6122" s="406">
        <f>Return!A72</f>
        <v>45980</v>
      </c>
      <c r="B6122" s="408" t="s">
        <v>77</v>
      </c>
      <c r="C6122" s="409">
        <f>Return!P72</f>
        <v>-6.4896197857403637E-3</v>
      </c>
    </row>
    <row r="6123" spans="1:3">
      <c r="A6123" s="406">
        <f>Return!A73</f>
        <v>45979</v>
      </c>
      <c r="B6123" s="408" t="s">
        <v>77</v>
      </c>
      <c r="C6123" s="409">
        <f>Return!P73</f>
        <v>3.8937603279565192E-3</v>
      </c>
    </row>
    <row r="6124" spans="1:3">
      <c r="A6124" s="406">
        <f>Return!A74</f>
        <v>45978</v>
      </c>
      <c r="B6124" s="408" t="s">
        <v>77</v>
      </c>
      <c r="C6124" s="409">
        <f>Return!P74</f>
        <v>3.4608529826953838E-3</v>
      </c>
    </row>
    <row r="6125" spans="1:3">
      <c r="A6125" s="406">
        <f>Return!A75</f>
        <v>45975</v>
      </c>
      <c r="B6125" s="408" t="s">
        <v>77</v>
      </c>
      <c r="C6125" s="409">
        <f>Return!P75</f>
        <v>4.6319045543989912E-3</v>
      </c>
    </row>
    <row r="6126" spans="1:3">
      <c r="A6126" s="406">
        <f>Return!A76</f>
        <v>45974</v>
      </c>
      <c r="B6126" s="408" t="s">
        <v>77</v>
      </c>
      <c r="C6126" s="409">
        <f>Return!P76</f>
        <v>8.308836042626E-3</v>
      </c>
    </row>
    <row r="6127" spans="1:3">
      <c r="A6127" s="406">
        <f>Return!A77</f>
        <v>45973</v>
      </c>
      <c r="B6127" s="408" t="s">
        <v>77</v>
      </c>
      <c r="C6127" s="409">
        <f>Return!P77</f>
        <v>-3.1228559193527961E-3</v>
      </c>
    </row>
    <row r="6128" spans="1:3">
      <c r="A6128" s="406">
        <f>Return!A78</f>
        <v>45972</v>
      </c>
      <c r="B6128" s="408" t="s">
        <v>77</v>
      </c>
      <c r="C6128" s="409">
        <f>Return!P78</f>
        <v>2.737746102824401E-3</v>
      </c>
    </row>
    <row r="6129" spans="1:3">
      <c r="A6129" s="406">
        <f>Return!A79</f>
        <v>45971</v>
      </c>
      <c r="B6129" s="408" t="s">
        <v>77</v>
      </c>
      <c r="C6129" s="409">
        <f>Return!P79</f>
        <v>-5.6547920273023466E-3</v>
      </c>
    </row>
    <row r="6130" spans="1:3">
      <c r="A6130" s="406">
        <f>Return!A80</f>
        <v>45968</v>
      </c>
      <c r="B6130" s="408" t="s">
        <v>77</v>
      </c>
      <c r="C6130" s="409">
        <f>Return!P80</f>
        <v>-6.562586421549943E-3</v>
      </c>
    </row>
    <row r="6131" spans="1:3">
      <c r="A6131" s="406">
        <f>Return!A81</f>
        <v>45967</v>
      </c>
      <c r="B6131" s="408" t="s">
        <v>77</v>
      </c>
      <c r="C6131" s="409">
        <f>Return!P81</f>
        <v>-2.865933732185022E-3</v>
      </c>
    </row>
    <row r="6132" spans="1:3">
      <c r="A6132" s="406">
        <f>Return!A82</f>
        <v>45965</v>
      </c>
      <c r="B6132" s="408" t="s">
        <v>77</v>
      </c>
      <c r="C6132" s="409">
        <f>Return!P82</f>
        <v>1.3455860402246778E-2</v>
      </c>
    </row>
    <row r="6133" spans="1:3">
      <c r="A6133" s="406">
        <f>Return!A83</f>
        <v>45964</v>
      </c>
      <c r="B6133" s="408" t="s">
        <v>77</v>
      </c>
      <c r="C6133" s="409">
        <f>Return!P83</f>
        <v>-3.0511570946638589E-3</v>
      </c>
    </row>
    <row r="6134" spans="1:3">
      <c r="A6134" s="406">
        <f>Return!A84</f>
        <v>45961</v>
      </c>
      <c r="B6134" s="408" t="s">
        <v>77</v>
      </c>
      <c r="C6134" s="409">
        <f>Return!P84</f>
        <v>-4.4586073495593848E-3</v>
      </c>
    </row>
    <row r="6135" spans="1:3">
      <c r="A6135" s="406">
        <f>Return!A85</f>
        <v>45960</v>
      </c>
      <c r="B6135" s="408" t="s">
        <v>77</v>
      </c>
      <c r="C6135" s="409">
        <f>Return!P85</f>
        <v>7.3042116011357017E-3</v>
      </c>
    </row>
    <row r="6136" spans="1:3">
      <c r="A6136" s="406">
        <f>Return!A86</f>
        <v>45959</v>
      </c>
      <c r="B6136" s="408" t="s">
        <v>77</v>
      </c>
      <c r="C6136" s="409">
        <f>Return!P86</f>
        <v>-2.0479213955528763E-3</v>
      </c>
    </row>
    <row r="6137" spans="1:3">
      <c r="A6137" s="406">
        <f>Return!A87</f>
        <v>45958</v>
      </c>
      <c r="B6137" s="408" t="s">
        <v>77</v>
      </c>
      <c r="C6137" s="409">
        <f>Return!P87</f>
        <v>-1.402801909943352E-3</v>
      </c>
    </row>
    <row r="6138" spans="1:3">
      <c r="A6138" s="406">
        <f>Return!A88</f>
        <v>45957</v>
      </c>
      <c r="B6138" s="408" t="s">
        <v>77</v>
      </c>
      <c r="C6138" s="409">
        <f>Return!P88</f>
        <v>-3.8539029880070297E-3</v>
      </c>
    </row>
    <row r="6139" spans="1:3">
      <c r="A6139" s="406">
        <f>Return!A89</f>
        <v>45954</v>
      </c>
      <c r="B6139" s="408" t="s">
        <v>77</v>
      </c>
      <c r="C6139" s="409">
        <f>Return!P89</f>
        <v>-1.7252346012373021E-3</v>
      </c>
    </row>
    <row r="6140" spans="1:3">
      <c r="A6140" s="406">
        <f>Return!A90</f>
        <v>45953</v>
      </c>
      <c r="B6140" s="408" t="s">
        <v>77</v>
      </c>
      <c r="C6140" s="409">
        <f>Return!P90</f>
        <v>6.298926483406353E-3</v>
      </c>
    </row>
    <row r="6141" spans="1:3">
      <c r="A6141" s="406">
        <f>Return!A91</f>
        <v>45951</v>
      </c>
      <c r="B6141" s="408" t="s">
        <v>77</v>
      </c>
      <c r="C6141" s="409">
        <f>Return!P91</f>
        <v>1.9682050846636656E-3</v>
      </c>
    </row>
    <row r="6142" spans="1:3">
      <c r="A6142" s="406">
        <f>Return!A92</f>
        <v>45950</v>
      </c>
      <c r="B6142" s="408" t="s">
        <v>77</v>
      </c>
      <c r="C6142" s="409">
        <f>Return!P92</f>
        <v>5.1375479828754678E-3</v>
      </c>
    </row>
    <row r="6143" spans="1:3">
      <c r="A6143" s="406">
        <f>Return!A93</f>
        <v>45947</v>
      </c>
      <c r="B6143" s="408" t="s">
        <v>77</v>
      </c>
      <c r="C6143" s="409">
        <f>Return!P93</f>
        <v>2.0022481382619972E-4</v>
      </c>
    </row>
    <row r="6144" spans="1:3">
      <c r="A6144" s="406">
        <f>Return!A94</f>
        <v>45946</v>
      </c>
      <c r="B6144" s="408" t="s">
        <v>77</v>
      </c>
      <c r="C6144" s="409">
        <f>Return!P94</f>
        <v>-5.7094518723628251E-3</v>
      </c>
    </row>
    <row r="6145" spans="1:3">
      <c r="A6145" s="406">
        <f>Return!A95</f>
        <v>45945</v>
      </c>
      <c r="B6145" s="408" t="s">
        <v>77</v>
      </c>
      <c r="C6145" s="409">
        <f>Return!P95</f>
        <v>9.6018022651023216E-4</v>
      </c>
    </row>
    <row r="6146" spans="1:3">
      <c r="A6146" s="406">
        <f>Return!A96</f>
        <v>45944</v>
      </c>
      <c r="B6146" s="408" t="s">
        <v>77</v>
      </c>
      <c r="C6146" s="409">
        <f>Return!P96</f>
        <v>1.026244073485949E-2</v>
      </c>
    </row>
    <row r="6147" spans="1:3">
      <c r="A6147" s="406">
        <f>Return!A97</f>
        <v>45943</v>
      </c>
      <c r="B6147" s="408" t="s">
        <v>77</v>
      </c>
      <c r="C6147" s="409">
        <f>Return!P97</f>
        <v>7.2611109441047539E-3</v>
      </c>
    </row>
    <row r="6148" spans="1:3">
      <c r="A6148" s="406">
        <f>Return!A98</f>
        <v>45940</v>
      </c>
      <c r="B6148" s="408" t="s">
        <v>77</v>
      </c>
      <c r="C6148" s="409">
        <f>Return!P98</f>
        <v>-4.8910531712634819E-3</v>
      </c>
    </row>
    <row r="6149" spans="1:3">
      <c r="A6149" s="406">
        <f>Return!A99</f>
        <v>45939</v>
      </c>
      <c r="B6149" s="408" t="s">
        <v>77</v>
      </c>
      <c r="C6149" s="409">
        <f>Return!P99</f>
        <v>2.6271159970296942E-3</v>
      </c>
    </row>
    <row r="6150" spans="1:3">
      <c r="A6150" s="406">
        <f>Return!A100</f>
        <v>45938</v>
      </c>
      <c r="B6150" s="408" t="s">
        <v>77</v>
      </c>
      <c r="C6150" s="409">
        <f>Return!P100</f>
        <v>4.3607830051917151E-3</v>
      </c>
    </row>
    <row r="6151" spans="1:3">
      <c r="A6151" s="406">
        <f>Return!A101</f>
        <v>45937</v>
      </c>
      <c r="B6151" s="408" t="s">
        <v>77</v>
      </c>
      <c r="C6151" s="409">
        <f>Return!P101</f>
        <v>3.1193761247749752E-3</v>
      </c>
    </row>
    <row r="6152" spans="1:3">
      <c r="A6152" s="406">
        <f>Return!A102</f>
        <v>45936</v>
      </c>
      <c r="B6152" s="408" t="s">
        <v>77</v>
      </c>
      <c r="C6152" s="409">
        <f>Return!P102</f>
        <v>1.0507660043699518E-2</v>
      </c>
    </row>
    <row r="6153" spans="1:3">
      <c r="A6153" s="406">
        <f>Return!A103</f>
        <v>45933</v>
      </c>
      <c r="B6153" s="408" t="s">
        <v>77</v>
      </c>
      <c r="C6153" s="409">
        <f>Return!P103</f>
        <v>-3.4782470916628894E-3</v>
      </c>
    </row>
    <row r="6154" spans="1:3">
      <c r="A6154" s="406">
        <f>Return!A104</f>
        <v>45931</v>
      </c>
      <c r="B6154" s="408" t="s">
        <v>77</v>
      </c>
      <c r="C6154" s="409">
        <f>Return!P104</f>
        <v>-6.8642737850244107E-4</v>
      </c>
    </row>
    <row r="6155" spans="1:3">
      <c r="A6155" s="406">
        <f>Return!A105</f>
        <v>45930</v>
      </c>
      <c r="B6155" s="408" t="s">
        <v>77</v>
      </c>
      <c r="C6155" s="409">
        <f>Return!P105</f>
        <v>-1.9697895981929725E-2</v>
      </c>
    </row>
    <row r="6156" spans="1:3">
      <c r="A6156" s="406">
        <f>Return!A106</f>
        <v>45929</v>
      </c>
      <c r="B6156" s="408" t="s">
        <v>77</v>
      </c>
      <c r="C6156" s="409">
        <f>Return!P106</f>
        <v>-8.0068952979589492E-3</v>
      </c>
    </row>
    <row r="6157" spans="1:3">
      <c r="A6157" s="406">
        <f>Return!A107</f>
        <v>45926</v>
      </c>
      <c r="B6157" s="408" t="s">
        <v>77</v>
      </c>
      <c r="C6157" s="409">
        <f>Return!P107</f>
        <v>-6.3020684367145474E-3</v>
      </c>
    </row>
    <row r="6158" spans="1:3">
      <c r="A6158" s="406">
        <f>Return!A108</f>
        <v>45925</v>
      </c>
      <c r="B6158" s="408" t="s">
        <v>77</v>
      </c>
      <c r="C6158" s="409">
        <f>Return!P108</f>
        <v>-3.9194149851855542E-3</v>
      </c>
    </row>
    <row r="6159" spans="1:3">
      <c r="A6159" s="406">
        <f>Return!A109</f>
        <v>45924</v>
      </c>
      <c r="B6159" s="408" t="s">
        <v>77</v>
      </c>
      <c r="C6159" s="409">
        <f>Return!P109</f>
        <v>-1.1850281714798738E-2</v>
      </c>
    </row>
    <row r="6160" spans="1:3">
      <c r="A6160" s="406">
        <f>Return!A110</f>
        <v>45923</v>
      </c>
      <c r="B6160" s="408" t="s">
        <v>77</v>
      </c>
      <c r="C6160" s="409">
        <f>Return!P110</f>
        <v>4.2040895309698456E-3</v>
      </c>
    </row>
    <row r="6161" spans="1:3">
      <c r="A6161" s="406">
        <f>Return!A111</f>
        <v>45922</v>
      </c>
      <c r="B6161" s="408" t="s">
        <v>77</v>
      </c>
      <c r="C6161" s="409">
        <f>Return!P111</f>
        <v>6.1410858980845973E-3</v>
      </c>
    </row>
    <row r="6162" spans="1:3">
      <c r="A6162" s="406">
        <f>Return!A112</f>
        <v>45919</v>
      </c>
      <c r="B6162" s="408" t="s">
        <v>77</v>
      </c>
      <c r="C6162" s="409">
        <f>Return!P112</f>
        <v>6.4571830971282829E-4</v>
      </c>
    </row>
    <row r="6163" spans="1:3">
      <c r="A6163" s="406">
        <f>Return!A113</f>
        <v>45918</v>
      </c>
      <c r="B6163" s="408" t="s">
        <v>77</v>
      </c>
      <c r="C6163" s="409">
        <f>Return!P113</f>
        <v>2.22237867348829E-3</v>
      </c>
    </row>
    <row r="6164" spans="1:3">
      <c r="A6164" s="406">
        <f>Return!A114</f>
        <v>45917</v>
      </c>
      <c r="B6164" s="408" t="s">
        <v>77</v>
      </c>
      <c r="C6164" s="409">
        <f>Return!P114</f>
        <v>-3.581326097996107E-3</v>
      </c>
    </row>
    <row r="6165" spans="1:3">
      <c r="A6165" s="406">
        <f>Return!A115</f>
        <v>45916</v>
      </c>
      <c r="B6165" s="408" t="s">
        <v>77</v>
      </c>
      <c r="C6165" s="409">
        <f>Return!P115</f>
        <v>3.5802758999070594E-3</v>
      </c>
    </row>
    <row r="6166" spans="1:3">
      <c r="A6166" s="406">
        <f>Return!A116</f>
        <v>45915</v>
      </c>
      <c r="B6166" s="408" t="s">
        <v>77</v>
      </c>
      <c r="C6166" s="409">
        <f>Return!P116</f>
        <v>3.4928997889434044E-3</v>
      </c>
    </row>
    <row r="6167" spans="1:3">
      <c r="A6167" s="406">
        <f>Return!A117</f>
        <v>45912</v>
      </c>
      <c r="B6167" s="408" t="s">
        <v>77</v>
      </c>
      <c r="C6167" s="409">
        <f>Return!P117</f>
        <v>3.6665573953156283E-3</v>
      </c>
    </row>
    <row r="6168" spans="1:3">
      <c r="A6168" s="406">
        <f>Return!A118</f>
        <v>45911</v>
      </c>
      <c r="B6168" s="408" t="s">
        <v>77</v>
      </c>
      <c r="C6168" s="409">
        <f>Return!P118</f>
        <v>2.7458228607135649E-3</v>
      </c>
    </row>
    <row r="6169" spans="1:3">
      <c r="A6169" s="406">
        <f>Return!A119</f>
        <v>45910</v>
      </c>
      <c r="B6169" s="408" t="s">
        <v>77</v>
      </c>
      <c r="C6169" s="409">
        <f>Return!P119</f>
        <v>-2.7346463874131643E-3</v>
      </c>
    </row>
    <row r="6170" spans="1:3">
      <c r="A6170" s="406">
        <f>Return!A120</f>
        <v>45909</v>
      </c>
      <c r="B6170" s="408" t="s">
        <v>77</v>
      </c>
      <c r="C6170" s="409">
        <f>Return!P120</f>
        <v>-4.1797837462360654E-3</v>
      </c>
    </row>
    <row r="6171" spans="1:3">
      <c r="A6171" s="406">
        <f>Return!A121</f>
        <v>45908</v>
      </c>
      <c r="B6171" s="408" t="s">
        <v>77</v>
      </c>
      <c r="C6171" s="409">
        <f>Return!P121</f>
        <v>2.8681186909980116E-3</v>
      </c>
    </row>
    <row r="6172" spans="1:3">
      <c r="A6172" s="406">
        <f>Return!A122</f>
        <v>45905</v>
      </c>
      <c r="B6172" s="408" t="s">
        <v>77</v>
      </c>
      <c r="C6172" s="409">
        <f>Return!P122</f>
        <v>1.1289257434509592E-2</v>
      </c>
    </row>
    <row r="6173" spans="1:3">
      <c r="A6173" s="406">
        <f>Return!A123</f>
        <v>45904</v>
      </c>
      <c r="B6173" s="408" t="s">
        <v>77</v>
      </c>
      <c r="C6173" s="409">
        <f>Return!P123</f>
        <v>-1.4249324786322903E-3</v>
      </c>
    </row>
    <row r="6174" spans="1:3">
      <c r="A6174" s="406">
        <f>Return!A124</f>
        <v>45903</v>
      </c>
      <c r="B6174" s="408" t="s">
        <v>77</v>
      </c>
      <c r="C6174" s="409">
        <f>Return!P124</f>
        <v>2.2580305193364847E-3</v>
      </c>
    </row>
    <row r="6175" spans="1:3">
      <c r="A6175" s="406">
        <f>Return!A125</f>
        <v>45902</v>
      </c>
      <c r="B6175" s="408" t="s">
        <v>77</v>
      </c>
      <c r="C6175" s="409">
        <f>Return!P125</f>
        <v>-6.2241992562361848E-4</v>
      </c>
    </row>
    <row r="6176" spans="1:3">
      <c r="A6176" s="406">
        <f>Return!A126</f>
        <v>45901</v>
      </c>
      <c r="B6176" s="408" t="s">
        <v>77</v>
      </c>
      <c r="C6176" s="409">
        <f>Return!P126</f>
        <v>-1.078257998322163E-2</v>
      </c>
    </row>
    <row r="6177" spans="1:3">
      <c r="A6177" s="406">
        <f>Return!A127</f>
        <v>45898</v>
      </c>
      <c r="B6177" s="408" t="s">
        <v>77</v>
      </c>
      <c r="C6177" s="409">
        <f>Return!P127</f>
        <v>-1.6347562345810474E-2</v>
      </c>
    </row>
    <row r="6178" spans="1:3">
      <c r="A6178" s="406">
        <f>Return!A128</f>
        <v>45897</v>
      </c>
      <c r="B6178" s="408" t="s">
        <v>77</v>
      </c>
      <c r="C6178" s="409">
        <f>Return!P128</f>
        <v>1.2871015000199826E-3</v>
      </c>
    </row>
    <row r="6179" spans="1:3">
      <c r="A6179" s="406">
        <f>Return!A129</f>
        <v>45895</v>
      </c>
      <c r="B6179" s="408" t="s">
        <v>77</v>
      </c>
      <c r="C6179" s="409">
        <f>Return!P129</f>
        <v>-2.4333496759576523E-4</v>
      </c>
    </row>
    <row r="6180" spans="1:3">
      <c r="A6180" s="406">
        <f>Return!A130</f>
        <v>45894</v>
      </c>
      <c r="B6180" s="408" t="s">
        <v>77</v>
      </c>
      <c r="C6180" s="409">
        <f>Return!P130</f>
        <v>5.0241371014303482E-3</v>
      </c>
    </row>
    <row r="6181" spans="1:3">
      <c r="A6181" s="406">
        <f>Return!A131</f>
        <v>45891</v>
      </c>
      <c r="B6181" s="408" t="s">
        <v>77</v>
      </c>
      <c r="C6181" s="409">
        <f>Return!P131</f>
        <v>-4.1716085020665483E-3</v>
      </c>
    </row>
    <row r="6182" spans="1:3">
      <c r="A6182" s="406">
        <f>Return!A132</f>
        <v>45890</v>
      </c>
      <c r="B6182" s="408" t="s">
        <v>77</v>
      </c>
      <c r="C6182" s="409">
        <f>Return!P132</f>
        <v>-1.3383496252896698E-3</v>
      </c>
    </row>
    <row r="6183" spans="1:3">
      <c r="A6183" s="406">
        <f>Return!A133</f>
        <v>45889</v>
      </c>
      <c r="B6183" s="408" t="s">
        <v>77</v>
      </c>
      <c r="C6183" s="409">
        <f>Return!P133</f>
        <v>5.4471471986965447E-3</v>
      </c>
    </row>
    <row r="6184" spans="1:3">
      <c r="A6184" s="406">
        <f>Return!A134</f>
        <v>45888</v>
      </c>
      <c r="B6184" s="408" t="s">
        <v>77</v>
      </c>
      <c r="C6184" s="409">
        <f>Return!P134</f>
        <v>2.5600058728119102E-3</v>
      </c>
    </row>
    <row r="6185" spans="1:3">
      <c r="A6185" s="406">
        <f>Return!A135</f>
        <v>45887</v>
      </c>
      <c r="B6185" s="408" t="s">
        <v>77</v>
      </c>
      <c r="C6185" s="409">
        <f>Return!P135</f>
        <v>1.9023117016288005E-2</v>
      </c>
    </row>
    <row r="6186" spans="1:3">
      <c r="A6186" s="406">
        <f>Return!A136</f>
        <v>45883</v>
      </c>
      <c r="B6186" s="408" t="s">
        <v>77</v>
      </c>
      <c r="C6186" s="409">
        <f>Return!P136</f>
        <v>3.0797034763376807E-3</v>
      </c>
    </row>
    <row r="6187" spans="1:3">
      <c r="A6187" s="406">
        <f>Return!A137</f>
        <v>45882</v>
      </c>
      <c r="B6187" s="408" t="s">
        <v>77</v>
      </c>
      <c r="C6187" s="409">
        <f>Return!P137</f>
        <v>1.026888623125366E-2</v>
      </c>
    </row>
    <row r="6188" spans="1:3">
      <c r="A6188" s="406">
        <f>Return!A138</f>
        <v>45881</v>
      </c>
      <c r="B6188" s="408" t="s">
        <v>77</v>
      </c>
      <c r="C6188" s="409">
        <f>Return!P138</f>
        <v>-8.7359973174541139E-3</v>
      </c>
    </row>
    <row r="6189" spans="1:3">
      <c r="A6189" s="406">
        <f>Return!A139</f>
        <v>45880</v>
      </c>
      <c r="B6189" s="408" t="s">
        <v>77</v>
      </c>
      <c r="C6189" s="409">
        <f>Return!P139</f>
        <v>4.4629736079286886E-3</v>
      </c>
    </row>
    <row r="6190" spans="1:3">
      <c r="A6190" s="406">
        <f>Return!A140</f>
        <v>45877</v>
      </c>
      <c r="B6190" s="408" t="s">
        <v>77</v>
      </c>
      <c r="C6190" s="409">
        <f>Return!P140</f>
        <v>-1.8362203177788472E-2</v>
      </c>
    </row>
    <row r="6191" spans="1:3">
      <c r="A6191" s="406">
        <f>Return!A141</f>
        <v>45876</v>
      </c>
      <c r="B6191" s="408" t="s">
        <v>77</v>
      </c>
      <c r="C6191" s="409">
        <f>Return!P141</f>
        <v>-7.5772211988072158E-3</v>
      </c>
    </row>
    <row r="6192" spans="1:3">
      <c r="A6192" s="406">
        <f>Return!A142</f>
        <v>45875</v>
      </c>
      <c r="B6192" s="408" t="s">
        <v>77</v>
      </c>
      <c r="C6192" s="409">
        <f>Return!P142</f>
        <v>1.3376991331783827E-3</v>
      </c>
    </row>
    <row r="6193" spans="1:3">
      <c r="A6193" s="406">
        <f>Return!A143</f>
        <v>45874</v>
      </c>
      <c r="B6193" s="408" t="s">
        <v>77</v>
      </c>
      <c r="C6193" s="409">
        <f>Return!P143</f>
        <v>-2.6313270923359555E-2</v>
      </c>
    </row>
    <row r="6194" spans="1:3">
      <c r="A6194" s="406">
        <f>Return!A144</f>
        <v>45873</v>
      </c>
      <c r="B6194" s="408" t="s">
        <v>77</v>
      </c>
      <c r="C6194" s="409">
        <f>Return!P144</f>
        <v>-1.1175995936366312E-2</v>
      </c>
    </row>
    <row r="6195" spans="1:3">
      <c r="A6195" s="406">
        <f>Return!A145</f>
        <v>45870</v>
      </c>
      <c r="B6195" s="408" t="s">
        <v>77</v>
      </c>
      <c r="C6195" s="409">
        <f>Return!P145</f>
        <v>2.3528465353794825E-3</v>
      </c>
    </row>
    <row r="6196" spans="1:3">
      <c r="A6196" s="406">
        <f>Return!A146</f>
        <v>45869</v>
      </c>
      <c r="B6196" s="408" t="s">
        <v>77</v>
      </c>
      <c r="C6196" s="409">
        <f>Return!P146</f>
        <v>1.1932421780133762E-2</v>
      </c>
    </row>
    <row r="6197" spans="1:3">
      <c r="A6197" s="406">
        <f>Return!A147</f>
        <v>45868</v>
      </c>
      <c r="B6197" s="408" t="s">
        <v>77</v>
      </c>
      <c r="C6197" s="409">
        <f>Return!P147</f>
        <v>-7.8493999750561816E-4</v>
      </c>
    </row>
    <row r="6198" spans="1:3">
      <c r="A6198" s="406">
        <f>Return!A148</f>
        <v>45867</v>
      </c>
      <c r="B6198" s="408" t="s">
        <v>77</v>
      </c>
      <c r="C6198" s="409">
        <f>Return!P148</f>
        <v>2.9968780254325811E-3</v>
      </c>
    </row>
    <row r="6199" spans="1:3">
      <c r="A6199" s="406">
        <f>Return!A149</f>
        <v>45866</v>
      </c>
      <c r="B6199" s="408" t="s">
        <v>77</v>
      </c>
      <c r="C6199" s="409">
        <f>Return!P149</f>
        <v>1.0976049818028244E-2</v>
      </c>
    </row>
    <row r="6200" spans="1:3">
      <c r="A6200" s="406">
        <f>Return!A150</f>
        <v>45863</v>
      </c>
      <c r="B6200" s="408" t="s">
        <v>77</v>
      </c>
      <c r="C6200" s="409">
        <f>Return!P150</f>
        <v>5.7489092799130059E-3</v>
      </c>
    </row>
    <row r="6201" spans="1:3">
      <c r="A6201" s="406">
        <f>Return!A151</f>
        <v>45862</v>
      </c>
      <c r="B6201" s="408" t="s">
        <v>77</v>
      </c>
      <c r="C6201" s="409">
        <f>Return!P151</f>
        <v>-5.5530291859282599E-3</v>
      </c>
    </row>
    <row r="6202" spans="1:3">
      <c r="A6202" s="406">
        <f>Return!A152</f>
        <v>45861</v>
      </c>
      <c r="B6202" s="408" t="s">
        <v>77</v>
      </c>
      <c r="C6202" s="409">
        <f>Return!P152</f>
        <v>-1.0160452045686608E-3</v>
      </c>
    </row>
    <row r="6203" spans="1:3">
      <c r="A6203" s="406">
        <f>Return!A153</f>
        <v>45860</v>
      </c>
      <c r="B6203" s="408" t="s">
        <v>77</v>
      </c>
      <c r="C6203" s="409">
        <f>Return!P153</f>
        <v>-6.363524391463149E-3</v>
      </c>
    </row>
    <row r="6204" spans="1:3">
      <c r="A6204" s="406">
        <f>Return!A154</f>
        <v>45859</v>
      </c>
      <c r="B6204" s="408" t="s">
        <v>77</v>
      </c>
      <c r="C6204" s="409">
        <f>Return!P154</f>
        <v>2.9921159873993464E-3</v>
      </c>
    </row>
    <row r="6205" spans="1:3">
      <c r="A6205" s="406">
        <f>Return!A155</f>
        <v>45856</v>
      </c>
      <c r="B6205" s="408" t="s">
        <v>77</v>
      </c>
      <c r="C6205" s="409">
        <f>Return!P155</f>
        <v>1.1892246176690158E-3</v>
      </c>
    </row>
    <row r="6206" spans="1:3">
      <c r="A6206" s="406">
        <f>Return!A156</f>
        <v>45855</v>
      </c>
      <c r="B6206" s="408" t="s">
        <v>77</v>
      </c>
      <c r="C6206" s="409">
        <f>Return!P156</f>
        <v>1.0253767240106626E-2</v>
      </c>
    </row>
    <row r="6207" spans="1:3">
      <c r="A6207" s="406">
        <f>Return!A157</f>
        <v>45854</v>
      </c>
      <c r="B6207" s="408" t="s">
        <v>77</v>
      </c>
      <c r="C6207" s="409">
        <f>Return!P157</f>
        <v>6.0474252694728836E-3</v>
      </c>
    </row>
    <row r="6208" spans="1:3">
      <c r="A6208" s="406">
        <f>Return!A158</f>
        <v>45853</v>
      </c>
      <c r="B6208" s="408" t="s">
        <v>77</v>
      </c>
      <c r="C6208" s="409">
        <f>Return!P158</f>
        <v>1.4133450036877271E-3</v>
      </c>
    </row>
    <row r="6209" spans="1:3">
      <c r="A6209" s="406">
        <f>Return!A159</f>
        <v>45852</v>
      </c>
      <c r="B6209" s="408" t="s">
        <v>77</v>
      </c>
      <c r="C6209" s="409">
        <f>Return!P159</f>
        <v>-8.2350660639987083E-3</v>
      </c>
    </row>
    <row r="6210" spans="1:3">
      <c r="A6210" s="406">
        <f>Return!A160</f>
        <v>45849</v>
      </c>
      <c r="B6210" s="408" t="s">
        <v>77</v>
      </c>
      <c r="C6210" s="409">
        <f>Return!P160</f>
        <v>2.8154667551745227E-3</v>
      </c>
    </row>
    <row r="6211" spans="1:3">
      <c r="A6211" s="406">
        <f>Return!A161</f>
        <v>45848</v>
      </c>
      <c r="B6211" s="408" t="s">
        <v>77</v>
      </c>
      <c r="C6211" s="409">
        <f>Return!P161</f>
        <v>-8.3615030723903638E-3</v>
      </c>
    </row>
    <row r="6212" spans="1:3">
      <c r="A6212" s="406">
        <f>Return!A162</f>
        <v>45847</v>
      </c>
      <c r="B6212" s="408" t="s">
        <v>77</v>
      </c>
      <c r="C6212" s="409">
        <f>Return!P162</f>
        <v>-8.8463327234744593E-4</v>
      </c>
    </row>
    <row r="6213" spans="1:3">
      <c r="A6213" s="406">
        <f>Return!A163</f>
        <v>45846</v>
      </c>
      <c r="B6213" s="408" t="s">
        <v>77</v>
      </c>
      <c r="C6213" s="409">
        <f>Return!P163</f>
        <v>5.5865815618274528E-3</v>
      </c>
    </row>
    <row r="6214" spans="1:3">
      <c r="A6214" s="406">
        <f>Return!A164</f>
        <v>45845</v>
      </c>
      <c r="B6214" s="408" t="s">
        <v>77</v>
      </c>
      <c r="C6214" s="409">
        <f>Return!P164</f>
        <v>5.3880966835067046E-3</v>
      </c>
    </row>
    <row r="6215" spans="1:3">
      <c r="A6215" s="406">
        <f>Return!A165</f>
        <v>45842</v>
      </c>
      <c r="B6215" s="408" t="s">
        <v>77</v>
      </c>
      <c r="C6215" s="409">
        <f>Return!P165</f>
        <v>-5.9785656962618727E-4</v>
      </c>
    </row>
    <row r="6216" spans="1:3">
      <c r="A6216" s="406">
        <f>Return!A166</f>
        <v>45841</v>
      </c>
      <c r="B6216" s="408" t="s">
        <v>77</v>
      </c>
      <c r="C6216" s="409">
        <f>Return!P166</f>
        <v>-2.8628461457772536E-3</v>
      </c>
    </row>
    <row r="6217" spans="1:3">
      <c r="A6217" s="406">
        <f>Return!A167</f>
        <v>45840</v>
      </c>
      <c r="B6217" s="408" t="s">
        <v>77</v>
      </c>
      <c r="C6217" s="409">
        <f>Return!P167</f>
        <v>2.0057049157808926E-3</v>
      </c>
    </row>
    <row r="6218" spans="1:3">
      <c r="A6218" s="406">
        <f>Return!A168</f>
        <v>45839</v>
      </c>
      <c r="B6218" s="408" t="s">
        <v>77</v>
      </c>
      <c r="C6218" s="409">
        <f>Return!P168</f>
        <v>1.0734848454302615E-2</v>
      </c>
    </row>
    <row r="6219" spans="1:3">
      <c r="A6219" s="406">
        <f>Return!A169</f>
        <v>45838</v>
      </c>
      <c r="B6219" s="408" t="s">
        <v>77</v>
      </c>
      <c r="C6219" s="409">
        <f>Return!P169</f>
        <v>2.633875951034037E-3</v>
      </c>
    </row>
    <row r="6220" spans="1:3">
      <c r="A6220" s="406">
        <f>Return!A170</f>
        <v>45835</v>
      </c>
      <c r="B6220" s="408" t="s">
        <v>77</v>
      </c>
      <c r="C6220" s="409">
        <f>Return!P170</f>
        <v>9.7131936867256297E-3</v>
      </c>
    </row>
    <row r="6221" spans="1:3">
      <c r="A6221" s="406">
        <f>Return!A171</f>
        <v>45834</v>
      </c>
      <c r="B6221" s="408" t="s">
        <v>77</v>
      </c>
      <c r="C6221" s="409">
        <f>Return!P171</f>
        <v>1.284079370534652E-3</v>
      </c>
    </row>
    <row r="6222" spans="1:3">
      <c r="A6222" s="406">
        <f>Return!A172</f>
        <v>45833</v>
      </c>
      <c r="B6222" s="408" t="s">
        <v>77</v>
      </c>
      <c r="C6222" s="409">
        <f>Return!P172</f>
        <v>-1.9714484044852654E-3</v>
      </c>
    </row>
    <row r="6223" spans="1:3">
      <c r="A6223" s="406">
        <f>Return!A173</f>
        <v>45832</v>
      </c>
      <c r="B6223" s="408" t="s">
        <v>77</v>
      </c>
      <c r="C6223" s="409">
        <f>Return!P173</f>
        <v>8.8027233498046975E-3</v>
      </c>
    </row>
    <row r="6224" spans="1:3">
      <c r="A6224" s="406">
        <f>Return!A174</f>
        <v>45831</v>
      </c>
      <c r="B6224" s="408" t="s">
        <v>77</v>
      </c>
      <c r="C6224" s="409">
        <f>Return!P174</f>
        <v>-8.0746547521185486E-3</v>
      </c>
    </row>
    <row r="6225" spans="1:3">
      <c r="A6225" s="406">
        <f>Return!A175</f>
        <v>45828</v>
      </c>
      <c r="B6225" s="408" t="s">
        <v>77</v>
      </c>
      <c r="C6225" s="409">
        <f>Return!P175</f>
        <v>-1.9004446179546886E-3</v>
      </c>
    </row>
    <row r="6226" spans="1:3">
      <c r="A6226" s="406">
        <f>Return!A176</f>
        <v>45827</v>
      </c>
      <c r="B6226" s="408" t="s">
        <v>77</v>
      </c>
      <c r="C6226" s="409">
        <f>Return!P176</f>
        <v>-1.6952136342859636E-2</v>
      </c>
    </row>
    <row r="6227" spans="1:3">
      <c r="A6227" s="406">
        <f>Return!A177</f>
        <v>45826</v>
      </c>
      <c r="B6227" s="408" t="s">
        <v>77</v>
      </c>
      <c r="C6227" s="409">
        <f>Return!P177</f>
        <v>4.2129600323985716E-3</v>
      </c>
    </row>
    <row r="6228" spans="1:3">
      <c r="A6228" s="406">
        <f>Return!A178</f>
        <v>45825</v>
      </c>
      <c r="B6228" s="408" t="s">
        <v>77</v>
      </c>
      <c r="C6228" s="409">
        <f>Return!P178</f>
        <v>-1.4040943818239837E-3</v>
      </c>
    </row>
    <row r="6229" spans="1:3">
      <c r="A6229" s="406">
        <f>Return!A179</f>
        <v>45824</v>
      </c>
      <c r="B6229" s="408" t="s">
        <v>77</v>
      </c>
      <c r="C6229" s="409">
        <f>Return!P179</f>
        <v>-5.9366216746403744E-5</v>
      </c>
    </row>
    <row r="6230" spans="1:3">
      <c r="A6230" s="406">
        <f>Return!A180</f>
        <v>45821</v>
      </c>
      <c r="B6230" s="408" t="s">
        <v>77</v>
      </c>
      <c r="C6230" s="409">
        <f>Return!P180</f>
        <v>3.6480437744224048E-3</v>
      </c>
    </row>
    <row r="6231" spans="1:3">
      <c r="A6231" s="406">
        <f>Return!A181</f>
        <v>45820</v>
      </c>
      <c r="B6231" s="408" t="s">
        <v>77</v>
      </c>
      <c r="C6231" s="409">
        <f>Return!P181</f>
        <v>4.7752986058311464E-3</v>
      </c>
    </row>
    <row r="6232" spans="1:3">
      <c r="A6232" s="406">
        <f>Return!A182</f>
        <v>45819</v>
      </c>
      <c r="B6232" s="408" t="s">
        <v>77</v>
      </c>
      <c r="C6232" s="409">
        <f>Return!P182</f>
        <v>4.1472690721158223E-3</v>
      </c>
    </row>
    <row r="6233" spans="1:3">
      <c r="A6233" s="406">
        <f>Return!A183</f>
        <v>45818</v>
      </c>
      <c r="B6233" s="408" t="s">
        <v>77</v>
      </c>
      <c r="C6233" s="409">
        <f>Return!P183</f>
        <v>-4.1232900850340926E-4</v>
      </c>
    </row>
    <row r="6234" spans="1:3">
      <c r="A6234" s="406">
        <f>Return!A184</f>
        <v>45817</v>
      </c>
      <c r="B6234" s="408" t="s">
        <v>77</v>
      </c>
      <c r="C6234" s="409">
        <f>Return!P184</f>
        <v>8.2416642491640602E-3</v>
      </c>
    </row>
    <row r="6235" spans="1:3">
      <c r="A6235" s="406">
        <f>Return!A185</f>
        <v>45814</v>
      </c>
      <c r="B6235" s="408" t="s">
        <v>77</v>
      </c>
      <c r="C6235" s="409">
        <f>Return!P185</f>
        <v>4.1282712863988102E-3</v>
      </c>
    </row>
    <row r="6236" spans="1:3">
      <c r="A6236" s="406">
        <f>Return!A186</f>
        <v>45813</v>
      </c>
      <c r="B6236" s="408" t="s">
        <v>77</v>
      </c>
      <c r="C6236" s="409">
        <f>Return!P186</f>
        <v>-2.6027222218653057E-3</v>
      </c>
    </row>
    <row r="6237" spans="1:3">
      <c r="A6237" s="406">
        <f>Return!A187</f>
        <v>45812</v>
      </c>
      <c r="B6237" s="408" t="s">
        <v>77</v>
      </c>
      <c r="C6237" s="409">
        <f>Return!P187</f>
        <v>-9.3623826916267028E-4</v>
      </c>
    </row>
    <row r="6238" spans="1:3">
      <c r="A6238" s="406">
        <f>Return!A188</f>
        <v>45811</v>
      </c>
      <c r="B6238" s="408" t="s">
        <v>77</v>
      </c>
      <c r="C6238" s="409">
        <f>Return!P188</f>
        <v>-3.5022840712702896E-3</v>
      </c>
    </row>
    <row r="6239" spans="1:3">
      <c r="A6239" s="406">
        <f>Return!A189</f>
        <v>45810</v>
      </c>
      <c r="B6239" s="408" t="s">
        <v>77</v>
      </c>
      <c r="C6239" s="409">
        <f>Return!P189</f>
        <v>5.2000183597296079E-3</v>
      </c>
    </row>
    <row r="6240" spans="1:3">
      <c r="A6240" s="406">
        <f>Return!A190</f>
        <v>45807</v>
      </c>
      <c r="B6240" s="408" t="s">
        <v>77</v>
      </c>
      <c r="C6240" s="409">
        <f>Return!P190</f>
        <v>-2.0934040307204471E-3</v>
      </c>
    </row>
    <row r="6241" spans="1:3">
      <c r="A6241" s="406">
        <f>Return!A191</f>
        <v>45806</v>
      </c>
      <c r="B6241" s="408" t="s">
        <v>77</v>
      </c>
      <c r="C6241" s="409">
        <f>Return!P191</f>
        <v>1.6488319496210657E-4</v>
      </c>
    </row>
    <row r="6242" spans="1:3">
      <c r="A6242" s="406">
        <f>Return!A192</f>
        <v>45805</v>
      </c>
      <c r="B6242" s="408" t="s">
        <v>77</v>
      </c>
      <c r="C6242" s="409">
        <f>Return!P192</f>
        <v>7.4225608930489351E-3</v>
      </c>
    </row>
    <row r="6243" spans="1:3">
      <c r="A6243" s="406">
        <f>Return!A193</f>
        <v>45804</v>
      </c>
      <c r="B6243" s="408" t="s">
        <v>77</v>
      </c>
      <c r="C6243" s="409">
        <f>Return!P193</f>
        <v>2.5687604308635148E-3</v>
      </c>
    </row>
    <row r="6244" spans="1:3">
      <c r="A6244" s="406">
        <f>Return!A194</f>
        <v>45803</v>
      </c>
      <c r="B6244" s="408" t="s">
        <v>77</v>
      </c>
      <c r="C6244" s="409">
        <f>Return!P194</f>
        <v>-6.1665152353936881E-3</v>
      </c>
    </row>
    <row r="6245" spans="1:3">
      <c r="A6245" s="406">
        <f>Return!A195</f>
        <v>45800</v>
      </c>
      <c r="B6245" s="408" t="s">
        <v>77</v>
      </c>
      <c r="C6245" s="409">
        <f>Return!P195</f>
        <v>1.4327166552449144E-2</v>
      </c>
    </row>
    <row r="6246" spans="1:3">
      <c r="A6246" s="406">
        <f>Return!A196</f>
        <v>45799</v>
      </c>
      <c r="B6246" s="408" t="s">
        <v>77</v>
      </c>
      <c r="C6246" s="409">
        <f>Return!P196</f>
        <v>-8.9752372949430947E-3</v>
      </c>
    </row>
    <row r="6247" spans="1:3">
      <c r="A6247" s="406">
        <f>Return!A197</f>
        <v>45798</v>
      </c>
      <c r="B6247" s="408" t="s">
        <v>77</v>
      </c>
      <c r="C6247" s="409">
        <f>Return!P197</f>
        <v>5.1935166196690474E-3</v>
      </c>
    </row>
    <row r="6248" spans="1:3">
      <c r="A6248" s="406">
        <f>Return!A198</f>
        <v>45797</v>
      </c>
      <c r="B6248" s="408" t="s">
        <v>77</v>
      </c>
      <c r="C6248" s="409">
        <f>Return!P198</f>
        <v>1.2798564533276213E-3</v>
      </c>
    </row>
    <row r="6249" spans="1:3">
      <c r="A6249" s="406">
        <f>Return!A199</f>
        <v>45796</v>
      </c>
      <c r="B6249" s="408" t="s">
        <v>77</v>
      </c>
      <c r="C6249" s="409">
        <f>Return!P199</f>
        <v>6.1046829828548255E-3</v>
      </c>
    </row>
    <row r="6250" spans="1:3">
      <c r="A6250" s="406">
        <f>Return!A200</f>
        <v>45793</v>
      </c>
      <c r="B6250" s="408" t="s">
        <v>77</v>
      </c>
      <c r="C6250" s="409">
        <f>Return!P200</f>
        <v>5.113493449829809E-3</v>
      </c>
    </row>
    <row r="6251" spans="1:3">
      <c r="A6251" s="406">
        <f>Return!A201</f>
        <v>45792</v>
      </c>
      <c r="B6251" s="408" t="s">
        <v>77</v>
      </c>
      <c r="C6251" s="409">
        <f>Return!P201</f>
        <v>1.0171419758439937E-2</v>
      </c>
    </row>
    <row r="6252" spans="1:3">
      <c r="A6252" s="406">
        <f>Return!A202</f>
        <v>45791</v>
      </c>
      <c r="B6252" s="408" t="s">
        <v>77</v>
      </c>
      <c r="C6252" s="409">
        <f>Return!P202</f>
        <v>4.7298977025149735E-3</v>
      </c>
    </row>
    <row r="6253" spans="1:3">
      <c r="A6253" s="406">
        <f>Return!A203</f>
        <v>45790</v>
      </c>
      <c r="B6253" s="408" t="s">
        <v>77</v>
      </c>
      <c r="C6253" s="409">
        <f>Return!P203</f>
        <v>-2.0346296827494781E-3</v>
      </c>
    </row>
    <row r="6254" spans="1:3">
      <c r="A6254" s="406">
        <f>Return!A204</f>
        <v>45789</v>
      </c>
      <c r="B6254" s="408" t="s">
        <v>77</v>
      </c>
      <c r="C6254" s="409">
        <f>Return!P204</f>
        <v>-1.5227392909939685E-2</v>
      </c>
    </row>
    <row r="6255" spans="1:3">
      <c r="A6255" s="406">
        <f>Return!A205</f>
        <v>45786</v>
      </c>
      <c r="B6255" s="408" t="s">
        <v>77</v>
      </c>
      <c r="C6255" s="409">
        <f>Return!P205</f>
        <v>2.6301023986530225E-4</v>
      </c>
    </row>
    <row r="6256" spans="1:3">
      <c r="A6256" s="406">
        <f>Return!A206</f>
        <v>45785</v>
      </c>
      <c r="B6256" s="408" t="s">
        <v>77</v>
      </c>
      <c r="C6256" s="409">
        <f>Return!P206</f>
        <v>-9.4093117556871553E-3</v>
      </c>
    </row>
    <row r="6257" spans="1:3">
      <c r="A6257" s="406">
        <f>Return!A207</f>
        <v>45784</v>
      </c>
      <c r="B6257" s="408" t="s">
        <v>77</v>
      </c>
      <c r="C6257" s="409">
        <f>Return!P207</f>
        <v>7.1430159343923716E-3</v>
      </c>
    </row>
    <row r="6258" spans="1:3">
      <c r="A6258" s="406">
        <f>Return!A208</f>
        <v>45783</v>
      </c>
      <c r="B6258" s="408" t="s">
        <v>77</v>
      </c>
      <c r="C6258" s="409">
        <f>Return!P208</f>
        <v>-6.6290162005613329E-3</v>
      </c>
    </row>
    <row r="6259" spans="1:3">
      <c r="A6259" s="406">
        <f>Return!A209</f>
        <v>45782</v>
      </c>
      <c r="B6259" s="408" t="s">
        <v>77</v>
      </c>
      <c r="C6259" s="409">
        <f>Return!P209</f>
        <v>7.8113281649105915E-4</v>
      </c>
    </row>
    <row r="6260" spans="1:3">
      <c r="A6260" s="406">
        <f>Return!A210</f>
        <v>45779</v>
      </c>
      <c r="B6260" s="408" t="s">
        <v>77</v>
      </c>
      <c r="C6260" s="409">
        <f>Return!P210</f>
        <v>-6.1501367937333296E-3</v>
      </c>
    </row>
    <row r="6261" spans="1:3">
      <c r="A6261" s="406">
        <f>Return!A211</f>
        <v>45777</v>
      </c>
      <c r="B6261" s="408" t="s">
        <v>77</v>
      </c>
      <c r="C6261" s="409">
        <f>Return!P211</f>
        <v>1.3152648131913969E-2</v>
      </c>
    </row>
    <row r="6262" spans="1:3">
      <c r="A6262" s="406">
        <f>Return!A212</f>
        <v>45776</v>
      </c>
      <c r="B6262" s="408" t="s">
        <v>77</v>
      </c>
      <c r="C6262" s="409">
        <f>Return!P212</f>
        <v>-1.98592213820733E-2</v>
      </c>
    </row>
    <row r="6263" spans="1:3">
      <c r="A6263" s="406">
        <f>Return!A213</f>
        <v>45775</v>
      </c>
      <c r="B6263" s="408" t="s">
        <v>77</v>
      </c>
      <c r="C6263" s="409">
        <f>Return!P213</f>
        <v>8.2690259973547953E-3</v>
      </c>
    </row>
    <row r="6264" spans="1:3">
      <c r="A6264" s="406">
        <f>Return!A214</f>
        <v>45772</v>
      </c>
      <c r="B6264" s="408" t="s">
        <v>77</v>
      </c>
      <c r="C6264" s="409">
        <f>Return!P214</f>
        <v>7.3600151663781865E-3</v>
      </c>
    </row>
    <row r="6265" spans="1:3">
      <c r="A6265" s="406">
        <f>Return!A215</f>
        <v>45771</v>
      </c>
      <c r="B6265" s="408" t="s">
        <v>77</v>
      </c>
      <c r="C6265" s="409">
        <f>Return!P215</f>
        <v>5.9918328395551779E-3</v>
      </c>
    </row>
    <row r="6266" spans="1:3">
      <c r="A6266" s="406">
        <f>Return!A216</f>
        <v>45770</v>
      </c>
      <c r="B6266" s="408" t="s">
        <v>77</v>
      </c>
      <c r="C6266" s="409">
        <f>Return!P216</f>
        <v>1.0916704770670416E-2</v>
      </c>
    </row>
    <row r="6267" spans="1:3">
      <c r="A6267" s="406">
        <f>Return!A217</f>
        <v>45769</v>
      </c>
      <c r="B6267" s="408" t="s">
        <v>77</v>
      </c>
      <c r="C6267" s="409">
        <f>Return!P217</f>
        <v>9.6488046904350533E-3</v>
      </c>
    </row>
    <row r="6268" spans="1:3">
      <c r="A6268" s="406">
        <f>Return!A218</f>
        <v>45768</v>
      </c>
      <c r="B6268" s="408" t="s">
        <v>77</v>
      </c>
      <c r="C6268" s="409">
        <f>Return!P218</f>
        <v>-8.5202188335298246E-5</v>
      </c>
    </row>
    <row r="6269" spans="1:3">
      <c r="A6269" s="406">
        <f>Return!A219</f>
        <v>45764</v>
      </c>
      <c r="B6269" s="408" t="s">
        <v>77</v>
      </c>
      <c r="C6269" s="409">
        <f>Return!P219</f>
        <v>2.483837962135893E-2</v>
      </c>
    </row>
    <row r="6270" spans="1:3">
      <c r="A6270" s="406">
        <f>Return!A220</f>
        <v>45763</v>
      </c>
      <c r="B6270" s="408" t="s">
        <v>77</v>
      </c>
      <c r="C6270" s="409">
        <f>Return!P220</f>
        <v>2.0164053807715243E-2</v>
      </c>
    </row>
    <row r="6271" spans="1:3">
      <c r="A6271" s="406">
        <f>Return!A221</f>
        <v>45762</v>
      </c>
      <c r="B6271" s="408" t="s">
        <v>77</v>
      </c>
      <c r="C6271" s="409">
        <f>Return!P221</f>
        <v>-1.1534767400077306E-2</v>
      </c>
    </row>
    <row r="6272" spans="1:3">
      <c r="A6272" s="406">
        <f>Return!A222</f>
        <v>45758</v>
      </c>
      <c r="B6272" s="408" t="s">
        <v>77</v>
      </c>
      <c r="C6272" s="409">
        <f>Return!P222</f>
        <v>2.6195580672198071E-2</v>
      </c>
    </row>
    <row r="6273" spans="1:3">
      <c r="A6273" s="406">
        <f>Return!A223</f>
        <v>45756</v>
      </c>
      <c r="B6273" s="408" t="s">
        <v>77</v>
      </c>
      <c r="C6273" s="409">
        <f>Return!P223</f>
        <v>-2.8916425110848132E-2</v>
      </c>
    </row>
    <row r="6274" spans="1:3">
      <c r="A6274" s="406">
        <f>Return!A224</f>
        <v>45755</v>
      </c>
      <c r="B6274" s="408" t="s">
        <v>77</v>
      </c>
      <c r="C6274" s="409">
        <f>Return!P224</f>
        <v>-3.2109628000863699E-2</v>
      </c>
    </row>
    <row r="6275" spans="1:3">
      <c r="A6275" s="406">
        <f>Return!A225</f>
        <v>45754</v>
      </c>
      <c r="B6275" s="408" t="s">
        <v>77</v>
      </c>
      <c r="C6275" s="409">
        <f>Return!P225</f>
        <v>1.5433510566027486E-2</v>
      </c>
    </row>
    <row r="6276" spans="1:3">
      <c r="A6276" s="406">
        <f>Return!A226</f>
        <v>45751</v>
      </c>
      <c r="B6276" s="408" t="s">
        <v>77</v>
      </c>
      <c r="C6276" s="409">
        <f>Return!P226</f>
        <v>6.3494468945251015E-3</v>
      </c>
    </row>
    <row r="6277" spans="1:3">
      <c r="A6277" s="406">
        <f>Return!A227</f>
        <v>45750</v>
      </c>
      <c r="B6277" s="408" t="s">
        <v>77</v>
      </c>
      <c r="C6277" s="409">
        <f>Return!P227</f>
        <v>-1.4982671796321179E-2</v>
      </c>
    </row>
    <row r="6278" spans="1:3">
      <c r="A6278" s="406">
        <f>Return!A228</f>
        <v>45749</v>
      </c>
      <c r="B6278" s="408" t="s">
        <v>77</v>
      </c>
      <c r="C6278" s="409">
        <f>Return!P228</f>
        <v>-7.07032750018044E-5</v>
      </c>
    </row>
    <row r="6279" spans="1:3">
      <c r="A6279" s="406">
        <f>Return!A229</f>
        <v>45748</v>
      </c>
      <c r="B6279" s="408" t="s">
        <v>77</v>
      </c>
      <c r="C6279" s="409">
        <f>Return!P229</f>
        <v>-1.2154402383952601E-3</v>
      </c>
    </row>
    <row r="6280" spans="1:3">
      <c r="A6280" s="406">
        <f>Return!A230</f>
        <v>45744</v>
      </c>
      <c r="B6280" s="408" t="s">
        <v>77</v>
      </c>
      <c r="C6280" s="409">
        <f>Return!P230</f>
        <v>-3.9968196628640262E-3</v>
      </c>
    </row>
    <row r="6281" spans="1:3">
      <c r="A6281" s="406">
        <f>Return!A231</f>
        <v>45743</v>
      </c>
      <c r="B6281" s="408" t="s">
        <v>77</v>
      </c>
      <c r="C6281" s="409">
        <f>Return!P231</f>
        <v>-1.0523926190381117E-2</v>
      </c>
    </row>
    <row r="6282" spans="1:3">
      <c r="A6282" s="406">
        <f>Return!A232</f>
        <v>45742</v>
      </c>
      <c r="B6282" s="408" t="s">
        <v>77</v>
      </c>
      <c r="C6282" s="409">
        <f>Return!P232</f>
        <v>-7.203098610085501E-3</v>
      </c>
    </row>
    <row r="6283" spans="1:3">
      <c r="A6283" s="406">
        <f>Return!A233</f>
        <v>45741</v>
      </c>
      <c r="B6283" s="408" t="s">
        <v>77</v>
      </c>
      <c r="C6283" s="409">
        <f>Return!P233</f>
        <v>6.9086888767293519E-3</v>
      </c>
    </row>
    <row r="6284" spans="1:3">
      <c r="A6284" s="406">
        <f>Return!A234</f>
        <v>45740</v>
      </c>
      <c r="B6284" s="408" t="s">
        <v>77</v>
      </c>
      <c r="C6284" s="409">
        <f>Return!P234</f>
        <v>1.0291832172606874E-2</v>
      </c>
    </row>
    <row r="6285" spans="1:3">
      <c r="A6285" s="406">
        <f>Return!A235</f>
        <v>45737</v>
      </c>
      <c r="B6285" s="408" t="s">
        <v>77</v>
      </c>
      <c r="C6285" s="409">
        <f>Return!P235</f>
        <v>6.4363446024102711E-3</v>
      </c>
    </row>
    <row r="6286" spans="1:3">
      <c r="A6286" s="406">
        <f>Return!A236</f>
        <v>45736</v>
      </c>
      <c r="B6286" s="408" t="s">
        <v>77</v>
      </c>
      <c r="C6286" s="409">
        <f>Return!P236</f>
        <v>8.2375092525277527E-3</v>
      </c>
    </row>
    <row r="6287" spans="1:3">
      <c r="A6287" s="406">
        <f>Return!A237</f>
        <v>45735</v>
      </c>
      <c r="B6287" s="408" t="s">
        <v>77</v>
      </c>
      <c r="C6287" s="409">
        <f>Return!P237</f>
        <v>1.5421274384686656E-2</v>
      </c>
    </row>
    <row r="6288" spans="1:3">
      <c r="A6288" s="406">
        <f>Return!A238</f>
        <v>45734</v>
      </c>
      <c r="B6288" s="408" t="s">
        <v>77</v>
      </c>
      <c r="C6288" s="409">
        <f>Return!P238</f>
        <v>1.3000077051007475E-2</v>
      </c>
    </row>
    <row r="6289" spans="1:3">
      <c r="A6289" s="406">
        <f>Return!A239</f>
        <v>45733</v>
      </c>
      <c r="B6289" s="408" t="s">
        <v>77</v>
      </c>
      <c r="C6289" s="409">
        <f>Return!P239</f>
        <v>-9.4797297821336279E-4</v>
      </c>
    </row>
    <row r="6290" spans="1:3">
      <c r="A6290" s="406">
        <f>Return!A240</f>
        <v>45729</v>
      </c>
      <c r="B6290" s="408" t="s">
        <v>77</v>
      </c>
      <c r="C6290" s="409">
        <f>Return!P240</f>
        <v>-2.6654027811301439E-4</v>
      </c>
    </row>
    <row r="6291" spans="1:3">
      <c r="A6291" s="406">
        <f>Return!A241</f>
        <v>45728</v>
      </c>
      <c r="B6291" s="408" t="s">
        <v>77</v>
      </c>
      <c r="C6291" s="409">
        <f>Return!P241</f>
        <v>-1.3924033970538208E-3</v>
      </c>
    </row>
    <row r="6292" spans="1:3">
      <c r="A6292" s="406">
        <f>Return!A242</f>
        <v>45727</v>
      </c>
      <c r="B6292" s="408" t="s">
        <v>77</v>
      </c>
      <c r="C6292" s="409">
        <f>Return!P242</f>
        <v>-5.6377289936415664E-3</v>
      </c>
    </row>
    <row r="6293" spans="1:3">
      <c r="A6293" s="406">
        <f>Return!A243</f>
        <v>45726</v>
      </c>
      <c r="B6293" s="408" t="s">
        <v>77</v>
      </c>
      <c r="C6293" s="409">
        <f>Return!P243</f>
        <v>-1.0565942247462434E-3</v>
      </c>
    </row>
    <row r="6294" spans="1:3">
      <c r="A6294" s="406">
        <f>Return!A244</f>
        <v>45723</v>
      </c>
      <c r="B6294" s="408" t="s">
        <v>77</v>
      </c>
      <c r="C6294" s="409">
        <f>Return!P244</f>
        <v>9.2127275553408605E-3</v>
      </c>
    </row>
    <row r="6295" spans="1:3">
      <c r="A6295" s="406">
        <f>Return!A245</f>
        <v>45722</v>
      </c>
      <c r="B6295" s="408" t="s">
        <v>77</v>
      </c>
      <c r="C6295" s="409">
        <f>Return!P245</f>
        <v>1.5193234930531929E-2</v>
      </c>
    </row>
    <row r="6296" spans="1:3">
      <c r="A6296" s="406">
        <f>Return!A246</f>
        <v>45721</v>
      </c>
      <c r="B6296" s="408" t="s">
        <v>77</v>
      </c>
      <c r="C6296" s="409">
        <f>Return!P246</f>
        <v>3.1251352450003544E-3</v>
      </c>
    </row>
    <row r="6297" spans="1:3">
      <c r="A6297" s="406">
        <f>Return!A247</f>
        <v>45720</v>
      </c>
      <c r="B6297" s="408" t="s">
        <v>77</v>
      </c>
      <c r="C6297" s="409">
        <f>Return!P247</f>
        <v>9.0623482620995066E-3</v>
      </c>
    </row>
    <row r="6298" spans="1:3">
      <c r="A6298" s="406">
        <f>Return!A248</f>
        <v>45719</v>
      </c>
      <c r="B6298" s="408" t="s">
        <v>77</v>
      </c>
      <c r="C6298" s="409">
        <f>Return!P248</f>
        <v>-1.9500249288793792E-2</v>
      </c>
    </row>
    <row r="6299" spans="1:3">
      <c r="A6299" s="406">
        <f>Return!A249</f>
        <v>45716</v>
      </c>
      <c r="B6299" s="408" t="s">
        <v>77</v>
      </c>
      <c r="C6299" s="409">
        <f>Return!P249</f>
        <v>-5.9856009739283067E-3</v>
      </c>
    </row>
    <row r="6300" spans="1:3">
      <c r="A6300" s="406">
        <f>Return!A250</f>
        <v>45715</v>
      </c>
      <c r="B6300" s="408" t="s">
        <v>77</v>
      </c>
      <c r="C6300" s="409">
        <f>Return!P250</f>
        <v>1.7849841711155001E-3</v>
      </c>
    </row>
    <row r="6301" spans="1:3">
      <c r="A6301" s="406">
        <f>Return!A251</f>
        <v>45713</v>
      </c>
      <c r="B6301" s="408" t="s">
        <v>77</v>
      </c>
      <c r="C6301" s="409">
        <f>Return!P251</f>
        <v>-3.6390343319290253E-3</v>
      </c>
    </row>
    <row r="6302" spans="1:3">
      <c r="A6302" s="406">
        <f>Return!A252</f>
        <v>45712</v>
      </c>
      <c r="B6302" s="408" t="s">
        <v>77</v>
      </c>
      <c r="C6302" s="409">
        <f>Return!P252</f>
        <v>-1.3887799572188442E-2</v>
      </c>
    </row>
    <row r="6303" spans="1:3">
      <c r="A6303" s="406">
        <f>Return!A253</f>
        <v>45709</v>
      </c>
      <c r="B6303" s="408" t="s">
        <v>77</v>
      </c>
      <c r="C6303" s="409">
        <f>Return!P253</f>
        <v>1.1492784595799055E-3</v>
      </c>
    </row>
    <row r="6304" spans="1:3">
      <c r="A6304" s="406">
        <f>Return!A254</f>
        <v>45708</v>
      </c>
      <c r="B6304" s="408" t="s">
        <v>77</v>
      </c>
      <c r="C6304" s="409">
        <f>Return!P254</f>
        <v>-4.9367203944183924E-4</v>
      </c>
    </row>
    <row r="6305" spans="1:3">
      <c r="A6305" s="406">
        <f>Return!A255</f>
        <v>45707</v>
      </c>
      <c r="B6305" s="408" t="s">
        <v>77</v>
      </c>
      <c r="C6305" s="409">
        <f>Return!P255</f>
        <v>7.2945887484032745E-4</v>
      </c>
    </row>
    <row r="6306" spans="1:3">
      <c r="A6306" s="406">
        <f>Return!A256</f>
        <v>45706</v>
      </c>
      <c r="B6306" s="408" t="s">
        <v>77</v>
      </c>
      <c r="C6306" s="409">
        <f>Return!P256</f>
        <v>1.2642149499062727E-2</v>
      </c>
    </row>
    <row r="6307" spans="1:3">
      <c r="A6307" s="406">
        <f>Return!A257</f>
        <v>45705</v>
      </c>
      <c r="B6307" s="408" t="s">
        <v>77</v>
      </c>
      <c r="C6307" s="409">
        <f>Return!P257</f>
        <v>-2.1908667842495566E-2</v>
      </c>
    </row>
    <row r="6308" spans="1:3">
      <c r="A6308" s="406">
        <f>Return!A258</f>
        <v>45702</v>
      </c>
      <c r="B6308" s="408" t="s">
        <v>77</v>
      </c>
      <c r="C6308" s="409">
        <f>Return!P258</f>
        <v>4.160019875121268E-3</v>
      </c>
    </row>
    <row r="6309" spans="1:3">
      <c r="A6309" s="406">
        <f>Return!A259</f>
        <v>45701</v>
      </c>
      <c r="B6309" s="408" t="s">
        <v>77</v>
      </c>
      <c r="C6309" s="409">
        <f>Return!P259</f>
        <v>-5.4968145721765449E-3</v>
      </c>
    </row>
    <row r="6310" spans="1:3">
      <c r="A6310" s="406">
        <f>Return!A260</f>
        <v>45700</v>
      </c>
      <c r="B6310" s="408" t="s">
        <v>77</v>
      </c>
      <c r="C6310" s="409">
        <f>Return!P260</f>
        <v>-2.3412415863480751E-2</v>
      </c>
    </row>
    <row r="6311" spans="1:3">
      <c r="A6311" s="406">
        <f>Return!A261</f>
        <v>45699</v>
      </c>
      <c r="B6311" s="408" t="s">
        <v>77</v>
      </c>
      <c r="C6311" s="409">
        <f>Return!P261</f>
        <v>-1.9860641080049701E-2</v>
      </c>
    </row>
    <row r="6312" spans="1:3">
      <c r="A6312" s="406">
        <f>Return!A262</f>
        <v>45698</v>
      </c>
      <c r="B6312" s="408" t="s">
        <v>77</v>
      </c>
      <c r="C6312" s="409">
        <f>Return!P262</f>
        <v>-1.2966903152502596E-3</v>
      </c>
    </row>
    <row r="6313" spans="1:3">
      <c r="A6313" s="406">
        <f>Return!A263</f>
        <v>45695</v>
      </c>
      <c r="B6313" s="408" t="s">
        <v>77</v>
      </c>
      <c r="C6313" s="409">
        <f>Return!P263</f>
        <v>8.9620882104131105E-3</v>
      </c>
    </row>
    <row r="6314" spans="1:3">
      <c r="A6314" s="406">
        <f>Return!A264</f>
        <v>45694</v>
      </c>
      <c r="B6314" s="408" t="s">
        <v>77</v>
      </c>
      <c r="C6314" s="409">
        <f>Return!P264</f>
        <v>1.3085462820626503E-2</v>
      </c>
    </row>
    <row r="6315" spans="1:3">
      <c r="A6315" s="406">
        <f>Return!A265</f>
        <v>45693</v>
      </c>
      <c r="B6315" s="408" t="s">
        <v>77</v>
      </c>
      <c r="C6315" s="409">
        <f>Return!P265</f>
        <v>9.7945902976532828E-3</v>
      </c>
    </row>
    <row r="6316" spans="1:3">
      <c r="A6316" s="406">
        <f>Return!A266</f>
        <v>45692</v>
      </c>
      <c r="B6316" s="408" t="s">
        <v>77</v>
      </c>
      <c r="C6316" s="409">
        <f>Return!P266</f>
        <v>3.9145918160126136E-3</v>
      </c>
    </row>
    <row r="6317" spans="1:3">
      <c r="A6317" s="406">
        <f>Return!A267</f>
        <v>45691</v>
      </c>
      <c r="B6317" s="408" t="s">
        <v>77</v>
      </c>
      <c r="C6317" s="409">
        <f>Return!P267</f>
        <v>2.4691004951935547E-3</v>
      </c>
    </row>
    <row r="6318" spans="1:3">
      <c r="A6318" s="406">
        <f>Return!A268</f>
        <v>45689</v>
      </c>
      <c r="B6318" s="408" t="s">
        <v>77</v>
      </c>
      <c r="C6318" s="409">
        <f>Return!P268</f>
        <v>1.0268069628000642E-2</v>
      </c>
    </row>
    <row r="6319" spans="1:3">
      <c r="A6319" s="406">
        <f>Return!A269</f>
        <v>45688</v>
      </c>
      <c r="B6319" s="408" t="s">
        <v>77</v>
      </c>
      <c r="C6319" s="409">
        <f>Return!P269</f>
        <v>1.8359369782620316E-2</v>
      </c>
    </row>
    <row r="6320" spans="1:3">
      <c r="A6320" s="406">
        <f>Return!A270</f>
        <v>45687</v>
      </c>
      <c r="B6320" s="408" t="s">
        <v>77</v>
      </c>
      <c r="C6320" s="409">
        <f>Return!P270</f>
        <v>-1.9646254692522458E-2</v>
      </c>
    </row>
    <row r="6321" spans="1:3">
      <c r="A6321" s="406">
        <f>Return!A271</f>
        <v>45686</v>
      </c>
      <c r="B6321" s="408" t="s">
        <v>77</v>
      </c>
      <c r="C6321" s="409">
        <f>Return!P271</f>
        <v>-2.3773769044969639E-2</v>
      </c>
    </row>
    <row r="6322" spans="1:3">
      <c r="A6322" s="406">
        <f>Return!A272</f>
        <v>45685</v>
      </c>
      <c r="B6322" s="408" t="s">
        <v>77</v>
      </c>
      <c r="C6322" s="409">
        <f>Return!P272</f>
        <v>-2.2753079535661858E-2</v>
      </c>
    </row>
    <row r="6323" spans="1:3">
      <c r="A6323" s="406">
        <f>Return!A273</f>
        <v>45684</v>
      </c>
      <c r="B6323" s="408" t="s">
        <v>77</v>
      </c>
      <c r="C6323" s="409">
        <f>Return!P273</f>
        <v>8.5816612685112315E-3</v>
      </c>
    </row>
    <row r="6324" spans="1:3">
      <c r="A6324" s="406">
        <f>Return!A274</f>
        <v>45681</v>
      </c>
      <c r="B6324" s="408" t="s">
        <v>77</v>
      </c>
      <c r="C6324" s="409">
        <f>Return!P274</f>
        <v>-6.3995544581640917E-4</v>
      </c>
    </row>
    <row r="6325" spans="1:3">
      <c r="A6325" s="406">
        <f>Return!A275</f>
        <v>45680</v>
      </c>
      <c r="B6325" s="408" t="s">
        <v>77</v>
      </c>
      <c r="C6325" s="409">
        <f>Return!P275</f>
        <v>-1.0965689604514051E-2</v>
      </c>
    </row>
    <row r="6326" spans="1:3">
      <c r="A6326" s="406">
        <f>Return!A276</f>
        <v>45679</v>
      </c>
      <c r="B6326" s="408" t="s">
        <v>77</v>
      </c>
      <c r="C6326" s="409">
        <f>Return!P276</f>
        <v>2.6515627898140437E-3</v>
      </c>
    </row>
    <row r="6327" spans="1:3">
      <c r="A6327" s="406">
        <f>Return!A277</f>
        <v>45678</v>
      </c>
      <c r="B6327" s="408" t="s">
        <v>77</v>
      </c>
      <c r="C6327" s="409">
        <f>Return!P277</f>
        <v>2.2709078226526014E-3</v>
      </c>
    </row>
    <row r="6328" spans="1:3">
      <c r="A6328" s="406">
        <f>Return!A278</f>
        <v>45677</v>
      </c>
      <c r="B6328" s="408" t="s">
        <v>77</v>
      </c>
      <c r="C6328" s="409">
        <f>Return!P278</f>
        <v>-1.1248467579720867E-3</v>
      </c>
    </row>
    <row r="6329" spans="1:3">
      <c r="A6329" s="406">
        <f>Return!A279</f>
        <v>45674</v>
      </c>
      <c r="B6329" s="408" t="s">
        <v>77</v>
      </c>
      <c r="C6329" s="409">
        <f>Return!P279</f>
        <v>-7.3568908495276197E-3</v>
      </c>
    </row>
    <row r="6330" spans="1:3">
      <c r="A6330" s="406">
        <f>Return!A280</f>
        <v>45673</v>
      </c>
      <c r="B6330" s="408" t="s">
        <v>77</v>
      </c>
      <c r="C6330" s="409">
        <f>Return!P280</f>
        <v>4.6347693699089199E-3</v>
      </c>
    </row>
    <row r="6331" spans="1:3">
      <c r="A6331" s="406">
        <f>Return!A281</f>
        <v>45672</v>
      </c>
      <c r="B6331" s="408" t="s">
        <v>77</v>
      </c>
      <c r="C6331" s="409">
        <f>Return!P281</f>
        <v>-2.4137402730981528E-2</v>
      </c>
    </row>
    <row r="6332" spans="1:3">
      <c r="A6332" s="406">
        <f>Return!A282</f>
        <v>45671</v>
      </c>
      <c r="B6332" s="408" t="s">
        <v>77</v>
      </c>
      <c r="C6332" s="409">
        <f>Return!P282</f>
        <v>-1.8416713002645801E-2</v>
      </c>
    </row>
    <row r="6333" spans="1:3">
      <c r="A6333" s="406">
        <f>Return!A283</f>
        <v>45670</v>
      </c>
      <c r="B6333" s="408" t="s">
        <v>77</v>
      </c>
      <c r="C6333" s="409">
        <f>Return!P283</f>
        <v>-5.5471992950910654E-3</v>
      </c>
    </row>
    <row r="6334" spans="1:3">
      <c r="A6334" s="406">
        <f>Return!A284</f>
        <v>45667</v>
      </c>
      <c r="B6334" s="408" t="s">
        <v>77</v>
      </c>
      <c r="C6334" s="409">
        <f>Return!P284</f>
        <v>-1.0556349628806139E-2</v>
      </c>
    </row>
    <row r="6335" spans="1:3">
      <c r="A6335" s="406">
        <f>Return!A285</f>
        <v>45666</v>
      </c>
      <c r="B6335" s="408" t="s">
        <v>77</v>
      </c>
      <c r="C6335" s="409">
        <f>Return!P285</f>
        <v>8.4864908028241537E-3</v>
      </c>
    </row>
    <row r="6336" spans="1:3">
      <c r="A6336" s="406">
        <f>Return!A286</f>
        <v>45665</v>
      </c>
      <c r="B6336" s="408" t="s">
        <v>77</v>
      </c>
      <c r="C6336" s="409">
        <f>Return!P286</f>
        <v>-3.6829438091863231E-3</v>
      </c>
    </row>
    <row r="6337" spans="1:3">
      <c r="A6337" s="406">
        <f>Return!A287</f>
        <v>45664</v>
      </c>
      <c r="B6337" s="408" t="s">
        <v>77</v>
      </c>
      <c r="C6337" s="409">
        <f>Return!P287</f>
        <v>-6.1133545959924929E-3</v>
      </c>
    </row>
    <row r="6338" spans="1:3">
      <c r="A6338" s="406">
        <f>Return!A288</f>
        <v>45663</v>
      </c>
      <c r="B6338" s="408" t="s">
        <v>77</v>
      </c>
      <c r="C6338" s="409">
        <f>Return!P288</f>
        <v>2.2812695414129447E-3</v>
      </c>
    </row>
    <row r="6339" spans="1:3">
      <c r="A6339" s="406">
        <f>Return!A289</f>
        <v>45660</v>
      </c>
      <c r="B6339" s="408" t="s">
        <v>77</v>
      </c>
      <c r="C6339" s="409">
        <f>Return!P289</f>
        <v>4.3538827698876847E-3</v>
      </c>
    </row>
    <row r="6340" spans="1:3">
      <c r="A6340" s="406">
        <f>Return!A290</f>
        <v>45659</v>
      </c>
      <c r="B6340" s="408" t="s">
        <v>77</v>
      </c>
      <c r="C6340" s="409">
        <f>Return!P290</f>
        <v>4.079974232465311E-3</v>
      </c>
    </row>
    <row r="6341" spans="1:3">
      <c r="A6341" s="406">
        <f>Return!A291</f>
        <v>45658</v>
      </c>
      <c r="B6341" s="408" t="s">
        <v>77</v>
      </c>
      <c r="C6341" s="409">
        <f>Return!P291</f>
        <v>9.3890498962969637E-3</v>
      </c>
    </row>
    <row r="6342" spans="1:3">
      <c r="A6342" s="406">
        <f>Return!A292</f>
        <v>45657</v>
      </c>
      <c r="B6342" s="408" t="s">
        <v>77</v>
      </c>
      <c r="C6342" s="409">
        <f>Return!P292</f>
        <v>8.8084377864809937E-3</v>
      </c>
    </row>
    <row r="6343" spans="1:3">
      <c r="A6343" s="406">
        <f>Return!A293</f>
        <v>45656</v>
      </c>
      <c r="B6343" s="408" t="s">
        <v>77</v>
      </c>
      <c r="C6343" s="409">
        <f>Return!P293</f>
        <v>5.3946213559297185E-3</v>
      </c>
    </row>
    <row r="6344" spans="1:3">
      <c r="A6344" s="406">
        <f>Return!A294</f>
        <v>45653</v>
      </c>
      <c r="B6344" s="408" t="s">
        <v>77</v>
      </c>
      <c r="C6344" s="409">
        <f>Return!P294</f>
        <v>-2.2064265002936789E-3</v>
      </c>
    </row>
    <row r="6345" spans="1:3">
      <c r="A6345" s="406">
        <f>Return!A295</f>
        <v>45652</v>
      </c>
      <c r="B6345" s="408" t="s">
        <v>77</v>
      </c>
      <c r="C6345" s="409">
        <f>Return!P295</f>
        <v>2.0841730753902166E-3</v>
      </c>
    </row>
    <row r="6346" spans="1:3">
      <c r="A6346" s="406">
        <f>Return!A296</f>
        <v>45650</v>
      </c>
      <c r="B6346" s="408" t="s">
        <v>77</v>
      </c>
      <c r="C6346" s="409">
        <f>Return!P296</f>
        <v>-8.9577227360407852E-3</v>
      </c>
    </row>
    <row r="6347" spans="1:3">
      <c r="A6347" s="406">
        <f>Return!A297</f>
        <v>45649</v>
      </c>
      <c r="B6347" s="408" t="s">
        <v>77</v>
      </c>
      <c r="C6347" s="409">
        <f>Return!P297</f>
        <v>1.0139326574134522E-2</v>
      </c>
    </row>
    <row r="6348" spans="1:3">
      <c r="A6348" s="406">
        <f>Return!A298</f>
        <v>45646</v>
      </c>
      <c r="B6348" s="408" t="s">
        <v>77</v>
      </c>
      <c r="C6348" s="409">
        <f>Return!P298</f>
        <v>1.0739020649169095E-2</v>
      </c>
    </row>
    <row r="6349" spans="1:3">
      <c r="A6349" s="406">
        <f>Return!A299</f>
        <v>45645</v>
      </c>
      <c r="B6349" s="408" t="s">
        <v>77</v>
      </c>
      <c r="C6349" s="409">
        <f>Return!P299</f>
        <v>-5.1627375419800448E-3</v>
      </c>
    </row>
    <row r="6350" spans="1:3">
      <c r="A6350" s="406">
        <f>Return!A300</f>
        <v>45644</v>
      </c>
      <c r="B6350" s="408" t="s">
        <v>77</v>
      </c>
      <c r="C6350" s="409">
        <f>Return!P300</f>
        <v>1.2774818640663987E-3</v>
      </c>
    </row>
    <row r="6351" spans="1:3">
      <c r="A6351" s="406">
        <f>Return!A301</f>
        <v>45643</v>
      </c>
      <c r="B6351" s="408" t="s">
        <v>77</v>
      </c>
      <c r="C6351" s="409">
        <f>Return!P301</f>
        <v>-4.2002435102918012E-3</v>
      </c>
    </row>
    <row r="6352" spans="1:3">
      <c r="A6352" s="406">
        <f>Return!A302</f>
        <v>45642</v>
      </c>
      <c r="B6352" s="408" t="s">
        <v>77</v>
      </c>
      <c r="C6352" s="409">
        <f>Return!P302</f>
        <v>-4.8957399453789519E-3</v>
      </c>
    </row>
    <row r="6353" spans="1:3">
      <c r="A6353" s="406">
        <f>Return!A303</f>
        <v>45639</v>
      </c>
      <c r="B6353" s="408" t="s">
        <v>77</v>
      </c>
      <c r="C6353" s="409">
        <f>Return!P303</f>
        <v>1.6301734510184573E-3</v>
      </c>
    </row>
    <row r="6354" spans="1:3">
      <c r="A6354" s="406">
        <f>Return!A304</f>
        <v>45638</v>
      </c>
      <c r="B6354" s="408" t="s">
        <v>77</v>
      </c>
      <c r="C6354" s="409">
        <f>Return!P304</f>
        <v>-1.0003001427919544E-3</v>
      </c>
    </row>
    <row r="6355" spans="1:3">
      <c r="A6355" s="406">
        <f>Return!A305</f>
        <v>45637</v>
      </c>
      <c r="B6355" s="408" t="s">
        <v>77</v>
      </c>
      <c r="C6355" s="409">
        <f>Return!P305</f>
        <v>-6.6077182970567527E-3</v>
      </c>
    </row>
    <row r="6356" spans="1:3">
      <c r="A6356" s="406">
        <f>Return!A306</f>
        <v>45636</v>
      </c>
      <c r="B6356" s="408" t="s">
        <v>77</v>
      </c>
      <c r="C6356" s="409">
        <f>Return!P306</f>
        <v>-2.078595124182292E-3</v>
      </c>
    </row>
    <row r="6357" spans="1:3">
      <c r="A6357" s="406">
        <f>Return!A307</f>
        <v>45635</v>
      </c>
      <c r="B6357" s="408" t="s">
        <v>77</v>
      </c>
      <c r="C6357" s="409">
        <f>Return!P307</f>
        <v>-4.3766421119395549E-4</v>
      </c>
    </row>
    <row r="6358" spans="1:3">
      <c r="A6358" s="406">
        <f>Return!A308</f>
        <v>45632</v>
      </c>
      <c r="B6358" s="408" t="s">
        <v>77</v>
      </c>
      <c r="C6358" s="409">
        <f>Return!P308</f>
        <v>3.6239898510797008E-3</v>
      </c>
    </row>
    <row r="6359" spans="1:3">
      <c r="A6359" s="406">
        <f>Return!A309</f>
        <v>45631</v>
      </c>
      <c r="B6359" s="408" t="s">
        <v>77</v>
      </c>
      <c r="C6359" s="409">
        <f>Return!P309</f>
        <v>8.2444833188777267E-4</v>
      </c>
    </row>
    <row r="6360" spans="1:3">
      <c r="A6360" s="406">
        <f>Return!A310</f>
        <v>45630</v>
      </c>
      <c r="B6360" s="408" t="s">
        <v>77</v>
      </c>
      <c r="C6360" s="409">
        <f>Return!P310</f>
        <v>1.008489726047368E-2</v>
      </c>
    </row>
    <row r="6361" spans="1:3">
      <c r="A6361" s="406">
        <f>Return!A311</f>
        <v>45629</v>
      </c>
      <c r="B6361" s="408" t="s">
        <v>77</v>
      </c>
      <c r="C6361" s="409">
        <f>Return!P311</f>
        <v>1.9413660002811195E-2</v>
      </c>
    </row>
    <row r="6362" spans="1:3">
      <c r="A6362" s="406">
        <f>Return!A312</f>
        <v>45628</v>
      </c>
      <c r="B6362" s="408" t="s">
        <v>77</v>
      </c>
      <c r="C6362" s="409">
        <f>Return!P312</f>
        <v>-4.4596542032316888E-3</v>
      </c>
    </row>
    <row r="6363" spans="1:3">
      <c r="A6363" s="406">
        <f>Return!A313</f>
        <v>45625</v>
      </c>
      <c r="B6363" s="408" t="s">
        <v>77</v>
      </c>
      <c r="C6363" s="409">
        <f>Return!P313</f>
        <v>-5.9625849399970177E-3</v>
      </c>
    </row>
    <row r="6364" spans="1:3">
      <c r="A6364" s="406">
        <f>Return!A314</f>
        <v>45624</v>
      </c>
      <c r="B6364" s="408" t="s">
        <v>77</v>
      </c>
      <c r="C6364" s="409">
        <f>Return!P314</f>
        <v>-8.0161685491645374E-3</v>
      </c>
    </row>
    <row r="6365" spans="1:3">
      <c r="A6365" s="406">
        <f>Return!A315</f>
        <v>45623</v>
      </c>
      <c r="B6365" s="408" t="s">
        <v>77</v>
      </c>
      <c r="C6365" s="409">
        <f>Return!P315</f>
        <v>7.7772280978547492E-3</v>
      </c>
    </row>
    <row r="6366" spans="1:3">
      <c r="A6366" s="406">
        <f>Return!A316</f>
        <v>45622</v>
      </c>
      <c r="B6366" s="408" t="s">
        <v>77</v>
      </c>
      <c r="C6366" s="409">
        <f>Return!P316</f>
        <v>1.1425251638083944E-2</v>
      </c>
    </row>
    <row r="6367" spans="1:3">
      <c r="A6367" s="406">
        <f>Return!A317</f>
        <v>45621</v>
      </c>
      <c r="B6367" s="408" t="s">
        <v>77</v>
      </c>
      <c r="C6367" s="409">
        <f>Return!P317</f>
        <v>3.4282531993321541E-3</v>
      </c>
    </row>
    <row r="6368" spans="1:3">
      <c r="A6368" s="406">
        <f>Return!A318</f>
        <v>45618</v>
      </c>
      <c r="B6368" s="408" t="s">
        <v>77</v>
      </c>
      <c r="C6368" s="409">
        <f>Return!P318</f>
        <v>9.2556578991096483E-3</v>
      </c>
    </row>
    <row r="6369" spans="1:3">
      <c r="A6369" s="406">
        <f>Return!A319</f>
        <v>45617</v>
      </c>
      <c r="B6369" s="408" t="s">
        <v>77</v>
      </c>
      <c r="C6369" s="409">
        <f>Return!P319</f>
        <v>-6.3983339837806463E-3</v>
      </c>
    </row>
    <row r="6370" spans="1:3">
      <c r="A6370" s="406">
        <f>Return!A320</f>
        <v>45615</v>
      </c>
      <c r="B6370" s="408" t="s">
        <v>77</v>
      </c>
      <c r="C6370" s="409">
        <f>Return!P320</f>
        <v>7.989554021277101E-4</v>
      </c>
    </row>
    <row r="6371" spans="1:3">
      <c r="A6371" s="406">
        <f>Return!A321</f>
        <v>45614</v>
      </c>
      <c r="B6371" s="408" t="s">
        <v>77</v>
      </c>
      <c r="C6371" s="409">
        <f>Return!P321</f>
        <v>-1.7125200735443991E-2</v>
      </c>
    </row>
    <row r="6372" spans="1:3">
      <c r="A6372" s="406">
        <f>Return!A322</f>
        <v>45610</v>
      </c>
      <c r="B6372" s="408" t="s">
        <v>77</v>
      </c>
      <c r="C6372" s="409">
        <f>Return!P322</f>
        <v>-6.0039134360712065E-3</v>
      </c>
    </row>
    <row r="6373" spans="1:3">
      <c r="A6373" s="406">
        <f>Return!A323</f>
        <v>45609</v>
      </c>
      <c r="B6373" s="408" t="s">
        <v>77</v>
      </c>
      <c r="C6373" s="409">
        <f>Return!P323</f>
        <v>-1.0423661256376282E-2</v>
      </c>
    </row>
    <row r="6374" spans="1:3">
      <c r="A6374" s="406">
        <f>Return!A324</f>
        <v>45608</v>
      </c>
      <c r="B6374" s="408" t="s">
        <v>77</v>
      </c>
      <c r="C6374" s="409">
        <f>Return!P324</f>
        <v>5.3641877760801648E-4</v>
      </c>
    </row>
    <row r="6375" spans="1:3">
      <c r="A6375" s="406">
        <f>Return!A325</f>
        <v>45607</v>
      </c>
      <c r="B6375" s="408" t="s">
        <v>77</v>
      </c>
      <c r="C6375" s="409">
        <f>Return!P325</f>
        <v>-5.4717879928456448E-3</v>
      </c>
    </row>
    <row r="6376" spans="1:3">
      <c r="A6376" s="406">
        <f>Return!A326</f>
        <v>45604</v>
      </c>
      <c r="B6376" s="408" t="s">
        <v>77</v>
      </c>
      <c r="C6376" s="409">
        <f>Return!P326</f>
        <v>9.6240468368280485E-3</v>
      </c>
    </row>
    <row r="6377" spans="1:3">
      <c r="A6377" s="406">
        <f>Return!A327</f>
        <v>45603</v>
      </c>
      <c r="B6377" s="408" t="s">
        <v>77</v>
      </c>
      <c r="C6377" s="409">
        <f>Return!P327</f>
        <v>2.4075170822690506E-3</v>
      </c>
    </row>
    <row r="6378" spans="1:3">
      <c r="A6378" s="406">
        <f>Return!A328</f>
        <v>45602</v>
      </c>
      <c r="B6378" s="408" t="s">
        <v>77</v>
      </c>
      <c r="C6378" s="409">
        <f>Return!P328</f>
        <v>-7.0158160878376341E-3</v>
      </c>
    </row>
    <row r="6379" spans="1:3">
      <c r="A6379" s="406">
        <f>Return!A329</f>
        <v>45601</v>
      </c>
      <c r="B6379" s="408" t="s">
        <v>77</v>
      </c>
      <c r="C6379" s="409">
        <f>Return!P329</f>
        <v>1.5946849305002564E-2</v>
      </c>
    </row>
    <row r="6380" spans="1:3">
      <c r="A6380" s="406">
        <f>Return!A330</f>
        <v>45600</v>
      </c>
      <c r="B6380" s="408" t="s">
        <v>77</v>
      </c>
      <c r="C6380" s="409">
        <f>Return!P330</f>
        <v>-1.1723352397808862E-3</v>
      </c>
    </row>
    <row r="6381" spans="1:3">
      <c r="A6381" s="406">
        <f>Return!A331</f>
        <v>45597</v>
      </c>
      <c r="B6381" s="408" t="s">
        <v>77</v>
      </c>
      <c r="C6381" s="409">
        <f>Return!P331</f>
        <v>-6.1999400559750173E-3</v>
      </c>
    </row>
    <row r="6382" spans="1:3">
      <c r="A6382" s="406">
        <f>Return!A332</f>
        <v>45596</v>
      </c>
      <c r="B6382" s="408" t="s">
        <v>77</v>
      </c>
      <c r="C6382" s="409">
        <f>Return!P332</f>
        <v>9.1218593586508412E-3</v>
      </c>
    </row>
    <row r="6383" spans="1:3">
      <c r="A6383" s="406">
        <f>Return!A333</f>
        <v>45595</v>
      </c>
      <c r="B6383" s="408" t="s">
        <v>77</v>
      </c>
      <c r="C6383" s="409">
        <f>Return!P333</f>
        <v>-3.2973288573611148E-3</v>
      </c>
    </row>
    <row r="6384" spans="1:3">
      <c r="A6384" s="406">
        <f>Return!A334</f>
        <v>45594</v>
      </c>
      <c r="B6384" s="408" t="s">
        <v>77</v>
      </c>
      <c r="C6384" s="409">
        <f>Return!P334</f>
        <v>2.9128086075269621E-3</v>
      </c>
    </row>
    <row r="6385" spans="1:3">
      <c r="A6385" s="406">
        <f>Return!A335</f>
        <v>45593</v>
      </c>
      <c r="B6385" s="408" t="s">
        <v>77</v>
      </c>
      <c r="C6385" s="409">
        <f>Return!P335</f>
        <v>-1.0397475694011837E-2</v>
      </c>
    </row>
    <row r="6386" spans="1:3">
      <c r="A6386" s="406">
        <f>Return!A336</f>
        <v>45590</v>
      </c>
      <c r="B6386" s="408" t="s">
        <v>77</v>
      </c>
      <c r="C6386" s="409">
        <f>Return!P336</f>
        <v>-1.4135019920846092E-2</v>
      </c>
    </row>
    <row r="6387" spans="1:3">
      <c r="A6387" s="406">
        <f>Return!A337</f>
        <v>45589</v>
      </c>
      <c r="B6387" s="408" t="s">
        <v>77</v>
      </c>
      <c r="C6387" s="409">
        <f>Return!P337</f>
        <v>-8.116394141514327E-3</v>
      </c>
    </row>
    <row r="6388" spans="1:3">
      <c r="A6388" s="406">
        <f>Return!A338</f>
        <v>45588</v>
      </c>
      <c r="B6388" s="408" t="s">
        <v>77</v>
      </c>
      <c r="C6388" s="409">
        <f>Return!P338</f>
        <v>1.6589641271511635E-3</v>
      </c>
    </row>
    <row r="6389" spans="1:3">
      <c r="A6389" s="406">
        <f>Return!A339</f>
        <v>45587</v>
      </c>
      <c r="B6389" s="408" t="s">
        <v>77</v>
      </c>
      <c r="C6389" s="409">
        <f>Return!P339</f>
        <v>-9.6022533434139135E-3</v>
      </c>
    </row>
    <row r="6390" spans="1:3">
      <c r="A6390" s="406">
        <f>Return!A340</f>
        <v>45586</v>
      </c>
      <c r="B6390" s="408" t="s">
        <v>77</v>
      </c>
      <c r="C6390" s="409">
        <f>Return!P340</f>
        <v>-2.4615630874300631E-3</v>
      </c>
    </row>
    <row r="6391" spans="1:3">
      <c r="A6391" s="406">
        <f>Return!A341</f>
        <v>45583</v>
      </c>
      <c r="B6391" s="408" t="s">
        <v>77</v>
      </c>
      <c r="C6391" s="409">
        <f>Return!P341</f>
        <v>9.5859158247058041E-4</v>
      </c>
    </row>
    <row r="6392" spans="1:3">
      <c r="A6392" s="406">
        <f>Return!A342</f>
        <v>45582</v>
      </c>
      <c r="B6392" s="408" t="s">
        <v>77</v>
      </c>
      <c r="C6392" s="409">
        <f>Return!P342</f>
        <v>2.0461494260266555E-3</v>
      </c>
    </row>
    <row r="6393" spans="1:3">
      <c r="A6393" s="406">
        <f>Return!A343</f>
        <v>45581</v>
      </c>
      <c r="B6393" s="408" t="s">
        <v>77</v>
      </c>
      <c r="C6393" s="409">
        <f>Return!P343</f>
        <v>8.6777803941611165E-3</v>
      </c>
    </row>
    <row r="6394" spans="1:3">
      <c r="A6394" s="406">
        <f>Return!A344</f>
        <v>45580</v>
      </c>
      <c r="B6394" s="408" t="s">
        <v>77</v>
      </c>
      <c r="C6394" s="409">
        <f>Return!P344</f>
        <v>-1.4077301830581535E-2</v>
      </c>
    </row>
    <row r="6395" spans="1:3">
      <c r="A6395" s="406">
        <f>Return!A345</f>
        <v>45579</v>
      </c>
      <c r="B6395" s="408" t="s">
        <v>77</v>
      </c>
      <c r="C6395" s="409">
        <f>Return!P345</f>
        <v>1.8223070826603571E-2</v>
      </c>
    </row>
    <row r="6396" spans="1:3">
      <c r="A6396" s="406">
        <f>Return!A346</f>
        <v>45576</v>
      </c>
      <c r="B6396" s="408" t="s">
        <v>77</v>
      </c>
      <c r="C6396" s="409">
        <f>Return!P346</f>
        <v>1.4279009804498477E-2</v>
      </c>
    </row>
    <row r="6397" spans="1:3">
      <c r="A6397" s="406">
        <f>Return!A347</f>
        <v>45575</v>
      </c>
      <c r="B6397" s="408" t="s">
        <v>77</v>
      </c>
      <c r="C6397" s="409">
        <f>Return!P347</f>
        <v>-7.185016267730493E-3</v>
      </c>
    </row>
    <row r="6398" spans="1:3">
      <c r="A6398" s="406">
        <f>Return!A348</f>
        <v>45574</v>
      </c>
      <c r="B6398" s="408" t="s">
        <v>77</v>
      </c>
      <c r="C6398" s="409">
        <f>Return!P348</f>
        <v>-2.803335538491436E-3</v>
      </c>
    </row>
    <row r="6399" spans="1:3">
      <c r="A6399" s="406">
        <f>Return!A349</f>
        <v>45573</v>
      </c>
      <c r="B6399" s="408" t="s">
        <v>77</v>
      </c>
      <c r="C6399" s="409">
        <f>Return!P349</f>
        <v>-7.3490622795284732E-3</v>
      </c>
    </row>
    <row r="6400" spans="1:3">
      <c r="A6400" s="406">
        <f>Return!A350</f>
        <v>45572</v>
      </c>
      <c r="B6400" s="408" t="s">
        <v>77</v>
      </c>
      <c r="C6400" s="409">
        <f>Return!P350</f>
        <v>-1.0693239444511393E-3</v>
      </c>
    </row>
    <row r="6401" spans="1:3">
      <c r="A6401" s="406">
        <f>Return!A351</f>
        <v>45569</v>
      </c>
      <c r="B6401" s="408" t="s">
        <v>77</v>
      </c>
      <c r="C6401" s="409">
        <f>Return!P351</f>
        <v>-2.193320020404399E-3</v>
      </c>
    </row>
    <row r="6402" spans="1:3">
      <c r="A6402" s="406">
        <f>Return!A352</f>
        <v>45568</v>
      </c>
      <c r="B6402" s="408" t="s">
        <v>77</v>
      </c>
      <c r="C6402" s="409">
        <f>Return!P352</f>
        <v>5.9043329339711903E-3</v>
      </c>
    </row>
    <row r="6403" spans="1:3">
      <c r="A6403" s="406">
        <f>Return!A353</f>
        <v>45566</v>
      </c>
      <c r="B6403" s="408" t="s">
        <v>77</v>
      </c>
      <c r="C6403" s="409">
        <f>Return!P353</f>
        <v>-2.0015910171283791E-3</v>
      </c>
    </row>
    <row r="6404" spans="1:3">
      <c r="A6404" s="406">
        <f>Return!A354</f>
        <v>45565</v>
      </c>
      <c r="B6404" s="408" t="s">
        <v>77</v>
      </c>
      <c r="C6404" s="409">
        <f>Return!P354</f>
        <v>1.1521454655194496E-3</v>
      </c>
    </row>
    <row r="6405" spans="1:3">
      <c r="A6405" s="406">
        <f>Return!A355</f>
        <v>45562</v>
      </c>
      <c r="B6405" s="408" t="s">
        <v>77</v>
      </c>
      <c r="C6405" s="409">
        <f>Return!P355</f>
        <v>5.0573913601283937E-3</v>
      </c>
    </row>
    <row r="6406" spans="1:3">
      <c r="A6406" s="406">
        <f>Return!A356</f>
        <v>45561</v>
      </c>
      <c r="B6406" s="408" t="s">
        <v>77</v>
      </c>
      <c r="C6406" s="409">
        <f>Return!P356</f>
        <v>3.8205272586588901E-3</v>
      </c>
    </row>
    <row r="6407" spans="1:3">
      <c r="A6407" s="406">
        <f>Return!A357</f>
        <v>45560</v>
      </c>
      <c r="B6407" s="408" t="s">
        <v>77</v>
      </c>
      <c r="C6407" s="409">
        <f>Return!P357</f>
        <v>2.3869956881832355E-3</v>
      </c>
    </row>
    <row r="6408" spans="1:3">
      <c r="A6408" s="406">
        <f>Return!A358</f>
        <v>45559</v>
      </c>
      <c r="B6408" s="408" t="s">
        <v>77</v>
      </c>
      <c r="C6408" s="409">
        <f>Return!P358</f>
        <v>-4.3301693437632904E-3</v>
      </c>
    </row>
    <row r="6409" spans="1:3">
      <c r="A6409" s="406">
        <f>Return!A359</f>
        <v>45558</v>
      </c>
      <c r="B6409" s="408" t="s">
        <v>77</v>
      </c>
      <c r="C6409" s="409">
        <f>Return!P359</f>
        <v>-1.1233673391859211E-2</v>
      </c>
    </row>
    <row r="6410" spans="1:3">
      <c r="A6410" s="406">
        <f>Return!A360</f>
        <v>45555</v>
      </c>
      <c r="B6410" s="408" t="s">
        <v>77</v>
      </c>
      <c r="C6410" s="409">
        <f>Return!P360</f>
        <v>-3.2176367943154149E-3</v>
      </c>
    </row>
    <row r="6411" spans="1:3">
      <c r="A6411" s="406">
        <f>Return!A361</f>
        <v>45554</v>
      </c>
      <c r="B6411" s="408" t="s">
        <v>77</v>
      </c>
      <c r="C6411" s="409">
        <f>Return!P361</f>
        <v>-4.64675464714015E-3</v>
      </c>
    </row>
    <row r="6412" spans="1:3">
      <c r="A6412" s="406">
        <f>Return!A362</f>
        <v>45553</v>
      </c>
      <c r="B6412" s="408" t="s">
        <v>77</v>
      </c>
      <c r="C6412" s="409">
        <f>Return!P362</f>
        <v>1.1311437226584342E-3</v>
      </c>
    </row>
    <row r="6413" spans="1:3">
      <c r="A6413" s="406">
        <f>Return!A363</f>
        <v>45552</v>
      </c>
      <c r="B6413" s="408" t="s">
        <v>77</v>
      </c>
      <c r="C6413" s="409">
        <f>Return!P363</f>
        <v>1.0270993069440681E-2</v>
      </c>
    </row>
    <row r="6414" spans="1:3">
      <c r="A6414" s="406">
        <f>Return!A364</f>
        <v>45551</v>
      </c>
      <c r="B6414" s="408" t="s">
        <v>77</v>
      </c>
      <c r="C6414" s="409">
        <f>Return!P364</f>
        <v>-3.2761228004607457E-3</v>
      </c>
    </row>
    <row r="6415" spans="1:3">
      <c r="A6415" s="406">
        <f>Return!A365</f>
        <v>45548</v>
      </c>
      <c r="B6415" s="408" t="s">
        <v>77</v>
      </c>
      <c r="C6415" s="409">
        <f>Return!P365</f>
        <v>8.8563883032042323E-3</v>
      </c>
    </row>
    <row r="6416" spans="1:3">
      <c r="A6416" s="406">
        <f>Return!A366</f>
        <v>45547</v>
      </c>
      <c r="B6416" s="408" t="s">
        <v>77</v>
      </c>
      <c r="C6416" s="409">
        <f>Return!P366</f>
        <v>-1.9221605829260469E-3</v>
      </c>
    </row>
    <row r="6417" spans="1:3">
      <c r="A6417" s="406">
        <f>Return!A367</f>
        <v>45546</v>
      </c>
      <c r="B6417" s="408" t="s">
        <v>77</v>
      </c>
      <c r="C6417" s="409">
        <f>Return!P367</f>
        <v>-3.0973449793227914E-3</v>
      </c>
    </row>
    <row r="6418" spans="1:3">
      <c r="A6418" s="406">
        <f>Return!A368</f>
        <v>45545</v>
      </c>
      <c r="B6418" s="408" t="s">
        <v>77</v>
      </c>
      <c r="C6418" s="409">
        <f>Return!P368</f>
        <v>4.0138510934351057E-3</v>
      </c>
    </row>
    <row r="6419" spans="1:3">
      <c r="A6419" s="406">
        <f>Return!A369</f>
        <v>45544</v>
      </c>
      <c r="B6419" s="408" t="s">
        <v>77</v>
      </c>
      <c r="C6419" s="409">
        <f>Return!P369</f>
        <v>6.5322651148309596E-3</v>
      </c>
    </row>
    <row r="6420" spans="1:3">
      <c r="A6420" s="406">
        <f>Return!A370</f>
        <v>45541</v>
      </c>
      <c r="B6420" s="408" t="s">
        <v>77</v>
      </c>
      <c r="C6420" s="409">
        <f>Return!P370</f>
        <v>1.8456091352649917E-3</v>
      </c>
    </row>
    <row r="6421" spans="1:3">
      <c r="A6421" s="406">
        <f>Return!A371</f>
        <v>45540</v>
      </c>
      <c r="B6421" s="408" t="s">
        <v>77</v>
      </c>
      <c r="C6421" s="409">
        <f>Return!P371</f>
        <v>-6.0715872639547364E-3</v>
      </c>
    </row>
    <row r="6422" spans="1:3">
      <c r="A6422" s="406">
        <f>Return!A372</f>
        <v>45539</v>
      </c>
      <c r="B6422" s="408" t="s">
        <v>77</v>
      </c>
      <c r="C6422" s="409">
        <f>Return!P372</f>
        <v>1.2954329740759718E-2</v>
      </c>
    </row>
    <row r="6423" spans="1:3">
      <c r="A6423" s="406">
        <f>Return!A373</f>
        <v>45538</v>
      </c>
      <c r="B6423" s="408" t="s">
        <v>77</v>
      </c>
      <c r="C6423" s="409">
        <f>Return!P373</f>
        <v>-1.4741077404418768E-3</v>
      </c>
    </row>
    <row r="6424" spans="1:3">
      <c r="A6424" s="406">
        <f>Return!A374</f>
        <v>45537</v>
      </c>
      <c r="B6424" s="408" t="s">
        <v>77</v>
      </c>
      <c r="C6424" s="409">
        <f>Return!P374</f>
        <v>7.5716010290562963E-3</v>
      </c>
    </row>
    <row r="6425" spans="1:3">
      <c r="A6425" s="406">
        <f>Return!A375</f>
        <v>45534</v>
      </c>
      <c r="B6425" s="408" t="s">
        <v>77</v>
      </c>
      <c r="C6425" s="409">
        <f>Return!P375</f>
        <v>6.8117588851441813E-3</v>
      </c>
    </row>
    <row r="6426" spans="1:3">
      <c r="A6426" s="406">
        <f>Return!A376</f>
        <v>45533</v>
      </c>
      <c r="B6426" s="408" t="s">
        <v>77</v>
      </c>
      <c r="C6426" s="409">
        <f>Return!P376</f>
        <v>-2.2355646055308709E-3</v>
      </c>
    </row>
    <row r="6427" spans="1:3">
      <c r="A6427" s="406">
        <f>Return!A377</f>
        <v>45532</v>
      </c>
      <c r="B6427" s="408" t="s">
        <v>77</v>
      </c>
      <c r="C6427" s="409">
        <f>Return!P377</f>
        <v>-7.6668708905014427E-4</v>
      </c>
    </row>
    <row r="6428" spans="1:3">
      <c r="A6428" s="406">
        <f>Return!A378</f>
        <v>45531</v>
      </c>
      <c r="B6428" s="408" t="s">
        <v>77</v>
      </c>
      <c r="C6428" s="409">
        <f>Return!P378</f>
        <v>-5.3029608465604561E-4</v>
      </c>
    </row>
    <row r="6429" spans="1:3">
      <c r="A6429" s="406">
        <f>Return!A379</f>
        <v>45530</v>
      </c>
      <c r="B6429" s="408" t="s">
        <v>77</v>
      </c>
      <c r="C6429" s="409">
        <f>Return!P379</f>
        <v>1.2115668154428993E-2</v>
      </c>
    </row>
    <row r="6430" spans="1:3">
      <c r="A6430" s="406">
        <f>Return!A380</f>
        <v>45527</v>
      </c>
      <c r="B6430" s="408" t="s">
        <v>77</v>
      </c>
      <c r="C6430" s="409">
        <f>Return!P380</f>
        <v>5.4388755446090897E-3</v>
      </c>
    </row>
    <row r="6431" spans="1:3">
      <c r="A6431" s="406">
        <f>Return!A381</f>
        <v>45526</v>
      </c>
      <c r="B6431" s="408" t="s">
        <v>77</v>
      </c>
      <c r="C6431" s="409">
        <f>Return!P381</f>
        <v>2.4673984067811183E-3</v>
      </c>
    </row>
    <row r="6432" spans="1:3">
      <c r="A6432" s="406">
        <f>Return!A382</f>
        <v>45525</v>
      </c>
      <c r="B6432" s="408" t="s">
        <v>77</v>
      </c>
      <c r="C6432" s="409">
        <f>Return!P382</f>
        <v>6.2451032754566871E-3</v>
      </c>
    </row>
    <row r="6433" spans="1:3">
      <c r="A6433" s="406">
        <f>Return!A383</f>
        <v>45524</v>
      </c>
      <c r="B6433" s="408" t="s">
        <v>77</v>
      </c>
      <c r="C6433" s="409">
        <f>Return!P383</f>
        <v>-8.6032666092329402E-3</v>
      </c>
    </row>
    <row r="6434" spans="1:3">
      <c r="A6434" s="406">
        <f>Return!A384</f>
        <v>45523</v>
      </c>
      <c r="B6434" s="408" t="s">
        <v>77</v>
      </c>
      <c r="C6434" s="409">
        <f>Return!P384</f>
        <v>2.6055289141990734E-4</v>
      </c>
    </row>
    <row r="6435" spans="1:3">
      <c r="A6435" s="406">
        <f>Return!A385</f>
        <v>45520</v>
      </c>
      <c r="B6435" s="408" t="s">
        <v>77</v>
      </c>
      <c r="C6435" s="409">
        <f>Return!P385</f>
        <v>-1.7375054489628949E-3</v>
      </c>
    </row>
    <row r="6436" spans="1:3">
      <c r="A6436" s="406">
        <f>Return!A386</f>
        <v>45518</v>
      </c>
      <c r="B6436" s="408" t="s">
        <v>77</v>
      </c>
      <c r="C6436" s="409">
        <f>Return!P386</f>
        <v>7.6791838483627473E-3</v>
      </c>
    </row>
    <row r="6437" spans="1:3">
      <c r="A6437" s="406">
        <f>Return!A387</f>
        <v>45517</v>
      </c>
      <c r="B6437" s="408" t="s">
        <v>77</v>
      </c>
      <c r="C6437" s="409">
        <f>Return!P387</f>
        <v>-3.8724292893699275E-4</v>
      </c>
    </row>
    <row r="6438" spans="1:3">
      <c r="A6438" s="406">
        <f>Return!A388</f>
        <v>45516</v>
      </c>
      <c r="B6438" s="408" t="s">
        <v>77</v>
      </c>
      <c r="C6438" s="409">
        <f>Return!P388</f>
        <v>1.7952502208402166E-2</v>
      </c>
    </row>
    <row r="6439" spans="1:3">
      <c r="A6439" s="406">
        <f>Return!A389</f>
        <v>45513</v>
      </c>
      <c r="B6439" s="408" t="s">
        <v>77</v>
      </c>
      <c r="C6439" s="409">
        <f>Return!P389</f>
        <v>-9.4342985865425444E-4</v>
      </c>
    </row>
    <row r="6440" spans="1:3">
      <c r="A6440" s="406">
        <f>Return!A390</f>
        <v>45512</v>
      </c>
      <c r="B6440" s="408" t="s">
        <v>77</v>
      </c>
      <c r="C6440" s="409">
        <f>Return!P390</f>
        <v>-1.1818179482935953E-2</v>
      </c>
    </row>
    <row r="6441" spans="1:3">
      <c r="A6441" s="406">
        <f>Return!A391</f>
        <v>45511</v>
      </c>
      <c r="B6441" s="408" t="s">
        <v>77</v>
      </c>
      <c r="C6441" s="409">
        <f>Return!P391</f>
        <v>4.3479350533419669E-3</v>
      </c>
    </row>
    <row r="6442" spans="1:3">
      <c r="A6442" s="406">
        <f>Return!A392</f>
        <v>45510</v>
      </c>
      <c r="B6442" s="408" t="s">
        <v>77</v>
      </c>
      <c r="C6442" s="409">
        <f>Return!P392</f>
        <v>4.2931274981321543E-3</v>
      </c>
    </row>
    <row r="6443" spans="1:3">
      <c r="A6443" s="406">
        <f>Return!A393</f>
        <v>45509</v>
      </c>
      <c r="B6443" s="408" t="s">
        <v>77</v>
      </c>
      <c r="C6443" s="409">
        <f>Return!P393</f>
        <v>1.1005018083174223E-2</v>
      </c>
    </row>
    <row r="6444" spans="1:3">
      <c r="A6444" s="406">
        <f>Return!A394</f>
        <v>45506</v>
      </c>
      <c r="B6444" s="408" t="s">
        <v>77</v>
      </c>
      <c r="C6444" s="409">
        <f>Return!P394</f>
        <v>-2.2497807345885912E-3</v>
      </c>
    </row>
    <row r="6445" spans="1:3">
      <c r="A6445" s="406">
        <f>Return!A395</f>
        <v>45505</v>
      </c>
      <c r="B6445" s="408" t="s">
        <v>77</v>
      </c>
      <c r="C6445" s="409">
        <f>Return!P395</f>
        <v>5.1232647785726115E-3</v>
      </c>
    </row>
    <row r="6446" spans="1:3">
      <c r="A6446" s="406">
        <f>Return!A396</f>
        <v>45504</v>
      </c>
      <c r="B6446" s="408" t="s">
        <v>77</v>
      </c>
      <c r="C6446" s="409">
        <f>Return!P396</f>
        <v>1.9001133111758994E-2</v>
      </c>
    </row>
    <row r="6447" spans="1:3">
      <c r="A6447" s="406">
        <f>Return!A397</f>
        <v>45503</v>
      </c>
      <c r="B6447" s="408" t="s">
        <v>77</v>
      </c>
      <c r="C6447" s="409">
        <f>Return!P397</f>
        <v>5.2918738500313811E-3</v>
      </c>
    </row>
    <row r="6448" spans="1:3">
      <c r="A6448" s="406">
        <f>Return!A398</f>
        <v>45502</v>
      </c>
      <c r="B6448" s="408" t="s">
        <v>77</v>
      </c>
      <c r="C6448" s="409">
        <f>Return!P398</f>
        <v>9.7361220180915975E-3</v>
      </c>
    </row>
    <row r="6449" spans="1:3">
      <c r="A6449" s="406">
        <f>Return!A399</f>
        <v>45499</v>
      </c>
      <c r="B6449" s="408" t="s">
        <v>77</v>
      </c>
      <c r="C6449" s="409">
        <f>Return!P399</f>
        <v>5.2887299223871587E-3</v>
      </c>
    </row>
    <row r="6450" spans="1:3">
      <c r="A6450" s="406">
        <f>Return!A400</f>
        <v>45498</v>
      </c>
      <c r="B6450" s="408" t="s">
        <v>77</v>
      </c>
      <c r="C6450" s="409">
        <f>Return!P400</f>
        <v>8.924516434485108E-3</v>
      </c>
    </row>
    <row r="6451" spans="1:3">
      <c r="A6451" s="406">
        <f>Return!A401</f>
        <v>45497</v>
      </c>
      <c r="B6451" s="408" t="s">
        <v>77</v>
      </c>
      <c r="C6451" s="409">
        <f>Return!P401</f>
        <v>-1.1910453834761192E-2</v>
      </c>
    </row>
    <row r="6452" spans="1:3">
      <c r="A6452" s="406">
        <f>Return!A402</f>
        <v>45496</v>
      </c>
      <c r="B6452" s="408" t="s">
        <v>77</v>
      </c>
      <c r="C6452" s="409">
        <f>Return!P402</f>
        <v>6.6121023857879102E-4</v>
      </c>
    </row>
    <row r="6453" spans="1:3">
      <c r="A6453" s="406">
        <f>Return!A403</f>
        <v>45495</v>
      </c>
      <c r="B6453" s="408" t="s">
        <v>77</v>
      </c>
      <c r="C6453" s="409">
        <f>Return!P403</f>
        <v>-1.7865250472570704E-4</v>
      </c>
    </row>
    <row r="6454" spans="1:3">
      <c r="A6454" s="406">
        <f>Return!A404</f>
        <v>45492</v>
      </c>
      <c r="B6454" s="408" t="s">
        <v>77</v>
      </c>
      <c r="C6454" s="409">
        <f>Return!P404</f>
        <v>1.0299478006945861E-2</v>
      </c>
    </row>
    <row r="6455" spans="1:3">
      <c r="A6455" s="406">
        <f>Return!A405</f>
        <v>45491</v>
      </c>
      <c r="B6455" s="408" t="s">
        <v>77</v>
      </c>
      <c r="C6455" s="409">
        <f>Return!P405</f>
        <v>-1.0474492754078968E-3</v>
      </c>
    </row>
    <row r="6456" spans="1:3">
      <c r="A6456" s="406">
        <f>Return!A406</f>
        <v>45489</v>
      </c>
      <c r="B6456" s="408" t="s">
        <v>77</v>
      </c>
      <c r="C6456" s="409">
        <f>Return!P406</f>
        <v>-4.0663479000446756E-3</v>
      </c>
    </row>
    <row r="6457" spans="1:3">
      <c r="A6457" s="406">
        <f>Return!A407</f>
        <v>45488</v>
      </c>
      <c r="B6457" s="408" t="s">
        <v>77</v>
      </c>
      <c r="C6457" s="409">
        <f>Return!P407</f>
        <v>4.0900502417813289E-3</v>
      </c>
    </row>
    <row r="6458" spans="1:3">
      <c r="A6458" s="406">
        <f>Return!A408</f>
        <v>45485</v>
      </c>
      <c r="B6458" s="408" t="s">
        <v>77</v>
      </c>
      <c r="C6458" s="409">
        <f>Return!P408</f>
        <v>1.3994509582737846E-2</v>
      </c>
    </row>
    <row r="6459" spans="1:3">
      <c r="A6459" s="406">
        <f>Return!A409</f>
        <v>45484</v>
      </c>
      <c r="B6459" s="408" t="s">
        <v>77</v>
      </c>
      <c r="C6459" s="409">
        <f>Return!P409</f>
        <v>-4.9643659945191043E-3</v>
      </c>
    </row>
    <row r="6460" spans="1:3">
      <c r="A6460" s="406">
        <f>Return!A410</f>
        <v>45483</v>
      </c>
      <c r="B6460" s="408" t="s">
        <v>77</v>
      </c>
      <c r="C6460" s="409">
        <f>Return!P410</f>
        <v>6.2302102985114516E-3</v>
      </c>
    </row>
    <row r="6461" spans="1:3">
      <c r="A6461" s="406">
        <f>Return!A411</f>
        <v>45482</v>
      </c>
      <c r="B6461" s="408" t="s">
        <v>77</v>
      </c>
      <c r="C6461" s="409">
        <f>Return!P411</f>
        <v>1.2589016896476624E-2</v>
      </c>
    </row>
    <row r="6462" spans="1:3">
      <c r="A6462" s="406">
        <f>Return!A412</f>
        <v>45481</v>
      </c>
      <c r="B6462" s="408" t="s">
        <v>77</v>
      </c>
      <c r="C6462" s="409">
        <f>Return!P412</f>
        <v>4.5277641205878627E-3</v>
      </c>
    </row>
    <row r="6463" spans="1:3">
      <c r="A6463" s="406">
        <f>Return!A413</f>
        <v>45478</v>
      </c>
      <c r="B6463" s="408" t="s">
        <v>77</v>
      </c>
      <c r="C6463" s="409">
        <f>Return!P413</f>
        <v>3.2280598954237405E-4</v>
      </c>
    </row>
    <row r="6464" spans="1:3">
      <c r="A6464" s="406">
        <f>Return!A414</f>
        <v>45477</v>
      </c>
      <c r="B6464" s="408" t="s">
        <v>77</v>
      </c>
      <c r="C6464" s="409">
        <f>Return!P414</f>
        <v>1.4678651522839203E-3</v>
      </c>
    </row>
    <row r="6465" spans="1:3">
      <c r="A6465" s="406">
        <f>Return!A415</f>
        <v>45476</v>
      </c>
      <c r="B6465" s="408" t="s">
        <v>77</v>
      </c>
      <c r="C6465" s="409">
        <f>Return!P415</f>
        <v>7.680301266010936E-3</v>
      </c>
    </row>
    <row r="6466" spans="1:3">
      <c r="A6466" s="406">
        <f>Return!A416</f>
        <v>45475</v>
      </c>
      <c r="B6466" s="408" t="s">
        <v>77</v>
      </c>
      <c r="C6466" s="409">
        <f>Return!P416</f>
        <v>-1.2433530204378762E-3</v>
      </c>
    </row>
    <row r="6467" spans="1:3">
      <c r="A6467" s="406">
        <f>Return!A417</f>
        <v>45474</v>
      </c>
      <c r="B6467" s="408" t="s">
        <v>77</v>
      </c>
      <c r="C6467" s="409">
        <f>Return!P417</f>
        <v>-2.2959421013716286E-3</v>
      </c>
    </row>
    <row r="6468" spans="1:3">
      <c r="A6468" s="406">
        <f>Return!A418</f>
        <v>45471</v>
      </c>
      <c r="B6468" s="408" t="s">
        <v>77</v>
      </c>
      <c r="C6468" s="409">
        <f>Return!P418</f>
        <v>1.4625779867913913E-3</v>
      </c>
    </row>
    <row r="6469" spans="1:3">
      <c r="A6469" s="406">
        <f>Return!A419</f>
        <v>45470</v>
      </c>
      <c r="B6469" s="408" t="s">
        <v>77</v>
      </c>
      <c r="C6469" s="409">
        <f>Return!P419</f>
        <v>7.8380210479389589E-4</v>
      </c>
    </row>
    <row r="6470" spans="1:3">
      <c r="A6470" s="406">
        <f>Return!A420</f>
        <v>45469</v>
      </c>
      <c r="B6470" s="408" t="s">
        <v>77</v>
      </c>
      <c r="C6470" s="409">
        <f>Return!P420</f>
        <v>-4.0161027001309746E-3</v>
      </c>
    </row>
    <row r="6471" spans="1:3">
      <c r="A6471" s="406">
        <f>Return!A421</f>
        <v>45468</v>
      </c>
      <c r="B6471" s="408" t="s">
        <v>77</v>
      </c>
      <c r="C6471" s="409">
        <f>Return!P421</f>
        <v>-4.9321882382601379E-3</v>
      </c>
    </row>
    <row r="6472" spans="1:3">
      <c r="A6472" s="406">
        <f>Return!A422</f>
        <v>45467</v>
      </c>
      <c r="B6472" s="408" t="s">
        <v>77</v>
      </c>
      <c r="C6472" s="409">
        <f>Return!P422</f>
        <v>-8.1726961716428459E-3</v>
      </c>
    </row>
    <row r="6473" spans="1:3">
      <c r="A6473" s="406">
        <f>Return!A423</f>
        <v>45464</v>
      </c>
      <c r="B6473" s="408" t="s">
        <v>77</v>
      </c>
      <c r="C6473" s="409">
        <f>Return!P423</f>
        <v>-3.0883345436590881E-3</v>
      </c>
    </row>
    <row r="6474" spans="1:3">
      <c r="A6474" s="406">
        <f>Return!A424</f>
        <v>45463</v>
      </c>
      <c r="B6474" s="408" t="s">
        <v>77</v>
      </c>
      <c r="C6474" s="409">
        <f>Return!P424</f>
        <v>1.3893938919644633E-3</v>
      </c>
    </row>
    <row r="6475" spans="1:3">
      <c r="A6475" s="406">
        <f>Return!A425</f>
        <v>45462</v>
      </c>
      <c r="B6475" s="408" t="s">
        <v>77</v>
      </c>
      <c r="C6475" s="409">
        <f>Return!P425</f>
        <v>4.2679900344375632E-3</v>
      </c>
    </row>
    <row r="6476" spans="1:3">
      <c r="A6476" s="406">
        <f>Return!A426</f>
        <v>45461</v>
      </c>
      <c r="B6476" s="408" t="s">
        <v>77</v>
      </c>
      <c r="C6476" s="409">
        <f>Return!P426</f>
        <v>1.9812308063218431E-3</v>
      </c>
    </row>
    <row r="6477" spans="1:3">
      <c r="A6477" s="406">
        <f>Return!A427</f>
        <v>45457</v>
      </c>
      <c r="B6477" s="408" t="s">
        <v>77</v>
      </c>
      <c r="C6477" s="409">
        <f>Return!P427</f>
        <v>-3.8183954009486376E-3</v>
      </c>
    </row>
    <row r="6478" spans="1:3">
      <c r="A6478" s="406">
        <f>Return!A428</f>
        <v>45456</v>
      </c>
      <c r="B6478" s="408" t="s">
        <v>77</v>
      </c>
      <c r="C6478" s="409">
        <f>Return!P428</f>
        <v>1.1173747956889857E-2</v>
      </c>
    </row>
    <row r="6479" spans="1:3">
      <c r="A6479" s="406">
        <f>Return!A429</f>
        <v>45455</v>
      </c>
      <c r="B6479" s="408" t="s">
        <v>77</v>
      </c>
      <c r="C6479" s="409">
        <f>Return!P429</f>
        <v>1.6830936162397503E-2</v>
      </c>
    </row>
    <row r="6480" spans="1:3">
      <c r="A6480" s="406">
        <f>Return!A430</f>
        <v>45454</v>
      </c>
      <c r="B6480" s="408" t="s">
        <v>77</v>
      </c>
      <c r="C6480" s="409">
        <f>Return!P430</f>
        <v>-3.6968237729195774E-3</v>
      </c>
    </row>
    <row r="6481" spans="1:3">
      <c r="A6481" s="406">
        <f>Return!A431</f>
        <v>45453</v>
      </c>
      <c r="B6481" s="408" t="s">
        <v>77</v>
      </c>
      <c r="C6481" s="409">
        <f>Return!P431</f>
        <v>3.4010751563293251E-2</v>
      </c>
    </row>
    <row r="6482" spans="1:3">
      <c r="A6482" s="406">
        <f>Return!A432</f>
        <v>45450</v>
      </c>
      <c r="B6482" s="408" t="s">
        <v>77</v>
      </c>
      <c r="C6482" s="409">
        <f>Return!P432</f>
        <v>-1.506036548551859E-2</v>
      </c>
    </row>
    <row r="6483" spans="1:3">
      <c r="A6483" s="406">
        <f>Return!A433</f>
        <v>45449</v>
      </c>
      <c r="B6483" s="408" t="s">
        <v>77</v>
      </c>
      <c r="C6483" s="409">
        <f>Return!P433</f>
        <v>2.9766121829077896E-4</v>
      </c>
    </row>
    <row r="6484" spans="1:3">
      <c r="A6484" s="406">
        <f>Return!A434</f>
        <v>45448</v>
      </c>
      <c r="B6484" s="408" t="s">
        <v>77</v>
      </c>
      <c r="C6484" s="409">
        <f>Return!P434</f>
        <v>-8.7542331876888646E-4</v>
      </c>
    </row>
    <row r="6485" spans="1:3">
      <c r="A6485" s="406">
        <f>Return!A435</f>
        <v>45447</v>
      </c>
      <c r="B6485" s="408" t="s">
        <v>77</v>
      </c>
      <c r="C6485" s="409">
        <f>Return!P435</f>
        <v>-1.0823111655492657E-2</v>
      </c>
    </row>
    <row r="6486" spans="1:3">
      <c r="A6486" s="406">
        <f>Return!A436</f>
        <v>45446</v>
      </c>
      <c r="B6486" s="408" t="s">
        <v>77</v>
      </c>
      <c r="C6486" s="409">
        <f>Return!P436</f>
        <v>3.8196037450066722E-3</v>
      </c>
    </row>
    <row r="6487" spans="1:3">
      <c r="A6487" s="406">
        <f>Return!A437</f>
        <v>45443</v>
      </c>
      <c r="B6487" s="408" t="s">
        <v>77</v>
      </c>
      <c r="C6487" s="409">
        <f>Return!P437</f>
        <v>7.1461648081916351E-4</v>
      </c>
    </row>
    <row r="6488" spans="1:3">
      <c r="A6488" s="406">
        <f>Return!A438</f>
        <v>45442</v>
      </c>
      <c r="B6488" s="408" t="s">
        <v>77</v>
      </c>
      <c r="C6488" s="409">
        <f>Return!P438</f>
        <v>-5.1386787117679855E-4</v>
      </c>
    </row>
    <row r="6489" spans="1:3">
      <c r="A6489" s="406">
        <f>Return!A439</f>
        <v>45441</v>
      </c>
      <c r="B6489" s="408" t="s">
        <v>77</v>
      </c>
      <c r="C6489" s="409">
        <f>Return!P439</f>
        <v>-6.1728573960018185E-3</v>
      </c>
    </row>
    <row r="6490" spans="1:3">
      <c r="A6490" s="406">
        <f>Return!A440</f>
        <v>45440</v>
      </c>
      <c r="B6490" s="408" t="s">
        <v>77</v>
      </c>
      <c r="C6490" s="409">
        <f>Return!P440</f>
        <v>-1.1802235229217972E-3</v>
      </c>
    </row>
    <row r="6491" spans="1:3">
      <c r="A6491" s="406">
        <f>Return!A441</f>
        <v>45439</v>
      </c>
      <c r="B6491" s="408" t="s">
        <v>77</v>
      </c>
      <c r="C6491" s="409">
        <f>Return!P441</f>
        <v>1.4874133110134302E-3</v>
      </c>
    </row>
    <row r="6492" spans="1:3">
      <c r="A6492" s="406">
        <f>Return!A442</f>
        <v>45436</v>
      </c>
      <c r="B6492" s="408" t="s">
        <v>77</v>
      </c>
      <c r="C6492" s="409">
        <f>Return!P442</f>
        <v>8.8374799060348952E-3</v>
      </c>
    </row>
    <row r="6493" spans="1:3">
      <c r="A6493" s="406">
        <f>Return!A443</f>
        <v>45435</v>
      </c>
      <c r="B6493" s="408" t="s">
        <v>77</v>
      </c>
      <c r="C6493" s="409">
        <f>Return!P443</f>
        <v>3.8704571253971309E-3</v>
      </c>
    </row>
    <row r="6494" spans="1:3">
      <c r="A6494" s="406">
        <f>Return!A444</f>
        <v>45434</v>
      </c>
      <c r="B6494" s="408" t="s">
        <v>77</v>
      </c>
      <c r="C6494" s="409">
        <f>Return!P444</f>
        <v>5.3541678174771068E-3</v>
      </c>
    </row>
    <row r="6495" spans="1:3">
      <c r="A6495" s="406">
        <f>Return!A445</f>
        <v>45433</v>
      </c>
      <c r="B6495" s="408" t="s">
        <v>77</v>
      </c>
      <c r="C6495" s="409">
        <f>Return!P445</f>
        <v>3.9584423875287378E-3</v>
      </c>
    </row>
    <row r="6496" spans="1:3">
      <c r="A6496" s="406">
        <f>Return!A446</f>
        <v>45430</v>
      </c>
      <c r="B6496" s="408" t="s">
        <v>77</v>
      </c>
      <c r="C6496" s="409">
        <f>Return!P446</f>
        <v>-2.1048527152284224E-3</v>
      </c>
    </row>
    <row r="6497" spans="1:3">
      <c r="A6497" s="406">
        <f>Return!A447</f>
        <v>45429</v>
      </c>
      <c r="B6497" s="408" t="s">
        <v>77</v>
      </c>
      <c r="C6497" s="409">
        <f>Return!P447</f>
        <v>1.2326122977265985E-2</v>
      </c>
    </row>
    <row r="6498" spans="1:3">
      <c r="A6498" s="406">
        <f>Return!A448</f>
        <v>45428</v>
      </c>
      <c r="B6498" s="408" t="s">
        <v>77</v>
      </c>
      <c r="C6498" s="409">
        <f>Return!P448</f>
        <v>1.1073339280162742E-2</v>
      </c>
    </row>
    <row r="6499" spans="1:3">
      <c r="A6499" s="406">
        <f>Return!A449</f>
        <v>45427</v>
      </c>
      <c r="B6499" s="408" t="s">
        <v>77</v>
      </c>
      <c r="C6499" s="409">
        <f>Return!P449</f>
        <v>-1.3749073544174317E-2</v>
      </c>
    </row>
    <row r="6500" spans="1:3">
      <c r="A6500" s="406">
        <f>Return!A450</f>
        <v>45426</v>
      </c>
      <c r="B6500" s="408" t="s">
        <v>77</v>
      </c>
      <c r="C6500" s="409">
        <f>Return!P450</f>
        <v>9.8518932054814101E-5</v>
      </c>
    </row>
    <row r="6501" spans="1:3">
      <c r="A6501" s="406">
        <f>Return!A451</f>
        <v>45425</v>
      </c>
      <c r="B6501" s="408" t="s">
        <v>77</v>
      </c>
      <c r="C6501" s="409">
        <f>Return!P451</f>
        <v>-1.5803130991917214E-2</v>
      </c>
    </row>
    <row r="6502" spans="1:3">
      <c r="A6502" s="406">
        <f>Return!A452</f>
        <v>45422</v>
      </c>
      <c r="B6502" s="408" t="s">
        <v>77</v>
      </c>
      <c r="C6502" s="409">
        <f>Return!P452</f>
        <v>4.4806596313520242E-3</v>
      </c>
    </row>
    <row r="6503" spans="1:3">
      <c r="A6503" s="406">
        <f>Return!A453</f>
        <v>45421</v>
      </c>
      <c r="B6503" s="408" t="s">
        <v>77</v>
      </c>
      <c r="C6503" s="409">
        <f>Return!P453</f>
        <v>1.5939783135334729E-3</v>
      </c>
    </row>
    <row r="6504" spans="1:3">
      <c r="A6504" s="406">
        <f>Return!A454</f>
        <v>45420</v>
      </c>
      <c r="B6504" s="408" t="s">
        <v>77</v>
      </c>
      <c r="C6504" s="409">
        <f>Return!P454</f>
        <v>3.161390410216125E-3</v>
      </c>
    </row>
    <row r="6505" spans="1:3">
      <c r="A6505" s="406">
        <f>Return!A455</f>
        <v>45419</v>
      </c>
      <c r="B6505" s="408" t="s">
        <v>77</v>
      </c>
      <c r="C6505" s="409">
        <f>Return!P455</f>
        <v>-3.796568739164341E-3</v>
      </c>
    </row>
    <row r="6506" spans="1:3">
      <c r="A6506" s="406">
        <f>Return!A456</f>
        <v>45418</v>
      </c>
      <c r="B6506" s="408" t="s">
        <v>77</v>
      </c>
      <c r="C6506" s="409">
        <f>Return!P456</f>
        <v>2.6995992812071101E-3</v>
      </c>
    </row>
    <row r="6507" spans="1:3">
      <c r="A6507" s="406">
        <f>Return!A457</f>
        <v>45415</v>
      </c>
      <c r="B6507" s="408" t="s">
        <v>77</v>
      </c>
      <c r="C6507" s="409">
        <f>Return!P457</f>
        <v>4.4060980243645353E-3</v>
      </c>
    </row>
    <row r="6508" spans="1:3">
      <c r="A6508" s="406">
        <f>Return!A458</f>
        <v>45414</v>
      </c>
      <c r="B6508" s="408" t="s">
        <v>77</v>
      </c>
      <c r="C6508" s="409">
        <f>Return!P458</f>
        <v>1.0823739274753885E-2</v>
      </c>
    </row>
    <row r="6509" spans="1:3">
      <c r="A6509" s="406">
        <f>Return!A459</f>
        <v>45412</v>
      </c>
      <c r="B6509" s="408" t="s">
        <v>77</v>
      </c>
      <c r="C6509" s="409">
        <f>Return!P459</f>
        <v>5.9042995245703889E-3</v>
      </c>
    </row>
    <row r="6510" spans="1:3">
      <c r="A6510" s="406">
        <f>Return!A460</f>
        <v>45411</v>
      </c>
      <c r="B6510" s="408" t="s">
        <v>77</v>
      </c>
      <c r="C6510" s="409">
        <f>Return!P460</f>
        <v>-6.4629733713645887E-3</v>
      </c>
    </row>
    <row r="6511" spans="1:3">
      <c r="A6511" s="406">
        <f>Return!A461</f>
        <v>45408</v>
      </c>
      <c r="B6511" s="408" t="s">
        <v>77</v>
      </c>
      <c r="C6511" s="409">
        <f>Return!P461</f>
        <v>1.1516023842490952E-2</v>
      </c>
    </row>
    <row r="6512" spans="1:3">
      <c r="A6512" s="406">
        <f>Return!A462</f>
        <v>45407</v>
      </c>
      <c r="B6512" s="408" t="s">
        <v>77</v>
      </c>
      <c r="C6512" s="409">
        <f>Return!P462</f>
        <v>-5.3674743581600959E-3</v>
      </c>
    </row>
    <row r="6513" spans="1:3">
      <c r="A6513" s="406">
        <f>Return!A463</f>
        <v>45406</v>
      </c>
      <c r="B6513" s="408" t="s">
        <v>77</v>
      </c>
      <c r="C6513" s="409">
        <f>Return!P463</f>
        <v>-8.1645743039245877E-3</v>
      </c>
    </row>
    <row r="6514" spans="1:3">
      <c r="A6514" s="406">
        <f>Return!A464</f>
        <v>45405</v>
      </c>
      <c r="B6514" s="408" t="s">
        <v>77</v>
      </c>
      <c r="C6514" s="409">
        <f>Return!P464</f>
        <v>2.1537986571820156E-3</v>
      </c>
    </row>
    <row r="6515" spans="1:3">
      <c r="A6515" s="406">
        <f>Return!A465</f>
        <v>45404</v>
      </c>
      <c r="B6515" s="408" t="s">
        <v>77</v>
      </c>
      <c r="C6515" s="409">
        <f>Return!P465</f>
        <v>-7.9959773061112349E-3</v>
      </c>
    </row>
    <row r="6516" spans="1:3">
      <c r="A6516" s="406">
        <f>Return!A466</f>
        <v>45401</v>
      </c>
      <c r="B6516" s="408" t="s">
        <v>77</v>
      </c>
      <c r="C6516" s="409">
        <f>Return!P466</f>
        <v>-1.1523549298656843E-2</v>
      </c>
    </row>
    <row r="6517" spans="1:3">
      <c r="A6517" s="406">
        <f>Return!A467</f>
        <v>45400</v>
      </c>
      <c r="B6517" s="408" t="s">
        <v>77</v>
      </c>
      <c r="C6517" s="409">
        <f>Return!P467</f>
        <v>-1.7761709394308323E-3</v>
      </c>
    </row>
    <row r="6518" spans="1:3">
      <c r="A6518" s="406">
        <f>Return!A468</f>
        <v>45398</v>
      </c>
      <c r="B6518" s="408" t="s">
        <v>77</v>
      </c>
      <c r="C6518" s="409">
        <f>Return!P468</f>
        <v>-6.7894721810146663E-4</v>
      </c>
    </row>
    <row r="6519" spans="1:3">
      <c r="A6519" s="406">
        <f>Return!A469</f>
        <v>45397</v>
      </c>
      <c r="B6519" s="408" t="s">
        <v>77</v>
      </c>
      <c r="C6519" s="409">
        <f>Return!P469</f>
        <v>1.7599967013210982E-3</v>
      </c>
    </row>
    <row r="6520" spans="1:3">
      <c r="A6520" s="406">
        <f>Return!A470</f>
        <v>45394</v>
      </c>
      <c r="B6520" s="408" t="s">
        <v>77</v>
      </c>
      <c r="C6520" s="409">
        <f>Return!P470</f>
        <v>2.1069168600571508E-3</v>
      </c>
    </row>
    <row r="6521" spans="1:3">
      <c r="A6521" s="406">
        <f>Return!A471</f>
        <v>45392</v>
      </c>
      <c r="B6521" s="408" t="s">
        <v>77</v>
      </c>
      <c r="C6521" s="409">
        <f>Return!P471</f>
        <v>-1.8641566590205105E-3</v>
      </c>
    </row>
    <row r="6522" spans="1:3">
      <c r="A6522" s="406">
        <f>Return!A472</f>
        <v>45391</v>
      </c>
      <c r="B6522" s="408" t="s">
        <v>77</v>
      </c>
      <c r="C6522" s="409">
        <f>Return!P472</f>
        <v>-2.8084211507015677E-3</v>
      </c>
    </row>
    <row r="6523" spans="1:3">
      <c r="A6523" s="406">
        <f>Return!A473</f>
        <v>45390</v>
      </c>
      <c r="B6523" s="408" t="s">
        <v>77</v>
      </c>
      <c r="C6523" s="409">
        <f>Return!P473</f>
        <v>-2.1198582601289484E-3</v>
      </c>
    </row>
    <row r="6524" spans="1:3">
      <c r="A6524" s="406">
        <f>Return!A474</f>
        <v>45387</v>
      </c>
      <c r="B6524" s="408" t="s">
        <v>77</v>
      </c>
      <c r="C6524" s="409">
        <f>Return!P474</f>
        <v>1.1574734518850827E-2</v>
      </c>
    </row>
    <row r="6525" spans="1:3">
      <c r="A6525" s="406">
        <f>Return!A475</f>
        <v>45386</v>
      </c>
      <c r="B6525" s="408" t="s">
        <v>77</v>
      </c>
      <c r="C6525" s="409">
        <f>Return!P475</f>
        <v>-5.8245188947370075E-5</v>
      </c>
    </row>
    <row r="6526" spans="1:3">
      <c r="A6526" s="406">
        <f>Return!A476</f>
        <v>45385</v>
      </c>
      <c r="B6526" s="408" t="s">
        <v>77</v>
      </c>
      <c r="C6526" s="409">
        <f>Return!P476</f>
        <v>1.1400106507815977E-2</v>
      </c>
    </row>
    <row r="6527" spans="1:3">
      <c r="A6527" s="406">
        <f>Return!A477</f>
        <v>45384</v>
      </c>
      <c r="B6527" s="408" t="s">
        <v>77</v>
      </c>
      <c r="C6527" s="409">
        <f>Return!P477</f>
        <v>-4.2589264550418893E-4</v>
      </c>
    </row>
    <row r="6528" spans="1:3">
      <c r="A6528" s="406">
        <f>Return!A478</f>
        <v>45383</v>
      </c>
      <c r="B6528" s="408" t="s">
        <v>77</v>
      </c>
      <c r="C6528" s="409">
        <f>Return!P478</f>
        <v>7.6736646087849358E-4</v>
      </c>
    </row>
    <row r="6529" spans="1:3">
      <c r="A6529" s="406">
        <f>Return!A479</f>
        <v>45379</v>
      </c>
      <c r="B6529" s="408" t="s">
        <v>77</v>
      </c>
      <c r="C6529" s="409">
        <f>Return!P479</f>
        <v>9.9674173340649208E-3</v>
      </c>
    </row>
    <row r="6530" spans="1:3">
      <c r="A6530" s="406">
        <f>Return!A480</f>
        <v>45378</v>
      </c>
      <c r="B6530" s="408" t="s">
        <v>77</v>
      </c>
      <c r="C6530" s="409">
        <f>Return!P480</f>
        <v>1.0996217096518102E-2</v>
      </c>
    </row>
    <row r="6531" spans="1:3">
      <c r="A6531" s="406">
        <f>Return!A481</f>
        <v>45377</v>
      </c>
      <c r="B6531" s="408" t="s">
        <v>77</v>
      </c>
      <c r="C6531" s="409">
        <f>Return!P481</f>
        <v>-1.9067357060338352E-3</v>
      </c>
    </row>
    <row r="6532" spans="1:3">
      <c r="A6532" s="406">
        <f>Return!A482</f>
        <v>45373</v>
      </c>
      <c r="B6532" s="408" t="s">
        <v>77</v>
      </c>
      <c r="C6532" s="409">
        <f>Return!P482</f>
        <v>-1.6081451333739061E-2</v>
      </c>
    </row>
    <row r="6533" spans="1:3">
      <c r="A6533" s="406">
        <f>Return!A483</f>
        <v>45372</v>
      </c>
      <c r="B6533" s="408" t="s">
        <v>77</v>
      </c>
      <c r="C6533" s="409">
        <f>Return!P483</f>
        <v>7.158729499185279E-3</v>
      </c>
    </row>
    <row r="6534" spans="1:3">
      <c r="A6534" s="406">
        <f>Return!A484</f>
        <v>45371</v>
      </c>
      <c r="B6534" s="408" t="s">
        <v>77</v>
      </c>
      <c r="C6534" s="409">
        <f>Return!P484</f>
        <v>-4.6446264115145297E-3</v>
      </c>
    </row>
    <row r="6535" spans="1:3">
      <c r="A6535" s="406">
        <f>Return!A485</f>
        <v>45370</v>
      </c>
      <c r="B6535" s="408" t="s">
        <v>77</v>
      </c>
      <c r="C6535" s="409">
        <f>Return!P485</f>
        <v>1.3545365468553339E-2</v>
      </c>
    </row>
    <row r="6536" spans="1:3">
      <c r="A6536" s="406">
        <f>Return!A486</f>
        <v>45369</v>
      </c>
      <c r="B6536" s="408" t="s">
        <v>77</v>
      </c>
      <c r="C6536" s="409">
        <f>Return!P486</f>
        <v>-1.9132046670715441E-2</v>
      </c>
    </row>
    <row r="6537" spans="1:3">
      <c r="A6537" s="406">
        <f>Return!A487</f>
        <v>45366</v>
      </c>
      <c r="B6537" s="408" t="s">
        <v>77</v>
      </c>
      <c r="C6537" s="409">
        <f>Return!P487</f>
        <v>-1.1322785669082736E-2</v>
      </c>
    </row>
    <row r="6538" spans="1:3">
      <c r="A6538" s="406">
        <f>Return!A488</f>
        <v>45365</v>
      </c>
      <c r="B6538" s="408" t="s">
        <v>77</v>
      </c>
      <c r="C6538" s="409">
        <f>Return!P488</f>
        <v>2.1287484368031073E-3</v>
      </c>
    </row>
    <row r="6539" spans="1:3">
      <c r="A6539" s="406">
        <f>Return!A489</f>
        <v>45364</v>
      </c>
      <c r="B6539" s="408" t="s">
        <v>77</v>
      </c>
      <c r="C6539" s="409">
        <f>Return!P489</f>
        <v>2.5931160533241293E-3</v>
      </c>
    </row>
    <row r="6540" spans="1:3">
      <c r="A6540" s="406">
        <f>Return!A490</f>
        <v>45363</v>
      </c>
      <c r="B6540" s="408" t="s">
        <v>77</v>
      </c>
      <c r="C6540" s="409">
        <f>Return!P490</f>
        <v>2.0808820556905694E-4</v>
      </c>
    </row>
    <row r="6541" spans="1:3">
      <c r="A6541" s="406">
        <f>Return!A491</f>
        <v>45362</v>
      </c>
      <c r="B6541" s="408" t="s">
        <v>77</v>
      </c>
      <c r="C6541" s="409">
        <f>Return!P491</f>
        <v>1.508251272360539E-3</v>
      </c>
    </row>
    <row r="6542" spans="1:3">
      <c r="A6542" s="406">
        <f>Return!A492</f>
        <v>45358</v>
      </c>
      <c r="B6542" s="408" t="s">
        <v>77</v>
      </c>
      <c r="C6542" s="409">
        <f>Return!P492</f>
        <v>9.6473604988034367E-4</v>
      </c>
    </row>
    <row r="6543" spans="1:3">
      <c r="A6543" s="406">
        <f>Return!A493</f>
        <v>45357</v>
      </c>
      <c r="B6543" s="408" t="s">
        <v>77</v>
      </c>
      <c r="C6543" s="409">
        <f>Return!P493</f>
        <v>-8.3291963736330521E-3</v>
      </c>
    </row>
    <row r="6544" spans="1:3">
      <c r="A6544" s="406">
        <f>Return!A494</f>
        <v>45356</v>
      </c>
      <c r="B6544" s="408" t="s">
        <v>77</v>
      </c>
      <c r="C6544" s="409">
        <f>Return!P494</f>
        <v>-1.8718174511404007E-3</v>
      </c>
    </row>
    <row r="6545" spans="1:3">
      <c r="A6545" s="406">
        <f>Return!A495</f>
        <v>45355</v>
      </c>
      <c r="B6545" s="408" t="s">
        <v>77</v>
      </c>
      <c r="C6545" s="409">
        <f>Return!P495</f>
        <v>-9.4722397188713447E-3</v>
      </c>
    </row>
    <row r="6546" spans="1:3">
      <c r="A6546" s="406">
        <f>Return!A496</f>
        <v>45353</v>
      </c>
      <c r="B6546" s="408" t="s">
        <v>77</v>
      </c>
      <c r="C6546" s="409">
        <f>Return!P496</f>
        <v>3.4073144578996573E-3</v>
      </c>
    </row>
    <row r="6547" spans="1:3">
      <c r="A6547" s="406">
        <f>Return!A497</f>
        <v>45352</v>
      </c>
      <c r="B6547" s="408" t="s">
        <v>77</v>
      </c>
      <c r="C6547" s="409">
        <f>Return!P497</f>
        <v>-6.1889663813043949E-3</v>
      </c>
    </row>
    <row r="6548" spans="1:3">
      <c r="A6548" s="406">
        <f>Return!A498</f>
        <v>45351</v>
      </c>
      <c r="B6548" s="408" t="s">
        <v>77</v>
      </c>
      <c r="C6548" s="409">
        <f>Return!P498</f>
        <v>2.1052262021041823E-3</v>
      </c>
    </row>
    <row r="6549" spans="1:3">
      <c r="A6549" s="406">
        <f>Return!A499</f>
        <v>45350</v>
      </c>
      <c r="B6549" s="408" t="s">
        <v>77</v>
      </c>
      <c r="C6549" s="409">
        <f>Return!P499</f>
        <v>5.5799757866736854E-5</v>
      </c>
    </row>
    <row r="6550" spans="1:3">
      <c r="A6550" s="406">
        <f>Return!A500</f>
        <v>45349</v>
      </c>
      <c r="B6550" s="408" t="s">
        <v>77</v>
      </c>
      <c r="C6550" s="409">
        <f>Return!P500</f>
        <v>-9.0243040250859163E-4</v>
      </c>
    </row>
    <row r="6551" spans="1:3">
      <c r="A6551" s="406">
        <f>Return!A501</f>
        <v>45348</v>
      </c>
      <c r="B6551" s="408" t="s">
        <v>77</v>
      </c>
      <c r="C6551" s="409">
        <f>Return!P501</f>
        <v>-1.3588956684236209E-3</v>
      </c>
    </row>
    <row r="6552" spans="1:3">
      <c r="A6552" s="406">
        <f>Return!A502</f>
        <v>45345</v>
      </c>
      <c r="B6552" s="408" t="s">
        <v>77</v>
      </c>
      <c r="C6552" s="409">
        <f>Return!P502</f>
        <v>5.2315657995321008E-3</v>
      </c>
    </row>
    <row r="6553" spans="1:3">
      <c r="A6553" s="406">
        <f>Return!A503</f>
        <v>45344</v>
      </c>
      <c r="B6553" s="408" t="s">
        <v>77</v>
      </c>
      <c r="C6553" s="409">
        <f>Return!P503</f>
        <v>1.1167067493910166E-2</v>
      </c>
    </row>
    <row r="6554" spans="1:3">
      <c r="A6554" s="406">
        <f>Return!A504</f>
        <v>45343</v>
      </c>
      <c r="B6554" s="408" t="s">
        <v>77</v>
      </c>
      <c r="C6554" s="409">
        <f>Return!P504</f>
        <v>-1.2267265938660232E-3</v>
      </c>
    </row>
    <row r="6555" spans="1:3">
      <c r="A6555" s="406">
        <f>Return!A505</f>
        <v>45342</v>
      </c>
      <c r="B6555" s="408" t="s">
        <v>77</v>
      </c>
      <c r="C6555" s="409">
        <f>Return!P505</f>
        <v>-2.5007406356311046E-3</v>
      </c>
    </row>
    <row r="6556" spans="1:3">
      <c r="A6556" s="406">
        <f>Return!A506</f>
        <v>45341</v>
      </c>
      <c r="B6556" s="408" t="s">
        <v>77</v>
      </c>
      <c r="C6556" s="409">
        <f>Return!P506</f>
        <v>1.5353586109192463E-3</v>
      </c>
    </row>
    <row r="6557" spans="1:3">
      <c r="A6557" s="406">
        <f>Return!A507</f>
        <v>45338</v>
      </c>
      <c r="B6557" s="408" t="s">
        <v>77</v>
      </c>
      <c r="C6557" s="409">
        <f>Return!P507</f>
        <v>7.2527412060252594E-4</v>
      </c>
    </row>
    <row r="6558" spans="1:3">
      <c r="A6558" s="406">
        <f>Return!A508</f>
        <v>45337</v>
      </c>
      <c r="B6558" s="408" t="s">
        <v>77</v>
      </c>
      <c r="C6558" s="409">
        <f>Return!P508</f>
        <v>5.2452368972790708E-3</v>
      </c>
    </row>
    <row r="6559" spans="1:3">
      <c r="A6559" s="406">
        <f>Return!A509</f>
        <v>45336</v>
      </c>
      <c r="B6559" s="408" t="s">
        <v>77</v>
      </c>
      <c r="C6559" s="409">
        <f>Return!P509</f>
        <v>-2.1070486882162065E-3</v>
      </c>
    </row>
    <row r="6560" spans="1:3">
      <c r="A6560" s="406">
        <f>Return!A510</f>
        <v>45335</v>
      </c>
      <c r="B6560" s="408" t="s">
        <v>77</v>
      </c>
      <c r="C6560" s="409">
        <f>Return!P510</f>
        <v>1.9198724452573757E-3</v>
      </c>
    </row>
    <row r="6561" spans="1:3">
      <c r="A6561" s="406">
        <f>Return!A511</f>
        <v>45334</v>
      </c>
      <c r="B6561" s="408" t="s">
        <v>77</v>
      </c>
      <c r="C6561" s="409">
        <f>Return!P511</f>
        <v>1.1991225334167632E-2</v>
      </c>
    </row>
    <row r="6562" spans="1:3">
      <c r="A6562" s="406">
        <f>Return!A512</f>
        <v>45331</v>
      </c>
      <c r="B6562" s="408" t="s">
        <v>77</v>
      </c>
      <c r="C6562" s="409">
        <f>Return!P512</f>
        <v>1.0758454975513532E-2</v>
      </c>
    </row>
    <row r="6563" spans="1:3">
      <c r="A6563" s="406">
        <f>Return!A513</f>
        <v>45330</v>
      </c>
      <c r="B6563" s="408" t="s">
        <v>77</v>
      </c>
      <c r="C6563" s="409">
        <f>Return!P513</f>
        <v>5.5257768586378653E-3</v>
      </c>
    </row>
    <row r="6564" spans="1:3">
      <c r="A6564" s="406">
        <f>Return!A514</f>
        <v>45329</v>
      </c>
      <c r="B6564" s="408" t="s">
        <v>77</v>
      </c>
      <c r="C6564" s="409">
        <f>Return!P514</f>
        <v>-2.1546403027760119E-3</v>
      </c>
    </row>
    <row r="6565" spans="1:3">
      <c r="A6565" s="406">
        <f>Return!A515</f>
        <v>45328</v>
      </c>
      <c r="B6565" s="408" t="s">
        <v>77</v>
      </c>
      <c r="C6565" s="409">
        <f>Return!P515</f>
        <v>2.080536643544395E-2</v>
      </c>
    </row>
    <row r="6566" spans="1:3">
      <c r="A6566" s="406">
        <f>Return!A516</f>
        <v>45327</v>
      </c>
      <c r="B6566" s="408" t="s">
        <v>77</v>
      </c>
      <c r="C6566" s="409">
        <f>Return!P516</f>
        <v>-4.3851932446946629E-3</v>
      </c>
    </row>
    <row r="6567" spans="1:3">
      <c r="A6567" s="406">
        <f>Return!A517</f>
        <v>45324</v>
      </c>
      <c r="B6567" s="408" t="s">
        <v>77</v>
      </c>
      <c r="C6567" s="409">
        <f>Return!P517</f>
        <v>5.723225195489734E-3</v>
      </c>
    </row>
    <row r="6568" spans="1:3">
      <c r="A6568" s="406">
        <f>Return!A518</f>
        <v>45323</v>
      </c>
      <c r="B6568" s="408" t="s">
        <v>77</v>
      </c>
      <c r="C6568" s="409">
        <f>Return!P518</f>
        <v>-8.4318046902950305E-3</v>
      </c>
    </row>
    <row r="6569" spans="1:3">
      <c r="A6569" s="406">
        <f>Return!A519</f>
        <v>45322</v>
      </c>
      <c r="B6569" s="408" t="s">
        <v>77</v>
      </c>
      <c r="C6569" s="409">
        <f>Return!P519</f>
        <v>9.9773766576447542E-3</v>
      </c>
    </row>
    <row r="6570" spans="1:3">
      <c r="A6570" s="406">
        <f>Return!A520</f>
        <v>45321</v>
      </c>
      <c r="B6570" s="408" t="s">
        <v>77</v>
      </c>
      <c r="C6570" s="409">
        <f>Return!P520</f>
        <v>6.0348923658271048E-4</v>
      </c>
    </row>
    <row r="6571" spans="1:3">
      <c r="A6571" s="406">
        <f>Return!A521</f>
        <v>45320</v>
      </c>
      <c r="B6571" s="408" t="s">
        <v>77</v>
      </c>
      <c r="C6571" s="409">
        <f>Return!P521</f>
        <v>4.1444893043482978E-3</v>
      </c>
    </row>
    <row r="6572" spans="1:3">
      <c r="A6572" s="406">
        <f>Return!A522</f>
        <v>45316</v>
      </c>
      <c r="B6572" s="408" t="s">
        <v>77</v>
      </c>
      <c r="C6572" s="409">
        <f>Return!P522</f>
        <v>4.144078945143459E-3</v>
      </c>
    </row>
    <row r="6573" spans="1:3">
      <c r="A6573" s="406">
        <f>Return!A523</f>
        <v>45315</v>
      </c>
      <c r="B6573" s="408" t="s">
        <v>77</v>
      </c>
      <c r="C6573" s="409">
        <f>Return!P523</f>
        <v>-4.4897428767078917E-3</v>
      </c>
    </row>
    <row r="6574" spans="1:3">
      <c r="A6574" s="406">
        <f>Return!A524</f>
        <v>45314</v>
      </c>
      <c r="B6574" s="408" t="s">
        <v>77</v>
      </c>
      <c r="C6574" s="409">
        <f>Return!P524</f>
        <v>-7.5283686537236383E-3</v>
      </c>
    </row>
    <row r="6575" spans="1:3">
      <c r="A6575" s="406">
        <f>Return!A525</f>
        <v>45311</v>
      </c>
      <c r="B6575" s="408" t="s">
        <v>77</v>
      </c>
      <c r="C6575" s="409">
        <f>Return!P525</f>
        <v>5.0245788859333285E-3</v>
      </c>
    </row>
    <row r="6576" spans="1:3">
      <c r="A6576" s="406">
        <f>Return!A526</f>
        <v>45310</v>
      </c>
      <c r="B6576" s="408" t="s">
        <v>77</v>
      </c>
      <c r="C6576" s="409">
        <f>Return!P526</f>
        <v>-2.6178022161559289E-3</v>
      </c>
    </row>
    <row r="6577" spans="1:3">
      <c r="A6577" s="406">
        <f>Return!A527</f>
        <v>45309</v>
      </c>
      <c r="B6577" s="408" t="s">
        <v>77</v>
      </c>
      <c r="C6577" s="409">
        <f>Return!P527</f>
        <v>4.3623015693252665E-3</v>
      </c>
    </row>
    <row r="6578" spans="1:3">
      <c r="A6578" s="406">
        <f>Return!A528</f>
        <v>45308</v>
      </c>
      <c r="B6578" s="408" t="s">
        <v>77</v>
      </c>
      <c r="C6578" s="409">
        <f>Return!P528</f>
        <v>2.9918037488305682E-3</v>
      </c>
    </row>
    <row r="6579" spans="1:3">
      <c r="A6579" s="406">
        <f>Return!A529</f>
        <v>45307</v>
      </c>
      <c r="B6579" s="408" t="s">
        <v>77</v>
      </c>
      <c r="C6579" s="409">
        <f>Return!P529</f>
        <v>6.9520209987543602E-3</v>
      </c>
    </row>
    <row r="6580" spans="1:3">
      <c r="A6580" s="406">
        <f>Return!A530</f>
        <v>45306</v>
      </c>
      <c r="B6580" s="408" t="s">
        <v>77</v>
      </c>
      <c r="C6580" s="409">
        <f>Return!P530</f>
        <v>-8.6749271120660776E-3</v>
      </c>
    </row>
    <row r="6581" spans="1:3">
      <c r="A6581" s="406">
        <f>Return!A531</f>
        <v>45303</v>
      </c>
      <c r="B6581" s="408" t="s">
        <v>77</v>
      </c>
      <c r="C6581" s="409">
        <f>Return!P531</f>
        <v>4.3869875614399589E-4</v>
      </c>
    </row>
    <row r="6582" spans="1:3">
      <c r="A6582" s="406">
        <f>Return!A532</f>
        <v>45302</v>
      </c>
      <c r="B6582" s="408" t="s">
        <v>77</v>
      </c>
      <c r="C6582" s="409">
        <f>Return!P532</f>
        <v>-8.0307403633361751E-4</v>
      </c>
    </row>
    <row r="6583" spans="1:3">
      <c r="A6583" s="406">
        <f>Return!A533</f>
        <v>45301</v>
      </c>
      <c r="B6583" s="408" t="s">
        <v>77</v>
      </c>
      <c r="C6583" s="409">
        <f>Return!P533</f>
        <v>6.5923350521135404E-3</v>
      </c>
    </row>
    <row r="6584" spans="1:3">
      <c r="A6584" s="406">
        <f>Return!A534</f>
        <v>45300</v>
      </c>
      <c r="B6584" s="408" t="s">
        <v>77</v>
      </c>
      <c r="C6584" s="409">
        <f>Return!P534</f>
        <v>2.1900602630777977E-2</v>
      </c>
    </row>
    <row r="6585" spans="1:3">
      <c r="A6585" s="406">
        <f>Return!A535</f>
        <v>45299</v>
      </c>
      <c r="B6585" s="408" t="s">
        <v>77</v>
      </c>
      <c r="C6585" s="409">
        <f>Return!P535</f>
        <v>2.8311362006190333E-3</v>
      </c>
    </row>
    <row r="6586" spans="1:3">
      <c r="A6586" s="406">
        <f>Return!A536</f>
        <v>45296</v>
      </c>
      <c r="B6586" s="408" t="s">
        <v>77</v>
      </c>
      <c r="C6586" s="409">
        <f>Return!P536</f>
        <v>1.7469225912900566E-3</v>
      </c>
    </row>
    <row r="6587" spans="1:3">
      <c r="A6587" s="406">
        <f>Return!A537</f>
        <v>45295</v>
      </c>
      <c r="B6587" s="408" t="s">
        <v>77</v>
      </c>
      <c r="C6587" s="409">
        <f>Return!P537</f>
        <v>9.6854426572103858E-3</v>
      </c>
    </row>
    <row r="6588" spans="1:3">
      <c r="A6588" s="406">
        <f>Return!A538</f>
        <v>45294</v>
      </c>
      <c r="B6588" s="408" t="s">
        <v>77</v>
      </c>
      <c r="C6588" s="409">
        <f>Return!P538</f>
        <v>7.6523304341833409E-3</v>
      </c>
    </row>
    <row r="6589" spans="1:3">
      <c r="A6589" s="406">
        <f>Return!A539</f>
        <v>45293</v>
      </c>
      <c r="B6589" s="408" t="s">
        <v>77</v>
      </c>
      <c r="C6589" s="409">
        <f>Return!P539</f>
        <v>6.4254769591458594E-3</v>
      </c>
    </row>
    <row r="6590" spans="1:3">
      <c r="A6590" s="406">
        <f>Return!A540</f>
        <v>45292</v>
      </c>
      <c r="B6590" s="408" t="s">
        <v>77</v>
      </c>
      <c r="C6590" s="409">
        <f>Return!P540</f>
        <v>1.184905473576503E-2</v>
      </c>
    </row>
    <row r="6591" spans="1:3">
      <c r="A6591" s="406">
        <f>Return!A541</f>
        <v>45289</v>
      </c>
      <c r="B6591" s="408" t="s">
        <v>77</v>
      </c>
      <c r="C6591" s="409">
        <f>Return!P541</f>
        <v>8.2436805313945705E-3</v>
      </c>
    </row>
    <row r="6592" spans="1:3">
      <c r="A6592" s="406">
        <f>Return!A542</f>
        <v>45288</v>
      </c>
      <c r="B6592" s="408" t="s">
        <v>77</v>
      </c>
      <c r="C6592" s="409">
        <f>Return!P542</f>
        <v>-1.5118961602228032E-2</v>
      </c>
    </row>
    <row r="6593" spans="1:3">
      <c r="A6593" s="406">
        <f>Return!A543</f>
        <v>45287</v>
      </c>
      <c r="B6593" s="408" t="s">
        <v>77</v>
      </c>
      <c r="C6593" s="409">
        <f>Return!P543</f>
        <v>6.0930756924211238E-3</v>
      </c>
    </row>
    <row r="6594" spans="1:3">
      <c r="A6594" s="406">
        <f>Return!A544</f>
        <v>45286</v>
      </c>
      <c r="B6594" s="408" t="s">
        <v>77</v>
      </c>
      <c r="C6594" s="409">
        <f>Return!P544</f>
        <v>8.1128052890426794E-3</v>
      </c>
    </row>
    <row r="6595" spans="1:3">
      <c r="A6595" s="406">
        <f>Return!A545</f>
        <v>45282</v>
      </c>
      <c r="B6595" s="408" t="s">
        <v>77</v>
      </c>
      <c r="C6595" s="409">
        <f>Return!P545</f>
        <v>2.2624423413162287E-3</v>
      </c>
    </row>
    <row r="6596" spans="1:3">
      <c r="A6596" s="406">
        <f>Return!A546</f>
        <v>45281</v>
      </c>
      <c r="B6596" s="408" t="s">
        <v>77</v>
      </c>
      <c r="C6596" s="409">
        <f>Return!P546</f>
        <v>1.8746861954175298E-3</v>
      </c>
    </row>
    <row r="6597" spans="1:3">
      <c r="A6597" s="406">
        <f>Return!A547</f>
        <v>45280</v>
      </c>
      <c r="B6597" s="408" t="s">
        <v>77</v>
      </c>
      <c r="C6597" s="409">
        <f>Return!P547</f>
        <v>7.753301116487199E-3</v>
      </c>
    </row>
    <row r="6598" spans="1:3">
      <c r="A6598" s="406">
        <f>Return!A548</f>
        <v>45279</v>
      </c>
      <c r="B6598" s="408" t="s">
        <v>77</v>
      </c>
      <c r="C6598" s="409">
        <f>Return!P548</f>
        <v>-4.7127384339979983E-3</v>
      </c>
    </row>
    <row r="6599" spans="1:3">
      <c r="A6599" s="406">
        <f>Return!A549</f>
        <v>45278</v>
      </c>
      <c r="B6599" s="408" t="s">
        <v>77</v>
      </c>
      <c r="C6599" s="409">
        <f>Return!P549</f>
        <v>-2.8709552756112089E-3</v>
      </c>
    </row>
    <row r="6600" spans="1:3">
      <c r="A6600" s="406">
        <f>Return!A550</f>
        <v>45275</v>
      </c>
      <c r="B6600" s="408" t="s">
        <v>77</v>
      </c>
      <c r="C6600" s="409">
        <f>Return!P550</f>
        <v>-6.304683541307754E-3</v>
      </c>
    </row>
    <row r="6601" spans="1:3">
      <c r="A6601" s="406">
        <f>Return!A551</f>
        <v>45274</v>
      </c>
      <c r="B6601" s="408" t="s">
        <v>77</v>
      </c>
      <c r="C6601" s="409">
        <f>Return!P551</f>
        <v>2.7726069916778062E-3</v>
      </c>
    </row>
    <row r="6602" spans="1:3">
      <c r="A6602" s="406">
        <f>Return!A552</f>
        <v>45273</v>
      </c>
      <c r="B6602" s="408" t="s">
        <v>77</v>
      </c>
      <c r="C6602" s="409">
        <f>Return!P552</f>
        <v>-4.7264433513780624E-3</v>
      </c>
    </row>
    <row r="6603" spans="1:3">
      <c r="A6603" s="406">
        <f>Return!A553</f>
        <v>45272</v>
      </c>
      <c r="B6603" s="408" t="s">
        <v>77</v>
      </c>
      <c r="C6603" s="409">
        <f>Return!P553</f>
        <v>-1.3723212834971799E-3</v>
      </c>
    </row>
    <row r="6604" spans="1:3">
      <c r="A6604" s="406">
        <f>Return!A554</f>
        <v>45271</v>
      </c>
      <c r="B6604" s="408" t="s">
        <v>77</v>
      </c>
      <c r="C6604" s="409">
        <f>Return!P554</f>
        <v>-7.9925957247428681E-4</v>
      </c>
    </row>
    <row r="6605" spans="1:3">
      <c r="A6605" s="406">
        <f>Return!A555</f>
        <v>45268</v>
      </c>
      <c r="B6605" s="408" t="s">
        <v>77</v>
      </c>
      <c r="C6605" s="409">
        <f>Return!P555</f>
        <v>2.9577812370862322E-3</v>
      </c>
    </row>
    <row r="6606" spans="1:3">
      <c r="A6606" s="406">
        <f>Return!A556</f>
        <v>45267</v>
      </c>
      <c r="B6606" s="408" t="s">
        <v>77</v>
      </c>
      <c r="C6606" s="409">
        <f>Return!P556</f>
        <v>1.2588047693538718E-2</v>
      </c>
    </row>
    <row r="6607" spans="1:3">
      <c r="A6607" s="406">
        <f>Return!A557</f>
        <v>45266</v>
      </c>
      <c r="B6607" s="408" t="s">
        <v>77</v>
      </c>
      <c r="C6607" s="409">
        <f>Return!P557</f>
        <v>3.1704054972645501E-3</v>
      </c>
    </row>
    <row r="6608" spans="1:3">
      <c r="A6608" s="406">
        <f>Return!A558</f>
        <v>45265</v>
      </c>
      <c r="B6608" s="408" t="s">
        <v>77</v>
      </c>
      <c r="C6608" s="409">
        <f>Return!P558</f>
        <v>-1.1770392897134663E-3</v>
      </c>
    </row>
    <row r="6609" spans="1:3">
      <c r="A6609" s="406">
        <f>Return!A559</f>
        <v>45264</v>
      </c>
      <c r="B6609" s="408" t="s">
        <v>77</v>
      </c>
      <c r="C6609" s="409">
        <f>Return!P559</f>
        <v>6.2636645146607606E-3</v>
      </c>
    </row>
    <row r="6610" spans="1:3">
      <c r="A6610" s="406">
        <f>Return!A560</f>
        <v>45261</v>
      </c>
      <c r="B6610" s="408" t="s">
        <v>77</v>
      </c>
      <c r="C6610" s="409">
        <f>Return!P560</f>
        <v>-1.2350234674405214E-2</v>
      </c>
    </row>
    <row r="6611" spans="1:3">
      <c r="A6611" s="406">
        <f>Return!A561</f>
        <v>45260</v>
      </c>
      <c r="B6611" s="408" t="s">
        <v>77</v>
      </c>
      <c r="C6611" s="409">
        <f>Return!P561</f>
        <v>3.7150260547453851E-3</v>
      </c>
    </row>
    <row r="6612" spans="1:3">
      <c r="A6612" s="406">
        <f>Return!A562</f>
        <v>45259</v>
      </c>
      <c r="B6612" s="408" t="s">
        <v>77</v>
      </c>
      <c r="C6612" s="409">
        <f>Return!P562</f>
        <v>9.2724060352327164E-3</v>
      </c>
    </row>
    <row r="6613" spans="1:3">
      <c r="A6613" s="406">
        <f>Return!A563</f>
        <v>45258</v>
      </c>
      <c r="B6613" s="408" t="s">
        <v>77</v>
      </c>
      <c r="C6613" s="409">
        <f>Return!P563</f>
        <v>5.3702558136481393E-3</v>
      </c>
    </row>
    <row r="6614" spans="1:3">
      <c r="A6614" s="406">
        <f>Return!A564</f>
        <v>45254</v>
      </c>
      <c r="B6614" s="408" t="s">
        <v>77</v>
      </c>
      <c r="C6614" s="409">
        <f>Return!P564</f>
        <v>1.0139955865578587E-2</v>
      </c>
    </row>
    <row r="6615" spans="1:3">
      <c r="A6615" s="406">
        <f>Return!A565</f>
        <v>45253</v>
      </c>
      <c r="B6615" s="408" t="s">
        <v>77</v>
      </c>
      <c r="C6615" s="409">
        <f>Return!P565</f>
        <v>6.08995550112712E-3</v>
      </c>
    </row>
    <row r="6616" spans="1:3">
      <c r="A6616" s="406">
        <f>Return!A566</f>
        <v>45252</v>
      </c>
      <c r="B6616" s="408" t="s">
        <v>77</v>
      </c>
      <c r="C6616" s="409">
        <f>Return!P566</f>
        <v>3.6101083032491488E-3</v>
      </c>
    </row>
    <row r="6617" spans="1:3">
      <c r="A6617" s="406">
        <f>Return!A567</f>
        <v>45251</v>
      </c>
      <c r="B6617" s="408" t="s">
        <v>77</v>
      </c>
      <c r="C6617" s="409">
        <f>Return!P567</f>
        <v>-1.1572192815698656E-3</v>
      </c>
    </row>
    <row r="6618" spans="1:3">
      <c r="A6618" s="406">
        <f>Return!A568</f>
        <v>45250</v>
      </c>
      <c r="B6618" s="408" t="s">
        <v>77</v>
      </c>
      <c r="C6618" s="409">
        <f>Return!P568</f>
        <v>4.4364627550079749E-3</v>
      </c>
    </row>
    <row r="6619" spans="1:3">
      <c r="A6619" s="406">
        <f>Return!A569</f>
        <v>45247</v>
      </c>
      <c r="B6619" s="408" t="s">
        <v>77</v>
      </c>
      <c r="C6619" s="409">
        <f>Return!P569</f>
        <v>3.5814718050368732E-3</v>
      </c>
    </row>
    <row r="6620" spans="1:3">
      <c r="A6620" s="406">
        <f>Return!A570</f>
        <v>45246</v>
      </c>
      <c r="B6620" s="408" t="s">
        <v>77</v>
      </c>
      <c r="C6620" s="409">
        <f>Return!P570</f>
        <v>1.1083700757829051E-2</v>
      </c>
    </row>
    <row r="6621" spans="1:3">
      <c r="A6621" s="406">
        <f>Return!A571</f>
        <v>45245</v>
      </c>
      <c r="B6621" s="408" t="s">
        <v>77</v>
      </c>
      <c r="C6621" s="409">
        <f>Return!P571</f>
        <v>1.2909751596847707E-2</v>
      </c>
    </row>
    <row r="6622" spans="1:3">
      <c r="A6622" s="406">
        <f>Return!A572</f>
        <v>45243</v>
      </c>
      <c r="B6622" s="408" t="s">
        <v>77</v>
      </c>
      <c r="C6622" s="409">
        <f>Return!P572</f>
        <v>9.4363567356838818E-3</v>
      </c>
    </row>
    <row r="6623" spans="1:3">
      <c r="A6623" s="406">
        <f>Return!A573</f>
        <v>45242</v>
      </c>
      <c r="B6623" s="408" t="s">
        <v>77</v>
      </c>
      <c r="C6623" s="409">
        <f>Return!P573</f>
        <v>7.731335751324897E-3</v>
      </c>
    </row>
    <row r="6624" spans="1:3">
      <c r="A6624" s="406">
        <f>Return!A574</f>
        <v>45240</v>
      </c>
      <c r="B6624" s="408" t="s">
        <v>77</v>
      </c>
      <c r="C6624" s="409">
        <f>Return!P574</f>
        <v>6.1765468302794613E-3</v>
      </c>
    </row>
    <row r="6625" spans="1:3">
      <c r="A6625" s="406">
        <f>Return!A575</f>
        <v>45239</v>
      </c>
      <c r="B6625" s="408" t="s">
        <v>77</v>
      </c>
      <c r="C6625" s="409">
        <f>Return!P575</f>
        <v>3.6735026006813332E-3</v>
      </c>
    </row>
    <row r="6626" spans="1:3">
      <c r="A6626" s="406">
        <f>Return!A576</f>
        <v>45238</v>
      </c>
      <c r="B6626" s="408" t="s">
        <v>77</v>
      </c>
      <c r="C6626" s="409">
        <f>Return!P576</f>
        <v>-4.6621195526346249E-3</v>
      </c>
    </row>
    <row r="6627" spans="1:3">
      <c r="A6627" s="406">
        <f>Return!A577</f>
        <v>45237</v>
      </c>
      <c r="B6627" s="408" t="s">
        <v>77</v>
      </c>
      <c r="C6627" s="409">
        <f>Return!P577</f>
        <v>1.9770226508706301E-3</v>
      </c>
    </row>
    <row r="6628" spans="1:3">
      <c r="A6628" s="406">
        <f>Return!A578</f>
        <v>45236</v>
      </c>
      <c r="B6628" s="408" t="s">
        <v>77</v>
      </c>
      <c r="C6628" s="409">
        <f>Return!P578</f>
        <v>1.3240975860975945E-2</v>
      </c>
    </row>
    <row r="6629" spans="1:3">
      <c r="A6629" s="406">
        <f>Return!A579</f>
        <v>45233</v>
      </c>
      <c r="B6629" s="408" t="s">
        <v>77</v>
      </c>
      <c r="C6629" s="409">
        <f>Return!P579</f>
        <v>-8.5389220753970818E-3</v>
      </c>
    </row>
    <row r="6630" spans="1:3">
      <c r="A6630" s="406">
        <f>Return!A580</f>
        <v>45232</v>
      </c>
      <c r="B6630" s="408" t="s">
        <v>77</v>
      </c>
      <c r="C6630" s="409">
        <f>Return!P580</f>
        <v>-6.2827431624934427E-3</v>
      </c>
    </row>
    <row r="6631" spans="1:3">
      <c r="A6631" s="406">
        <f>Return!A581</f>
        <v>45231</v>
      </c>
      <c r="B6631" s="408" t="s">
        <v>77</v>
      </c>
      <c r="C6631" s="409">
        <f>Return!P581</f>
        <v>-1.3595424661185684E-2</v>
      </c>
    </row>
    <row r="6632" spans="1:3">
      <c r="A6632" s="406">
        <f>Return!A582</f>
        <v>45230</v>
      </c>
      <c r="B6632" s="408" t="s">
        <v>77</v>
      </c>
      <c r="C6632" s="409">
        <f>Return!P582</f>
        <v>-9.2144991107149243E-3</v>
      </c>
    </row>
    <row r="6633" spans="1:3">
      <c r="A6633" s="406">
        <f>Return!A583</f>
        <v>45229</v>
      </c>
      <c r="B6633" s="408" t="s">
        <v>77</v>
      </c>
      <c r="C6633" s="409">
        <f>Return!P583</f>
        <v>-3.454789520238144E-3</v>
      </c>
    </row>
    <row r="6634" spans="1:3">
      <c r="A6634" s="406">
        <f>Return!A584</f>
        <v>45226</v>
      </c>
      <c r="B6634" s="408" t="s">
        <v>77</v>
      </c>
      <c r="C6634" s="409">
        <f>Return!P584</f>
        <v>4.1488217466125743E-3</v>
      </c>
    </row>
    <row r="6635" spans="1:3">
      <c r="A6635" s="406">
        <f>Return!A585</f>
        <v>45225</v>
      </c>
      <c r="B6635" s="408" t="s">
        <v>77</v>
      </c>
      <c r="C6635" s="409">
        <f>Return!P585</f>
        <v>2.263913783726812E-3</v>
      </c>
    </row>
    <row r="6636" spans="1:3">
      <c r="A6636" s="406">
        <f>Return!A586</f>
        <v>45224</v>
      </c>
      <c r="B6636" s="408" t="s">
        <v>77</v>
      </c>
      <c r="C6636" s="409">
        <f>Return!P586</f>
        <v>-3.3751673590987075E-3</v>
      </c>
    </row>
    <row r="6637" spans="1:3">
      <c r="A6637" s="406">
        <f>Return!A587</f>
        <v>45222</v>
      </c>
      <c r="B6637" s="408" t="s">
        <v>77</v>
      </c>
      <c r="C6637" s="409">
        <f>Return!P587</f>
        <v>2.8137223395403588E-3</v>
      </c>
    </row>
    <row r="6638" spans="1:3">
      <c r="A6638" s="406">
        <f>Return!A588</f>
        <v>45219</v>
      </c>
      <c r="B6638" s="408" t="s">
        <v>77</v>
      </c>
      <c r="C6638" s="409">
        <f>Return!P588</f>
        <v>1.5277135020799193E-3</v>
      </c>
    </row>
    <row r="6639" spans="1:3">
      <c r="A6639" s="406">
        <f>Return!A589</f>
        <v>45218</v>
      </c>
      <c r="B6639" s="408" t="s">
        <v>77</v>
      </c>
      <c r="C6639" s="409">
        <f>Return!P589</f>
        <v>3.0745247704728751E-3</v>
      </c>
    </row>
    <row r="6640" spans="1:3">
      <c r="A6640" s="406">
        <f>Return!A590</f>
        <v>45217</v>
      </c>
      <c r="B6640" s="408" t="s">
        <v>77</v>
      </c>
      <c r="C6640" s="409">
        <f>Return!P590</f>
        <v>2.9615791721993023E-3</v>
      </c>
    </row>
    <row r="6641" spans="1:3">
      <c r="A6641" s="406">
        <f>Return!A591</f>
        <v>45216</v>
      </c>
      <c r="B6641" s="408" t="s">
        <v>77</v>
      </c>
      <c r="C6641" s="409">
        <f>Return!P591</f>
        <v>-3.9152330943180713E-3</v>
      </c>
    </row>
    <row r="6642" spans="1:3">
      <c r="A6642" s="406">
        <f>Return!A592</f>
        <v>45215</v>
      </c>
      <c r="B6642" s="408" t="s">
        <v>77</v>
      </c>
      <c r="C6642" s="409">
        <f>Return!P592</f>
        <v>5.0293190419461453E-3</v>
      </c>
    </row>
    <row r="6643" spans="1:3">
      <c r="A6643" s="406">
        <f>Return!A593</f>
        <v>45212</v>
      </c>
      <c r="B6643" s="408" t="s">
        <v>77</v>
      </c>
      <c r="C6643" s="409">
        <f>Return!P593</f>
        <v>-1.8850349462139482E-3</v>
      </c>
    </row>
    <row r="6644" spans="1:3">
      <c r="A6644" s="406">
        <f>Return!A594</f>
        <v>45211</v>
      </c>
      <c r="B6644" s="408" t="s">
        <v>77</v>
      </c>
      <c r="C6644" s="409">
        <f>Return!P594</f>
        <v>-1.1436272692290639E-2</v>
      </c>
    </row>
    <row r="6645" spans="1:3">
      <c r="A6645" s="406">
        <f>Return!A595</f>
        <v>45210</v>
      </c>
      <c r="B6645" s="408" t="s">
        <v>77</v>
      </c>
      <c r="C6645" s="409">
        <f>Return!P595</f>
        <v>-3.4892075620210905E-3</v>
      </c>
    </row>
    <row r="6646" spans="1:3">
      <c r="A6646" s="406">
        <f>Return!A596</f>
        <v>45209</v>
      </c>
      <c r="B6646" s="408" t="s">
        <v>77</v>
      </c>
      <c r="C6646" s="409">
        <f>Return!P596</f>
        <v>1.7418526988284944E-2</v>
      </c>
    </row>
    <row r="6647" spans="1:3">
      <c r="A6647" s="406">
        <f>Return!A597</f>
        <v>45208</v>
      </c>
      <c r="B6647" s="408" t="s">
        <v>77</v>
      </c>
      <c r="C6647" s="409">
        <f>Return!P597</f>
        <v>1.2256440477745878E-2</v>
      </c>
    </row>
    <row r="6648" spans="1:3">
      <c r="A6648" s="406">
        <f>Return!A598</f>
        <v>45205</v>
      </c>
      <c r="B6648" s="408" t="s">
        <v>77</v>
      </c>
      <c r="C6648" s="409">
        <f>Return!P598</f>
        <v>-2.4244365326460127E-3</v>
      </c>
    </row>
    <row r="6649" spans="1:3">
      <c r="A6649" s="406">
        <f>Return!A599</f>
        <v>45204</v>
      </c>
      <c r="B6649" s="408" t="s">
        <v>77</v>
      </c>
      <c r="C6649" s="409">
        <f>Return!P599</f>
        <v>-9.0946637020861143E-4</v>
      </c>
    </row>
    <row r="6650" spans="1:3">
      <c r="A6650" s="406">
        <f>Return!A600</f>
        <v>45203</v>
      </c>
      <c r="B6650" s="408" t="s">
        <v>77</v>
      </c>
      <c r="C6650" s="409">
        <f>Return!P600</f>
        <v>-1.3605037353098481E-2</v>
      </c>
    </row>
    <row r="6651" spans="1:3">
      <c r="A6651" s="406">
        <f>Return!A601</f>
        <v>45202</v>
      </c>
      <c r="B6651" s="408" t="s">
        <v>77</v>
      </c>
      <c r="C6651" s="409">
        <f>Return!P601</f>
        <v>-7.9717652884274681E-3</v>
      </c>
    </row>
    <row r="6652" spans="1:3">
      <c r="A6652" s="406">
        <f>Return!A602</f>
        <v>45198</v>
      </c>
      <c r="B6652" s="408" t="s">
        <v>77</v>
      </c>
      <c r="C6652" s="409">
        <f>Return!P602</f>
        <v>-4.2683506319399767E-3</v>
      </c>
    </row>
    <row r="6653" spans="1:3">
      <c r="A6653" s="406">
        <f>Return!A603</f>
        <v>45197</v>
      </c>
      <c r="B6653" s="408" t="s">
        <v>77</v>
      </c>
      <c r="C6653" s="409">
        <f>Return!P603</f>
        <v>-5.5428469745207876E-3</v>
      </c>
    </row>
    <row r="6654" spans="1:3">
      <c r="A6654" s="406">
        <f>Return!A604</f>
        <v>45196</v>
      </c>
      <c r="B6654" s="408" t="s">
        <v>77</v>
      </c>
      <c r="C6654" s="409">
        <f>Return!P604</f>
        <v>3.0249319900441662E-3</v>
      </c>
    </row>
    <row r="6655" spans="1:3">
      <c r="A6655" s="406">
        <f>Return!A605</f>
        <v>45195</v>
      </c>
      <c r="B6655" s="408" t="s">
        <v>77</v>
      </c>
      <c r="C6655" s="409">
        <f>Return!P605</f>
        <v>3.8822565421676725E-3</v>
      </c>
    </row>
    <row r="6656" spans="1:3">
      <c r="A6656" s="406">
        <f>Return!A606</f>
        <v>45194</v>
      </c>
      <c r="B6656" s="408" t="s">
        <v>77</v>
      </c>
      <c r="C6656" s="409">
        <f>Return!P606</f>
        <v>7.6664822836873814E-3</v>
      </c>
    </row>
    <row r="6657" spans="1:3">
      <c r="A6657" s="406">
        <f>Return!A607</f>
        <v>45191</v>
      </c>
      <c r="B6657" s="408" t="s">
        <v>77</v>
      </c>
      <c r="C6657" s="409">
        <f>Return!P607</f>
        <v>-5.4527406942372902E-4</v>
      </c>
    </row>
    <row r="6658" spans="1:3">
      <c r="A6658" s="406">
        <f>Return!A608</f>
        <v>45190</v>
      </c>
      <c r="B6658" s="408" t="s">
        <v>77</v>
      </c>
      <c r="C6658" s="409">
        <f>Return!P608</f>
        <v>4.3215073476376986E-3</v>
      </c>
    </row>
    <row r="6659" spans="1:3">
      <c r="A6659" s="406">
        <f>Return!A609</f>
        <v>45189</v>
      </c>
      <c r="B6659" s="408" t="s">
        <v>77</v>
      </c>
      <c r="C6659" s="409">
        <f>Return!P609</f>
        <v>-3.0795634957987428E-3</v>
      </c>
    </row>
    <row r="6660" spans="1:3">
      <c r="A6660" s="406">
        <f>Return!A610</f>
        <v>45187</v>
      </c>
      <c r="B6660" s="408" t="s">
        <v>77</v>
      </c>
      <c r="C6660" s="409">
        <f>Return!P610</f>
        <v>-2.5399635449118163E-3</v>
      </c>
    </row>
    <row r="6661" spans="1:3">
      <c r="A6661" s="406">
        <f>Return!A611</f>
        <v>45184</v>
      </c>
      <c r="B6661" s="408" t="s">
        <v>77</v>
      </c>
      <c r="C6661" s="409">
        <f>Return!P611</f>
        <v>6.8097321349562812E-3</v>
      </c>
    </row>
    <row r="6662" spans="1:3">
      <c r="A6662" s="406">
        <f>Return!A612</f>
        <v>45183</v>
      </c>
      <c r="B6662" s="408" t="s">
        <v>77</v>
      </c>
      <c r="C6662" s="409">
        <f>Return!P612</f>
        <v>8.9808516416192141E-3</v>
      </c>
    </row>
    <row r="6663" spans="1:3">
      <c r="A6663" s="406">
        <f>Return!A613</f>
        <v>45182</v>
      </c>
      <c r="B6663" s="408" t="s">
        <v>77</v>
      </c>
      <c r="C6663" s="409">
        <f>Return!P613</f>
        <v>3.2624447292550762E-4</v>
      </c>
    </row>
    <row r="6664" spans="1:3">
      <c r="A6664" s="406">
        <f>Return!A614</f>
        <v>45181</v>
      </c>
      <c r="B6664" s="408" t="s">
        <v>77</v>
      </c>
      <c r="C6664" s="409">
        <f>Return!P614</f>
        <v>-5.0275425795885953E-3</v>
      </c>
    </row>
    <row r="6665" spans="1:3">
      <c r="A6665" s="406">
        <f>Return!A615</f>
        <v>45180</v>
      </c>
      <c r="B6665" s="408" t="s">
        <v>77</v>
      </c>
      <c r="C6665" s="409">
        <f>Return!P615</f>
        <v>-1.2862129245964082E-3</v>
      </c>
    </row>
    <row r="6666" spans="1:3">
      <c r="A6666" s="406">
        <f>Return!A616</f>
        <v>45177</v>
      </c>
      <c r="B6666" s="408" t="s">
        <v>77</v>
      </c>
      <c r="C6666" s="409">
        <f>Return!P616</f>
        <v>-9.7398087187861027E-4</v>
      </c>
    </row>
    <row r="6667" spans="1:3">
      <c r="A6667" s="406">
        <f>Return!A617</f>
        <v>45176</v>
      </c>
      <c r="B6667" s="408" t="s">
        <v>77</v>
      </c>
      <c r="C6667" s="409">
        <f>Return!P617</f>
        <v>-2.2483495696634659E-3</v>
      </c>
    </row>
    <row r="6668" spans="1:3">
      <c r="A6668" s="406">
        <f>Return!A618</f>
        <v>45175</v>
      </c>
      <c r="B6668" s="408" t="s">
        <v>77</v>
      </c>
      <c r="C6668" s="409">
        <f>Return!P618</f>
        <v>7.8757719211588473E-3</v>
      </c>
    </row>
    <row r="6669" spans="1:3">
      <c r="A6669" s="406">
        <f>Return!A619</f>
        <v>45174</v>
      </c>
      <c r="B6669" s="408" t="s">
        <v>77</v>
      </c>
      <c r="C6669" s="409">
        <f>Return!P619</f>
        <v>-7.2534170460029079E-3</v>
      </c>
    </row>
    <row r="6670" spans="1:3">
      <c r="A6670" s="406">
        <f>Return!A620</f>
        <v>45173</v>
      </c>
      <c r="B6670" s="408" t="s">
        <v>77</v>
      </c>
      <c r="C6670" s="409">
        <f>Return!P620</f>
        <v>-4.918289434720835E-3</v>
      </c>
    </row>
    <row r="6671" spans="1:3">
      <c r="A6671" s="406">
        <f>Return!A621</f>
        <v>45170</v>
      </c>
      <c r="B6671" s="408" t="s">
        <v>77</v>
      </c>
      <c r="C6671" s="409">
        <f>Return!P621</f>
        <v>4.6020687868097987E-4</v>
      </c>
    </row>
    <row r="6672" spans="1:3">
      <c r="A6672" s="406">
        <f>Return!A622</f>
        <v>45169</v>
      </c>
      <c r="B6672" s="408" t="s">
        <v>77</v>
      </c>
      <c r="C6672" s="409">
        <f>Return!P622</f>
        <v>7.0806908305054428E-4</v>
      </c>
    </row>
    <row r="6673" spans="1:3">
      <c r="A6673" s="406">
        <f>Return!A623</f>
        <v>45168</v>
      </c>
      <c r="B6673" s="408" t="s">
        <v>77</v>
      </c>
      <c r="C6673" s="409">
        <f>Return!P623</f>
        <v>5.4594820713986802E-3</v>
      </c>
    </row>
    <row r="6674" spans="1:3">
      <c r="A6674" s="406">
        <f>Return!A624</f>
        <v>45167</v>
      </c>
      <c r="B6674" s="408" t="s">
        <v>77</v>
      </c>
      <c r="C6674" s="409">
        <f>Return!P624</f>
        <v>-4.5653322829647403E-3</v>
      </c>
    </row>
    <row r="6675" spans="1:3">
      <c r="A6675" s="406">
        <f>Return!A625</f>
        <v>45166</v>
      </c>
      <c r="B6675" s="408" t="s">
        <v>77</v>
      </c>
      <c r="C6675" s="409">
        <f>Return!P625</f>
        <v>-1.5897827174929935E-3</v>
      </c>
    </row>
    <row r="6676" spans="1:3">
      <c r="A6676" s="406">
        <f>Return!A626</f>
        <v>45163</v>
      </c>
      <c r="B6676" s="408" t="s">
        <v>77</v>
      </c>
      <c r="C6676" s="409">
        <f>Return!P626</f>
        <v>4.4517727247894712E-3</v>
      </c>
    </row>
    <row r="6677" spans="1:3">
      <c r="A6677" s="406">
        <f>Return!A627</f>
        <v>45162</v>
      </c>
      <c r="B6677" s="408" t="s">
        <v>77</v>
      </c>
      <c r="C6677" s="409">
        <f>Return!P627</f>
        <v>-4.0062394268892687E-3</v>
      </c>
    </row>
    <row r="6678" spans="1:3">
      <c r="A6678" s="406">
        <f>Return!A628</f>
        <v>45161</v>
      </c>
      <c r="B6678" s="408" t="s">
        <v>77</v>
      </c>
      <c r="C6678" s="409">
        <f>Return!P628</f>
        <v>-1.1873174622827443E-2</v>
      </c>
    </row>
    <row r="6679" spans="1:3">
      <c r="A6679" s="406">
        <f>Return!A629</f>
        <v>45160</v>
      </c>
      <c r="B6679" s="408" t="s">
        <v>77</v>
      </c>
      <c r="C6679" s="409">
        <f>Return!P629</f>
        <v>-4.2255899275650544E-3</v>
      </c>
    </row>
    <row r="6680" spans="1:3">
      <c r="A6680" s="406">
        <f>Return!A630</f>
        <v>45159</v>
      </c>
      <c r="B6680" s="408" t="s">
        <v>77</v>
      </c>
      <c r="C6680" s="409">
        <f>Return!P630</f>
        <v>9.8735350530638755E-3</v>
      </c>
    </row>
    <row r="6681" spans="1:3">
      <c r="A6681" s="406">
        <f>Return!A631</f>
        <v>45156</v>
      </c>
      <c r="B6681" s="408" t="s">
        <v>77</v>
      </c>
      <c r="C6681" s="409">
        <f>Return!P631</f>
        <v>4.1623969058306454E-3</v>
      </c>
    </row>
    <row r="6682" spans="1:3">
      <c r="A6682" s="406">
        <f>Return!A632</f>
        <v>45155</v>
      </c>
      <c r="B6682" s="408" t="s">
        <v>77</v>
      </c>
      <c r="C6682" s="409">
        <f>Return!P632</f>
        <v>7.2491220893289299E-3</v>
      </c>
    </row>
    <row r="6683" spans="1:3">
      <c r="A6683" s="406">
        <f>Return!A633</f>
        <v>45154</v>
      </c>
      <c r="B6683" s="408" t="s">
        <v>77</v>
      </c>
      <c r="C6683" s="409">
        <f>Return!P633</f>
        <v>8.5400080871289585E-3</v>
      </c>
    </row>
    <row r="6684" spans="1:3">
      <c r="A6684" s="406">
        <f>Return!A634</f>
        <v>45152</v>
      </c>
      <c r="B6684" s="408" t="s">
        <v>77</v>
      </c>
      <c r="C6684" s="409">
        <f>Return!P634</f>
        <v>1.2931075001362924E-2</v>
      </c>
    </row>
    <row r="6685" spans="1:3">
      <c r="A6685" s="406">
        <f>Return!A635</f>
        <v>45149</v>
      </c>
      <c r="B6685" s="408" t="s">
        <v>77</v>
      </c>
      <c r="C6685" s="409">
        <f>Return!P635</f>
        <v>-5.4951424361860957E-3</v>
      </c>
    </row>
    <row r="6686" spans="1:3">
      <c r="A6686" s="406">
        <f>Return!A636</f>
        <v>45148</v>
      </c>
      <c r="B6686" s="408" t="s">
        <v>77</v>
      </c>
      <c r="C6686" s="409">
        <f>Return!P636</f>
        <v>-2.2031272657152545E-4</v>
      </c>
    </row>
    <row r="6687" spans="1:3">
      <c r="A6687" s="406">
        <f>Return!A637</f>
        <v>45147</v>
      </c>
      <c r="B6687" s="408" t="s">
        <v>77</v>
      </c>
      <c r="C6687" s="409">
        <f>Return!P637</f>
        <v>2.9918069899825817E-4</v>
      </c>
    </row>
    <row r="6688" spans="1:3">
      <c r="A6688" s="406">
        <f>Return!A638</f>
        <v>45146</v>
      </c>
      <c r="B6688" s="408" t="s">
        <v>77</v>
      </c>
      <c r="C6688" s="409">
        <f>Return!P638</f>
        <v>4.6187337407745943E-3</v>
      </c>
    </row>
    <row r="6689" spans="1:3">
      <c r="A6689" s="406">
        <f>Return!A639</f>
        <v>45145</v>
      </c>
      <c r="B6689" s="408" t="s">
        <v>77</v>
      </c>
      <c r="C6689" s="409">
        <f>Return!P639</f>
        <v>2.3303954293371953E-2</v>
      </c>
    </row>
    <row r="6690" spans="1:3">
      <c r="A6690" s="406">
        <f>Return!A640</f>
        <v>45142</v>
      </c>
      <c r="B6690" s="408" t="s">
        <v>77</v>
      </c>
      <c r="C6690" s="409">
        <f>Return!P640</f>
        <v>-1.6646758364570191E-3</v>
      </c>
    </row>
    <row r="6691" spans="1:3">
      <c r="A6691" s="406">
        <f>Return!A641</f>
        <v>45141</v>
      </c>
      <c r="B6691" s="408" t="s">
        <v>77</v>
      </c>
      <c r="C6691" s="409">
        <f>Return!P641</f>
        <v>6.9006467527512605E-3</v>
      </c>
    </row>
    <row r="6692" spans="1:3">
      <c r="A6692" s="406">
        <f>Return!A642</f>
        <v>45140</v>
      </c>
      <c r="B6692" s="408" t="s">
        <v>77</v>
      </c>
      <c r="C6692" s="409">
        <f>Return!P642</f>
        <v>1.3262346517639578E-3</v>
      </c>
    </row>
    <row r="6693" spans="1:3">
      <c r="A6693" s="406">
        <f>Return!A643</f>
        <v>45139</v>
      </c>
      <c r="B6693" s="408" t="s">
        <v>77</v>
      </c>
      <c r="C6693" s="409">
        <f>Return!P643</f>
        <v>-6.7040717222421886E-4</v>
      </c>
    </row>
    <row r="6694" spans="1:3">
      <c r="A6694" s="406">
        <f>Return!A644</f>
        <v>45138</v>
      </c>
      <c r="B6694" s="408" t="s">
        <v>77</v>
      </c>
      <c r="C6694" s="409">
        <f>Return!P644</f>
        <v>9.088572748999324E-3</v>
      </c>
    </row>
    <row r="6695" spans="1:3">
      <c r="A6695" s="406">
        <f>Return!A645</f>
        <v>45135</v>
      </c>
      <c r="B6695" s="408" t="s">
        <v>77</v>
      </c>
      <c r="C6695" s="409">
        <f>Return!P645</f>
        <v>5.6175948643617524E-3</v>
      </c>
    </row>
    <row r="6696" spans="1:3">
      <c r="A6696" s="406">
        <f>Return!A646</f>
        <v>45134</v>
      </c>
      <c r="B6696" s="408" t="s">
        <v>77</v>
      </c>
      <c r="C6696" s="409">
        <f>Return!P646</f>
        <v>-1.5756312810105699E-3</v>
      </c>
    </row>
    <row r="6697" spans="1:3">
      <c r="A6697" s="406">
        <f>Return!A647</f>
        <v>45133</v>
      </c>
      <c r="B6697" s="408" t="s">
        <v>77</v>
      </c>
      <c r="C6697" s="409">
        <f>Return!P647</f>
        <v>7.6874440200431771E-3</v>
      </c>
    </row>
    <row r="6698" spans="1:3">
      <c r="A6698" s="406">
        <f>Return!A648</f>
        <v>45132</v>
      </c>
      <c r="B6698" s="408" t="s">
        <v>77</v>
      </c>
      <c r="C6698" s="409">
        <f>Return!P648</f>
        <v>7.353922953978298E-3</v>
      </c>
    </row>
    <row r="6699" spans="1:3">
      <c r="A6699" s="406">
        <f>Return!A649</f>
        <v>45131</v>
      </c>
      <c r="B6699" s="408" t="s">
        <v>77</v>
      </c>
      <c r="C6699" s="409">
        <f>Return!P649</f>
        <v>-9.0580434333408233E-3</v>
      </c>
    </row>
    <row r="6700" spans="1:3">
      <c r="A6700" s="406">
        <f>Return!A650</f>
        <v>45128</v>
      </c>
      <c r="B6700" s="408" t="s">
        <v>77</v>
      </c>
      <c r="C6700" s="409">
        <f>Return!P650</f>
        <v>1.027164864568153E-2</v>
      </c>
    </row>
    <row r="6701" spans="1:3">
      <c r="A6701" s="406">
        <f>Return!A651</f>
        <v>45127</v>
      </c>
      <c r="B6701" s="408" t="s">
        <v>77</v>
      </c>
      <c r="C6701" s="409">
        <f>Return!P651</f>
        <v>1.2088345437222481E-2</v>
      </c>
    </row>
    <row r="6702" spans="1:3">
      <c r="A6702" s="406">
        <f>Return!A652</f>
        <v>45126</v>
      </c>
      <c r="B6702" s="408" t="s">
        <v>77</v>
      </c>
      <c r="C6702" s="409">
        <f>Return!P652</f>
        <v>2.5250394951292776E-4</v>
      </c>
    </row>
    <row r="6703" spans="1:3">
      <c r="A6703" s="406">
        <f>Return!A653</f>
        <v>45125</v>
      </c>
      <c r="B6703" s="408" t="s">
        <v>77</v>
      </c>
      <c r="C6703" s="409">
        <f>Return!P653</f>
        <v>-6.9321775987015721E-3</v>
      </c>
    </row>
    <row r="6704" spans="1:3">
      <c r="A6704" s="406">
        <f>Return!A654</f>
        <v>45124</v>
      </c>
      <c r="B6704" s="408" t="s">
        <v>77</v>
      </c>
      <c r="C6704" s="409">
        <f>Return!P654</f>
        <v>9.1151821795765198E-3</v>
      </c>
    </row>
    <row r="6705" spans="1:3">
      <c r="A6705" s="406">
        <f>Return!A655</f>
        <v>45121</v>
      </c>
      <c r="B6705" s="408" t="s">
        <v>77</v>
      </c>
      <c r="C6705" s="409">
        <f>Return!P655</f>
        <v>4.1625392329533994E-3</v>
      </c>
    </row>
    <row r="6706" spans="1:3">
      <c r="A6706" s="406">
        <f>Return!A656</f>
        <v>45120</v>
      </c>
      <c r="B6706" s="408" t="s">
        <v>77</v>
      </c>
      <c r="C6706" s="409">
        <f>Return!P656</f>
        <v>2.6207872993777581E-3</v>
      </c>
    </row>
    <row r="6707" spans="1:3">
      <c r="A6707" s="406">
        <f>Return!A657</f>
        <v>45119</v>
      </c>
      <c r="B6707" s="408" t="s">
        <v>77</v>
      </c>
      <c r="C6707" s="409">
        <f>Return!P657</f>
        <v>-6.4121121265288128E-3</v>
      </c>
    </row>
    <row r="6708" spans="1:3">
      <c r="A6708" s="406">
        <f>Return!A658</f>
        <v>45118</v>
      </c>
      <c r="B6708" s="408" t="s">
        <v>77</v>
      </c>
      <c r="C6708" s="409">
        <f>Return!P658</f>
        <v>5.2092732316757484E-3</v>
      </c>
    </row>
    <row r="6709" spans="1:3">
      <c r="A6709" s="406">
        <f>Return!A659</f>
        <v>45117</v>
      </c>
      <c r="B6709" s="408" t="s">
        <v>77</v>
      </c>
      <c r="C6709" s="409">
        <f>Return!P659</f>
        <v>1.047698314952128E-2</v>
      </c>
    </row>
    <row r="6710" spans="1:3">
      <c r="A6710" s="406">
        <f>Return!A660</f>
        <v>45114</v>
      </c>
      <c r="B6710" s="408" t="s">
        <v>77</v>
      </c>
      <c r="C6710" s="409">
        <f>Return!P660</f>
        <v>4.0589165468625232E-3</v>
      </c>
    </row>
    <row r="6711" spans="1:3">
      <c r="A6711" s="406">
        <f>Return!A661</f>
        <v>45113</v>
      </c>
      <c r="B6711" s="408" t="s">
        <v>77</v>
      </c>
      <c r="C6711" s="409">
        <f>Return!P661</f>
        <v>1.2497015898221386E-2</v>
      </c>
    </row>
    <row r="6712" spans="1:3">
      <c r="A6712" s="406">
        <f>Return!A662</f>
        <v>45112</v>
      </c>
      <c r="B6712" s="408" t="s">
        <v>77</v>
      </c>
      <c r="C6712" s="409">
        <f>Return!P662</f>
        <v>-2.7952088248353046E-3</v>
      </c>
    </row>
    <row r="6713" spans="1:3">
      <c r="A6713" s="406">
        <f>Return!A663</f>
        <v>45111</v>
      </c>
      <c r="B6713" s="408" t="s">
        <v>77</v>
      </c>
      <c r="C6713" s="409">
        <f>Return!P663</f>
        <v>-8.5923142675554676E-3</v>
      </c>
    </row>
    <row r="6714" spans="1:3">
      <c r="A6714" s="406">
        <f>Return!A664</f>
        <v>45110</v>
      </c>
      <c r="B6714" s="408" t="s">
        <v>77</v>
      </c>
      <c r="C6714" s="409">
        <f>Return!P664</f>
        <v>7.2406475834334572E-3</v>
      </c>
    </row>
    <row r="6715" spans="1:3">
      <c r="A6715" s="406">
        <f>Return!A665</f>
        <v>45107</v>
      </c>
      <c r="B6715" s="408" t="s">
        <v>77</v>
      </c>
      <c r="C6715" s="409">
        <f>Return!P665</f>
        <v>3.871345252254077E-3</v>
      </c>
    </row>
    <row r="6716" spans="1:3">
      <c r="A6716" s="406">
        <f>Return!A666</f>
        <v>45105</v>
      </c>
      <c r="B6716" s="408" t="s">
        <v>77</v>
      </c>
      <c r="C6716" s="409">
        <f>Return!P666</f>
        <v>3.0134127347467565E-3</v>
      </c>
    </row>
    <row r="6717" spans="1:3">
      <c r="A6717" s="406">
        <f>Return!A667</f>
        <v>45104</v>
      </c>
      <c r="B6717" s="408" t="s">
        <v>77</v>
      </c>
      <c r="C6717" s="409">
        <f>Return!P667</f>
        <v>6.4176806666278452E-3</v>
      </c>
    </row>
    <row r="6718" spans="1:3">
      <c r="A6718" s="406">
        <f>Return!A668</f>
        <v>45103</v>
      </c>
      <c r="B6718" s="408" t="s">
        <v>77</v>
      </c>
      <c r="C6718" s="409">
        <f>Return!P668</f>
        <v>1.4349006420689481E-2</v>
      </c>
    </row>
    <row r="6719" spans="1:3">
      <c r="A6719" s="406">
        <f>Return!A669</f>
        <v>45100</v>
      </c>
      <c r="B6719" s="408" t="s">
        <v>77</v>
      </c>
      <c r="C6719" s="409">
        <f>Return!P669</f>
        <v>6.9522158037578219E-3</v>
      </c>
    </row>
    <row r="6720" spans="1:3">
      <c r="A6720" s="406">
        <f>Return!A670</f>
        <v>45099</v>
      </c>
      <c r="B6720" s="408" t="s">
        <v>77</v>
      </c>
      <c r="C6720" s="409">
        <f>Return!P670</f>
        <v>9.3213005545838001E-3</v>
      </c>
    </row>
    <row r="6721" spans="1:3">
      <c r="A6721" s="406">
        <f>Return!A671</f>
        <v>45098</v>
      </c>
      <c r="B6721" s="408" t="s">
        <v>77</v>
      </c>
      <c r="C6721" s="409">
        <f>Return!P671</f>
        <v>-1.0106660422404268E-3</v>
      </c>
    </row>
    <row r="6722" spans="1:3">
      <c r="A6722" s="406">
        <f>Return!A672</f>
        <v>45097</v>
      </c>
      <c r="B6722" s="408" t="s">
        <v>77</v>
      </c>
      <c r="C6722" s="409">
        <f>Return!P672</f>
        <v>-2.4800785765023425E-3</v>
      </c>
    </row>
    <row r="6723" spans="1:3">
      <c r="A6723" s="406">
        <f>Return!A673</f>
        <v>45096</v>
      </c>
      <c r="B6723" s="408" t="s">
        <v>77</v>
      </c>
      <c r="C6723" s="409">
        <f>Return!P673</f>
        <v>-8.1755417112282514E-3</v>
      </c>
    </row>
    <row r="6724" spans="1:3">
      <c r="A6724" s="406">
        <f>Return!A674</f>
        <v>45093</v>
      </c>
      <c r="B6724" s="408" t="s">
        <v>77</v>
      </c>
      <c r="C6724" s="409">
        <f>Return!P674</f>
        <v>4.4477687283381862E-3</v>
      </c>
    </row>
    <row r="6725" spans="1:3">
      <c r="A6725" s="406">
        <f>Return!A675</f>
        <v>45092</v>
      </c>
      <c r="B6725" s="408" t="s">
        <v>77</v>
      </c>
      <c r="C6725" s="409">
        <f>Return!P675</f>
        <v>6.0225350385572085E-3</v>
      </c>
    </row>
    <row r="6726" spans="1:3">
      <c r="A6726" s="406">
        <f>Return!A676</f>
        <v>45091</v>
      </c>
      <c r="B6726" s="408" t="s">
        <v>77</v>
      </c>
      <c r="C6726" s="409">
        <f>Return!P676</f>
        <v>4.0147766083498126E-4</v>
      </c>
    </row>
    <row r="6727" spans="1:3">
      <c r="A6727" s="406">
        <f>Return!A677</f>
        <v>45090</v>
      </c>
      <c r="B6727" s="408" t="s">
        <v>77</v>
      </c>
      <c r="C6727" s="409">
        <f>Return!P677</f>
        <v>1.0681730943237211E-2</v>
      </c>
    </row>
    <row r="6728" spans="1:3">
      <c r="A6728" s="406">
        <f>Return!A678</f>
        <v>45089</v>
      </c>
      <c r="B6728" s="408" t="s">
        <v>77</v>
      </c>
      <c r="C6728" s="409">
        <f>Return!P678</f>
        <v>9.1708102509595602E-3</v>
      </c>
    </row>
    <row r="6729" spans="1:3">
      <c r="A6729" s="406">
        <f>Return!A679</f>
        <v>45086</v>
      </c>
      <c r="B6729" s="408" t="s">
        <v>77</v>
      </c>
      <c r="C6729" s="409">
        <f>Return!P679</f>
        <v>5.5923556841157573E-3</v>
      </c>
    </row>
    <row r="6730" spans="1:3">
      <c r="A6730" s="406">
        <f>Return!A680</f>
        <v>45085</v>
      </c>
      <c r="B6730" s="408" t="s">
        <v>77</v>
      </c>
      <c r="C6730" s="409">
        <f>Return!P680</f>
        <v>5.105339753048721E-4</v>
      </c>
    </row>
    <row r="6731" spans="1:3">
      <c r="A6731" s="406">
        <f>Return!A681</f>
        <v>45084</v>
      </c>
      <c r="B6731" s="408" t="s">
        <v>77</v>
      </c>
      <c r="C6731" s="409">
        <f>Return!P681</f>
        <v>3.4562605207006936E-3</v>
      </c>
    </row>
    <row r="6732" spans="1:3">
      <c r="A6732" s="406">
        <f>Return!A682</f>
        <v>45083</v>
      </c>
      <c r="B6732" s="408" t="s">
        <v>77</v>
      </c>
      <c r="C6732" s="409">
        <f>Return!P682</f>
        <v>1.1026538837507927E-2</v>
      </c>
    </row>
    <row r="6733" spans="1:3">
      <c r="A6733" s="406">
        <f>Return!A683</f>
        <v>45082</v>
      </c>
      <c r="B6733" s="408" t="s">
        <v>77</v>
      </c>
      <c r="C6733" s="409">
        <f>Return!P683</f>
        <v>6.0495331687679954E-3</v>
      </c>
    </row>
    <row r="6734" spans="1:3">
      <c r="A6734" s="406">
        <f>Return!A684</f>
        <v>45079</v>
      </c>
      <c r="B6734" s="408" t="s">
        <v>77</v>
      </c>
      <c r="C6734" s="409">
        <f>Return!P684</f>
        <v>4.5241878315285255E-3</v>
      </c>
    </row>
    <row r="6735" spans="1:3">
      <c r="A6735" s="406">
        <f>Return!A685</f>
        <v>45078</v>
      </c>
      <c r="B6735" s="408" t="s">
        <v>77</v>
      </c>
      <c r="C6735" s="409">
        <f>Return!P685</f>
        <v>2.4370114705187795E-3</v>
      </c>
    </row>
    <row r="6736" spans="1:3">
      <c r="A6736" s="406">
        <f>Return!A686</f>
        <v>45077</v>
      </c>
      <c r="B6736" s="408" t="s">
        <v>77</v>
      </c>
      <c r="C6736" s="409">
        <f>Return!P686</f>
        <v>8.835130628419785E-3</v>
      </c>
    </row>
    <row r="6737" spans="1:3">
      <c r="A6737" s="406">
        <f>Return!A687</f>
        <v>45076</v>
      </c>
      <c r="B6737" s="408" t="s">
        <v>77</v>
      </c>
      <c r="C6737" s="409">
        <f>Return!P687</f>
        <v>-1.0713885106405252E-2</v>
      </c>
    </row>
    <row r="6738" spans="1:3">
      <c r="A6738" s="406">
        <f>Return!A688</f>
        <v>45075</v>
      </c>
      <c r="B6738" s="408" t="s">
        <v>77</v>
      </c>
      <c r="C6738" s="409">
        <f>Return!P688</f>
        <v>-7.6973179915464929E-3</v>
      </c>
    </row>
    <row r="6739" spans="1:3">
      <c r="A6739" s="406">
        <f>Return!A689</f>
        <v>45072</v>
      </c>
      <c r="B6739" s="408" t="s">
        <v>77</v>
      </c>
      <c r="C6739" s="409">
        <f>Return!P689</f>
        <v>-3.512870745702279E-3</v>
      </c>
    </row>
    <row r="6740" spans="1:3">
      <c r="A6740" s="406">
        <f>Return!A690</f>
        <v>45071</v>
      </c>
      <c r="B6740" s="408" t="s">
        <v>77</v>
      </c>
      <c r="C6740" s="409">
        <f>Return!P690</f>
        <v>-4.1015019788230855E-3</v>
      </c>
    </row>
    <row r="6741" spans="1:3">
      <c r="A6741" s="406">
        <f>Return!A691</f>
        <v>45070</v>
      </c>
      <c r="B6741" s="408" t="s">
        <v>77</v>
      </c>
      <c r="C6741" s="409">
        <f>Return!P691</f>
        <v>2.6387390459008397E-3</v>
      </c>
    </row>
    <row r="6742" spans="1:3">
      <c r="A6742" s="406">
        <f>Return!A692</f>
        <v>45069</v>
      </c>
      <c r="B6742" s="408" t="s">
        <v>77</v>
      </c>
      <c r="C6742" s="409">
        <f>Return!P692</f>
        <v>-1.3051077654395726E-3</v>
      </c>
    </row>
    <row r="6743" spans="1:3">
      <c r="A6743" s="406">
        <f>Return!A693</f>
        <v>45068</v>
      </c>
      <c r="B6743" s="408" t="s">
        <v>77</v>
      </c>
      <c r="C6743" s="409">
        <f>Return!P693</f>
        <v>-3.7009380643066025E-3</v>
      </c>
    </row>
    <row r="6744" spans="1:3">
      <c r="A6744" s="406">
        <f>Return!A694</f>
        <v>45065</v>
      </c>
      <c r="B6744" s="408" t="s">
        <v>77</v>
      </c>
      <c r="C6744" s="409">
        <f>Return!P694</f>
        <v>-1.0858493648246981E-4</v>
      </c>
    </row>
    <row r="6745" spans="1:3">
      <c r="A6745" s="406">
        <f>Return!A695</f>
        <v>45064</v>
      </c>
      <c r="B6745" s="408" t="s">
        <v>77</v>
      </c>
      <c r="C6745" s="409">
        <f>Return!P695</f>
        <v>4.7402028352392378E-3</v>
      </c>
    </row>
    <row r="6746" spans="1:3">
      <c r="A6746" s="406">
        <f>Return!A696</f>
        <v>45063</v>
      </c>
      <c r="B6746" s="408" t="s">
        <v>77</v>
      </c>
      <c r="C6746" s="409">
        <f>Return!P696</f>
        <v>5.2591479442705147E-3</v>
      </c>
    </row>
    <row r="6747" spans="1:3">
      <c r="A6747" s="406">
        <f>Return!A697</f>
        <v>45062</v>
      </c>
      <c r="B6747" s="408" t="s">
        <v>77</v>
      </c>
      <c r="C6747" s="409">
        <f>Return!P697</f>
        <v>-2.9964987089897699E-3</v>
      </c>
    </row>
    <row r="6748" spans="1:3">
      <c r="A6748" s="406">
        <f>Return!A698</f>
        <v>45061</v>
      </c>
      <c r="B6748" s="408" t="s">
        <v>77</v>
      </c>
      <c r="C6748" s="409">
        <f>Return!P698</f>
        <v>4.1213773983341806E-3</v>
      </c>
    </row>
    <row r="6749" spans="1:3">
      <c r="A6749" s="406">
        <f>Return!A699</f>
        <v>45058</v>
      </c>
      <c r="B6749" s="408" t="s">
        <v>77</v>
      </c>
      <c r="C6749" s="409">
        <f>Return!P699</f>
        <v>9.3072591758835976E-4</v>
      </c>
    </row>
    <row r="6750" spans="1:3">
      <c r="A6750" s="406">
        <f>Return!A700</f>
        <v>45057</v>
      </c>
      <c r="B6750" s="408" t="s">
        <v>77</v>
      </c>
      <c r="C6750" s="409">
        <f>Return!P700</f>
        <v>-3.7261491893678667E-3</v>
      </c>
    </row>
    <row r="6751" spans="1:3">
      <c r="A6751" s="406">
        <f>Return!A701</f>
        <v>45056</v>
      </c>
      <c r="B6751" s="408" t="s">
        <v>77</v>
      </c>
      <c r="C6751" s="409">
        <f>Return!P701</f>
        <v>7.1995195982945681E-3</v>
      </c>
    </row>
    <row r="6752" spans="1:3">
      <c r="A6752" s="406">
        <f>Return!A702</f>
        <v>45055</v>
      </c>
      <c r="B6752" s="408" t="s">
        <v>77</v>
      </c>
      <c r="C6752" s="409">
        <f>Return!P702</f>
        <v>4.8649798918740661E-3</v>
      </c>
    </row>
    <row r="6753" spans="1:3">
      <c r="A6753" s="406">
        <f>Return!A703</f>
        <v>45054</v>
      </c>
      <c r="B6753" s="408" t="s">
        <v>77</v>
      </c>
      <c r="C6753" s="409">
        <f>Return!P703</f>
        <v>-6.7259666739616364E-4</v>
      </c>
    </row>
    <row r="6754" spans="1:3">
      <c r="A6754" s="406">
        <f>Return!A704</f>
        <v>45051</v>
      </c>
      <c r="B6754" s="408" t="s">
        <v>77</v>
      </c>
      <c r="C6754" s="409">
        <f>Return!P704</f>
        <v>1.0486943755028122E-4</v>
      </c>
    </row>
    <row r="6755" spans="1:3">
      <c r="A6755" s="406">
        <f>Return!A705</f>
        <v>45050</v>
      </c>
      <c r="B6755" s="408" t="s">
        <v>77</v>
      </c>
      <c r="C6755" s="409">
        <f>Return!P705</f>
        <v>-4.2812391228681523E-3</v>
      </c>
    </row>
    <row r="6756" spans="1:3">
      <c r="A6756" s="406">
        <f>Return!A706</f>
        <v>45049</v>
      </c>
      <c r="B6756" s="408" t="s">
        <v>77</v>
      </c>
      <c r="C6756" s="409">
        <f>Return!P706</f>
        <v>4.546111068630232E-3</v>
      </c>
    </row>
    <row r="6757" spans="1:3">
      <c r="A6757" s="406">
        <f>Return!A707</f>
        <v>45048</v>
      </c>
      <c r="B6757" s="408" t="s">
        <v>77</v>
      </c>
      <c r="C6757" s="409">
        <f>Return!P707</f>
        <v>-8.7287769120012459E-3</v>
      </c>
    </row>
    <row r="6758" spans="1:3">
      <c r="A6758" s="406">
        <f>Return!A708</f>
        <v>45044</v>
      </c>
      <c r="B6758" s="408" t="s">
        <v>77</v>
      </c>
      <c r="C6758" s="409">
        <f>Return!P708</f>
        <v>3.4920663814417274E-3</v>
      </c>
    </row>
    <row r="6759" spans="1:3">
      <c r="A6759" s="406">
        <f>Return!A709</f>
        <v>45043</v>
      </c>
      <c r="B6759" s="408" t="s">
        <v>77</v>
      </c>
      <c r="C6759" s="409">
        <f>Return!P709</f>
        <v>1.2683887065608523E-2</v>
      </c>
    </row>
    <row r="6760" spans="1:3">
      <c r="A6760" s="406">
        <f>Return!A710</f>
        <v>45042</v>
      </c>
      <c r="B6760" s="408" t="s">
        <v>77</v>
      </c>
      <c r="C6760" s="409">
        <f>Return!P710</f>
        <v>-6.0652897126300953E-3</v>
      </c>
    </row>
    <row r="6761" spans="1:3">
      <c r="A6761" s="406">
        <f>Return!A711</f>
        <v>45041</v>
      </c>
      <c r="B6761" s="408" t="s">
        <v>77</v>
      </c>
      <c r="C6761" s="409">
        <f>Return!P711</f>
        <v>-4.431901613477951E-3</v>
      </c>
    </row>
    <row r="6762" spans="1:3">
      <c r="A6762" s="406">
        <f>Return!A712</f>
        <v>45040</v>
      </c>
      <c r="B6762" s="408" t="s">
        <v>77</v>
      </c>
      <c r="C6762" s="409">
        <f>Return!P712</f>
        <v>1.5579984498416577E-2</v>
      </c>
    </row>
    <row r="6763" spans="1:3">
      <c r="A6763" s="406">
        <f>Return!A713</f>
        <v>45037</v>
      </c>
      <c r="B6763" s="408" t="s">
        <v>77</v>
      </c>
      <c r="C6763" s="409">
        <f>Return!P713</f>
        <v>2.691719058166786E-3</v>
      </c>
    </row>
    <row r="6764" spans="1:3">
      <c r="A6764" s="406">
        <f>Return!A714</f>
        <v>45036</v>
      </c>
      <c r="B6764" s="408" t="s">
        <v>77</v>
      </c>
      <c r="C6764" s="409">
        <f>Return!P714</f>
        <v>5.0351735408031839E-3</v>
      </c>
    </row>
    <row r="6765" spans="1:3">
      <c r="A6765" s="406">
        <f>Return!A715</f>
        <v>45035</v>
      </c>
      <c r="B6765" s="408" t="s">
        <v>77</v>
      </c>
      <c r="C6765" s="409">
        <f>Return!P715</f>
        <v>7.2938776894515556E-3</v>
      </c>
    </row>
    <row r="6766" spans="1:3">
      <c r="A6766" s="406">
        <f>Return!A716</f>
        <v>45034</v>
      </c>
      <c r="B6766" s="408" t="s">
        <v>77</v>
      </c>
      <c r="C6766" s="409">
        <f>Return!P716</f>
        <v>6.9366909870693938E-3</v>
      </c>
    </row>
    <row r="6767" spans="1:3">
      <c r="A6767" s="406">
        <f>Return!A717</f>
        <v>45033</v>
      </c>
      <c r="B6767" s="408" t="s">
        <v>77</v>
      </c>
      <c r="C6767" s="409">
        <f>Return!P717</f>
        <v>1.7091087434832897E-3</v>
      </c>
    </row>
    <row r="6768" spans="1:3">
      <c r="A6768" s="406">
        <f>Return!A718</f>
        <v>45029</v>
      </c>
      <c r="B6768" s="408" t="s">
        <v>77</v>
      </c>
      <c r="C6768" s="409">
        <f>Return!P718</f>
        <v>3.5725138736586448E-3</v>
      </c>
    </row>
    <row r="6769" spans="1:3">
      <c r="A6769" s="406">
        <f>Return!A719</f>
        <v>45028</v>
      </c>
      <c r="B6769" s="408" t="s">
        <v>77</v>
      </c>
      <c r="C6769" s="409">
        <f>Return!P719</f>
        <v>5.2471339973689801E-3</v>
      </c>
    </row>
    <row r="6770" spans="1:3">
      <c r="A6770" s="406">
        <f>Return!A720</f>
        <v>45027</v>
      </c>
      <c r="B6770" s="408" t="s">
        <v>77</v>
      </c>
      <c r="C6770" s="409">
        <f>Return!P720</f>
        <v>-2.8474496806885075E-3</v>
      </c>
    </row>
    <row r="6771" spans="1:3">
      <c r="A6771" s="406">
        <f>Return!A721</f>
        <v>45026</v>
      </c>
      <c r="B6771" s="408" t="s">
        <v>77</v>
      </c>
      <c r="C6771" s="409">
        <f>Return!P721</f>
        <v>1.0834700385644824E-2</v>
      </c>
    </row>
    <row r="6772" spans="1:3">
      <c r="A6772" s="406">
        <f>Return!A722</f>
        <v>45022</v>
      </c>
      <c r="B6772" s="408" t="s">
        <v>77</v>
      </c>
      <c r="C6772" s="409">
        <f>Return!P722</f>
        <v>-5.6191127233671256E-3</v>
      </c>
    </row>
    <row r="6773" spans="1:3">
      <c r="A6773" s="406">
        <f>Return!A723</f>
        <v>45021</v>
      </c>
      <c r="B6773" s="408" t="s">
        <v>77</v>
      </c>
      <c r="C6773" s="409">
        <f>Return!P723</f>
        <v>6.4359635336508347E-4</v>
      </c>
    </row>
    <row r="6774" spans="1:3">
      <c r="A6774" s="406">
        <f>Return!A724</f>
        <v>45019</v>
      </c>
      <c r="B6774" s="408" t="s">
        <v>77</v>
      </c>
      <c r="C6774" s="409">
        <f>Return!P724</f>
        <v>6.3953839282482328E-3</v>
      </c>
    </row>
    <row r="6775" spans="1:3">
      <c r="A6775" s="406">
        <f>Return!A725</f>
        <v>45016</v>
      </c>
      <c r="B6775" s="408" t="s">
        <v>77</v>
      </c>
      <c r="C6775" s="409">
        <f>Return!P725</f>
        <v>-2.1870128261162192E-3</v>
      </c>
    </row>
    <row r="6776" spans="1:3">
      <c r="A6776" s="406">
        <f>Return!A726</f>
        <v>45014</v>
      </c>
      <c r="B6776" s="408" t="s">
        <v>77</v>
      </c>
      <c r="C6776" s="409">
        <f>Return!P726</f>
        <v>-4.1621900419303026E-3</v>
      </c>
    </row>
    <row r="6777" spans="1:3">
      <c r="A6777" s="406">
        <f>Return!A727</f>
        <v>45013</v>
      </c>
      <c r="B6777" s="408" t="s">
        <v>77</v>
      </c>
      <c r="C6777" s="409">
        <f>Return!P727</f>
        <v>-1.476260236550675E-3</v>
      </c>
    </row>
    <row r="6778" spans="1:3">
      <c r="A6778" s="406">
        <f>Return!A728</f>
        <v>45012</v>
      </c>
      <c r="B6778" s="408" t="s">
        <v>77</v>
      </c>
      <c r="C6778" s="409">
        <f>Return!P728</f>
        <v>6.2331555530763527E-3</v>
      </c>
    </row>
    <row r="6779" spans="1:3">
      <c r="A6779" s="406">
        <f>Return!A729</f>
        <v>45009</v>
      </c>
      <c r="B6779" s="408" t="s">
        <v>77</v>
      </c>
      <c r="C6779" s="409">
        <f>Return!P729</f>
        <v>3.209486067700773E-3</v>
      </c>
    </row>
    <row r="6780" spans="1:3">
      <c r="A6780" s="406">
        <f>Return!A730</f>
        <v>45008</v>
      </c>
      <c r="B6780" s="408" t="s">
        <v>77</v>
      </c>
      <c r="C6780" s="409">
        <f>Return!P730</f>
        <v>1.9313843741652903E-4</v>
      </c>
    </row>
    <row r="6781" spans="1:3">
      <c r="A6781" s="406">
        <f>Return!A731</f>
        <v>45007</v>
      </c>
      <c r="B6781" s="408" t="s">
        <v>77</v>
      </c>
      <c r="C6781" s="409">
        <f>Return!P731</f>
        <v>-7.1247100408703412E-3</v>
      </c>
    </row>
    <row r="6782" spans="1:3">
      <c r="A6782" s="406">
        <f>Return!A732</f>
        <v>45006</v>
      </c>
      <c r="B6782" s="408" t="s">
        <v>77</v>
      </c>
      <c r="C6782" s="409">
        <f>Return!P732</f>
        <v>-2.6252771800698849E-3</v>
      </c>
    </row>
    <row r="6783" spans="1:3">
      <c r="A6783" s="406">
        <f>Return!A733</f>
        <v>45005</v>
      </c>
      <c r="B6783" s="408" t="s">
        <v>77</v>
      </c>
      <c r="C6783" s="409">
        <f>Return!P733</f>
        <v>-2.4778165453298584E-3</v>
      </c>
    </row>
    <row r="6784" spans="1:3">
      <c r="A6784" s="406">
        <f>Return!A734</f>
        <v>45002</v>
      </c>
      <c r="B6784" s="408" t="s">
        <v>77</v>
      </c>
      <c r="C6784" s="409">
        <f>Return!P734</f>
        <v>-1.9320966143684393E-3</v>
      </c>
    </row>
    <row r="6785" spans="1:3">
      <c r="A6785" s="406">
        <f>Return!A735</f>
        <v>45001</v>
      </c>
      <c r="B6785" s="408" t="s">
        <v>77</v>
      </c>
      <c r="C6785" s="409">
        <f>Return!P735</f>
        <v>2.9353495413002584E-3</v>
      </c>
    </row>
    <row r="6786" spans="1:3">
      <c r="A6786" s="406">
        <f>Return!A736</f>
        <v>45000</v>
      </c>
      <c r="B6786" s="408" t="s">
        <v>77</v>
      </c>
      <c r="C6786" s="409">
        <f>Return!P736</f>
        <v>1.4897056685114762E-3</v>
      </c>
    </row>
    <row r="6787" spans="1:3">
      <c r="A6787" s="406">
        <f>Return!A737</f>
        <v>44999</v>
      </c>
      <c r="B6787" s="408" t="s">
        <v>77</v>
      </c>
      <c r="C6787" s="409">
        <f>Return!P737</f>
        <v>2.0309921725891744E-3</v>
      </c>
    </row>
    <row r="6788" spans="1:3">
      <c r="A6788" s="406">
        <f>Return!A738</f>
        <v>44998</v>
      </c>
      <c r="B6788" s="408" t="s">
        <v>77</v>
      </c>
      <c r="C6788" s="409">
        <f>Return!P738</f>
        <v>2.8295681968910635E-3</v>
      </c>
    </row>
    <row r="6789" spans="1:3">
      <c r="A6789" s="406">
        <f>Return!A739</f>
        <v>44995</v>
      </c>
      <c r="B6789" s="408" t="s">
        <v>77</v>
      </c>
      <c r="C6789" s="409">
        <f>Return!P739</f>
        <v>-7.0689774067193012E-3</v>
      </c>
    </row>
    <row r="6790" spans="1:3">
      <c r="A6790" s="406">
        <f>Return!A740</f>
        <v>44994</v>
      </c>
      <c r="B6790" s="408" t="s">
        <v>77</v>
      </c>
      <c r="C6790" s="409">
        <f>Return!P740</f>
        <v>-4.1827832778417173E-3</v>
      </c>
    </row>
    <row r="6791" spans="1:3">
      <c r="A6791" s="406">
        <f>Return!A741</f>
        <v>44993</v>
      </c>
      <c r="B6791" s="408" t="s">
        <v>77</v>
      </c>
      <c r="C6791" s="409">
        <f>Return!P741</f>
        <v>-2.3213408717426276E-4</v>
      </c>
    </row>
    <row r="6792" spans="1:3">
      <c r="A6792" s="406">
        <f>Return!A742</f>
        <v>44991</v>
      </c>
      <c r="B6792" s="408" t="s">
        <v>77</v>
      </c>
      <c r="C6792" s="409">
        <f>Return!P742</f>
        <v>-1.6920846944882273E-3</v>
      </c>
    </row>
    <row r="6793" spans="1:3">
      <c r="A6793" s="406">
        <f>Return!A743</f>
        <v>44988</v>
      </c>
      <c r="B6793" s="408" t="s">
        <v>77</v>
      </c>
      <c r="C6793" s="409">
        <f>Return!P743</f>
        <v>-3.0433836933223546E-3</v>
      </c>
    </row>
    <row r="6794" spans="1:3">
      <c r="A6794" s="406">
        <f>Return!A744</f>
        <v>44987</v>
      </c>
      <c r="B6794" s="408" t="s">
        <v>77</v>
      </c>
      <c r="C6794" s="409">
        <f>Return!P744</f>
        <v>-2.1726905922530015E-3</v>
      </c>
    </row>
    <row r="6795" spans="1:3">
      <c r="A6795" s="406">
        <f>Return!A745</f>
        <v>44986</v>
      </c>
      <c r="B6795" s="408" t="s">
        <v>77</v>
      </c>
      <c r="C6795" s="409">
        <f>Return!P745</f>
        <v>-5.4830111915998847E-3</v>
      </c>
    </row>
    <row r="6796" spans="1:3">
      <c r="A6796" s="406">
        <f>Return!A746</f>
        <v>44985</v>
      </c>
      <c r="B6796" s="408" t="s">
        <v>77</v>
      </c>
      <c r="C6796" s="409">
        <f>Return!P746</f>
        <v>-7.7375301856942302E-3</v>
      </c>
    </row>
    <row r="6797" spans="1:3">
      <c r="A6797" s="406">
        <f>Return!A747</f>
        <v>44984</v>
      </c>
      <c r="B6797" s="408" t="s">
        <v>77</v>
      </c>
      <c r="C6797" s="409">
        <f>Return!P747</f>
        <v>5.893131581777844E-3</v>
      </c>
    </row>
    <row r="6798" spans="1:3">
      <c r="A6798" s="406">
        <f>Return!A748</f>
        <v>44981</v>
      </c>
      <c r="B6798" s="408" t="s">
        <v>77</v>
      </c>
      <c r="C6798" s="409">
        <f>Return!P748</f>
        <v>1.6091327596610139E-3</v>
      </c>
    </row>
    <row r="6799" spans="1:3">
      <c r="A6799" s="406">
        <f>Return!A749</f>
        <v>44980</v>
      </c>
      <c r="B6799" s="408" t="s">
        <v>77</v>
      </c>
      <c r="C6799" s="409">
        <f>Return!P749</f>
        <v>-3.9442905725438626E-3</v>
      </c>
    </row>
    <row r="6800" spans="1:3">
      <c r="A6800" s="406">
        <f>Return!A750</f>
        <v>44979</v>
      </c>
      <c r="B6800" s="408" t="s">
        <v>77</v>
      </c>
      <c r="C6800" s="409">
        <f>Return!P750</f>
        <v>-1.0538674992475627E-2</v>
      </c>
    </row>
    <row r="6801" spans="1:3">
      <c r="A6801" s="406">
        <f>Return!A751</f>
        <v>44978</v>
      </c>
      <c r="B6801" s="408" t="s">
        <v>77</v>
      </c>
      <c r="C6801" s="409">
        <f>Return!P751</f>
        <v>3.1412757932649527E-3</v>
      </c>
    </row>
    <row r="6802" spans="1:3">
      <c r="A6802" s="406">
        <f>Return!A752</f>
        <v>44977</v>
      </c>
      <c r="B6802" s="408" t="s">
        <v>77</v>
      </c>
      <c r="C6802" s="409">
        <f>Return!P752</f>
        <v>-6.6834918410646482E-3</v>
      </c>
    </row>
    <row r="6803" spans="1:3">
      <c r="A6803" s="406">
        <f>Return!A753</f>
        <v>44974</v>
      </c>
      <c r="B6803" s="408" t="s">
        <v>77</v>
      </c>
      <c r="C6803" s="409">
        <f>Return!P753</f>
        <v>1.3386955967054304E-2</v>
      </c>
    </row>
    <row r="6804" spans="1:3">
      <c r="A6804" s="406">
        <f>Return!A754</f>
        <v>44973</v>
      </c>
      <c r="B6804" s="408" t="s">
        <v>77</v>
      </c>
      <c r="C6804" s="409">
        <f>Return!P754</f>
        <v>6.0208215599169002E-3</v>
      </c>
    </row>
    <row r="6805" spans="1:3">
      <c r="A6805" s="406">
        <f>Return!A755</f>
        <v>44972</v>
      </c>
      <c r="B6805" s="408" t="s">
        <v>77</v>
      </c>
      <c r="C6805" s="409">
        <f>Return!P755</f>
        <v>1.7302790760760356E-3</v>
      </c>
    </row>
    <row r="6806" spans="1:3">
      <c r="A6806" s="406">
        <f>Return!A756</f>
        <v>44971</v>
      </c>
      <c r="B6806" s="408" t="s">
        <v>77</v>
      </c>
      <c r="C6806" s="409">
        <f>Return!P756</f>
        <v>-4.9571349488060079E-3</v>
      </c>
    </row>
    <row r="6807" spans="1:3">
      <c r="A6807" s="406">
        <f>Return!A757</f>
        <v>44970</v>
      </c>
      <c r="B6807" s="408" t="s">
        <v>77</v>
      </c>
      <c r="C6807" s="409">
        <f>Return!P757</f>
        <v>-1.1146306648545101E-3</v>
      </c>
    </row>
    <row r="6808" spans="1:3">
      <c r="A6808" s="406">
        <f>Return!A758</f>
        <v>44967</v>
      </c>
      <c r="B6808" s="408" t="s">
        <v>77</v>
      </c>
      <c r="C6808" s="409">
        <f>Return!P758</f>
        <v>-4.303106003830437E-3</v>
      </c>
    </row>
    <row r="6809" spans="1:3">
      <c r="A6809" s="406">
        <f>Return!A759</f>
        <v>44966</v>
      </c>
      <c r="B6809" s="408" t="s">
        <v>77</v>
      </c>
      <c r="C6809" s="409">
        <f>Return!P759</f>
        <v>-3.0963864423101395E-3</v>
      </c>
    </row>
    <row r="6810" spans="1:3">
      <c r="A6810" s="406">
        <f>Return!A760</f>
        <v>44965</v>
      </c>
      <c r="B6810" s="408" t="s">
        <v>77</v>
      </c>
      <c r="C6810" s="409">
        <f>Return!P760</f>
        <v>-3.632358594751306E-3</v>
      </c>
    </row>
    <row r="6811" spans="1:3">
      <c r="A6811" s="406">
        <f>Return!A761</f>
        <v>44964</v>
      </c>
      <c r="B6811" s="408" t="s">
        <v>77</v>
      </c>
      <c r="C6811" s="409">
        <f>Return!P761</f>
        <v>2.1584565742409634E-3</v>
      </c>
    </row>
    <row r="6812" spans="1:3">
      <c r="A6812" s="406">
        <f>Return!A762</f>
        <v>44963</v>
      </c>
      <c r="B6812" s="408" t="s">
        <v>77</v>
      </c>
      <c r="C6812" s="409">
        <f>Return!P762</f>
        <v>-1.1537898086980247E-2</v>
      </c>
    </row>
    <row r="6813" spans="1:3">
      <c r="A6813" s="406">
        <f>Return!A763</f>
        <v>44960</v>
      </c>
      <c r="B6813" s="408" t="s">
        <v>77</v>
      </c>
      <c r="C6813" s="409">
        <f>Return!P763</f>
        <v>-1.0548424692049641E-2</v>
      </c>
    </row>
    <row r="6814" spans="1:3">
      <c r="A6814" s="406">
        <f>Return!A764</f>
        <v>44959</v>
      </c>
      <c r="B6814" s="408" t="s">
        <v>77</v>
      </c>
      <c r="C6814" s="409">
        <f>Return!P764</f>
        <v>8.2104447528579261E-3</v>
      </c>
    </row>
    <row r="6815" spans="1:3">
      <c r="A6815" s="406">
        <f>Return!A765</f>
        <v>44958</v>
      </c>
      <c r="B6815" s="408" t="s">
        <v>77</v>
      </c>
      <c r="C6815" s="409">
        <f>Return!P765</f>
        <v>-7.6666874304091026E-3</v>
      </c>
    </row>
    <row r="6816" spans="1:3">
      <c r="A6816" s="406">
        <f>Return!A766</f>
        <v>44957</v>
      </c>
      <c r="B6816" s="408" t="s">
        <v>77</v>
      </c>
      <c r="C6816" s="409">
        <f>Return!P766</f>
        <v>-1.8949868982962581E-3</v>
      </c>
    </row>
    <row r="6817" spans="1:3">
      <c r="A6817" s="406">
        <f>Return!A767</f>
        <v>44956</v>
      </c>
      <c r="B6817" s="408" t="s">
        <v>77</v>
      </c>
      <c r="C6817" s="409">
        <f>Return!P767</f>
        <v>7.6440889725359895E-3</v>
      </c>
    </row>
    <row r="6818" spans="1:3">
      <c r="A6818" s="406">
        <f>Return!A768</f>
        <v>44953</v>
      </c>
      <c r="B6818" s="408" t="s">
        <v>77</v>
      </c>
      <c r="C6818" s="409">
        <f>Return!P768</f>
        <v>-1.2201540509667597E-3</v>
      </c>
    </row>
    <row r="6819" spans="1:3">
      <c r="A6819" s="406">
        <f>Return!A769</f>
        <v>44951</v>
      </c>
      <c r="B6819" s="408" t="s">
        <v>77</v>
      </c>
      <c r="C6819" s="409">
        <f>Return!P769</f>
        <v>-2.293596625480121E-3</v>
      </c>
    </row>
    <row r="6820" spans="1:3">
      <c r="A6820" s="406">
        <f>Return!A770</f>
        <v>44950</v>
      </c>
      <c r="B6820" s="408" t="s">
        <v>77</v>
      </c>
      <c r="C6820" s="409">
        <f>Return!P770</f>
        <v>-1.3216049284500153E-3</v>
      </c>
    </row>
    <row r="6821" spans="1:3">
      <c r="A6821" s="406">
        <f>Return!A771</f>
        <v>44949</v>
      </c>
      <c r="B6821" s="408" t="s">
        <v>77</v>
      </c>
      <c r="C6821" s="409">
        <f>Return!P771</f>
        <v>2.3989175250853645E-3</v>
      </c>
    </row>
    <row r="6822" spans="1:3">
      <c r="A6822" s="406">
        <f>Return!A772</f>
        <v>44946</v>
      </c>
      <c r="B6822" s="408" t="s">
        <v>77</v>
      </c>
      <c r="C6822" s="409">
        <f>Return!P772</f>
        <v>-6.0515884570438994E-3</v>
      </c>
    </row>
    <row r="6823" spans="1:3">
      <c r="A6823" s="406">
        <f>Return!A773</f>
        <v>44945</v>
      </c>
      <c r="B6823" s="408" t="s">
        <v>77</v>
      </c>
      <c r="C6823" s="409">
        <f>Return!P773</f>
        <v>2.3709200862753743E-3</v>
      </c>
    </row>
    <row r="6824" spans="1:3">
      <c r="A6824" s="406">
        <f>Return!A774</f>
        <v>44944</v>
      </c>
      <c r="B6824" s="408" t="s">
        <v>77</v>
      </c>
      <c r="C6824" s="409">
        <f>Return!P774</f>
        <v>6.4290295259497032E-3</v>
      </c>
    </row>
    <row r="6825" spans="1:3">
      <c r="A6825" s="406">
        <f>Return!A775</f>
        <v>44943</v>
      </c>
      <c r="B6825" s="408" t="s">
        <v>77</v>
      </c>
      <c r="C6825" s="409">
        <f>Return!P775</f>
        <v>-7.7866941281622415E-3</v>
      </c>
    </row>
    <row r="6826" spans="1:3">
      <c r="A6826" s="406">
        <f>Return!A776</f>
        <v>44942</v>
      </c>
      <c r="B6826" s="408" t="s">
        <v>77</v>
      </c>
      <c r="C6826" s="409">
        <f>Return!P776</f>
        <v>6.8800010434124648E-3</v>
      </c>
    </row>
    <row r="6827" spans="1:3">
      <c r="A6827" s="406">
        <f>Return!A777</f>
        <v>44939</v>
      </c>
      <c r="B6827" s="408" t="s">
        <v>77</v>
      </c>
      <c r="C6827" s="409">
        <f>Return!P777</f>
        <v>-3.8671337802224093E-3</v>
      </c>
    </row>
    <row r="6828" spans="1:3">
      <c r="A6828" s="406">
        <f>Return!A778</f>
        <v>44938</v>
      </c>
      <c r="B6828" s="408" t="s">
        <v>77</v>
      </c>
      <c r="C6828" s="409">
        <f>Return!P778</f>
        <v>4.6175457602342096E-3</v>
      </c>
    </row>
    <row r="6829" spans="1:3">
      <c r="A6829" s="406">
        <f>Return!A779</f>
        <v>44937</v>
      </c>
      <c r="B6829" s="408" t="s">
        <v>77</v>
      </c>
      <c r="C6829" s="409">
        <f>Return!P779</f>
        <v>-4.1140294578808634E-3</v>
      </c>
    </row>
    <row r="6830" spans="1:3">
      <c r="A6830" s="406">
        <f>Return!A780</f>
        <v>44936</v>
      </c>
      <c r="B6830" s="408" t="s">
        <v>77</v>
      </c>
      <c r="C6830" s="409">
        <f>Return!P780</f>
        <v>-2.4733338627931367E-3</v>
      </c>
    </row>
    <row r="6831" spans="1:3">
      <c r="A6831" s="406">
        <f>Return!A781</f>
        <v>44935</v>
      </c>
      <c r="B6831" s="408" t="s">
        <v>77</v>
      </c>
      <c r="C6831" s="409">
        <f>Return!P781</f>
        <v>1.7148197312399915E-3</v>
      </c>
    </row>
    <row r="6832" spans="1:3">
      <c r="A6832" s="406">
        <f>Return!A782</f>
        <v>44932</v>
      </c>
      <c r="B6832" s="408" t="s">
        <v>77</v>
      </c>
      <c r="C6832" s="409">
        <f>Return!P782</f>
        <v>-3.3840536866186488E-3</v>
      </c>
    </row>
    <row r="6833" spans="1:3">
      <c r="A6833" s="406">
        <f>Return!A783</f>
        <v>44931</v>
      </c>
      <c r="B6833" s="408" t="s">
        <v>77</v>
      </c>
      <c r="C6833" s="409">
        <f>Return!P783</f>
        <v>9.1407944717292189E-4</v>
      </c>
    </row>
    <row r="6834" spans="1:3">
      <c r="A6834" s="406">
        <f>Return!A784</f>
        <v>44930</v>
      </c>
      <c r="B6834" s="408" t="s">
        <v>77</v>
      </c>
      <c r="C6834" s="409">
        <f>Return!P784</f>
        <v>-6.5983110048538629E-3</v>
      </c>
    </row>
    <row r="6835" spans="1:3">
      <c r="A6835" s="406">
        <f>Return!A785</f>
        <v>44929</v>
      </c>
      <c r="B6835" s="408" t="s">
        <v>77</v>
      </c>
      <c r="C6835" s="409">
        <f>Return!P785</f>
        <v>-9.8449500026284165E-3</v>
      </c>
    </row>
    <row r="6836" spans="1:3">
      <c r="A6836" s="406">
        <f>Return!A786</f>
        <v>44928</v>
      </c>
      <c r="B6836" s="408" t="s">
        <v>77</v>
      </c>
      <c r="C6836" s="409">
        <f>Return!P786</f>
        <v>-4.8147502259143771E-3</v>
      </c>
    </row>
    <row r="6837" spans="1:3">
      <c r="A6837" s="406">
        <f>Return!A787</f>
        <v>44925</v>
      </c>
      <c r="B6837" s="408" t="s">
        <v>77</v>
      </c>
      <c r="C6837" s="409">
        <f>Return!P787</f>
        <v>2.5814079431189185E-2</v>
      </c>
    </row>
    <row r="6838" spans="1:3">
      <c r="A6838" s="406">
        <f>Return!A788</f>
        <v>44924</v>
      </c>
      <c r="B6838" s="408" t="s">
        <v>77</v>
      </c>
      <c r="C6838" s="409">
        <f>Return!P788</f>
        <v>-3.9489107045316274E-3</v>
      </c>
    </row>
    <row r="6839" spans="1:3">
      <c r="A6839" s="406">
        <f>Return!A789</f>
        <v>44923</v>
      </c>
      <c r="B6839" s="408" t="s">
        <v>77</v>
      </c>
      <c r="C6839" s="409">
        <f>Return!P789</f>
        <v>1.5522942090728797E-3</v>
      </c>
    </row>
    <row r="6840" spans="1:3">
      <c r="A6840" s="406">
        <f>Return!A790</f>
        <v>44922</v>
      </c>
      <c r="B6840" s="408" t="s">
        <v>77</v>
      </c>
      <c r="C6840" s="409">
        <f>Return!P790</f>
        <v>-1.1034641657336586E-2</v>
      </c>
    </row>
    <row r="6841" spans="1:3">
      <c r="A6841" s="406">
        <f>Return!A791</f>
        <v>44921</v>
      </c>
      <c r="B6841" s="408" t="s">
        <v>77</v>
      </c>
      <c r="C6841" s="409">
        <f>Return!P791</f>
        <v>-5.6354018490474278E-3</v>
      </c>
    </row>
    <row r="6842" spans="1:3">
      <c r="A6842" s="406">
        <f>Return!A792</f>
        <v>44918</v>
      </c>
      <c r="B6842" s="408" t="s">
        <v>77</v>
      </c>
      <c r="C6842" s="409">
        <f>Return!P792</f>
        <v>4.9124323658749081E-3</v>
      </c>
    </row>
    <row r="6843" spans="1:3">
      <c r="A6843" s="406">
        <f>Return!A793</f>
        <v>44917</v>
      </c>
      <c r="B6843" s="408" t="s">
        <v>77</v>
      </c>
      <c r="C6843" s="409">
        <f>Return!P793</f>
        <v>1.7059030799084773E-3</v>
      </c>
    </row>
    <row r="6844" spans="1:3">
      <c r="A6844" s="406">
        <f>Return!A794</f>
        <v>44916</v>
      </c>
      <c r="B6844" s="408" t="s">
        <v>77</v>
      </c>
      <c r="C6844" s="409">
        <f>Return!P794</f>
        <v>-4.735483895824677E-4</v>
      </c>
    </row>
    <row r="6845" spans="1:3">
      <c r="A6845" s="406">
        <f>Return!A795</f>
        <v>44915</v>
      </c>
      <c r="B6845" s="408" t="s">
        <v>77</v>
      </c>
      <c r="C6845" s="409">
        <f>Return!P795</f>
        <v>1.726692465748414E-3</v>
      </c>
    </row>
    <row r="6846" spans="1:3">
      <c r="A6846" s="406">
        <f>Return!A796</f>
        <v>44914</v>
      </c>
      <c r="B6846" s="408" t="s">
        <v>77</v>
      </c>
      <c r="C6846" s="409">
        <f>Return!P796</f>
        <v>-7.9259664577386868E-3</v>
      </c>
    </row>
    <row r="6847" spans="1:3">
      <c r="A6847" s="406">
        <f>Return!A797</f>
        <v>44911</v>
      </c>
      <c r="B6847" s="408" t="s">
        <v>77</v>
      </c>
      <c r="C6847" s="409">
        <f>Return!P797</f>
        <v>-5.5306905573716536E-3</v>
      </c>
    </row>
    <row r="6848" spans="1:3">
      <c r="A6848" s="406">
        <f>Return!A798</f>
        <v>44910</v>
      </c>
      <c r="B6848" s="408" t="s">
        <v>77</v>
      </c>
      <c r="C6848" s="409">
        <f>Return!P798</f>
        <v>-4.3220896660639552E-3</v>
      </c>
    </row>
    <row r="6849" spans="1:3">
      <c r="A6849" s="406">
        <f>Return!A799</f>
        <v>44909</v>
      </c>
      <c r="B6849" s="408" t="s">
        <v>77</v>
      </c>
      <c r="C6849" s="409">
        <f>Return!P799</f>
        <v>-3.4207198970351849E-3</v>
      </c>
    </row>
    <row r="6850" spans="1:3">
      <c r="A6850" s="406">
        <f>Return!A800</f>
        <v>44908</v>
      </c>
      <c r="B6850" s="408" t="s">
        <v>77</v>
      </c>
      <c r="C6850" s="409">
        <f>Return!P800</f>
        <v>-6.8996436914503523E-4</v>
      </c>
    </row>
    <row r="6851" spans="1:3">
      <c r="A6851" s="406">
        <f>Return!A801</f>
        <v>44907</v>
      </c>
      <c r="B6851" s="408" t="s">
        <v>77</v>
      </c>
      <c r="C6851" s="409">
        <f>Return!P801</f>
        <v>-8.1954535509243254E-4</v>
      </c>
    </row>
    <row r="6852" spans="1:3">
      <c r="A6852" s="406">
        <f>Return!A802</f>
        <v>44904</v>
      </c>
      <c r="B6852" s="408" t="s">
        <v>77</v>
      </c>
      <c r="C6852" s="409">
        <f>Return!P802</f>
        <v>4.8380840226982524E-3</v>
      </c>
    </row>
    <row r="6853" spans="1:3">
      <c r="A6853" s="406">
        <f>Return!A803</f>
        <v>44903</v>
      </c>
      <c r="B6853" s="408" t="s">
        <v>77</v>
      </c>
      <c r="C6853" s="409">
        <f>Return!P803</f>
        <v>9.5066685714868537E-3</v>
      </c>
    </row>
    <row r="6854" spans="1:3">
      <c r="A6854" s="406">
        <f>Return!A804</f>
        <v>44902</v>
      </c>
      <c r="B6854" s="408" t="s">
        <v>77</v>
      </c>
      <c r="C6854" s="409">
        <f>Return!P804</f>
        <v>1.1652950239668947E-3</v>
      </c>
    </row>
    <row r="6855" spans="1:3">
      <c r="A6855" s="406">
        <f>Return!A805</f>
        <v>44901</v>
      </c>
      <c r="B6855" s="408" t="s">
        <v>77</v>
      </c>
      <c r="C6855" s="409">
        <f>Return!P805</f>
        <v>3.7207075593073125E-3</v>
      </c>
    </row>
    <row r="6856" spans="1:3">
      <c r="A6856" s="406">
        <f>Return!A806</f>
        <v>44900</v>
      </c>
      <c r="B6856" s="408" t="s">
        <v>77</v>
      </c>
      <c r="C6856" s="409">
        <f>Return!P806</f>
        <v>6.347064668017488E-3</v>
      </c>
    </row>
    <row r="6857" spans="1:3">
      <c r="A6857" s="406">
        <f>Return!A807</f>
        <v>44897</v>
      </c>
      <c r="B6857" s="408" t="s">
        <v>77</v>
      </c>
      <c r="C6857" s="409">
        <f>Return!P807</f>
        <v>4.0460228624898953E-3</v>
      </c>
    </row>
    <row r="6858" spans="1:3">
      <c r="A6858" s="406">
        <f>Return!A808</f>
        <v>44896</v>
      </c>
      <c r="B6858" s="408" t="s">
        <v>77</v>
      </c>
      <c r="C6858" s="409">
        <f>Return!P808</f>
        <v>-6.5200227796335941E-4</v>
      </c>
    </row>
    <row r="6859" spans="1:3">
      <c r="A6859" s="406">
        <f>Return!A809</f>
        <v>44895</v>
      </c>
      <c r="B6859" s="408" t="s">
        <v>77</v>
      </c>
      <c r="C6859" s="409">
        <f>Return!P809</f>
        <v>-3.9317634856844697E-3</v>
      </c>
    </row>
    <row r="6860" spans="1:3">
      <c r="A6860" s="406">
        <f>Return!A810</f>
        <v>44894</v>
      </c>
      <c r="B6860" s="408" t="s">
        <v>77</v>
      </c>
      <c r="C6860" s="409">
        <f>Return!P810</f>
        <v>-2.8875225602764676E-3</v>
      </c>
    </row>
    <row r="6861" spans="1:3">
      <c r="A6861" s="406">
        <f>Return!A811</f>
        <v>44893</v>
      </c>
      <c r="B6861" s="408" t="s">
        <v>77</v>
      </c>
      <c r="C6861" s="409">
        <f>Return!P811</f>
        <v>-5.1585795634565557E-3</v>
      </c>
    </row>
    <row r="6862" spans="1:3">
      <c r="A6862" s="406">
        <f>Return!A812</f>
        <v>44890</v>
      </c>
      <c r="B6862" s="408" t="s">
        <v>77</v>
      </c>
      <c r="C6862" s="409">
        <f>Return!P812</f>
        <v>-4.1561957850304587E-3</v>
      </c>
    </row>
    <row r="6863" spans="1:3">
      <c r="A6863" s="406">
        <f>Return!A813</f>
        <v>44889</v>
      </c>
      <c r="B6863" s="408" t="s">
        <v>77</v>
      </c>
      <c r="C6863" s="409">
        <f>Return!P813</f>
        <v>-3.0460148767741391E-4</v>
      </c>
    </row>
    <row r="6864" spans="1:3">
      <c r="A6864" s="406">
        <f>Return!A814</f>
        <v>44888</v>
      </c>
      <c r="B6864" s="408" t="s">
        <v>77</v>
      </c>
      <c r="C6864" s="409">
        <f>Return!P814</f>
        <v>5.4332520916322569E-3</v>
      </c>
    </row>
    <row r="6865" spans="1:3">
      <c r="A6865" s="406">
        <f>Return!A815</f>
        <v>44887</v>
      </c>
      <c r="B6865" s="408" t="s">
        <v>77</v>
      </c>
      <c r="C6865" s="409">
        <f>Return!P815</f>
        <v>2.9084303398518863E-3</v>
      </c>
    </row>
    <row r="6866" spans="1:3">
      <c r="A6866" s="406">
        <f>Return!A816</f>
        <v>44886</v>
      </c>
      <c r="B6866" s="408" t="s">
        <v>77</v>
      </c>
      <c r="C6866" s="409">
        <f>Return!P816</f>
        <v>-4.488757976100155E-3</v>
      </c>
    </row>
    <row r="6867" spans="1:3">
      <c r="A6867" s="406">
        <f>Return!A817</f>
        <v>44883</v>
      </c>
      <c r="B6867" s="408" t="s">
        <v>77</v>
      </c>
      <c r="C6867" s="409">
        <f>Return!P817</f>
        <v>-1.0805911108343835E-2</v>
      </c>
    </row>
    <row r="6868" spans="1:3">
      <c r="A6868" s="406">
        <f>Return!A818</f>
        <v>44882</v>
      </c>
      <c r="B6868" s="408" t="s">
        <v>77</v>
      </c>
      <c r="C6868" s="409">
        <f>Return!P818</f>
        <v>-7.4111417468699647E-3</v>
      </c>
    </row>
    <row r="6869" spans="1:3">
      <c r="A6869" s="406">
        <f>Return!A819</f>
        <v>44881</v>
      </c>
      <c r="B6869" s="408" t="s">
        <v>77</v>
      </c>
      <c r="C6869" s="409">
        <f>Return!P819</f>
        <v>-7.286447027900711E-3</v>
      </c>
    </row>
    <row r="6870" spans="1:3">
      <c r="A6870" s="406">
        <f>Return!A820</f>
        <v>44880</v>
      </c>
      <c r="B6870" s="408" t="s">
        <v>77</v>
      </c>
      <c r="C6870" s="409">
        <f>Return!P820</f>
        <v>4.5021396847255701E-4</v>
      </c>
    </row>
    <row r="6871" spans="1:3">
      <c r="A6871" s="406">
        <f>Return!A821</f>
        <v>44879</v>
      </c>
      <c r="B6871" s="408" t="s">
        <v>77</v>
      </c>
      <c r="C6871" s="409">
        <f>Return!P821</f>
        <v>4.1186702623561278E-3</v>
      </c>
    </row>
    <row r="6872" spans="1:3">
      <c r="A6872" s="406">
        <f>Return!A822</f>
        <v>44876</v>
      </c>
      <c r="B6872" s="408" t="s">
        <v>77</v>
      </c>
      <c r="C6872" s="409">
        <f>Return!P822</f>
        <v>1.4495605487966801E-2</v>
      </c>
    </row>
    <row r="6873" spans="1:3">
      <c r="A6873" s="406">
        <f>Return!A823</f>
        <v>44875</v>
      </c>
      <c r="B6873" s="408" t="s">
        <v>77</v>
      </c>
      <c r="C6873" s="409">
        <f>Return!P823</f>
        <v>1.1073601519780096E-2</v>
      </c>
    </row>
    <row r="6874" spans="1:3">
      <c r="A6874" s="406">
        <f>Return!A824</f>
        <v>44874</v>
      </c>
      <c r="B6874" s="408" t="s">
        <v>77</v>
      </c>
      <c r="C6874" s="409">
        <f>Return!P824</f>
        <v>-4.990310897422412E-3</v>
      </c>
    </row>
    <row r="6875" spans="1:3">
      <c r="A6875" s="406">
        <f>Return!A825</f>
        <v>44872</v>
      </c>
      <c r="B6875" s="408" t="s">
        <v>77</v>
      </c>
      <c r="C6875" s="409">
        <f>Return!P825</f>
        <v>9.461030982595986E-3</v>
      </c>
    </row>
    <row r="6876" spans="1:3">
      <c r="A6876" s="406">
        <f>Return!A826</f>
        <v>44869</v>
      </c>
      <c r="B6876" s="408" t="s">
        <v>77</v>
      </c>
      <c r="C6876" s="409">
        <f>Return!P826</f>
        <v>6.8876929263137487E-3</v>
      </c>
    </row>
    <row r="6877" spans="1:3">
      <c r="A6877" s="406">
        <f>Return!A827</f>
        <v>44868</v>
      </c>
      <c r="B6877" s="408" t="s">
        <v>77</v>
      </c>
      <c r="C6877" s="409">
        <f>Return!P827</f>
        <v>1.4733030850635487E-3</v>
      </c>
    </row>
    <row r="6878" spans="1:3">
      <c r="A6878" s="406">
        <f>Return!A828</f>
        <v>44867</v>
      </c>
      <c r="B6878" s="408" t="s">
        <v>77</v>
      </c>
      <c r="C6878" s="409">
        <f>Return!P828</f>
        <v>1.4839523846257308E-3</v>
      </c>
    </row>
    <row r="6879" spans="1:3">
      <c r="A6879" s="406">
        <f>Return!A829</f>
        <v>44866</v>
      </c>
      <c r="B6879" s="408" t="s">
        <v>77</v>
      </c>
      <c r="C6879" s="409">
        <f>Return!P829</f>
        <v>-1.0177766230691221E-3</v>
      </c>
    </row>
    <row r="6880" spans="1:3">
      <c r="A6880" s="406">
        <f>Return!A830</f>
        <v>44865</v>
      </c>
      <c r="B6880" s="408" t="s">
        <v>77</v>
      </c>
      <c r="C6880" s="409">
        <f>Return!P830</f>
        <v>2.4904724758785246E-3</v>
      </c>
    </row>
    <row r="6881" spans="1:3">
      <c r="A6881" s="406">
        <f>Return!A831</f>
        <v>44862</v>
      </c>
      <c r="B6881" s="408" t="s">
        <v>77</v>
      </c>
      <c r="C6881" s="409">
        <f>Return!P831</f>
        <v>-9.184139056985785E-4</v>
      </c>
    </row>
    <row r="6882" spans="1:3">
      <c r="A6882" s="406">
        <f>Return!A832</f>
        <v>44861</v>
      </c>
      <c r="B6882" s="408" t="s">
        <v>77</v>
      </c>
      <c r="C6882" s="409">
        <f>Return!P832</f>
        <v>5.8259404872891274E-3</v>
      </c>
    </row>
    <row r="6883" spans="1:3">
      <c r="A6883" s="406">
        <f>Return!A833</f>
        <v>44859</v>
      </c>
      <c r="B6883" s="408" t="s">
        <v>77</v>
      </c>
      <c r="C6883" s="409">
        <f>Return!P833</f>
        <v>9.2921323115713328E-4</v>
      </c>
    </row>
    <row r="6884" spans="1:3">
      <c r="A6884" s="406">
        <f>Return!A834</f>
        <v>44858</v>
      </c>
      <c r="B6884" s="408" t="s">
        <v>77</v>
      </c>
      <c r="C6884" s="409">
        <f>Return!P834</f>
        <v>-1.5145783079606456E-4</v>
      </c>
    </row>
    <row r="6885" spans="1:3">
      <c r="A6885" s="406">
        <f>Return!A835</f>
        <v>44855</v>
      </c>
      <c r="B6885" s="408" t="s">
        <v>77</v>
      </c>
      <c r="C6885" s="409">
        <f>Return!P835</f>
        <v>-1.3691605193911549E-2</v>
      </c>
    </row>
    <row r="6886" spans="1:3">
      <c r="A6886" s="406">
        <f>Return!A836</f>
        <v>44854</v>
      </c>
      <c r="B6886" s="408" t="s">
        <v>77</v>
      </c>
      <c r="C6886" s="409">
        <f>Return!P836</f>
        <v>-7.0722111672102406E-3</v>
      </c>
    </row>
    <row r="6887" spans="1:3">
      <c r="A6887" s="406">
        <f>Return!A837</f>
        <v>44853</v>
      </c>
      <c r="B6887" s="408" t="s">
        <v>77</v>
      </c>
      <c r="C6887" s="409">
        <f>Return!P837</f>
        <v>-2.4372777305198268E-3</v>
      </c>
    </row>
    <row r="6888" spans="1:3">
      <c r="A6888" s="406">
        <f>Return!A838</f>
        <v>44852</v>
      </c>
      <c r="B6888" s="408" t="s">
        <v>77</v>
      </c>
      <c r="C6888" s="409">
        <f>Return!P838</f>
        <v>-1.5221790440715921E-3</v>
      </c>
    </row>
    <row r="6889" spans="1:3">
      <c r="A6889" s="406">
        <f>Return!A839</f>
        <v>44851</v>
      </c>
      <c r="B6889" s="408" t="s">
        <v>77</v>
      </c>
      <c r="C6889" s="409">
        <f>Return!P839</f>
        <v>9.3693846069924369E-3</v>
      </c>
    </row>
    <row r="6890" spans="1:3">
      <c r="A6890" s="406">
        <f>Return!A840</f>
        <v>44848</v>
      </c>
      <c r="B6890" s="408" t="s">
        <v>77</v>
      </c>
      <c r="C6890" s="409">
        <f>Return!P840</f>
        <v>1.0626346031014977E-2</v>
      </c>
    </row>
    <row r="6891" spans="1:3">
      <c r="A6891" s="406">
        <f>Return!A841</f>
        <v>44847</v>
      </c>
      <c r="B6891" s="408" t="s">
        <v>77</v>
      </c>
      <c r="C6891" s="409">
        <f>Return!P841</f>
        <v>8.0615485999739889E-3</v>
      </c>
    </row>
    <row r="6892" spans="1:3">
      <c r="A6892" s="406">
        <f>Return!A842</f>
        <v>44846</v>
      </c>
      <c r="B6892" s="408" t="s">
        <v>77</v>
      </c>
      <c r="C6892" s="409">
        <f>Return!P842</f>
        <v>1.4965927815765445E-2</v>
      </c>
    </row>
    <row r="6893" spans="1:3">
      <c r="A6893" s="406">
        <f>Return!A843</f>
        <v>44845</v>
      </c>
      <c r="B6893" s="408" t="s">
        <v>77</v>
      </c>
      <c r="C6893" s="409">
        <f>Return!P843</f>
        <v>4.2605351964251081E-3</v>
      </c>
    </row>
    <row r="6894" spans="1:3">
      <c r="A6894" s="406">
        <f>Return!A844</f>
        <v>44844</v>
      </c>
      <c r="B6894" s="408" t="s">
        <v>77</v>
      </c>
      <c r="C6894" s="409">
        <f>Return!P844</f>
        <v>7.1414754818344139E-3</v>
      </c>
    </row>
    <row r="6895" spans="1:3">
      <c r="A6895" s="406">
        <f>Return!A845</f>
        <v>44841</v>
      </c>
      <c r="B6895" s="408" t="s">
        <v>77</v>
      </c>
      <c r="C6895" s="409">
        <f>Return!P845</f>
        <v>-6.9087570037154045E-3</v>
      </c>
    </row>
    <row r="6896" spans="1:3">
      <c r="A6896" s="406">
        <f>Return!A846</f>
        <v>44840</v>
      </c>
      <c r="B6896" s="408" t="s">
        <v>77</v>
      </c>
      <c r="C6896" s="409">
        <f>Return!P846</f>
        <v>-3.4065277973136521E-3</v>
      </c>
    </row>
    <row r="6897" spans="1:3">
      <c r="A6897" s="406">
        <f>Return!A847</f>
        <v>44838</v>
      </c>
      <c r="B6897" s="408" t="s">
        <v>77</v>
      </c>
      <c r="C6897" s="409">
        <f>Return!P847</f>
        <v>-3.7064627929054295E-3</v>
      </c>
    </row>
    <row r="6898" spans="1:3">
      <c r="A6898" s="406">
        <f>Return!A848</f>
        <v>44837</v>
      </c>
      <c r="B6898" s="408" t="s">
        <v>77</v>
      </c>
      <c r="C6898" s="409">
        <f>Return!P848</f>
        <v>-1.1858505755254933E-2</v>
      </c>
    </row>
    <row r="6899" spans="1:3">
      <c r="A6899" s="406">
        <f>Return!A849</f>
        <v>44834</v>
      </c>
      <c r="B6899" s="408" t="s">
        <v>77</v>
      </c>
      <c r="C6899" s="409">
        <f>Return!P849</f>
        <v>2.5881337470694099E-2</v>
      </c>
    </row>
    <row r="6900" spans="1:3">
      <c r="A6900" s="406">
        <f>Return!A850</f>
        <v>44833</v>
      </c>
      <c r="B6900" s="408" t="s">
        <v>77</v>
      </c>
      <c r="C6900" s="409">
        <f>Return!P850</f>
        <v>1.5119513093553305E-3</v>
      </c>
    </row>
    <row r="6901" spans="1:3">
      <c r="A6901" s="406">
        <f>Return!A851</f>
        <v>44832</v>
      </c>
      <c r="B6901" s="408" t="s">
        <v>77</v>
      </c>
      <c r="C6901" s="409">
        <f>Return!P851</f>
        <v>-1.4350277066070838E-2</v>
      </c>
    </row>
    <row r="6902" spans="1:3">
      <c r="A6902" s="406">
        <f>Return!A852</f>
        <v>44831</v>
      </c>
      <c r="B6902" s="408" t="s">
        <v>77</v>
      </c>
      <c r="C6902" s="409">
        <f>Return!P852</f>
        <v>-9.4767387190911601E-3</v>
      </c>
    </row>
    <row r="6903" spans="1:3">
      <c r="A6903" s="406">
        <f>Return!A853</f>
        <v>44830</v>
      </c>
      <c r="B6903" s="408" t="s">
        <v>77</v>
      </c>
      <c r="C6903" s="409">
        <f>Return!P853</f>
        <v>-3.0085120562518552E-3</v>
      </c>
    </row>
    <row r="6904" spans="1:3">
      <c r="A6904" s="406">
        <f>Return!A854</f>
        <v>44827</v>
      </c>
      <c r="B6904" s="408" t="s">
        <v>77</v>
      </c>
      <c r="C6904" s="409">
        <f>Return!P854</f>
        <v>1.3079408577534313E-3</v>
      </c>
    </row>
    <row r="6905" spans="1:3">
      <c r="A6905" s="406">
        <f>Return!A855</f>
        <v>44826</v>
      </c>
      <c r="B6905" s="408" t="s">
        <v>77</v>
      </c>
      <c r="C6905" s="409">
        <f>Return!P855</f>
        <v>2.5088559511199371E-3</v>
      </c>
    </row>
    <row r="6906" spans="1:3">
      <c r="A6906" s="406">
        <f>Return!A856</f>
        <v>44825</v>
      </c>
      <c r="B6906" s="408" t="s">
        <v>77</v>
      </c>
      <c r="C6906" s="409">
        <f>Return!P856</f>
        <v>-4.8152911732990411E-4</v>
      </c>
    </row>
    <row r="6907" spans="1:3">
      <c r="A6907" s="406">
        <f>Return!A857</f>
        <v>44824</v>
      </c>
      <c r="B6907" s="408" t="s">
        <v>77</v>
      </c>
      <c r="C6907" s="409">
        <f>Return!P857</f>
        <v>1.55293823649294E-3</v>
      </c>
    </row>
    <row r="6908" spans="1:3">
      <c r="A6908" s="406">
        <f>Return!A858</f>
        <v>44823</v>
      </c>
      <c r="B6908" s="408" t="s">
        <v>77</v>
      </c>
      <c r="C6908" s="409">
        <f>Return!P858</f>
        <v>8.4227649322574649E-3</v>
      </c>
    </row>
    <row r="6909" spans="1:3">
      <c r="A6909" s="406">
        <f>Return!A859</f>
        <v>44820</v>
      </c>
      <c r="B6909" s="408" t="s">
        <v>77</v>
      </c>
      <c r="C6909" s="409">
        <f>Return!P859</f>
        <v>4.9376512658176885E-3</v>
      </c>
    </row>
    <row r="6910" spans="1:3">
      <c r="A6910" s="406">
        <f>Return!A860</f>
        <v>44819</v>
      </c>
      <c r="B6910" s="408" t="s">
        <v>77</v>
      </c>
      <c r="C6910" s="409">
        <f>Return!P860</f>
        <v>2.9218606376286704E-3</v>
      </c>
    </row>
    <row r="6911" spans="1:3">
      <c r="A6911" s="406">
        <f>Return!A861</f>
        <v>44818</v>
      </c>
      <c r="B6911" s="408" t="s">
        <v>77</v>
      </c>
      <c r="C6911" s="409">
        <f>Return!P861</f>
        <v>-2.7847388804759232E-3</v>
      </c>
    </row>
    <row r="6912" spans="1:3">
      <c r="A6912" s="406">
        <f>Return!A862</f>
        <v>44817</v>
      </c>
      <c r="B6912" s="408" t="s">
        <v>77</v>
      </c>
      <c r="C6912" s="409">
        <f>Return!P862</f>
        <v>-4.6731184645868451E-3</v>
      </c>
    </row>
    <row r="6913" spans="1:3">
      <c r="A6913" s="406">
        <f>Return!A863</f>
        <v>44816</v>
      </c>
      <c r="B6913" s="408" t="s">
        <v>77</v>
      </c>
      <c r="C6913" s="409">
        <f>Return!P863</f>
        <v>9.6386637375958095E-3</v>
      </c>
    </row>
    <row r="6914" spans="1:3">
      <c r="A6914" s="406">
        <f>Return!A864</f>
        <v>44813</v>
      </c>
      <c r="B6914" s="408" t="s">
        <v>77</v>
      </c>
      <c r="C6914" s="409">
        <f>Return!P864</f>
        <v>-1.9113461986288716E-3</v>
      </c>
    </row>
    <row r="6915" spans="1:3">
      <c r="A6915" s="406">
        <f>Return!A865</f>
        <v>44812</v>
      </c>
      <c r="B6915" s="408" t="s">
        <v>77</v>
      </c>
      <c r="C6915" s="409">
        <f>Return!P865</f>
        <v>-3.5459532436432628E-3</v>
      </c>
    </row>
    <row r="6916" spans="1:3">
      <c r="A6916" s="406">
        <f>Return!A866</f>
        <v>44811</v>
      </c>
      <c r="B6916" s="408" t="s">
        <v>77</v>
      </c>
      <c r="C6916" s="409">
        <f>Return!P866</f>
        <v>-4.4269868853846761E-3</v>
      </c>
    </row>
    <row r="6917" spans="1:3">
      <c r="A6917" s="406">
        <f>Return!A867</f>
        <v>44810</v>
      </c>
      <c r="B6917" s="408" t="s">
        <v>77</v>
      </c>
      <c r="C6917" s="409">
        <f>Return!P867</f>
        <v>1.7742705720877883E-3</v>
      </c>
    </row>
    <row r="6918" spans="1:3">
      <c r="A6918" s="406">
        <f>Return!A868</f>
        <v>44809</v>
      </c>
      <c r="B6918" s="408" t="s">
        <v>77</v>
      </c>
      <c r="C6918" s="409">
        <f>Return!P868</f>
        <v>5.2530832658010951E-3</v>
      </c>
    </row>
    <row r="6919" spans="1:3">
      <c r="A6919" s="406">
        <f>Return!A869</f>
        <v>44806</v>
      </c>
      <c r="B6919" s="408" t="s">
        <v>77</v>
      </c>
      <c r="C6919" s="409">
        <f>Return!P869</f>
        <v>-1.4012843423893528E-2</v>
      </c>
    </row>
    <row r="6920" spans="1:3">
      <c r="A6920" s="406">
        <f>Return!A870</f>
        <v>44805</v>
      </c>
      <c r="B6920" s="408" t="s">
        <v>77</v>
      </c>
      <c r="C6920" s="409">
        <f>Return!P870</f>
        <v>-6.0165609236425555E-3</v>
      </c>
    </row>
    <row r="6921" spans="1:3">
      <c r="A6921" s="406">
        <f>Return!A871</f>
        <v>44803</v>
      </c>
      <c r="B6921" s="408" t="s">
        <v>77</v>
      </c>
      <c r="C6921" s="409">
        <f>Return!P871</f>
        <v>-5.0608635431381721E-4</v>
      </c>
    </row>
    <row r="6922" spans="1:3">
      <c r="A6922" s="406">
        <f>Return!A872</f>
        <v>44802</v>
      </c>
      <c r="B6922" s="408" t="s">
        <v>77</v>
      </c>
      <c r="C6922" s="409">
        <f>Return!P872</f>
        <v>5.4255307248229911E-4</v>
      </c>
    </row>
    <row r="6923" spans="1:3">
      <c r="A6923" s="406">
        <f>Return!A873</f>
        <v>44799</v>
      </c>
      <c r="B6923" s="408" t="s">
        <v>77</v>
      </c>
      <c r="C6923" s="409">
        <f>Return!P873</f>
        <v>5.6640557789382484E-3</v>
      </c>
    </row>
    <row r="6924" spans="1:3">
      <c r="A6924" s="406">
        <f>Return!A874</f>
        <v>44798</v>
      </c>
      <c r="B6924" s="408" t="s">
        <v>77</v>
      </c>
      <c r="C6924" s="409">
        <f>Return!P874</f>
        <v>-5.704126329060033E-3</v>
      </c>
    </row>
    <row r="6925" spans="1:3">
      <c r="A6925" s="406">
        <f>Return!A875</f>
        <v>44797</v>
      </c>
      <c r="B6925" s="408" t="s">
        <v>77</v>
      </c>
      <c r="C6925" s="409">
        <f>Return!P875</f>
        <v>4.9540926478806036E-3</v>
      </c>
    </row>
    <row r="6926" spans="1:3">
      <c r="A6926" s="406">
        <f>Return!A876</f>
        <v>44796</v>
      </c>
      <c r="B6926" s="408" t="s">
        <v>77</v>
      </c>
      <c r="C6926" s="409">
        <f>Return!P876</f>
        <v>-2.4625534861655307E-4</v>
      </c>
    </row>
    <row r="6927" spans="1:3">
      <c r="A6927" s="406">
        <f>Return!A877</f>
        <v>44795</v>
      </c>
      <c r="B6927" s="408" t="s">
        <v>77</v>
      </c>
      <c r="C6927" s="409">
        <f>Return!P877</f>
        <v>2.6699729787862392E-3</v>
      </c>
    </row>
    <row r="6928" spans="1:3">
      <c r="A6928" s="406">
        <f>Return!A878</f>
        <v>44792</v>
      </c>
      <c r="B6928" s="408" t="s">
        <v>77</v>
      </c>
      <c r="C6928" s="409">
        <f>Return!P878</f>
        <v>-1.5912944381131222E-3</v>
      </c>
    </row>
    <row r="6929" spans="1:3">
      <c r="A6929" s="406">
        <f>Return!A879</f>
        <v>44791</v>
      </c>
      <c r="B6929" s="408" t="s">
        <v>77</v>
      </c>
      <c r="C6929" s="409">
        <f>Return!P879</f>
        <v>1.8144942574817691E-2</v>
      </c>
    </row>
    <row r="6930" spans="1:3">
      <c r="A6930" s="406">
        <f>Return!A880</f>
        <v>44790</v>
      </c>
      <c r="B6930" s="408" t="s">
        <v>77</v>
      </c>
      <c r="C6930" s="409">
        <f>Return!P880</f>
        <v>-7.7545449348749296E-3</v>
      </c>
    </row>
    <row r="6931" spans="1:3">
      <c r="A6931" s="406">
        <f>Return!A881</f>
        <v>44789</v>
      </c>
      <c r="B6931" s="408" t="s">
        <v>77</v>
      </c>
      <c r="C6931" s="409">
        <f>Return!P881</f>
        <v>3.2537083246086951E-4</v>
      </c>
    </row>
    <row r="6932" spans="1:3">
      <c r="A6932" s="406">
        <f>Return!A882</f>
        <v>44785</v>
      </c>
      <c r="B6932" s="408" t="s">
        <v>77</v>
      </c>
      <c r="C6932" s="409">
        <f>Return!P882</f>
        <v>3.1606716108489863E-3</v>
      </c>
    </row>
    <row r="6933" spans="1:3">
      <c r="A6933" s="406">
        <f>Return!A883</f>
        <v>44784</v>
      </c>
      <c r="B6933" s="408" t="s">
        <v>77</v>
      </c>
      <c r="C6933" s="409">
        <f>Return!P883</f>
        <v>9.318809042457854E-3</v>
      </c>
    </row>
    <row r="6934" spans="1:3">
      <c r="A6934" s="406">
        <f>Return!A884</f>
        <v>44783</v>
      </c>
      <c r="B6934" s="408" t="s">
        <v>77</v>
      </c>
      <c r="C6934" s="409">
        <f>Return!P884</f>
        <v>7.0801046808004475E-3</v>
      </c>
    </row>
    <row r="6935" spans="1:3">
      <c r="A6935" s="406">
        <f>Return!A885</f>
        <v>44781</v>
      </c>
      <c r="B6935" s="408" t="s">
        <v>77</v>
      </c>
      <c r="C6935" s="409">
        <f>Return!P885</f>
        <v>1.3941008200104799E-2</v>
      </c>
    </row>
    <row r="6936" spans="1:3">
      <c r="A6936" s="406">
        <f>Return!A886</f>
        <v>44778</v>
      </c>
      <c r="B6936" s="408" t="s">
        <v>77</v>
      </c>
      <c r="C6936" s="409">
        <f>Return!P886</f>
        <v>-1.28950814401948E-2</v>
      </c>
    </row>
    <row r="6937" spans="1:3">
      <c r="A6937" s="406">
        <f>Return!A887</f>
        <v>44777</v>
      </c>
      <c r="B6937" s="408" t="s">
        <v>77</v>
      </c>
      <c r="C6937" s="409">
        <f>Return!P887</f>
        <v>-8.8775899876641917E-3</v>
      </c>
    </row>
    <row r="6938" spans="1:3">
      <c r="A6938" s="406">
        <f>Return!A888</f>
        <v>44776</v>
      </c>
      <c r="B6938" s="408" t="s">
        <v>77</v>
      </c>
      <c r="C6938" s="409">
        <f>Return!P888</f>
        <v>-1.5201284459565034E-3</v>
      </c>
    </row>
    <row r="6939" spans="1:3">
      <c r="A6939" s="406">
        <f>Return!A889</f>
        <v>44775</v>
      </c>
      <c r="B6939" s="408" t="s">
        <v>77</v>
      </c>
      <c r="C6939" s="409">
        <f>Return!P889</f>
        <v>-3.7740343609730109E-3</v>
      </c>
    </row>
    <row r="6940" spans="1:3">
      <c r="A6940" s="406">
        <f>Return!A890</f>
        <v>44774</v>
      </c>
      <c r="B6940" s="408" t="s">
        <v>77</v>
      </c>
      <c r="C6940" s="409">
        <f>Return!P890</f>
        <v>5.2798185447113788E-3</v>
      </c>
    </row>
    <row r="6941" spans="1:3">
      <c r="A6941" s="406">
        <f>Return!A891</f>
        <v>44771</v>
      </c>
      <c r="B6941" s="408" t="s">
        <v>77</v>
      </c>
      <c r="C6941" s="409">
        <f>Return!P891</f>
        <v>-1.0075948049734773E-3</v>
      </c>
    </row>
    <row r="6942" spans="1:3">
      <c r="A6942" s="406">
        <f>Return!A892</f>
        <v>44770</v>
      </c>
      <c r="B6942" s="408" t="s">
        <v>77</v>
      </c>
      <c r="C6942" s="409">
        <f>Return!P892</f>
        <v>3.3669063382324449E-3</v>
      </c>
    </row>
    <row r="6943" spans="1:3">
      <c r="A6943" s="406">
        <f>Return!A893</f>
        <v>44769</v>
      </c>
      <c r="B6943" s="408" t="s">
        <v>77</v>
      </c>
      <c r="C6943" s="409">
        <f>Return!P893</f>
        <v>6.5815652017229276E-3</v>
      </c>
    </row>
    <row r="6944" spans="1:3">
      <c r="A6944" s="406">
        <f>Return!A894</f>
        <v>44768</v>
      </c>
      <c r="B6944" s="408" t="s">
        <v>77</v>
      </c>
      <c r="C6944" s="409">
        <f>Return!P894</f>
        <v>5.3066413982527649E-3</v>
      </c>
    </row>
    <row r="6945" spans="1:3">
      <c r="A6945" s="406">
        <f>Return!A895</f>
        <v>44767</v>
      </c>
      <c r="B6945" s="408" t="s">
        <v>77</v>
      </c>
      <c r="C6945" s="409">
        <f>Return!P895</f>
        <v>9.8370174512305564E-3</v>
      </c>
    </row>
    <row r="6946" spans="1:3">
      <c r="A6946" s="406">
        <f>Return!A896</f>
        <v>44764</v>
      </c>
      <c r="B6946" s="408" t="s">
        <v>77</v>
      </c>
      <c r="C6946" s="409">
        <f>Return!P896</f>
        <v>-5.8886697695434975E-3</v>
      </c>
    </row>
    <row r="6947" spans="1:3">
      <c r="A6947" s="406">
        <f>Return!A897</f>
        <v>44763</v>
      </c>
      <c r="B6947" s="408" t="s">
        <v>77</v>
      </c>
      <c r="C6947" s="409">
        <f>Return!P897</f>
        <v>4.5752751081369336E-3</v>
      </c>
    </row>
    <row r="6948" spans="1:3">
      <c r="A6948" s="406">
        <f>Return!A898</f>
        <v>44762</v>
      </c>
      <c r="B6948" s="408" t="s">
        <v>77</v>
      </c>
      <c r="C6948" s="409">
        <f>Return!P898</f>
        <v>2.8545247183382472E-3</v>
      </c>
    </row>
    <row r="6949" spans="1:3">
      <c r="A6949" s="406">
        <f>Return!A899</f>
        <v>44761</v>
      </c>
      <c r="B6949" s="408" t="s">
        <v>77</v>
      </c>
      <c r="C6949" s="409">
        <f>Return!P899</f>
        <v>5.9183968358895722E-3</v>
      </c>
    </row>
    <row r="6950" spans="1:3">
      <c r="A6950" s="406">
        <f>Return!A900</f>
        <v>44760</v>
      </c>
      <c r="B6950" s="408" t="s">
        <v>77</v>
      </c>
      <c r="C6950" s="409">
        <f>Return!P900</f>
        <v>6.3384061188132002E-3</v>
      </c>
    </row>
    <row r="6951" spans="1:3">
      <c r="A6951" s="406">
        <f>Return!A901</f>
        <v>44757</v>
      </c>
      <c r="B6951" s="408" t="s">
        <v>77</v>
      </c>
      <c r="C6951" s="409">
        <f>Return!P901</f>
        <v>1.9954189677218181E-4</v>
      </c>
    </row>
    <row r="6952" spans="1:3">
      <c r="A6952" s="406">
        <f>Return!A902</f>
        <v>44756</v>
      </c>
      <c r="B6952" s="408" t="s">
        <v>77</v>
      </c>
      <c r="C6952" s="409">
        <f>Return!P902</f>
        <v>-1.2459338732262459E-3</v>
      </c>
    </row>
    <row r="6953" spans="1:3">
      <c r="A6953" s="406">
        <f>Return!A903</f>
        <v>44755</v>
      </c>
      <c r="B6953" s="408" t="s">
        <v>77</v>
      </c>
      <c r="C6953" s="409">
        <f>Return!P903</f>
        <v>8.3503480844826505E-3</v>
      </c>
    </row>
    <row r="6954" spans="1:3">
      <c r="A6954" s="406">
        <f>Return!A904</f>
        <v>44754</v>
      </c>
      <c r="B6954" s="408" t="s">
        <v>77</v>
      </c>
      <c r="C6954" s="409">
        <f>Return!P904</f>
        <v>-2.4884242920465427E-3</v>
      </c>
    </row>
    <row r="6955" spans="1:3">
      <c r="A6955" s="406">
        <f>Return!A905</f>
        <v>44753</v>
      </c>
      <c r="B6955" s="408" t="s">
        <v>77</v>
      </c>
      <c r="C6955" s="409">
        <f>Return!P905</f>
        <v>-7.201394291502794E-4</v>
      </c>
    </row>
    <row r="6956" spans="1:3">
      <c r="A6956" s="406">
        <f>Return!A906</f>
        <v>44750</v>
      </c>
      <c r="B6956" s="408" t="s">
        <v>77</v>
      </c>
      <c r="C6956" s="409">
        <f>Return!P906</f>
        <v>1.0584050351554186E-3</v>
      </c>
    </row>
    <row r="6957" spans="1:3">
      <c r="A6957" s="406">
        <f>Return!A907</f>
        <v>44749</v>
      </c>
      <c r="B6957" s="408" t="s">
        <v>77</v>
      </c>
      <c r="C6957" s="409">
        <f>Return!P907</f>
        <v>1.5448015430334916E-3</v>
      </c>
    </row>
    <row r="6958" spans="1:3">
      <c r="A6958" s="406">
        <f>Return!A908</f>
        <v>44748</v>
      </c>
      <c r="B6958" s="408" t="s">
        <v>77</v>
      </c>
      <c r="C6958" s="409">
        <f>Return!P908</f>
        <v>3.4166322224253864E-3</v>
      </c>
    </row>
    <row r="6959" spans="1:3">
      <c r="A6959" s="406">
        <f>Return!A909</f>
        <v>44747</v>
      </c>
      <c r="B6959" s="408" t="s">
        <v>77</v>
      </c>
      <c r="C6959" s="409">
        <f>Return!P909</f>
        <v>1.0563615099053347E-2</v>
      </c>
    </row>
    <row r="6960" spans="1:3">
      <c r="A6960" s="406">
        <f>Return!A910</f>
        <v>44746</v>
      </c>
      <c r="B6960" s="408" t="s">
        <v>77</v>
      </c>
      <c r="C6960" s="409">
        <f>Return!P910</f>
        <v>-8.8771368861544353E-3</v>
      </c>
    </row>
    <row r="6961" spans="1:3">
      <c r="A6961" s="406">
        <f>Return!A911</f>
        <v>44743</v>
      </c>
      <c r="B6961" s="408" t="s">
        <v>77</v>
      </c>
      <c r="C6961" s="409">
        <f>Return!P911</f>
        <v>1.8679585488551753E-2</v>
      </c>
    </row>
    <row r="6962" spans="1:3">
      <c r="A6962" s="406">
        <f>Return!A912</f>
        <v>44742</v>
      </c>
      <c r="B6962" s="408" t="s">
        <v>77</v>
      </c>
      <c r="C6962" s="409">
        <f>Return!P912</f>
        <v>4.6437590554937458E-3</v>
      </c>
    </row>
    <row r="6963" spans="1:3">
      <c r="A6963" s="406">
        <f>Return!A913</f>
        <v>44741</v>
      </c>
      <c r="B6963" s="408" t="s">
        <v>77</v>
      </c>
      <c r="C6963" s="409">
        <f>Return!P913</f>
        <v>-1.4321084661480521E-2</v>
      </c>
    </row>
    <row r="6964" spans="1:3">
      <c r="A6964" s="406">
        <f>Return!A914</f>
        <v>44740</v>
      </c>
      <c r="B6964" s="408" t="s">
        <v>77</v>
      </c>
      <c r="C6964" s="409">
        <f>Return!P914</f>
        <v>-1.3990653340147929E-2</v>
      </c>
    </row>
    <row r="6965" spans="1:3">
      <c r="A6965" s="406">
        <f>Return!A915</f>
        <v>44739</v>
      </c>
      <c r="B6965" s="408" t="s">
        <v>77</v>
      </c>
      <c r="C6965" s="409">
        <f>Return!P915</f>
        <v>4.4216983084652828E-3</v>
      </c>
    </row>
    <row r="6966" spans="1:3">
      <c r="A6966" s="406">
        <f>Return!A916</f>
        <v>44736</v>
      </c>
      <c r="B6966" s="408" t="s">
        <v>77</v>
      </c>
      <c r="C6966" s="409">
        <f>Return!P916</f>
        <v>4.3294932610482562E-4</v>
      </c>
    </row>
    <row r="6967" spans="1:3">
      <c r="A6967" s="406">
        <f>Return!A917</f>
        <v>44735</v>
      </c>
      <c r="B6967" s="408" t="s">
        <v>77</v>
      </c>
      <c r="C6967" s="409">
        <f>Return!P917</f>
        <v>-1.8163596159794348E-2</v>
      </c>
    </row>
    <row r="6968" spans="1:3">
      <c r="A6968" s="406">
        <f>Return!A918</f>
        <v>44734</v>
      </c>
      <c r="B6968" s="408" t="s">
        <v>77</v>
      </c>
      <c r="C6968" s="409">
        <f>Return!P918</f>
        <v>-1.0269604999918469E-3</v>
      </c>
    </row>
    <row r="6969" spans="1:3">
      <c r="A6969" s="406">
        <f>Return!A919</f>
        <v>44733</v>
      </c>
      <c r="B6969" s="408" t="s">
        <v>77</v>
      </c>
      <c r="C6969" s="409">
        <f>Return!P919</f>
        <v>8.8638237483420479E-3</v>
      </c>
    </row>
    <row r="6970" spans="1:3">
      <c r="A6970" s="406">
        <f>Return!A920</f>
        <v>44732</v>
      </c>
      <c r="B6970" s="408" t="s">
        <v>77</v>
      </c>
      <c r="C6970" s="409">
        <f>Return!P920</f>
        <v>1.7172984550650749E-3</v>
      </c>
    </row>
    <row r="6971" spans="1:3">
      <c r="A6971" s="406">
        <f>Return!A921</f>
        <v>44729</v>
      </c>
      <c r="B6971" s="408" t="s">
        <v>77</v>
      </c>
      <c r="C6971" s="409">
        <f>Return!P921</f>
        <v>-7.2437277062974426E-3</v>
      </c>
    </row>
    <row r="6972" spans="1:3">
      <c r="A6972" s="406">
        <f>Return!A922</f>
        <v>44728</v>
      </c>
      <c r="B6972" s="408" t="s">
        <v>77</v>
      </c>
      <c r="C6972" s="409">
        <f>Return!P922</f>
        <v>2.204599746404412E-3</v>
      </c>
    </row>
    <row r="6973" spans="1:3">
      <c r="A6973" s="406">
        <f>Return!A923</f>
        <v>44727</v>
      </c>
      <c r="B6973" s="408" t="s">
        <v>77</v>
      </c>
      <c r="C6973" s="409">
        <f>Return!P923</f>
        <v>-7.5276524945820933E-3</v>
      </c>
    </row>
    <row r="6974" spans="1:3">
      <c r="A6974" s="406">
        <f>Return!A924</f>
        <v>44726</v>
      </c>
      <c r="B6974" s="408" t="s">
        <v>77</v>
      </c>
      <c r="C6974" s="409">
        <f>Return!P924</f>
        <v>3.4622064842506628E-3</v>
      </c>
    </row>
    <row r="6975" spans="1:3">
      <c r="A6975" s="406">
        <f>Return!A925</f>
        <v>44725</v>
      </c>
      <c r="B6975" s="408" t="s">
        <v>77</v>
      </c>
      <c r="C6975" s="409">
        <f>Return!P925</f>
        <v>-9.6815069226661166E-3</v>
      </c>
    </row>
    <row r="6976" spans="1:3">
      <c r="A6976" s="406">
        <f>Return!A926</f>
        <v>44722</v>
      </c>
      <c r="B6976" s="408" t="s">
        <v>77</v>
      </c>
      <c r="C6976" s="409">
        <f>Return!P926</f>
        <v>-6.5008142749519715E-3</v>
      </c>
    </row>
    <row r="6977" spans="1:3">
      <c r="A6977" s="406">
        <f>Return!A927</f>
        <v>44721</v>
      </c>
      <c r="B6977" s="408" t="s">
        <v>77</v>
      </c>
      <c r="C6977" s="409">
        <f>Return!P927</f>
        <v>3.5618163368917877E-3</v>
      </c>
    </row>
    <row r="6978" spans="1:3">
      <c r="A6978" s="406">
        <f>Return!A928</f>
        <v>44720</v>
      </c>
      <c r="B6978" s="408" t="s">
        <v>77</v>
      </c>
      <c r="C6978" s="409">
        <f>Return!P928</f>
        <v>7.5305542696160188E-3</v>
      </c>
    </row>
    <row r="6979" spans="1:3">
      <c r="A6979" s="406">
        <f>Return!A929</f>
        <v>44719</v>
      </c>
      <c r="B6979" s="408" t="s">
        <v>77</v>
      </c>
      <c r="C6979" s="409">
        <f>Return!P929</f>
        <v>9.7753861831209043E-3</v>
      </c>
    </row>
    <row r="6980" spans="1:3">
      <c r="A6980" s="406">
        <f>Return!A930</f>
        <v>44718</v>
      </c>
      <c r="B6980" s="408" t="s">
        <v>77</v>
      </c>
      <c r="C6980" s="409">
        <f>Return!P930</f>
        <v>-7.5598970034458368E-3</v>
      </c>
    </row>
    <row r="6981" spans="1:3">
      <c r="A6981" s="406">
        <f>Return!A931</f>
        <v>44715</v>
      </c>
      <c r="B6981" s="408" t="s">
        <v>77</v>
      </c>
      <c r="C6981" s="409">
        <f>Return!P931</f>
        <v>-1.1910939081776428E-2</v>
      </c>
    </row>
    <row r="6982" spans="1:3">
      <c r="A6982" s="406">
        <f>Return!A932</f>
        <v>44714</v>
      </c>
      <c r="B6982" s="408" t="s">
        <v>77</v>
      </c>
      <c r="C6982" s="409">
        <f>Return!P932</f>
        <v>-1.4496572019756848E-2</v>
      </c>
    </row>
    <row r="6983" spans="1:3">
      <c r="A6983" s="406">
        <f>Return!A933</f>
        <v>44713</v>
      </c>
      <c r="B6983" s="408" t="s">
        <v>77</v>
      </c>
      <c r="C6983" s="409">
        <f>Return!P933</f>
        <v>2.4988588694911273E-2</v>
      </c>
    </row>
    <row r="6984" spans="1:3">
      <c r="A6984" s="406">
        <f>Return!A934</f>
        <v>44712</v>
      </c>
      <c r="B6984" s="408" t="s">
        <v>77</v>
      </c>
      <c r="C6984" s="409">
        <f>Return!P934</f>
        <v>-2.1703806910350232E-2</v>
      </c>
    </row>
    <row r="6985" spans="1:3">
      <c r="A6985" s="406">
        <f>Return!A935</f>
        <v>44711</v>
      </c>
      <c r="B6985" s="408" t="s">
        <v>77</v>
      </c>
      <c r="C6985" s="409">
        <f>Return!P935</f>
        <v>6.2462647985732644E-3</v>
      </c>
    </row>
    <row r="6986" spans="1:3">
      <c r="A6986" s="406">
        <f>Return!A936</f>
        <v>44708</v>
      </c>
      <c r="B6986" s="408" t="s">
        <v>77</v>
      </c>
      <c r="C6986" s="409">
        <f>Return!P936</f>
        <v>1.1257545862604079E-2</v>
      </c>
    </row>
    <row r="6987" spans="1:3">
      <c r="A6987" s="406">
        <f>Return!A937</f>
        <v>44707</v>
      </c>
      <c r="B6987" s="408" t="s">
        <v>77</v>
      </c>
      <c r="C6987" s="409">
        <f>Return!P937</f>
        <v>-1.9602338761797178E-3</v>
      </c>
    </row>
    <row r="6988" spans="1:3">
      <c r="A6988" s="406">
        <f>Return!A938</f>
        <v>44706</v>
      </c>
      <c r="B6988" s="408" t="s">
        <v>77</v>
      </c>
      <c r="C6988" s="409">
        <f>Return!P938</f>
        <v>1.5679407725198491E-2</v>
      </c>
    </row>
    <row r="6989" spans="1:3">
      <c r="A6989" s="406">
        <f>Return!A939</f>
        <v>44705</v>
      </c>
      <c r="B6989" s="408" t="s">
        <v>77</v>
      </c>
      <c r="C6989" s="409">
        <f>Return!P939</f>
        <v>-1.171106520844345E-2</v>
      </c>
    </row>
    <row r="6990" spans="1:3">
      <c r="A6990" s="406">
        <f>Return!A940</f>
        <v>44704</v>
      </c>
      <c r="B6990" s="408" t="s">
        <v>77</v>
      </c>
      <c r="C6990" s="409">
        <f>Return!P940</f>
        <v>-8.2036245779137928E-3</v>
      </c>
    </row>
    <row r="6991" spans="1:3">
      <c r="A6991" s="406">
        <f>Return!A941</f>
        <v>44701</v>
      </c>
      <c r="B6991" s="408" t="s">
        <v>77</v>
      </c>
      <c r="C6991" s="409">
        <f>Return!P941</f>
        <v>-1.1130580271127899E-2</v>
      </c>
    </row>
    <row r="6992" spans="1:3">
      <c r="A6992" s="406">
        <f>Return!A942</f>
        <v>44700</v>
      </c>
      <c r="B6992" s="408" t="s">
        <v>77</v>
      </c>
      <c r="C6992" s="409">
        <f>Return!P942</f>
        <v>-5.9949452662577674E-3</v>
      </c>
    </row>
    <row r="6993" spans="1:3">
      <c r="A6993" s="406">
        <f>Return!A943</f>
        <v>44699</v>
      </c>
      <c r="B6993" s="408" t="s">
        <v>77</v>
      </c>
      <c r="C6993" s="409">
        <f>Return!P943</f>
        <v>-1.2670311666476142E-2</v>
      </c>
    </row>
    <row r="6994" spans="1:3">
      <c r="A6994" s="406">
        <f>Return!A944</f>
        <v>44698</v>
      </c>
      <c r="B6994" s="408" t="s">
        <v>77</v>
      </c>
      <c r="C6994" s="409">
        <f>Return!P944</f>
        <v>-2.5859347218483153E-3</v>
      </c>
    </row>
    <row r="6995" spans="1:3">
      <c r="A6995" s="406">
        <f>Return!A945</f>
        <v>44697</v>
      </c>
      <c r="B6995" s="408" t="s">
        <v>77</v>
      </c>
      <c r="C6995" s="409">
        <f>Return!P945</f>
        <v>-2.587778707269639E-2</v>
      </c>
    </row>
    <row r="6996" spans="1:3">
      <c r="A6996" s="406">
        <f>Return!A946</f>
        <v>44694</v>
      </c>
      <c r="B6996" s="408" t="s">
        <v>77</v>
      </c>
      <c r="C6996" s="409">
        <f>Return!P946</f>
        <v>-5.8585043900966083E-3</v>
      </c>
    </row>
    <row r="6997" spans="1:3">
      <c r="A6997" s="406">
        <f>Return!A947</f>
        <v>44693</v>
      </c>
      <c r="B6997" s="408" t="s">
        <v>77</v>
      </c>
      <c r="C6997" s="409">
        <f>Return!P947</f>
        <v>-3.1278313787997947E-3</v>
      </c>
    </row>
    <row r="6998" spans="1:3">
      <c r="A6998" s="406">
        <f>Return!A948</f>
        <v>44692</v>
      </c>
      <c r="B6998" s="408" t="s">
        <v>77</v>
      </c>
      <c r="C6998" s="409">
        <f>Return!P948</f>
        <v>7.2732560957875503E-3</v>
      </c>
    </row>
    <row r="6999" spans="1:3">
      <c r="A6999" s="406">
        <f>Return!A949</f>
        <v>44691</v>
      </c>
      <c r="B6999" s="408" t="s">
        <v>77</v>
      </c>
      <c r="C6999" s="409">
        <f>Return!P949</f>
        <v>-7.8611855326996549E-3</v>
      </c>
    </row>
    <row r="7000" spans="1:3">
      <c r="A7000" s="406">
        <f>Return!A950</f>
        <v>44690</v>
      </c>
      <c r="B7000" s="408" t="s">
        <v>77</v>
      </c>
      <c r="C7000" s="409">
        <f>Return!P950</f>
        <v>1.1117576975758547E-2</v>
      </c>
    </row>
    <row r="7001" spans="1:3">
      <c r="A7001" s="406">
        <f>Return!A951</f>
        <v>44687</v>
      </c>
      <c r="B7001" s="408" t="s">
        <v>77</v>
      </c>
      <c r="C7001" s="409">
        <f>Return!P951</f>
        <v>-1.7225926762570287E-2</v>
      </c>
    </row>
    <row r="7002" spans="1:3">
      <c r="A7002" s="406">
        <f>Return!A952</f>
        <v>44686</v>
      </c>
      <c r="B7002" s="408" t="s">
        <v>77</v>
      </c>
      <c r="C7002" s="409">
        <f>Return!P952</f>
        <v>-1.6286258025126288E-2</v>
      </c>
    </row>
    <row r="7003" spans="1:3">
      <c r="A7003" s="406">
        <f>Return!A953</f>
        <v>44685</v>
      </c>
      <c r="B7003" s="408" t="s">
        <v>77</v>
      </c>
      <c r="C7003" s="409">
        <f>Return!P953</f>
        <v>8.5441339447094311E-3</v>
      </c>
    </row>
    <row r="7004" spans="1:3">
      <c r="A7004" s="406">
        <f>Return!A954</f>
        <v>44683</v>
      </c>
      <c r="B7004" s="408" t="s">
        <v>77</v>
      </c>
      <c r="C7004" s="409">
        <f>Return!P954</f>
        <v>6.8448572229680149E-3</v>
      </c>
    </row>
    <row r="7005" spans="1:3">
      <c r="A7005" s="406">
        <f>Return!A955</f>
        <v>44680</v>
      </c>
      <c r="B7005" s="408" t="s">
        <v>77</v>
      </c>
      <c r="C7005" s="409">
        <f>Return!P955</f>
        <v>-8.2616795055427961E-3</v>
      </c>
    </row>
    <row r="7006" spans="1:3">
      <c r="A7006" s="406">
        <f>Return!A956</f>
        <v>44679</v>
      </c>
      <c r="B7006" s="408" t="s">
        <v>77</v>
      </c>
      <c r="C7006" s="409">
        <f>Return!P956</f>
        <v>-7.5474511454934889E-3</v>
      </c>
    </row>
    <row r="7007" spans="1:3">
      <c r="A7007" s="406">
        <f>Return!A957</f>
        <v>44678</v>
      </c>
      <c r="B7007" s="408" t="s">
        <v>77</v>
      </c>
      <c r="C7007" s="409">
        <f>Return!P957</f>
        <v>-6.8910302591373984E-5</v>
      </c>
    </row>
    <row r="7008" spans="1:3">
      <c r="A7008" s="406">
        <f>Return!A958</f>
        <v>44677</v>
      </c>
      <c r="B7008" s="408" t="s">
        <v>77</v>
      </c>
      <c r="C7008" s="409">
        <f>Return!P958</f>
        <v>-7.3752975878631499E-3</v>
      </c>
    </row>
    <row r="7009" spans="1:3">
      <c r="A7009" s="406">
        <f>Return!A959</f>
        <v>44676</v>
      </c>
      <c r="B7009" s="408" t="s">
        <v>77</v>
      </c>
      <c r="C7009" s="409">
        <f>Return!P959</f>
        <v>2.9656036749785564E-3</v>
      </c>
    </row>
    <row r="7010" spans="1:3">
      <c r="A7010" s="406">
        <f>Return!A960</f>
        <v>44673</v>
      </c>
      <c r="B7010" s="408" t="s">
        <v>77</v>
      </c>
      <c r="C7010" s="409">
        <f>Return!P960</f>
        <v>2.1945498781934525E-3</v>
      </c>
    </row>
    <row r="7011" spans="1:3">
      <c r="A7011" s="406">
        <f>Return!A961</f>
        <v>44672</v>
      </c>
      <c r="B7011" s="408" t="s">
        <v>77</v>
      </c>
      <c r="C7011" s="409">
        <f>Return!P961</f>
        <v>6.7470009920393981E-3</v>
      </c>
    </row>
    <row r="7012" spans="1:3">
      <c r="A7012" s="406">
        <f>Return!A962</f>
        <v>44671</v>
      </c>
      <c r="B7012" s="408" t="s">
        <v>77</v>
      </c>
      <c r="C7012" s="409">
        <f>Return!P962</f>
        <v>-3.9758845849623414E-3</v>
      </c>
    </row>
    <row r="7013" spans="1:3">
      <c r="A7013" s="406">
        <f>Return!A963</f>
        <v>44670</v>
      </c>
      <c r="B7013" s="408" t="s">
        <v>77</v>
      </c>
      <c r="C7013" s="409">
        <f>Return!P963</f>
        <v>1.2004410193142689E-3</v>
      </c>
    </row>
    <row r="7014" spans="1:3">
      <c r="A7014" s="406">
        <f>Return!A964</f>
        <v>44669</v>
      </c>
      <c r="B7014" s="408" t="s">
        <v>77</v>
      </c>
      <c r="C7014" s="409">
        <f>Return!P964</f>
        <v>1.4630372739124153E-2</v>
      </c>
    </row>
    <row r="7015" spans="1:3">
      <c r="A7015" s="406">
        <f>Return!A965</f>
        <v>44664</v>
      </c>
      <c r="B7015" s="408" t="s">
        <v>77</v>
      </c>
      <c r="C7015" s="409">
        <f>Return!P965</f>
        <v>1.2408711661446858E-3</v>
      </c>
    </row>
    <row r="7016" spans="1:3">
      <c r="A7016" s="406">
        <f>Return!A966</f>
        <v>44663</v>
      </c>
      <c r="B7016" s="408" t="s">
        <v>77</v>
      </c>
      <c r="C7016" s="409">
        <f>Return!P966</f>
        <v>-2.6680823535581988E-3</v>
      </c>
    </row>
    <row r="7017" spans="1:3">
      <c r="A7017" s="406">
        <f>Return!A967</f>
        <v>44662</v>
      </c>
      <c r="B7017" s="408" t="s">
        <v>77</v>
      </c>
      <c r="C7017" s="409">
        <f>Return!P967</f>
        <v>-1.4665153595265767E-3</v>
      </c>
    </row>
    <row r="7018" spans="1:3">
      <c r="A7018" s="406">
        <f>Return!A968</f>
        <v>44659</v>
      </c>
      <c r="B7018" s="408" t="s">
        <v>77</v>
      </c>
      <c r="C7018" s="409">
        <f>Return!P968</f>
        <v>1.2067092804688428E-2</v>
      </c>
    </row>
    <row r="7019" spans="1:3">
      <c r="A7019" s="406">
        <f>Return!A969</f>
        <v>44658</v>
      </c>
      <c r="B7019" s="408" t="s">
        <v>77</v>
      </c>
      <c r="C7019" s="409">
        <f>Return!P969</f>
        <v>-2.6510419453534828E-3</v>
      </c>
    </row>
    <row r="7020" spans="1:3">
      <c r="A7020" s="406">
        <f>Return!A970</f>
        <v>44657</v>
      </c>
      <c r="B7020" s="408" t="s">
        <v>77</v>
      </c>
      <c r="C7020" s="409">
        <f>Return!P970</f>
        <v>-8.1227459769224186E-3</v>
      </c>
    </row>
    <row r="7021" spans="1:3">
      <c r="A7021" s="406">
        <f>Return!A971</f>
        <v>44656</v>
      </c>
      <c r="B7021" s="408" t="s">
        <v>77</v>
      </c>
      <c r="C7021" s="409">
        <f>Return!P971</f>
        <v>1.1541150771772868E-2</v>
      </c>
    </row>
    <row r="7022" spans="1:3">
      <c r="A7022" s="406">
        <f>Return!A972</f>
        <v>44655</v>
      </c>
      <c r="B7022" s="408" t="s">
        <v>77</v>
      </c>
      <c r="C7022" s="409">
        <f>Return!P972</f>
        <v>2.4834119618213357E-3</v>
      </c>
    </row>
    <row r="7023" spans="1:3">
      <c r="A7023" s="406">
        <f>Return!A973</f>
        <v>44652</v>
      </c>
      <c r="B7023" s="408" t="s">
        <v>77</v>
      </c>
      <c r="C7023" s="409">
        <f>Return!P973</f>
        <v>-4.7143924325950826E-3</v>
      </c>
    </row>
    <row r="7024" spans="1:3">
      <c r="A7024" s="406">
        <f>Return!A974</f>
        <v>44651</v>
      </c>
      <c r="B7024" s="408" t="s">
        <v>77</v>
      </c>
      <c r="C7024" s="409">
        <f>Return!P974</f>
        <v>-4.5045160578771615E-4</v>
      </c>
    </row>
    <row r="7025" spans="1:3">
      <c r="A7025" s="406">
        <f>Return!A975</f>
        <v>44650</v>
      </c>
      <c r="B7025" s="408" t="s">
        <v>77</v>
      </c>
      <c r="C7025" s="409">
        <f>Return!P975</f>
        <v>8.1542045804212648E-3</v>
      </c>
    </row>
    <row r="7026" spans="1:3">
      <c r="A7026" s="406">
        <f>Return!A976</f>
        <v>44649</v>
      </c>
      <c r="B7026" s="408" t="s">
        <v>77</v>
      </c>
      <c r="C7026" s="409">
        <f>Return!P976</f>
        <v>5.3006432712243701E-3</v>
      </c>
    </row>
    <row r="7027" spans="1:3">
      <c r="A7027" s="406">
        <f>Return!A977</f>
        <v>44648</v>
      </c>
      <c r="B7027" s="408" t="s">
        <v>77</v>
      </c>
      <c r="C7027" s="409">
        <f>Return!P977</f>
        <v>-4.1403130911554786E-3</v>
      </c>
    </row>
    <row r="7028" spans="1:3">
      <c r="A7028" s="406">
        <f>Return!A978</f>
        <v>44645</v>
      </c>
      <c r="B7028" s="408" t="s">
        <v>77</v>
      </c>
      <c r="C7028" s="409">
        <f>Return!P978</f>
        <v>-3.1740031082005959E-3</v>
      </c>
    </row>
    <row r="7029" spans="1:3">
      <c r="A7029" s="406">
        <f>Return!A979</f>
        <v>44644</v>
      </c>
      <c r="B7029" s="408" t="s">
        <v>77</v>
      </c>
      <c r="C7029" s="409">
        <f>Return!P979</f>
        <v>2.0217187917009438E-2</v>
      </c>
    </row>
    <row r="7030" spans="1:3">
      <c r="A7030" s="406">
        <f>Return!A980</f>
        <v>44643</v>
      </c>
      <c r="B7030" s="408" t="s">
        <v>77</v>
      </c>
      <c r="C7030" s="409">
        <f>Return!P980</f>
        <v>3.0506593642731783E-3</v>
      </c>
    </row>
    <row r="7031" spans="1:3">
      <c r="A7031" s="406">
        <f>Return!A981</f>
        <v>44642</v>
      </c>
      <c r="B7031" s="408" t="s">
        <v>77</v>
      </c>
      <c r="C7031" s="409">
        <f>Return!P981</f>
        <v>1.5539603747982023E-2</v>
      </c>
    </row>
    <row r="7032" spans="1:3">
      <c r="A7032" s="406">
        <f>Return!A982</f>
        <v>44641</v>
      </c>
      <c r="B7032" s="408" t="s">
        <v>77</v>
      </c>
      <c r="C7032" s="409">
        <f>Return!P982</f>
        <v>1.6903324112470752E-2</v>
      </c>
    </row>
    <row r="7033" spans="1:3">
      <c r="A7033" s="406">
        <f>Return!A983</f>
        <v>44637</v>
      </c>
      <c r="B7033" s="408" t="s">
        <v>77</v>
      </c>
      <c r="C7033" s="409">
        <f>Return!P983</f>
        <v>-8.7375140356752423E-3</v>
      </c>
    </row>
    <row r="7034" spans="1:3">
      <c r="A7034" s="406">
        <f>Return!A984</f>
        <v>44636</v>
      </c>
      <c r="B7034" s="408" t="s">
        <v>77</v>
      </c>
      <c r="C7034" s="409">
        <f>Return!P984</f>
        <v>-8.0258312168768331E-3</v>
      </c>
    </row>
    <row r="7035" spans="1:3">
      <c r="A7035" s="406">
        <f>Return!A985</f>
        <v>44635</v>
      </c>
      <c r="B7035" s="408" t="s">
        <v>77</v>
      </c>
      <c r="C7035" s="409">
        <f>Return!P985</f>
        <v>3.2002286598180607E-3</v>
      </c>
    </row>
    <row r="7036" spans="1:3">
      <c r="A7036" s="406">
        <f>Return!A986</f>
        <v>44634</v>
      </c>
      <c r="B7036" s="408" t="s">
        <v>77</v>
      </c>
      <c r="C7036" s="409">
        <f>Return!P986</f>
        <v>-1.4716713453969965E-2</v>
      </c>
    </row>
    <row r="7037" spans="1:3">
      <c r="A7037" s="406">
        <f>Return!A987</f>
        <v>44631</v>
      </c>
      <c r="B7037" s="408" t="s">
        <v>77</v>
      </c>
      <c r="C7037" s="409">
        <f>Return!P987</f>
        <v>9.9226598015000889E-3</v>
      </c>
    </row>
    <row r="7038" spans="1:3">
      <c r="A7038" s="406">
        <f>Return!A988</f>
        <v>44630</v>
      </c>
      <c r="B7038" s="408" t="s">
        <v>77</v>
      </c>
      <c r="C7038" s="409">
        <f>Return!P988</f>
        <v>2.7671629401738063E-2</v>
      </c>
    </row>
    <row r="7039" spans="1:3">
      <c r="A7039" s="406">
        <f>Return!A989</f>
        <v>44629</v>
      </c>
      <c r="B7039" s="408" t="s">
        <v>77</v>
      </c>
      <c r="C7039" s="409">
        <f>Return!P989</f>
        <v>-3.3413102799575989E-2</v>
      </c>
    </row>
    <row r="7040" spans="1:3">
      <c r="A7040" s="406">
        <f>Return!A990</f>
        <v>44628</v>
      </c>
      <c r="B7040" s="408" t="s">
        <v>77</v>
      </c>
      <c r="C7040" s="409">
        <f>Return!P990</f>
        <v>4.1404896230774479E-3</v>
      </c>
    </row>
    <row r="7041" spans="1:3">
      <c r="A7041" s="406">
        <f>Return!A991</f>
        <v>44627</v>
      </c>
      <c r="B7041" s="408" t="s">
        <v>77</v>
      </c>
      <c r="C7041" s="409">
        <f>Return!P991</f>
        <v>-5.6438453399576538E-4</v>
      </c>
    </row>
    <row r="7042" spans="1:3">
      <c r="A7042" s="406">
        <f>Return!A992</f>
        <v>44624</v>
      </c>
      <c r="B7042" s="408" t="s">
        <v>77</v>
      </c>
      <c r="C7042" s="409">
        <f>Return!P992</f>
        <v>-1.3214820822460394E-2</v>
      </c>
    </row>
    <row r="7043" spans="1:3">
      <c r="A7043" s="406">
        <f>Return!A993</f>
        <v>44623</v>
      </c>
      <c r="B7043" s="408" t="s">
        <v>77</v>
      </c>
      <c r="C7043" s="409">
        <f>Return!P993</f>
        <v>-8.3109057584871415E-3</v>
      </c>
    </row>
    <row r="7044" spans="1:3">
      <c r="A7044" s="406">
        <f>Return!A994</f>
        <v>44622</v>
      </c>
      <c r="B7044" s="408" t="s">
        <v>77</v>
      </c>
      <c r="C7044" s="409">
        <f>Return!P994</f>
        <v>-6.0679343911692607E-3</v>
      </c>
    </row>
    <row r="7045" spans="1:3">
      <c r="A7045" s="406">
        <f>Return!A995</f>
        <v>44620</v>
      </c>
      <c r="B7045" s="408" t="s">
        <v>77</v>
      </c>
      <c r="C7045" s="409">
        <f>Return!P995</f>
        <v>7.5299944561248999E-3</v>
      </c>
    </row>
    <row r="7046" spans="1:3">
      <c r="A7046" s="406">
        <f>Return!A996</f>
        <v>44617</v>
      </c>
      <c r="B7046" s="408" t="s">
        <v>77</v>
      </c>
      <c r="C7046" s="409">
        <f>Return!P996</f>
        <v>6.7058173903715712E-3</v>
      </c>
    </row>
    <row r="7047" spans="1:3">
      <c r="A7047" s="406">
        <f>Return!A997</f>
        <v>44616</v>
      </c>
      <c r="B7047" s="408" t="s">
        <v>77</v>
      </c>
      <c r="C7047" s="409">
        <f>Return!P997</f>
        <v>-1.960054303640979E-2</v>
      </c>
    </row>
    <row r="7048" spans="1:3">
      <c r="A7048" s="406">
        <f>Return!A998</f>
        <v>44615</v>
      </c>
      <c r="B7048" s="408" t="s">
        <v>77</v>
      </c>
      <c r="C7048" s="409">
        <f>Return!P998</f>
        <v>-8.253018331721873E-3</v>
      </c>
    </row>
    <row r="7049" spans="1:3">
      <c r="A7049" s="406">
        <f>Return!A999</f>
        <v>44614</v>
      </c>
      <c r="B7049" s="408" t="s">
        <v>77</v>
      </c>
      <c r="C7049" s="409">
        <f>Return!P999</f>
        <v>3.3354606659623531E-3</v>
      </c>
    </row>
    <row r="7050" spans="1:3">
      <c r="A7050" s="406">
        <f>Return!A1000</f>
        <v>44613</v>
      </c>
      <c r="B7050" s="408" t="s">
        <v>77</v>
      </c>
      <c r="C7050" s="409">
        <f>Return!P1000</f>
        <v>9.9647308057184691E-3</v>
      </c>
    </row>
    <row r="7051" spans="1:3">
      <c r="A7051" s="406">
        <f>Return!A1001</f>
        <v>44610</v>
      </c>
      <c r="B7051" s="408" t="s">
        <v>77</v>
      </c>
      <c r="C7051" s="409">
        <f>Return!P1001</f>
        <v>-1.45203759563306E-3</v>
      </c>
    </row>
    <row r="7052" spans="1:3">
      <c r="A7052" s="406">
        <f>Return!A1002</f>
        <v>44609</v>
      </c>
      <c r="B7052" s="408" t="s">
        <v>77</v>
      </c>
      <c r="C7052" s="409">
        <f>Return!P1002</f>
        <v>-1.7579332023550553E-2</v>
      </c>
    </row>
    <row r="7053" spans="1:3">
      <c r="A7053" s="406">
        <f>Return!A1003</f>
        <v>44608</v>
      </c>
      <c r="B7053" s="408" t="s">
        <v>77</v>
      </c>
      <c r="C7053" s="409">
        <f>Return!P1003</f>
        <v>-4.8257846173130892E-3</v>
      </c>
    </row>
    <row r="7054" spans="1:3">
      <c r="A7054" s="406">
        <f>Return!A1004</f>
        <v>44607</v>
      </c>
      <c r="B7054" s="408" t="s">
        <v>77</v>
      </c>
      <c r="C7054" s="409">
        <f>Return!P1004</f>
        <v>-4.6568117804955955E-3</v>
      </c>
    </row>
    <row r="7055" spans="1:3">
      <c r="A7055" s="406">
        <f>Return!A1005</f>
        <v>44606</v>
      </c>
      <c r="B7055" s="408" t="s">
        <v>77</v>
      </c>
      <c r="C7055" s="409">
        <f>Return!P1005</f>
        <v>1.0786937211064052E-2</v>
      </c>
    </row>
    <row r="7056" spans="1:3">
      <c r="A7056" s="406">
        <f>Return!A1006</f>
        <v>44603</v>
      </c>
      <c r="B7056" s="408" t="s">
        <v>77</v>
      </c>
      <c r="C7056" s="409">
        <f>Return!P1006</f>
        <v>1.5194356114144991E-2</v>
      </c>
    </row>
    <row r="7057" spans="1:3">
      <c r="A7057" s="406">
        <f>Return!A1007</f>
        <v>44602</v>
      </c>
      <c r="B7057" s="408" t="s">
        <v>77</v>
      </c>
      <c r="C7057" s="409">
        <f>Return!P1007</f>
        <v>9.7999816529876771E-3</v>
      </c>
    </row>
    <row r="7058" spans="1:3">
      <c r="A7058" s="406">
        <f>Return!A1008</f>
        <v>44601</v>
      </c>
      <c r="B7058" s="408" t="s">
        <v>77</v>
      </c>
      <c r="C7058" s="409">
        <f>Return!P1008</f>
        <v>6.5711040979608004E-3</v>
      </c>
    </row>
    <row r="7059" spans="1:3">
      <c r="A7059" s="406">
        <f>Return!A1009</f>
        <v>44600</v>
      </c>
      <c r="B7059" s="408" t="s">
        <v>77</v>
      </c>
      <c r="C7059" s="409">
        <f>Return!P1009</f>
        <v>-1.7240115392676447E-2</v>
      </c>
    </row>
    <row r="7060" spans="1:3">
      <c r="A7060" s="406">
        <f>Return!A1010</f>
        <v>44599</v>
      </c>
      <c r="B7060" s="408" t="s">
        <v>77</v>
      </c>
      <c r="C7060" s="409">
        <f>Return!P1010</f>
        <v>6.9151179514392869E-3</v>
      </c>
    </row>
    <row r="7061" spans="1:3">
      <c r="A7061" s="406">
        <f>Return!A1011</f>
        <v>44596</v>
      </c>
      <c r="B7061" s="408" t="s">
        <v>77</v>
      </c>
      <c r="C7061" s="409">
        <f>Return!P1011</f>
        <v>-2.1305515368345573E-2</v>
      </c>
    </row>
    <row r="7062" spans="1:3">
      <c r="A7062" s="406">
        <f>Return!A1012</f>
        <v>44595</v>
      </c>
      <c r="B7062" s="408" t="s">
        <v>77</v>
      </c>
      <c r="C7062" s="409">
        <f>Return!P1012</f>
        <v>-1.4971487434000785E-2</v>
      </c>
    </row>
    <row r="7063" spans="1:3">
      <c r="A7063" s="406">
        <f>Return!A1013</f>
        <v>44594</v>
      </c>
      <c r="B7063" s="408" t="s">
        <v>77</v>
      </c>
      <c r="C7063" s="409">
        <f>Return!P1013</f>
        <v>-1.2149335909798831E-2</v>
      </c>
    </row>
    <row r="7064" spans="1:3">
      <c r="A7064" s="406">
        <f>Return!A1014</f>
        <v>44593</v>
      </c>
      <c r="B7064" s="408" t="s">
        <v>77</v>
      </c>
      <c r="C7064" s="409">
        <f>Return!P1014</f>
        <v>-2.4456720686456546E-3</v>
      </c>
    </row>
    <row r="7065" spans="1:3">
      <c r="A7065" s="406">
        <f>Return!A1015</f>
        <v>44592</v>
      </c>
      <c r="B7065" s="408" t="s">
        <v>77</v>
      </c>
      <c r="C7065" s="409">
        <f>Return!P1015</f>
        <v>-1.2058021330886959E-2</v>
      </c>
    </row>
    <row r="7066" spans="1:3">
      <c r="A7066" s="406">
        <f>Return!A1016</f>
        <v>44589</v>
      </c>
      <c r="B7066" s="408" t="s">
        <v>77</v>
      </c>
      <c r="C7066" s="409">
        <f>Return!P1016</f>
        <v>-5.6562445376682202E-3</v>
      </c>
    </row>
    <row r="7067" spans="1:3">
      <c r="A7067" s="406">
        <f>Return!A1017</f>
        <v>44588</v>
      </c>
      <c r="B7067" s="408" t="s">
        <v>77</v>
      </c>
      <c r="C7067" s="409">
        <f>Return!P1017</f>
        <v>-5.6520360274673331E-3</v>
      </c>
    </row>
    <row r="7068" spans="1:3">
      <c r="A7068" s="406">
        <f>Return!A1018</f>
        <v>44586</v>
      </c>
      <c r="B7068" s="408" t="s">
        <v>77</v>
      </c>
      <c r="C7068" s="409">
        <f>Return!P1018</f>
        <v>7.8887791324318002E-3</v>
      </c>
    </row>
    <row r="7069" spans="1:3">
      <c r="A7069" s="406">
        <f>Return!A1019</f>
        <v>44585</v>
      </c>
      <c r="B7069" s="408" t="s">
        <v>77</v>
      </c>
      <c r="C7069" s="409">
        <f>Return!P1019</f>
        <v>-2.8334178941121779E-3</v>
      </c>
    </row>
    <row r="7070" spans="1:3">
      <c r="A7070" s="406">
        <f>Return!A1020</f>
        <v>44582</v>
      </c>
      <c r="B7070" s="408" t="s">
        <v>77</v>
      </c>
      <c r="C7070" s="409">
        <f>Return!P1020</f>
        <v>-3.0168630489908477E-3</v>
      </c>
    </row>
    <row r="7071" spans="1:3">
      <c r="A7071" s="406">
        <f>Return!A1021</f>
        <v>44581</v>
      </c>
      <c r="B7071" s="408" t="s">
        <v>77</v>
      </c>
      <c r="C7071" s="409">
        <f>Return!P1021</f>
        <v>4.9017463135878625E-3</v>
      </c>
    </row>
    <row r="7072" spans="1:3">
      <c r="A7072" s="406">
        <f>Return!A1022</f>
        <v>44580</v>
      </c>
      <c r="B7072" s="408" t="s">
        <v>77</v>
      </c>
      <c r="C7072" s="409">
        <f>Return!P1022</f>
        <v>-4.3850574086780059E-3</v>
      </c>
    </row>
    <row r="7073" spans="1:3">
      <c r="A7073" s="406">
        <f>Return!A1023</f>
        <v>44579</v>
      </c>
      <c r="B7073" s="408" t="s">
        <v>77</v>
      </c>
      <c r="C7073" s="409">
        <f>Return!P1023</f>
        <v>-7.6967340885083502E-3</v>
      </c>
    </row>
    <row r="7074" spans="1:3">
      <c r="A7074" s="406">
        <f>Return!A1024</f>
        <v>44578</v>
      </c>
      <c r="B7074" s="408" t="s">
        <v>77</v>
      </c>
      <c r="C7074" s="409">
        <f>Return!P1024</f>
        <v>-2.7501047715978721E-3</v>
      </c>
    </row>
    <row r="7075" spans="1:3">
      <c r="A7075" s="406">
        <f>Return!A1025</f>
        <v>44575</v>
      </c>
      <c r="B7075" s="408" t="s">
        <v>77</v>
      </c>
      <c r="C7075" s="409">
        <f>Return!P1025</f>
        <v>-9.8287963577728954E-3</v>
      </c>
    </row>
    <row r="7076" spans="1:3">
      <c r="A7076" s="406">
        <f>Return!A1026</f>
        <v>44574</v>
      </c>
      <c r="B7076" s="408" t="s">
        <v>77</v>
      </c>
      <c r="C7076" s="409">
        <f>Return!P1026</f>
        <v>-3.0189339404299576E-3</v>
      </c>
    </row>
    <row r="7077" spans="1:3">
      <c r="A7077" s="406">
        <f>Return!A1027</f>
        <v>44573</v>
      </c>
      <c r="B7077" s="408" t="s">
        <v>77</v>
      </c>
      <c r="C7077" s="409">
        <f>Return!P1027</f>
        <v>1.0616325033717233E-2</v>
      </c>
    </row>
    <row r="7078" spans="1:3">
      <c r="A7078" s="406">
        <f>Return!A1028</f>
        <v>44572</v>
      </c>
      <c r="B7078" s="408" t="s">
        <v>77</v>
      </c>
      <c r="C7078" s="409">
        <f>Return!P1028</f>
        <v>7.4623318026758589E-3</v>
      </c>
    </row>
    <row r="7079" spans="1:3">
      <c r="A7079" s="406">
        <f>Return!A1029</f>
        <v>44571</v>
      </c>
      <c r="B7079" s="408" t="s">
        <v>77</v>
      </c>
      <c r="C7079" s="409">
        <f>Return!P1029</f>
        <v>1.5105206847905395E-2</v>
      </c>
    </row>
    <row r="7080" spans="1:3">
      <c r="A7080" s="406">
        <f>Return!A1030</f>
        <v>44568</v>
      </c>
      <c r="B7080" s="408" t="s">
        <v>77</v>
      </c>
      <c r="C7080" s="409">
        <f>Return!P1030</f>
        <v>5.4717688602978765E-3</v>
      </c>
    </row>
    <row r="7081" spans="1:3">
      <c r="A7081" s="406">
        <f>Return!A1031</f>
        <v>44567</v>
      </c>
      <c r="B7081" s="408" t="s">
        <v>77</v>
      </c>
      <c r="C7081" s="409">
        <f>Return!P1031</f>
        <v>1.5987599797698149E-2</v>
      </c>
    </row>
    <row r="7082" spans="1:3">
      <c r="A7082" s="406">
        <f>Return!A1032</f>
        <v>44566</v>
      </c>
      <c r="B7082" s="408" t="s">
        <v>77</v>
      </c>
      <c r="C7082" s="409">
        <f>Return!P1032</f>
        <v>-1.0157507769458785E-2</v>
      </c>
    </row>
    <row r="7083" spans="1:3">
      <c r="A7083" s="406">
        <f>Return!A1033</f>
        <v>44565</v>
      </c>
      <c r="B7083" s="408" t="s">
        <v>77</v>
      </c>
      <c r="C7083" s="409">
        <f>Return!P1033</f>
        <v>9.5747500226046611E-3</v>
      </c>
    </row>
    <row r="7084" spans="1:3">
      <c r="A7084" s="406">
        <f>Return!A1034</f>
        <v>44564</v>
      </c>
      <c r="B7084" s="408" t="s">
        <v>77</v>
      </c>
      <c r="C7084" s="409">
        <f>Return!P1034</f>
        <v>1.3410438668776337E-2</v>
      </c>
    </row>
    <row r="7085" spans="1:3">
      <c r="A7085" s="406">
        <f>Return!A1035</f>
        <v>44561</v>
      </c>
      <c r="B7085" s="408" t="s">
        <v>77</v>
      </c>
      <c r="C7085" s="409">
        <f>Return!P1035</f>
        <v>1.0806729581362307E-2</v>
      </c>
    </row>
    <row r="7086" spans="1:3">
      <c r="A7086" s="406">
        <f>Return!A1036</f>
        <v>44560</v>
      </c>
      <c r="B7086" s="408" t="s">
        <v>77</v>
      </c>
      <c r="C7086" s="409">
        <f>Return!P1036</f>
        <v>-7.102787141538891E-3</v>
      </c>
    </row>
    <row r="7087" spans="1:3">
      <c r="A7087" s="406">
        <f>Return!A1037</f>
        <v>44559</v>
      </c>
      <c r="B7087" s="408" t="s">
        <v>77</v>
      </c>
      <c r="C7087" s="409">
        <f>Return!P1037</f>
        <v>-1.9336432403653681E-2</v>
      </c>
    </row>
    <row r="7088" spans="1:3">
      <c r="A7088" s="406">
        <f>Return!A1038</f>
        <v>44558</v>
      </c>
      <c r="B7088" s="408" t="s">
        <v>77</v>
      </c>
      <c r="C7088" s="409">
        <f>Return!P1038</f>
        <v>-6.5635143981785937E-3</v>
      </c>
    </row>
    <row r="7089" spans="1:3">
      <c r="A7089" s="406">
        <f>Return!A1039</f>
        <v>44557</v>
      </c>
      <c r="B7089" s="408" t="s">
        <v>77</v>
      </c>
      <c r="C7089" s="409">
        <f>Return!P1039</f>
        <v>-3.2014988779663911E-3</v>
      </c>
    </row>
    <row r="7090" spans="1:3">
      <c r="A7090" s="406">
        <f>Return!A1040</f>
        <v>44554</v>
      </c>
      <c r="B7090" s="408" t="s">
        <v>77</v>
      </c>
      <c r="C7090" s="409">
        <f>Return!P1040</f>
        <v>1.2151507179628318E-2</v>
      </c>
    </row>
    <row r="7091" spans="1:3">
      <c r="A7091" s="406">
        <f>Return!A1041</f>
        <v>44553</v>
      </c>
      <c r="B7091" s="408" t="s">
        <v>77</v>
      </c>
      <c r="C7091" s="409">
        <f>Return!P1041</f>
        <v>-3.1394988981923166E-3</v>
      </c>
    </row>
    <row r="7092" spans="1:3">
      <c r="A7092" s="406">
        <f>Return!A1042</f>
        <v>44552</v>
      </c>
      <c r="B7092" s="408" t="s">
        <v>77</v>
      </c>
      <c r="C7092" s="409">
        <f>Return!P1042</f>
        <v>-2.6031425335493186E-4</v>
      </c>
    </row>
    <row r="7093" spans="1:3">
      <c r="A7093" s="406">
        <f>Return!A1043</f>
        <v>44551</v>
      </c>
      <c r="B7093" s="408" t="s">
        <v>77</v>
      </c>
      <c r="C7093" s="409">
        <f>Return!P1043</f>
        <v>6.3596859322267996E-4</v>
      </c>
    </row>
    <row r="7094" spans="1:3">
      <c r="A7094" s="406">
        <f>Return!A1044</f>
        <v>44550</v>
      </c>
      <c r="B7094" s="408" t="s">
        <v>77</v>
      </c>
      <c r="C7094" s="409">
        <f>Return!P1044</f>
        <v>9.573427501692322E-3</v>
      </c>
    </row>
    <row r="7095" spans="1:3">
      <c r="A7095" s="406">
        <f>Return!A1045</f>
        <v>44547</v>
      </c>
      <c r="B7095" s="408" t="s">
        <v>77</v>
      </c>
      <c r="C7095" s="409">
        <f>Return!P1045</f>
        <v>5.4550720906283434E-3</v>
      </c>
    </row>
    <row r="7096" spans="1:3">
      <c r="A7096" s="406">
        <f>Return!A1046</f>
        <v>44546</v>
      </c>
      <c r="B7096" s="408" t="s">
        <v>77</v>
      </c>
      <c r="C7096" s="409">
        <f>Return!P1046</f>
        <v>-1.7526064972638533E-2</v>
      </c>
    </row>
    <row r="7097" spans="1:3">
      <c r="A7097" s="406">
        <f>Return!A1047</f>
        <v>44545</v>
      </c>
      <c r="B7097" s="408" t="s">
        <v>77</v>
      </c>
      <c r="C7097" s="409">
        <f>Return!P1047</f>
        <v>-7.1166447060837523E-3</v>
      </c>
    </row>
    <row r="7098" spans="1:3">
      <c r="A7098" s="406">
        <f>Return!A1048</f>
        <v>44544</v>
      </c>
      <c r="B7098" s="408" t="s">
        <v>77</v>
      </c>
      <c r="C7098" s="409">
        <f>Return!P1048</f>
        <v>7.3934362285505983E-3</v>
      </c>
    </row>
    <row r="7099" spans="1:3">
      <c r="A7099" s="406">
        <f>Return!A1049</f>
        <v>44543</v>
      </c>
      <c r="B7099" s="408" t="s">
        <v>77</v>
      </c>
      <c r="C7099" s="409">
        <f>Return!P1049</f>
        <v>-1.4440414458688489E-2</v>
      </c>
    </row>
    <row r="7100" spans="1:3">
      <c r="A7100" s="406">
        <f>Return!A1050</f>
        <v>44540</v>
      </c>
      <c r="B7100" s="408" t="s">
        <v>77</v>
      </c>
      <c r="C7100" s="409">
        <f>Return!P1050</f>
        <v>2.436104970755526E-4</v>
      </c>
    </row>
    <row r="7101" spans="1:3">
      <c r="A7101" s="406">
        <f>Return!A1051</f>
        <v>44539</v>
      </c>
      <c r="B7101" s="408" t="s">
        <v>77</v>
      </c>
      <c r="C7101" s="409">
        <f>Return!P1051</f>
        <v>-7.93472463166911E-3</v>
      </c>
    </row>
    <row r="7102" spans="1:3">
      <c r="A7102" s="406">
        <f>Return!A1052</f>
        <v>44538</v>
      </c>
      <c r="B7102" s="408" t="s">
        <v>77</v>
      </c>
      <c r="C7102" s="409">
        <f>Return!P1052</f>
        <v>1.1563812466181878E-2</v>
      </c>
    </row>
    <row r="7103" spans="1:3">
      <c r="A7103" s="406">
        <f>Return!A1053</f>
        <v>44537</v>
      </c>
      <c r="B7103" s="408" t="s">
        <v>77</v>
      </c>
      <c r="C7103" s="409">
        <f>Return!P1053</f>
        <v>1.2363559577302619E-2</v>
      </c>
    </row>
    <row r="7104" spans="1:3">
      <c r="A7104" s="406">
        <f>Return!A1054</f>
        <v>44536</v>
      </c>
      <c r="B7104" s="408" t="s">
        <v>77</v>
      </c>
      <c r="C7104" s="409">
        <f>Return!P1054</f>
        <v>-3.802248433981692E-3</v>
      </c>
    </row>
    <row r="7105" spans="1:3">
      <c r="A7105" s="406">
        <f>Return!A1055</f>
        <v>44533</v>
      </c>
      <c r="B7105" s="408" t="s">
        <v>77</v>
      </c>
      <c r="C7105" s="409">
        <f>Return!P1055</f>
        <v>1.0435815483679445E-2</v>
      </c>
    </row>
    <row r="7106" spans="1:3">
      <c r="A7106" s="406">
        <f>Return!A1056</f>
        <v>44532</v>
      </c>
      <c r="B7106" s="408" t="s">
        <v>77</v>
      </c>
      <c r="C7106" s="409">
        <f>Return!P1056</f>
        <v>-1.6191513263159374E-2</v>
      </c>
    </row>
    <row r="7107" spans="1:3">
      <c r="A7107" s="406">
        <f>Return!A1057</f>
        <v>44531</v>
      </c>
      <c r="B7107" s="408" t="s">
        <v>77</v>
      </c>
      <c r="C7107" s="409">
        <f>Return!P1057</f>
        <v>-1.2966581738424687E-2</v>
      </c>
    </row>
    <row r="7108" spans="1:3">
      <c r="A7108" s="406">
        <f>Return!A1058</f>
        <v>44530</v>
      </c>
      <c r="B7108" s="408" t="s">
        <v>77</v>
      </c>
      <c r="C7108" s="409">
        <f>Return!P1058</f>
        <v>3.6370482363561329E-3</v>
      </c>
    </row>
    <row r="7109" spans="1:3">
      <c r="A7109" s="406">
        <f>Return!A1059</f>
        <v>44529</v>
      </c>
      <c r="B7109" s="408" t="s">
        <v>77</v>
      </c>
      <c r="C7109" s="409">
        <f>Return!P1059</f>
        <v>-7.582637782039936E-3</v>
      </c>
    </row>
    <row r="7110" spans="1:3">
      <c r="A7110" s="406">
        <f>Return!A1060</f>
        <v>44526</v>
      </c>
      <c r="B7110" s="408" t="s">
        <v>77</v>
      </c>
      <c r="C7110" s="409">
        <f>Return!P1060</f>
        <v>2.0276043398518295E-2</v>
      </c>
    </row>
    <row r="7111" spans="1:3">
      <c r="A7111" s="406">
        <f>Return!A1061</f>
        <v>44525</v>
      </c>
      <c r="B7111" s="408" t="s">
        <v>77</v>
      </c>
      <c r="C7111" s="409">
        <f>Return!P1061</f>
        <v>2.7025722995308588E-3</v>
      </c>
    </row>
    <row r="7112" spans="1:3">
      <c r="A7112" s="406">
        <f>Return!A1062</f>
        <v>44524</v>
      </c>
      <c r="B7112" s="408" t="s">
        <v>77</v>
      </c>
      <c r="C7112" s="409">
        <f>Return!P1062</f>
        <v>-6.9520994664682423E-3</v>
      </c>
    </row>
    <row r="7113" spans="1:3">
      <c r="A7113" s="406">
        <f>Return!A1063</f>
        <v>44523</v>
      </c>
      <c r="B7113" s="408" t="s">
        <v>77</v>
      </c>
      <c r="C7113" s="409">
        <f>Return!P1063</f>
        <v>1.6933576630433489E-3</v>
      </c>
    </row>
    <row r="7114" spans="1:3">
      <c r="A7114" s="406">
        <f>Return!A1064</f>
        <v>44522</v>
      </c>
      <c r="B7114" s="408" t="s">
        <v>77</v>
      </c>
      <c r="C7114" s="409">
        <f>Return!P1064</f>
        <v>4.7493294400620112E-3</v>
      </c>
    </row>
    <row r="7115" spans="1:3">
      <c r="A7115" s="406">
        <f>Return!A1065</f>
        <v>44518</v>
      </c>
      <c r="B7115" s="408" t="s">
        <v>77</v>
      </c>
      <c r="C7115" s="409">
        <f>Return!P1065</f>
        <v>-1.6994343448059057E-3</v>
      </c>
    </row>
    <row r="7116" spans="1:3">
      <c r="A7116" s="406">
        <f>Return!A1066</f>
        <v>44517</v>
      </c>
      <c r="B7116" s="408" t="s">
        <v>77</v>
      </c>
      <c r="C7116" s="409">
        <f>Return!P1066</f>
        <v>-4.0878470682351731E-3</v>
      </c>
    </row>
    <row r="7117" spans="1:3">
      <c r="A7117" s="406">
        <f>Return!A1067</f>
        <v>44516</v>
      </c>
      <c r="B7117" s="408" t="s">
        <v>77</v>
      </c>
      <c r="C7117" s="409">
        <f>Return!P1067</f>
        <v>4.1968672000525231E-4</v>
      </c>
    </row>
    <row r="7118" spans="1:3">
      <c r="A7118" s="406">
        <f>Return!A1068</f>
        <v>44515</v>
      </c>
      <c r="B7118" s="408" t="s">
        <v>77</v>
      </c>
      <c r="C7118" s="409">
        <f>Return!P1068</f>
        <v>9.5625832849879355E-3</v>
      </c>
    </row>
    <row r="7119" spans="1:3">
      <c r="A7119" s="406">
        <f>Return!A1069</f>
        <v>44512</v>
      </c>
      <c r="B7119" s="408" t="s">
        <v>77</v>
      </c>
      <c r="C7119" s="409">
        <f>Return!P1069</f>
        <v>9.1918743868011354E-3</v>
      </c>
    </row>
    <row r="7120" spans="1:3">
      <c r="A7120" s="406">
        <f>Return!A1070</f>
        <v>44511</v>
      </c>
      <c r="B7120" s="408" t="s">
        <v>77</v>
      </c>
      <c r="C7120" s="409">
        <f>Return!P1070</f>
        <v>-1.8967448023906708E-2</v>
      </c>
    </row>
    <row r="7121" spans="1:3">
      <c r="A7121" s="406">
        <f>Return!A1071</f>
        <v>44510</v>
      </c>
      <c r="B7121" s="408" t="s">
        <v>77</v>
      </c>
      <c r="C7121" s="409">
        <f>Return!P1071</f>
        <v>4.4325967485236983E-3</v>
      </c>
    </row>
    <row r="7122" spans="1:3">
      <c r="A7122" s="406">
        <f>Return!A1072</f>
        <v>44509</v>
      </c>
      <c r="B7122" s="408" t="s">
        <v>77</v>
      </c>
      <c r="C7122" s="409">
        <f>Return!P1072</f>
        <v>3.2177800074009166E-3</v>
      </c>
    </row>
    <row r="7123" spans="1:3">
      <c r="A7123" s="406">
        <f>Return!A1073</f>
        <v>44508</v>
      </c>
      <c r="B7123" s="408" t="s">
        <v>77</v>
      </c>
      <c r="C7123" s="409">
        <f>Return!P1073</f>
        <v>7.0840689330120554E-4</v>
      </c>
    </row>
    <row r="7124" spans="1:3">
      <c r="A7124" s="406">
        <f>Return!A1074</f>
        <v>44504</v>
      </c>
      <c r="B7124" s="408" t="s">
        <v>77</v>
      </c>
      <c r="C7124" s="409">
        <f>Return!P1074</f>
        <v>-1.1246259187912555E-2</v>
      </c>
    </row>
    <row r="7125" spans="1:3">
      <c r="A7125" s="406">
        <f>Return!A1075</f>
        <v>44503</v>
      </c>
      <c r="B7125" s="408" t="s">
        <v>77</v>
      </c>
      <c r="C7125" s="409">
        <f>Return!P1075</f>
        <v>3.204499640050873E-3</v>
      </c>
    </row>
    <row r="7126" spans="1:3">
      <c r="A7126" s="406">
        <f>Return!A1076</f>
        <v>44502</v>
      </c>
      <c r="B7126" s="408" t="s">
        <v>77</v>
      </c>
      <c r="C7126" s="409">
        <f>Return!P1076</f>
        <v>-1.3159838513435385E-2</v>
      </c>
    </row>
    <row r="7127" spans="1:3">
      <c r="A7127" s="406">
        <f>Return!A1077</f>
        <v>44501</v>
      </c>
      <c r="B7127" s="408" t="s">
        <v>77</v>
      </c>
      <c r="C7127" s="409">
        <f>Return!P1077</f>
        <v>-1.2858273031014278E-2</v>
      </c>
    </row>
    <row r="7128" spans="1:3">
      <c r="A7128" s="406">
        <f>Return!A1078</f>
        <v>44498</v>
      </c>
      <c r="B7128" s="408" t="s">
        <v>77</v>
      </c>
      <c r="C7128" s="409">
        <f>Return!P1078</f>
        <v>-5.0495886949274427E-3</v>
      </c>
    </row>
    <row r="7129" spans="1:3">
      <c r="A7129" s="406">
        <f>Return!A1079</f>
        <v>44497</v>
      </c>
      <c r="B7129" s="408" t="s">
        <v>77</v>
      </c>
      <c r="C7129" s="409">
        <f>Return!P1079</f>
        <v>1.3281389140227251E-3</v>
      </c>
    </row>
    <row r="7130" spans="1:3">
      <c r="A7130" s="406">
        <f>Return!A1080</f>
        <v>44496</v>
      </c>
      <c r="B7130" s="408" t="s">
        <v>77</v>
      </c>
      <c r="C7130" s="409">
        <f>Return!P1080</f>
        <v>6.1496513206531489E-3</v>
      </c>
    </row>
    <row r="7131" spans="1:3">
      <c r="A7131" s="406">
        <f>Return!A1081</f>
        <v>44495</v>
      </c>
      <c r="B7131" s="408" t="s">
        <v>77</v>
      </c>
      <c r="C7131" s="409">
        <f>Return!P1081</f>
        <v>-7.4144214696680866E-4</v>
      </c>
    </row>
    <row r="7132" spans="1:3">
      <c r="A7132" s="406">
        <f>Return!A1082</f>
        <v>44494</v>
      </c>
      <c r="B7132" s="408" t="s">
        <v>77</v>
      </c>
      <c r="C7132" s="409">
        <f>Return!P1082</f>
        <v>3.7113358611440272E-3</v>
      </c>
    </row>
    <row r="7133" spans="1:3">
      <c r="A7133" s="406">
        <f>Return!A1083</f>
        <v>44491</v>
      </c>
      <c r="B7133" s="408" t="s">
        <v>77</v>
      </c>
      <c r="C7133" s="409">
        <f>Return!P1083</f>
        <v>-2.9523786368571558E-3</v>
      </c>
    </row>
    <row r="7134" spans="1:3">
      <c r="A7134" s="406">
        <f>Return!A1084</f>
        <v>44490</v>
      </c>
      <c r="B7134" s="408" t="s">
        <v>77</v>
      </c>
      <c r="C7134" s="409">
        <f>Return!P1084</f>
        <v>2.053519399003445E-4</v>
      </c>
    </row>
    <row r="7135" spans="1:3">
      <c r="A7135" s="406">
        <f>Return!A1085</f>
        <v>44489</v>
      </c>
      <c r="B7135" s="408" t="s">
        <v>77</v>
      </c>
      <c r="C7135" s="409">
        <f>Return!P1085</f>
        <v>-1.749727006128865E-2</v>
      </c>
    </row>
    <row r="7136" spans="1:3">
      <c r="A7136" s="406">
        <f>Return!A1086</f>
        <v>44488</v>
      </c>
      <c r="B7136" s="408" t="s">
        <v>77</v>
      </c>
      <c r="C7136" s="409">
        <f>Return!P1086</f>
        <v>-3.1351004220123713E-3</v>
      </c>
    </row>
    <row r="7137" spans="1:3">
      <c r="A7137" s="406">
        <f>Return!A1087</f>
        <v>44487</v>
      </c>
      <c r="B7137" s="408" t="s">
        <v>77</v>
      </c>
      <c r="C7137" s="409">
        <f>Return!P1087</f>
        <v>1.9969930386415147E-2</v>
      </c>
    </row>
    <row r="7138" spans="1:3">
      <c r="A7138" s="406">
        <f>Return!A1088</f>
        <v>44483</v>
      </c>
      <c r="B7138" s="408" t="s">
        <v>77</v>
      </c>
      <c r="C7138" s="409">
        <f>Return!P1088</f>
        <v>7.1558609340438561E-3</v>
      </c>
    </row>
    <row r="7139" spans="1:3">
      <c r="A7139" s="406">
        <f>Return!A1089</f>
        <v>44482</v>
      </c>
      <c r="B7139" s="408" t="s">
        <v>77</v>
      </c>
      <c r="C7139" s="409">
        <f>Return!P1089</f>
        <v>2.8650925520619097E-3</v>
      </c>
    </row>
    <row r="7140" spans="1:3">
      <c r="A7140" s="406">
        <f>Return!A1090</f>
        <v>44481</v>
      </c>
      <c r="B7140" s="408" t="s">
        <v>77</v>
      </c>
      <c r="C7140" s="409">
        <f>Return!P1090</f>
        <v>3.4043432733064094E-3</v>
      </c>
    </row>
    <row r="7141" spans="1:3">
      <c r="A7141" s="406">
        <f>Return!A1091</f>
        <v>44480</v>
      </c>
      <c r="B7141" s="408" t="s">
        <v>77</v>
      </c>
      <c r="C7141" s="409">
        <f>Return!P1091</f>
        <v>-6.4497872720816751E-3</v>
      </c>
    </row>
    <row r="7142" spans="1:3">
      <c r="A7142" s="406">
        <f>Return!A1092</f>
        <v>44477</v>
      </c>
      <c r="B7142" s="408" t="s">
        <v>77</v>
      </c>
      <c r="C7142" s="409">
        <f>Return!P1092</f>
        <v>-1.0428941275829051E-2</v>
      </c>
    </row>
    <row r="7143" spans="1:3">
      <c r="A7143" s="406">
        <f>Return!A1093</f>
        <v>44476</v>
      </c>
      <c r="B7143" s="408" t="s">
        <v>77</v>
      </c>
      <c r="C7143" s="409">
        <f>Return!P1093</f>
        <v>-1.4485680870295448E-2</v>
      </c>
    </row>
    <row r="7144" spans="1:3">
      <c r="A7144" s="406">
        <f>Return!A1094</f>
        <v>44475</v>
      </c>
      <c r="B7144" s="408" t="s">
        <v>77</v>
      </c>
      <c r="C7144" s="409">
        <f>Return!P1094</f>
        <v>7.836262482735723E-3</v>
      </c>
    </row>
    <row r="7145" spans="1:3">
      <c r="A7145" s="406">
        <f>Return!A1095</f>
        <v>44474</v>
      </c>
      <c r="B7145" s="408" t="s">
        <v>77</v>
      </c>
      <c r="C7145" s="409">
        <f>Return!P1095</f>
        <v>5.6495067054684878E-3</v>
      </c>
    </row>
    <row r="7146" spans="1:3">
      <c r="A7146" s="406">
        <f>Return!A1096</f>
        <v>44473</v>
      </c>
      <c r="B7146" s="408" t="s">
        <v>77</v>
      </c>
      <c r="C7146" s="409">
        <f>Return!P1096</f>
        <v>7.994384162519852E-3</v>
      </c>
    </row>
    <row r="7147" spans="1:3">
      <c r="A7147" s="406">
        <f>Return!A1097</f>
        <v>44470</v>
      </c>
      <c r="B7147" s="408" t="s">
        <v>77</v>
      </c>
      <c r="C7147" s="409">
        <f>Return!P1097</f>
        <v>-1.5714413487503909E-2</v>
      </c>
    </row>
    <row r="7148" spans="1:3">
      <c r="A7148" s="406">
        <f>Return!A1098</f>
        <v>44469</v>
      </c>
      <c r="B7148" s="408" t="s">
        <v>77</v>
      </c>
      <c r="C7148" s="409">
        <f>Return!P1098</f>
        <v>-1.0202786426263377E-2</v>
      </c>
    </row>
    <row r="7149" spans="1:3">
      <c r="A7149" s="406">
        <f>Return!A1099</f>
        <v>44468</v>
      </c>
      <c r="B7149" s="408" t="s">
        <v>77</v>
      </c>
      <c r="C7149" s="409">
        <f>Return!P1099</f>
        <v>-1.0433730437854338E-3</v>
      </c>
    </row>
    <row r="7150" spans="1:3">
      <c r="A7150" s="406">
        <f>Return!A1100</f>
        <v>44467</v>
      </c>
      <c r="B7150" s="408" t="s">
        <v>77</v>
      </c>
      <c r="C7150" s="409">
        <f>Return!P1100</f>
        <v>7.1758142322380092E-3</v>
      </c>
    </row>
    <row r="7151" spans="1:3">
      <c r="A7151" s="406">
        <f>Return!A1101</f>
        <v>44466</v>
      </c>
      <c r="B7151" s="408" t="s">
        <v>77</v>
      </c>
      <c r="C7151" s="409">
        <f>Return!P1101</f>
        <v>7.0182712658370949E-3</v>
      </c>
    </row>
    <row r="7152" spans="1:3">
      <c r="A7152" s="406">
        <f>Return!A1102</f>
        <v>44463</v>
      </c>
      <c r="B7152" s="408" t="s">
        <v>77</v>
      </c>
      <c r="C7152" s="409">
        <f>Return!P1102</f>
        <v>-1.1195903665328633E-4</v>
      </c>
    </row>
    <row r="7153" spans="1:3">
      <c r="A7153" s="406">
        <f>Return!A1103</f>
        <v>44462</v>
      </c>
      <c r="B7153" s="408" t="s">
        <v>77</v>
      </c>
      <c r="C7153" s="409">
        <f>Return!P1103</f>
        <v>3.1073088002497862E-4</v>
      </c>
    </row>
    <row r="7154" spans="1:3">
      <c r="A7154" s="406">
        <f>Return!A1104</f>
        <v>44461</v>
      </c>
      <c r="B7154" s="408" t="s">
        <v>77</v>
      </c>
      <c r="C7154" s="409">
        <f>Return!P1104</f>
        <v>-1.6779782408513633E-3</v>
      </c>
    </row>
    <row r="7155" spans="1:3">
      <c r="A7155" s="406">
        <f>Return!A1105</f>
        <v>44460</v>
      </c>
      <c r="B7155" s="408" t="s">
        <v>77</v>
      </c>
      <c r="C7155" s="409">
        <f>Return!P1105</f>
        <v>-8.0820406255358579E-3</v>
      </c>
    </row>
    <row r="7156" spans="1:3">
      <c r="A7156" s="406">
        <f>Return!A1106</f>
        <v>44459</v>
      </c>
      <c r="B7156" s="408" t="s">
        <v>77</v>
      </c>
      <c r="C7156" s="409">
        <f>Return!P1106</f>
        <v>-6.7730979838576122E-4</v>
      </c>
    </row>
    <row r="7157" spans="1:3">
      <c r="A7157" s="406">
        <f>Return!A1107</f>
        <v>44456</v>
      </c>
      <c r="B7157" s="408" t="s">
        <v>77</v>
      </c>
      <c r="C7157" s="409">
        <f>Return!P1107</f>
        <v>1.4410630246486367E-3</v>
      </c>
    </row>
    <row r="7158" spans="1:3">
      <c r="A7158" s="406">
        <f>Return!A1108</f>
        <v>44455</v>
      </c>
      <c r="B7158" s="408" t="s">
        <v>77</v>
      </c>
      <c r="C7158" s="409">
        <f>Return!P1108</f>
        <v>3.2779041261776776E-3</v>
      </c>
    </row>
    <row r="7159" spans="1:3">
      <c r="A7159" s="406">
        <f>Return!A1109</f>
        <v>44454</v>
      </c>
      <c r="B7159" s="408" t="s">
        <v>77</v>
      </c>
      <c r="C7159" s="409">
        <f>Return!P1109</f>
        <v>-7.7029551605378721E-4</v>
      </c>
    </row>
    <row r="7160" spans="1:3">
      <c r="A7160" s="406">
        <f>Return!A1110</f>
        <v>44453</v>
      </c>
      <c r="B7160" s="408" t="s">
        <v>77</v>
      </c>
      <c r="C7160" s="409">
        <f>Return!P1110</f>
        <v>1.4293706955208929E-2</v>
      </c>
    </row>
    <row r="7161" spans="1:3">
      <c r="A7161" s="406">
        <f>Return!A1111</f>
        <v>44452</v>
      </c>
      <c r="B7161" s="408" t="s">
        <v>77</v>
      </c>
      <c r="C7161" s="409">
        <f>Return!P1111</f>
        <v>9.9319498782994842E-3</v>
      </c>
    </row>
    <row r="7162" spans="1:3">
      <c r="A7162" s="406">
        <f>Return!A1112</f>
        <v>44448</v>
      </c>
      <c r="B7162" s="408" t="s">
        <v>77</v>
      </c>
      <c r="C7162" s="409">
        <f>Return!P1112</f>
        <v>1.4501781515120493E-2</v>
      </c>
    </row>
    <row r="7163" spans="1:3">
      <c r="A7163" s="406">
        <f>Return!A1113</f>
        <v>44447</v>
      </c>
      <c r="B7163" s="408" t="s">
        <v>77</v>
      </c>
      <c r="C7163" s="409">
        <f>Return!P1113</f>
        <v>-4.6035635410222042E-3</v>
      </c>
    </row>
    <row r="7164" spans="1:3">
      <c r="A7164" s="406">
        <f>Return!A1114</f>
        <v>44446</v>
      </c>
      <c r="B7164" s="408" t="s">
        <v>77</v>
      </c>
      <c r="C7164" s="409">
        <f>Return!P1114</f>
        <v>9.1902644261843136E-5</v>
      </c>
    </row>
    <row r="7165" spans="1:3">
      <c r="A7165" s="406">
        <f>Return!A1115</f>
        <v>44445</v>
      </c>
      <c r="B7165" s="408" t="s">
        <v>77</v>
      </c>
      <c r="C7165" s="409">
        <f>Return!P1115</f>
        <v>7.9486006086706418E-3</v>
      </c>
    </row>
    <row r="7166" spans="1:3">
      <c r="A7166" s="406">
        <f>Return!A1116</f>
        <v>44442</v>
      </c>
      <c r="B7166" s="408" t="s">
        <v>77</v>
      </c>
      <c r="C7166" s="409">
        <f>Return!P1116</f>
        <v>-4.1395893939227824E-3</v>
      </c>
    </row>
    <row r="7167" spans="1:3">
      <c r="A7167" s="406">
        <f>Return!A1117</f>
        <v>44441</v>
      </c>
      <c r="B7167" s="408" t="s">
        <v>77</v>
      </c>
      <c r="C7167" s="409">
        <f>Return!P1117</f>
        <v>-1.8093541124926227E-2</v>
      </c>
    </row>
    <row r="7168" spans="1:3">
      <c r="A7168" s="406">
        <f>Return!A1118</f>
        <v>44440</v>
      </c>
      <c r="B7168" s="408" t="s">
        <v>77</v>
      </c>
      <c r="C7168" s="409">
        <f>Return!P1118</f>
        <v>-2.4310236807163488E-3</v>
      </c>
    </row>
    <row r="7169" spans="1:3">
      <c r="A7169" s="406">
        <f>Return!A1119</f>
        <v>44439</v>
      </c>
      <c r="B7169" s="408" t="s">
        <v>77</v>
      </c>
      <c r="C7169" s="409">
        <f>Return!P1119</f>
        <v>1.5720444658430255E-2</v>
      </c>
    </row>
    <row r="7170" spans="1:3">
      <c r="A7170" s="406">
        <f>Return!A1120</f>
        <v>44438</v>
      </c>
      <c r="B7170" s="408" t="s">
        <v>77</v>
      </c>
      <c r="C7170" s="409">
        <f>Return!P1120</f>
        <v>-1.9273352315539727E-3</v>
      </c>
    </row>
    <row r="7171" spans="1:3">
      <c r="A7171" s="406">
        <f>Return!A1121</f>
        <v>44435</v>
      </c>
      <c r="B7171" s="408" t="s">
        <v>77</v>
      </c>
      <c r="C7171" s="409">
        <f>Return!P1121</f>
        <v>-1.0212402181224323E-2</v>
      </c>
    </row>
    <row r="7172" spans="1:3">
      <c r="A7172" s="406">
        <f>Return!A1122</f>
        <v>44434</v>
      </c>
      <c r="B7172" s="408" t="s">
        <v>77</v>
      </c>
      <c r="C7172" s="409">
        <f>Return!P1122</f>
        <v>1.2456053204539241E-3</v>
      </c>
    </row>
    <row r="7173" spans="1:3">
      <c r="A7173" s="406">
        <f>Return!A1123</f>
        <v>44433</v>
      </c>
      <c r="B7173" s="408" t="s">
        <v>77</v>
      </c>
      <c r="C7173" s="409">
        <f>Return!P1123</f>
        <v>-1.1722258072688785E-2</v>
      </c>
    </row>
    <row r="7174" spans="1:3">
      <c r="A7174" s="406">
        <f>Return!A1124</f>
        <v>44432</v>
      </c>
      <c r="B7174" s="408" t="s">
        <v>77</v>
      </c>
      <c r="C7174" s="409">
        <f>Return!P1124</f>
        <v>-1.7094500302017313E-3</v>
      </c>
    </row>
    <row r="7175" spans="1:3">
      <c r="A7175" s="406">
        <f>Return!A1125</f>
        <v>44431</v>
      </c>
      <c r="B7175" s="408" t="s">
        <v>77</v>
      </c>
      <c r="C7175" s="409">
        <f>Return!P1125</f>
        <v>-1.8980606874539063E-3</v>
      </c>
    </row>
    <row r="7176" spans="1:3">
      <c r="A7176" s="406">
        <f>Return!A1126</f>
        <v>44428</v>
      </c>
      <c r="B7176" s="408" t="s">
        <v>77</v>
      </c>
      <c r="C7176" s="409">
        <f>Return!P1126</f>
        <v>-1.3942017105291749E-3</v>
      </c>
    </row>
    <row r="7177" spans="1:3">
      <c r="A7177" s="406">
        <f>Return!A1127</f>
        <v>44426</v>
      </c>
      <c r="B7177" s="408" t="s">
        <v>77</v>
      </c>
      <c r="C7177" s="409">
        <f>Return!P1127</f>
        <v>6.5794061915269708E-4</v>
      </c>
    </row>
    <row r="7178" spans="1:3">
      <c r="A7178" s="406">
        <f>Return!A1128</f>
        <v>44425</v>
      </c>
      <c r="B7178" s="408" t="s">
        <v>77</v>
      </c>
      <c r="C7178" s="409">
        <f>Return!P1128</f>
        <v>-6.7244091749332213E-3</v>
      </c>
    </row>
    <row r="7179" spans="1:3">
      <c r="A7179" s="406">
        <f>Return!A1129</f>
        <v>44424</v>
      </c>
      <c r="B7179" s="408" t="s">
        <v>77</v>
      </c>
      <c r="C7179" s="409">
        <f>Return!P1129</f>
        <v>7.009910347951509E-3</v>
      </c>
    </row>
    <row r="7180" spans="1:3">
      <c r="A7180" s="406">
        <f>Return!A1130</f>
        <v>44421</v>
      </c>
      <c r="B7180" s="408" t="s">
        <v>77</v>
      </c>
      <c r="C7180" s="409">
        <f>Return!P1130</f>
        <v>8.7858463429140166E-3</v>
      </c>
    </row>
    <row r="7181" spans="1:3">
      <c r="A7181" s="406">
        <f>Return!A1131</f>
        <v>44420</v>
      </c>
      <c r="B7181" s="408" t="s">
        <v>77</v>
      </c>
      <c r="C7181" s="409">
        <f>Return!P1131</f>
        <v>1.7942449551911155E-2</v>
      </c>
    </row>
    <row r="7182" spans="1:3">
      <c r="A7182" s="406">
        <f>Return!A1132</f>
        <v>44419</v>
      </c>
      <c r="B7182" s="408" t="s">
        <v>77</v>
      </c>
      <c r="C7182" s="409">
        <f>Return!P1132</f>
        <v>-9.3249548826890294E-4</v>
      </c>
    </row>
    <row r="7183" spans="1:3">
      <c r="A7183" s="406">
        <f>Return!A1133</f>
        <v>44418</v>
      </c>
      <c r="B7183" s="408" t="s">
        <v>77</v>
      </c>
      <c r="C7183" s="409">
        <f>Return!P1133</f>
        <v>-1.8090273840721816E-3</v>
      </c>
    </row>
    <row r="7184" spans="1:3">
      <c r="A7184" s="406">
        <f>Return!A1134</f>
        <v>44417</v>
      </c>
      <c r="B7184" s="408" t="s">
        <v>77</v>
      </c>
      <c r="C7184" s="409">
        <f>Return!P1134</f>
        <v>-2.6566613165918684E-2</v>
      </c>
    </row>
    <row r="7185" spans="1:3">
      <c r="A7185" s="406">
        <f>Return!A1135</f>
        <v>44414</v>
      </c>
      <c r="B7185" s="408" t="s">
        <v>77</v>
      </c>
      <c r="C7185" s="409">
        <f>Return!P1135</f>
        <v>3.2927579809525209E-3</v>
      </c>
    </row>
    <row r="7186" spans="1:3">
      <c r="A7186" s="406">
        <f>Return!A1136</f>
        <v>44413</v>
      </c>
      <c r="B7186" s="408" t="s">
        <v>77</v>
      </c>
      <c r="C7186" s="409">
        <f>Return!P1136</f>
        <v>-3.039451602305121E-3</v>
      </c>
    </row>
    <row r="7187" spans="1:3">
      <c r="A7187" s="406">
        <f>Return!A1137</f>
        <v>44412</v>
      </c>
      <c r="B7187" s="408" t="s">
        <v>77</v>
      </c>
      <c r="C7187" s="409">
        <f>Return!P1137</f>
        <v>1.3206954741161514E-2</v>
      </c>
    </row>
    <row r="7188" spans="1:3">
      <c r="A7188" s="406">
        <f>Return!A1138</f>
        <v>44411</v>
      </c>
      <c r="B7188" s="408" t="s">
        <v>77</v>
      </c>
      <c r="C7188" s="409">
        <f>Return!P1138</f>
        <v>-7.9786395347106742E-3</v>
      </c>
    </row>
    <row r="7189" spans="1:3">
      <c r="A7189" s="406">
        <f>Return!A1139</f>
        <v>44410</v>
      </c>
      <c r="B7189" s="408" t="s">
        <v>77</v>
      </c>
      <c r="C7189" s="409">
        <f>Return!P1139</f>
        <v>-1.3253863630489082E-3</v>
      </c>
    </row>
    <row r="7190" spans="1:3">
      <c r="A7190" s="406">
        <f>Return!A1140</f>
        <v>44407</v>
      </c>
      <c r="B7190" s="408" t="s">
        <v>77</v>
      </c>
      <c r="C7190" s="409">
        <f>Return!P1140</f>
        <v>8.9089323129771802E-3</v>
      </c>
    </row>
    <row r="7191" spans="1:3">
      <c r="A7191" s="406">
        <f>Return!A1141</f>
        <v>44406</v>
      </c>
      <c r="B7191" s="408" t="s">
        <v>77</v>
      </c>
      <c r="C7191" s="409">
        <f>Return!P1141</f>
        <v>-6.0792582738838918E-3</v>
      </c>
    </row>
    <row r="7192" spans="1:3">
      <c r="A7192" s="406">
        <f>Return!A1142</f>
        <v>44405</v>
      </c>
      <c r="B7192" s="408" t="s">
        <v>77</v>
      </c>
      <c r="C7192" s="409">
        <f>Return!P1142</f>
        <v>5.2510331054980153E-3</v>
      </c>
    </row>
    <row r="7193" spans="1:3">
      <c r="A7193" s="406">
        <f>Return!A1143</f>
        <v>44404</v>
      </c>
      <c r="B7193" s="408" t="s">
        <v>77</v>
      </c>
      <c r="C7193" s="409">
        <f>Return!P1143</f>
        <v>6.5855379837371775E-3</v>
      </c>
    </row>
    <row r="7194" spans="1:3">
      <c r="A7194" s="406">
        <f>Return!A1144</f>
        <v>44403</v>
      </c>
      <c r="B7194" s="408" t="s">
        <v>77</v>
      </c>
      <c r="C7194" s="409">
        <f>Return!P1144</f>
        <v>2.553292577770705E-3</v>
      </c>
    </row>
    <row r="7195" spans="1:3">
      <c r="A7195" s="406">
        <f>Return!A1145</f>
        <v>44400</v>
      </c>
      <c r="B7195" s="408" t="s">
        <v>77</v>
      </c>
      <c r="C7195" s="409">
        <f>Return!P1145</f>
        <v>7.005306709292336E-3</v>
      </c>
    </row>
    <row r="7196" spans="1:3">
      <c r="A7196" s="406">
        <f>Return!A1146</f>
        <v>44399</v>
      </c>
      <c r="B7196" s="408" t="s">
        <v>77</v>
      </c>
      <c r="C7196" s="409">
        <f>Return!P1146</f>
        <v>-7.330999538659011E-3</v>
      </c>
    </row>
    <row r="7197" spans="1:3">
      <c r="A7197" s="406">
        <f>Return!A1147</f>
        <v>44397</v>
      </c>
      <c r="B7197" s="408" t="s">
        <v>77</v>
      </c>
      <c r="C7197" s="409">
        <f>Return!P1147</f>
        <v>2.1266205111698522E-3</v>
      </c>
    </row>
    <row r="7198" spans="1:3">
      <c r="A7198" s="406">
        <f>Return!A1148</f>
        <v>44396</v>
      </c>
      <c r="B7198" s="408" t="s">
        <v>77</v>
      </c>
      <c r="C7198" s="409">
        <f>Return!P1148</f>
        <v>-8.3052248965187481E-3</v>
      </c>
    </row>
    <row r="7199" spans="1:3">
      <c r="A7199" s="406">
        <f>Return!A1149</f>
        <v>44393</v>
      </c>
      <c r="B7199" s="408" t="s">
        <v>77</v>
      </c>
      <c r="C7199" s="409">
        <f>Return!P1149</f>
        <v>6.4294886393345685E-4</v>
      </c>
    </row>
    <row r="7200" spans="1:3">
      <c r="A7200" s="406">
        <f>Return!A1150</f>
        <v>44392</v>
      </c>
      <c r="B7200" s="408" t="s">
        <v>77</v>
      </c>
      <c r="C7200" s="409">
        <f>Return!P1150</f>
        <v>1.0732535071366511E-2</v>
      </c>
    </row>
    <row r="7201" spans="1:3">
      <c r="A7201" s="406">
        <f>Return!A1151</f>
        <v>44391</v>
      </c>
      <c r="B7201" s="408" t="s">
        <v>77</v>
      </c>
      <c r="C7201" s="409">
        <f>Return!P1151</f>
        <v>4.1773241949982776E-3</v>
      </c>
    </row>
    <row r="7202" spans="1:3">
      <c r="A7202" s="406">
        <f>Return!A1152</f>
        <v>44390</v>
      </c>
      <c r="B7202" s="408" t="s">
        <v>77</v>
      </c>
      <c r="C7202" s="409">
        <f>Return!P1152</f>
        <v>1.3422999130376922E-3</v>
      </c>
    </row>
    <row r="7203" spans="1:3">
      <c r="A7203" s="406">
        <f>Return!A1153</f>
        <v>44389</v>
      </c>
      <c r="B7203" s="408" t="s">
        <v>77</v>
      </c>
      <c r="C7203" s="409">
        <f>Return!P1153</f>
        <v>6.0665489483378021E-3</v>
      </c>
    </row>
    <row r="7204" spans="1:3">
      <c r="A7204" s="406">
        <f>Return!A1154</f>
        <v>44386</v>
      </c>
      <c r="B7204" s="408" t="s">
        <v>77</v>
      </c>
      <c r="C7204" s="409">
        <f>Return!P1154</f>
        <v>7.1173925808956096E-3</v>
      </c>
    </row>
    <row r="7205" spans="1:3">
      <c r="A7205" s="406">
        <f>Return!A1155</f>
        <v>44385</v>
      </c>
      <c r="B7205" s="408" t="s">
        <v>77</v>
      </c>
      <c r="C7205" s="409">
        <f>Return!P1155</f>
        <v>1.077817983042495E-2</v>
      </c>
    </row>
    <row r="7206" spans="1:3">
      <c r="A7206" s="406">
        <f>Return!A1156</f>
        <v>44384</v>
      </c>
      <c r="B7206" s="408" t="s">
        <v>77</v>
      </c>
      <c r="C7206" s="409">
        <f>Return!P1156</f>
        <v>8.6610127309758589E-3</v>
      </c>
    </row>
    <row r="7207" spans="1:3">
      <c r="A7207" s="406">
        <f>Return!A1157</f>
        <v>44383</v>
      </c>
      <c r="B7207" s="408" t="s">
        <v>77</v>
      </c>
      <c r="C7207" s="409">
        <f>Return!P1157</f>
        <v>-3.2963571245328005E-3</v>
      </c>
    </row>
    <row r="7208" spans="1:3">
      <c r="A7208" s="406">
        <f>Return!A1158</f>
        <v>44382</v>
      </c>
      <c r="B7208" s="408" t="s">
        <v>77</v>
      </c>
      <c r="C7208" s="409">
        <f>Return!P1158</f>
        <v>5.4880425412597855E-3</v>
      </c>
    </row>
    <row r="7209" spans="1:3">
      <c r="A7209" s="406">
        <f>Return!A1159</f>
        <v>44379</v>
      </c>
      <c r="B7209" s="408" t="s">
        <v>77</v>
      </c>
      <c r="C7209" s="409">
        <f>Return!P1159</f>
        <v>5.1413269141680207E-3</v>
      </c>
    </row>
    <row r="7210" spans="1:3">
      <c r="A7210" s="406">
        <f>Return!A1160</f>
        <v>44378</v>
      </c>
      <c r="B7210" s="408" t="s">
        <v>77</v>
      </c>
      <c r="C7210" s="409">
        <f>Return!P1160</f>
        <v>-6.5461271851463554E-3</v>
      </c>
    </row>
    <row r="7211" spans="1:3">
      <c r="A7211" s="406">
        <f>Return!A1161</f>
        <v>44377</v>
      </c>
      <c r="B7211" s="408" t="s">
        <v>77</v>
      </c>
      <c r="C7211" s="409">
        <f>Return!P1161</f>
        <v>-8.4395845435788486E-3</v>
      </c>
    </row>
    <row r="7212" spans="1:3">
      <c r="A7212" s="406">
        <f>Return!A1162</f>
        <v>44376</v>
      </c>
      <c r="B7212" s="408" t="s">
        <v>77</v>
      </c>
      <c r="C7212" s="409">
        <f>Return!P1162</f>
        <v>-3.216593755128283E-3</v>
      </c>
    </row>
    <row r="7213" spans="1:3">
      <c r="A7213" s="406">
        <f>Return!A1163</f>
        <v>44375</v>
      </c>
      <c r="B7213" s="408" t="s">
        <v>77</v>
      </c>
      <c r="C7213" s="409">
        <f>Return!P1163</f>
        <v>-5.9924138887054168E-3</v>
      </c>
    </row>
    <row r="7214" spans="1:3">
      <c r="A7214" s="406">
        <f>Return!A1164</f>
        <v>44372</v>
      </c>
      <c r="B7214" s="408" t="s">
        <v>77</v>
      </c>
      <c r="C7214" s="409">
        <f>Return!P1164</f>
        <v>-2.1580968395671363E-3</v>
      </c>
    </row>
    <row r="7215" spans="1:3">
      <c r="A7215" s="406">
        <f>Return!A1165</f>
        <v>44371</v>
      </c>
      <c r="B7215" s="408" t="s">
        <v>77</v>
      </c>
      <c r="C7215" s="409">
        <f>Return!P1165</f>
        <v>1.2844730830143591E-2</v>
      </c>
    </row>
    <row r="7216" spans="1:3">
      <c r="A7216" s="406">
        <f>Return!A1166</f>
        <v>44370</v>
      </c>
      <c r="B7216" s="408" t="s">
        <v>77</v>
      </c>
      <c r="C7216" s="409">
        <f>Return!P1166</f>
        <v>1.3484242495280574E-2</v>
      </c>
    </row>
    <row r="7217" spans="1:3">
      <c r="A7217" s="406">
        <f>Return!A1167</f>
        <v>44369</v>
      </c>
      <c r="B7217" s="408" t="s">
        <v>77</v>
      </c>
      <c r="C7217" s="409">
        <f>Return!P1167</f>
        <v>-8.3537057284309713E-3</v>
      </c>
    </row>
    <row r="7218" spans="1:3">
      <c r="A7218" s="406">
        <f>Return!A1168</f>
        <v>44368</v>
      </c>
      <c r="B7218" s="408" t="s">
        <v>77</v>
      </c>
      <c r="C7218" s="409">
        <f>Return!P1168</f>
        <v>4.725436654273274E-3</v>
      </c>
    </row>
    <row r="7219" spans="1:3">
      <c r="A7219" s="406">
        <f>Return!A1169</f>
        <v>44365</v>
      </c>
      <c r="B7219" s="408" t="s">
        <v>77</v>
      </c>
      <c r="C7219" s="409">
        <f>Return!P1169</f>
        <v>5.1423584679821666E-4</v>
      </c>
    </row>
    <row r="7220" spans="1:3">
      <c r="A7220" s="406">
        <f>Return!A1170</f>
        <v>44364</v>
      </c>
      <c r="B7220" s="408" t="s">
        <v>77</v>
      </c>
      <c r="C7220" s="409">
        <f>Return!P1170</f>
        <v>-8.4916071030838314E-4</v>
      </c>
    </row>
    <row r="7221" spans="1:3">
      <c r="A7221" s="406">
        <f>Return!A1171</f>
        <v>44363</v>
      </c>
      <c r="B7221" s="408" t="s">
        <v>77</v>
      </c>
      <c r="C7221" s="409">
        <f>Return!P1171</f>
        <v>-1.3005215988959318E-3</v>
      </c>
    </row>
    <row r="7222" spans="1:3">
      <c r="A7222" s="406">
        <f>Return!A1172</f>
        <v>44362</v>
      </c>
      <c r="B7222" s="408" t="s">
        <v>77</v>
      </c>
      <c r="C7222" s="409">
        <f>Return!P1172</f>
        <v>9.590987419365371E-3</v>
      </c>
    </row>
    <row r="7223" spans="1:3">
      <c r="A7223" s="406">
        <f>Return!A1173</f>
        <v>44361</v>
      </c>
      <c r="B7223" s="408" t="s">
        <v>77</v>
      </c>
      <c r="C7223" s="409">
        <f>Return!P1173</f>
        <v>-7.7870473639252147E-4</v>
      </c>
    </row>
    <row r="7224" spans="1:3">
      <c r="A7224" s="406">
        <f>Return!A1174</f>
        <v>44358</v>
      </c>
      <c r="B7224" s="408" t="s">
        <v>77</v>
      </c>
      <c r="C7224" s="409">
        <f>Return!P1174</f>
        <v>2.0038409613325481E-3</v>
      </c>
    </row>
    <row r="7225" spans="1:3">
      <c r="A7225" s="406">
        <f>Return!A1175</f>
        <v>44357</v>
      </c>
      <c r="B7225" s="408" t="s">
        <v>77</v>
      </c>
      <c r="C7225" s="409">
        <f>Return!P1175</f>
        <v>-5.7950544846259167E-3</v>
      </c>
    </row>
    <row r="7226" spans="1:3">
      <c r="A7226" s="406">
        <f>Return!A1176</f>
        <v>44356</v>
      </c>
      <c r="B7226" s="408" t="s">
        <v>77</v>
      </c>
      <c r="C7226" s="409">
        <f>Return!P1176</f>
        <v>-1.3416974581634822E-3</v>
      </c>
    </row>
    <row r="7227" spans="1:3">
      <c r="A7227" s="406">
        <f>Return!A1177</f>
        <v>44355</v>
      </c>
      <c r="B7227" s="408" t="s">
        <v>77</v>
      </c>
      <c r="C7227" s="409">
        <f>Return!P1177</f>
        <v>6.2693433990006486E-3</v>
      </c>
    </row>
    <row r="7228" spans="1:3">
      <c r="A7228" s="406">
        <f>Return!A1178</f>
        <v>44354</v>
      </c>
      <c r="B7228" s="408" t="s">
        <v>77</v>
      </c>
      <c r="C7228" s="409">
        <f>Return!P1178</f>
        <v>3.5539495498000395E-3</v>
      </c>
    </row>
    <row r="7229" spans="1:3">
      <c r="A7229" s="406">
        <f>Return!A1179</f>
        <v>44351</v>
      </c>
      <c r="B7229" s="408" t="s">
        <v>77</v>
      </c>
      <c r="C7229" s="409">
        <f>Return!P1179</f>
        <v>1.4778159240436128E-3</v>
      </c>
    </row>
    <row r="7230" spans="1:3">
      <c r="A7230" s="406">
        <f>Return!A1180</f>
        <v>44350</v>
      </c>
      <c r="B7230" s="408" t="s">
        <v>77</v>
      </c>
      <c r="C7230" s="409">
        <f>Return!P1180</f>
        <v>3.5334790623906542E-3</v>
      </c>
    </row>
    <row r="7231" spans="1:3">
      <c r="A7231" s="406">
        <f>Return!A1181</f>
        <v>44349</v>
      </c>
      <c r="B7231" s="408" t="s">
        <v>77</v>
      </c>
      <c r="C7231" s="409">
        <f>Return!P1181</f>
        <v>-4.3818738142105129E-3</v>
      </c>
    </row>
    <row r="7232" spans="1:3">
      <c r="A7232" s="406">
        <f>Return!A1182</f>
        <v>44348</v>
      </c>
      <c r="B7232" s="408" t="s">
        <v>77</v>
      </c>
      <c r="C7232" s="409">
        <f>Return!P1182</f>
        <v>1.487808367966803E-2</v>
      </c>
    </row>
    <row r="7233" spans="1:3">
      <c r="A7233" s="406">
        <f>Return!A1183</f>
        <v>44347</v>
      </c>
      <c r="B7233" s="408" t="s">
        <v>77</v>
      </c>
      <c r="C7233" s="409">
        <f>Return!P1183</f>
        <v>2.7169021836954688E-3</v>
      </c>
    </row>
    <row r="7234" spans="1:3">
      <c r="A7234" s="406">
        <f>Return!A1184</f>
        <v>44344</v>
      </c>
      <c r="B7234" s="408" t="s">
        <v>77</v>
      </c>
      <c r="C7234" s="409">
        <f>Return!P1184</f>
        <v>-1.0804401889874526E-3</v>
      </c>
    </row>
    <row r="7235" spans="1:3">
      <c r="A7235" s="406">
        <f>Return!A1185</f>
        <v>44343</v>
      </c>
      <c r="B7235" s="408" t="s">
        <v>77</v>
      </c>
      <c r="C7235" s="409">
        <f>Return!P1185</f>
        <v>-1.2000955159017335E-2</v>
      </c>
    </row>
    <row r="7236" spans="1:3">
      <c r="A7236" s="406">
        <f>Return!A1186</f>
        <v>44342</v>
      </c>
      <c r="B7236" s="408" t="s">
        <v>77</v>
      </c>
      <c r="C7236" s="409">
        <f>Return!P1186</f>
        <v>-2.2255638325164862E-3</v>
      </c>
    </row>
    <row r="7237" spans="1:3">
      <c r="A7237" s="406">
        <f>Return!A1187</f>
        <v>44341</v>
      </c>
      <c r="B7237" s="408" t="s">
        <v>77</v>
      </c>
      <c r="C7237" s="409">
        <f>Return!P1187</f>
        <v>-2.5248626747593761E-3</v>
      </c>
    </row>
    <row r="7238" spans="1:3">
      <c r="A7238" s="406">
        <f>Return!A1188</f>
        <v>44340</v>
      </c>
      <c r="B7238" s="408" t="s">
        <v>77</v>
      </c>
      <c r="C7238" s="409">
        <f>Return!P1188</f>
        <v>2.321223391041638E-2</v>
      </c>
    </row>
    <row r="7239" spans="1:3">
      <c r="A7239" s="406">
        <f>Return!A1189</f>
        <v>44337</v>
      </c>
      <c r="B7239" s="408" t="s">
        <v>77</v>
      </c>
      <c r="C7239" s="409">
        <f>Return!P1189</f>
        <v>3.8491628235353126E-3</v>
      </c>
    </row>
    <row r="7240" spans="1:3">
      <c r="A7240" s="406">
        <f>Return!A1190</f>
        <v>44336</v>
      </c>
      <c r="B7240" s="408" t="s">
        <v>77</v>
      </c>
      <c r="C7240" s="409">
        <f>Return!P1190</f>
        <v>4.7758997107139045E-4</v>
      </c>
    </row>
    <row r="7241" spans="1:3">
      <c r="A7241" s="406">
        <f>Return!A1191</f>
        <v>44335</v>
      </c>
      <c r="B7241" s="408" t="s">
        <v>77</v>
      </c>
      <c r="C7241" s="409">
        <f>Return!P1191</f>
        <v>3.8689164633906481E-2</v>
      </c>
    </row>
    <row r="7242" spans="1:3">
      <c r="A7242" s="406">
        <f>Return!A1192</f>
        <v>44334</v>
      </c>
      <c r="B7242" s="408" t="s">
        <v>77</v>
      </c>
      <c r="C7242" s="409">
        <f>Return!P1192</f>
        <v>-2.0806405555516605E-2</v>
      </c>
    </row>
    <row r="7243" spans="1:3">
      <c r="A7243" s="406">
        <f>Return!A1193</f>
        <v>44333</v>
      </c>
      <c r="B7243" s="408" t="s">
        <v>77</v>
      </c>
      <c r="C7243" s="409">
        <f>Return!P1193</f>
        <v>7.5625620628616552E-3</v>
      </c>
    </row>
    <row r="7244" spans="1:3">
      <c r="A7244" s="406">
        <f>Return!A1194</f>
        <v>44330</v>
      </c>
      <c r="B7244" s="408" t="s">
        <v>77</v>
      </c>
      <c r="C7244" s="409">
        <f>Return!P1194</f>
        <v>1.282421374441145E-2</v>
      </c>
    </row>
    <row r="7245" spans="1:3">
      <c r="A7245" s="406">
        <f>Return!A1195</f>
        <v>44328</v>
      </c>
      <c r="B7245" s="408" t="s">
        <v>77</v>
      </c>
      <c r="C7245" s="409">
        <f>Return!P1195</f>
        <v>3.0758465517177758E-3</v>
      </c>
    </row>
    <row r="7246" spans="1:3">
      <c r="A7246" s="406">
        <f>Return!A1196</f>
        <v>44327</v>
      </c>
      <c r="B7246" s="408" t="s">
        <v>77</v>
      </c>
      <c r="C7246" s="409">
        <f>Return!P1196</f>
        <v>1.34715257034701E-3</v>
      </c>
    </row>
    <row r="7247" spans="1:3">
      <c r="A7247" s="406">
        <f>Return!A1197</f>
        <v>44326</v>
      </c>
      <c r="B7247" s="408" t="s">
        <v>77</v>
      </c>
      <c r="C7247" s="409">
        <f>Return!P1197</f>
        <v>4.3575192192308876E-3</v>
      </c>
    </row>
    <row r="7248" spans="1:3">
      <c r="A7248" s="406">
        <f>Return!A1198</f>
        <v>44323</v>
      </c>
      <c r="B7248" s="408" t="s">
        <v>77</v>
      </c>
      <c r="C7248" s="409">
        <f>Return!P1198</f>
        <v>-9.0172517310131983E-3</v>
      </c>
    </row>
    <row r="7249" spans="1:3">
      <c r="A7249" s="406">
        <f>Return!A1199</f>
        <v>44322</v>
      </c>
      <c r="B7249" s="408" t="s">
        <v>77</v>
      </c>
      <c r="C7249" s="409">
        <f>Return!P1199</f>
        <v>-2.4638144289856889E-3</v>
      </c>
    </row>
    <row r="7250" spans="1:3">
      <c r="A7250" s="406">
        <f>Return!A1200</f>
        <v>44321</v>
      </c>
      <c r="B7250" s="408" t="s">
        <v>77</v>
      </c>
      <c r="C7250" s="409">
        <f>Return!P1200</f>
        <v>4.0898596700977841E-4</v>
      </c>
    </row>
    <row r="7251" spans="1:3">
      <c r="A7251" s="406">
        <f>Return!A1201</f>
        <v>44320</v>
      </c>
      <c r="B7251" s="408" t="s">
        <v>77</v>
      </c>
      <c r="C7251" s="409">
        <f>Return!P1201</f>
        <v>1.1930008501480405E-2</v>
      </c>
    </row>
    <row r="7252" spans="1:3">
      <c r="A7252" s="406">
        <f>Return!A1202</f>
        <v>44319</v>
      </c>
      <c r="B7252" s="408" t="s">
        <v>77</v>
      </c>
      <c r="C7252" s="409">
        <f>Return!P1202</f>
        <v>7.9874320315631575E-3</v>
      </c>
    </row>
    <row r="7253" spans="1:3">
      <c r="A7253" s="406">
        <f>Return!A1203</f>
        <v>44316</v>
      </c>
      <c r="B7253" s="408" t="s">
        <v>77</v>
      </c>
      <c r="C7253" s="409">
        <f>Return!P1203</f>
        <v>1.4697405933427277E-2</v>
      </c>
    </row>
    <row r="7254" spans="1:3">
      <c r="A7254" s="406">
        <f>Return!A1204</f>
        <v>44315</v>
      </c>
      <c r="B7254" s="408" t="s">
        <v>77</v>
      </c>
      <c r="C7254" s="409">
        <f>Return!P1204</f>
        <v>1.2957591873910879E-2</v>
      </c>
    </row>
    <row r="7255" spans="1:3">
      <c r="A7255" s="406">
        <f>Return!A1205</f>
        <v>44314</v>
      </c>
      <c r="B7255" s="408" t="s">
        <v>77</v>
      </c>
      <c r="C7255" s="409">
        <f>Return!P1205</f>
        <v>-1.384309955755636E-2</v>
      </c>
    </row>
    <row r="7256" spans="1:3">
      <c r="A7256" s="406">
        <f>Return!A1206</f>
        <v>44313</v>
      </c>
      <c r="B7256" s="408" t="s">
        <v>77</v>
      </c>
      <c r="C7256" s="409">
        <f>Return!P1206</f>
        <v>-7.0958313346677349E-3</v>
      </c>
    </row>
    <row r="7257" spans="1:3">
      <c r="A7257" s="406">
        <f>Return!A1207</f>
        <v>44312</v>
      </c>
      <c r="B7257" s="408" t="s">
        <v>77</v>
      </c>
      <c r="C7257" s="409">
        <f>Return!P1207</f>
        <v>2.6292912612260411E-2</v>
      </c>
    </row>
    <row r="7258" spans="1:3">
      <c r="A7258" s="406">
        <f>Return!A1208</f>
        <v>44309</v>
      </c>
      <c r="B7258" s="408" t="s">
        <v>77</v>
      </c>
      <c r="C7258" s="409">
        <f>Return!P1208</f>
        <v>3.4641062883220552E-3</v>
      </c>
    </row>
    <row r="7259" spans="1:3">
      <c r="A7259" s="406">
        <f>Return!A1209</f>
        <v>44308</v>
      </c>
      <c r="B7259" s="408" t="s">
        <v>77</v>
      </c>
      <c r="C7259" s="409">
        <f>Return!P1209</f>
        <v>4.2844544865368039E-3</v>
      </c>
    </row>
    <row r="7260" spans="1:3">
      <c r="A7260" s="406">
        <f>Return!A1210</f>
        <v>44306</v>
      </c>
      <c r="B7260" s="408" t="s">
        <v>77</v>
      </c>
      <c r="C7260" s="409">
        <f>Return!P1210</f>
        <v>1.1756379953195673E-2</v>
      </c>
    </row>
    <row r="7261" spans="1:3">
      <c r="A7261" s="406">
        <f>Return!A1211</f>
        <v>44305</v>
      </c>
      <c r="B7261" s="408" t="s">
        <v>77</v>
      </c>
      <c r="C7261" s="409">
        <f>Return!P1211</f>
        <v>9.1200188570290663E-3</v>
      </c>
    </row>
    <row r="7262" spans="1:3">
      <c r="A7262" s="407"/>
      <c r="C7262" s="3"/>
    </row>
    <row r="7263" spans="1:3">
      <c r="A7263" s="407"/>
      <c r="C7263" s="3"/>
    </row>
    <row r="7264" spans="1:3">
      <c r="A7264" s="407"/>
      <c r="C7264" s="3"/>
    </row>
    <row r="7265" spans="1:3">
      <c r="A7265" s="407"/>
      <c r="C7265" s="3"/>
    </row>
    <row r="7266" spans="1:3">
      <c r="A7266" s="407"/>
      <c r="C7266" s="3"/>
    </row>
    <row r="7267" spans="1:3">
      <c r="A7267" s="407"/>
      <c r="C7267" s="3"/>
    </row>
    <row r="7268" spans="1:3">
      <c r="A7268" s="407"/>
      <c r="C7268" s="3"/>
    </row>
    <row r="7269" spans="1:3">
      <c r="A7269" s="407"/>
      <c r="C7269" s="3"/>
    </row>
    <row r="7270" spans="1:3">
      <c r="A7270" s="407"/>
      <c r="C7270" s="3"/>
    </row>
    <row r="7271" spans="1:3">
      <c r="A7271" s="407"/>
      <c r="C7271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zoomScale="67" zoomScaleNormal="100" workbookViewId="0">
      <selection activeCell="I19" sqref="I19"/>
    </sheetView>
  </sheetViews>
  <sheetFormatPr defaultColWidth="8.6640625" defaultRowHeight="13.2"/>
  <cols>
    <col min="1" max="1" width="69.21875" bestFit="1" customWidth="1"/>
    <col min="2" max="2" width="15.109375" customWidth="1"/>
    <col min="3" max="3" width="12.44140625" customWidth="1"/>
    <col min="4" max="4" width="20" customWidth="1"/>
    <col min="5" max="5" width="12" customWidth="1"/>
    <col min="6" max="6" width="12.21875" customWidth="1"/>
    <col min="9" max="9" width="24" customWidth="1"/>
    <col min="10" max="10" width="18.77734375" customWidth="1"/>
  </cols>
  <sheetData>
    <row r="1" spans="1:10" ht="17.25" customHeight="1">
      <c r="A1" s="428" t="s">
        <v>78</v>
      </c>
      <c r="B1" s="428"/>
      <c r="C1" s="428"/>
      <c r="D1" s="428"/>
      <c r="E1" s="428"/>
      <c r="F1" s="428"/>
      <c r="G1" s="428"/>
      <c r="H1" s="428"/>
    </row>
    <row r="3" spans="1:10" ht="15" customHeight="1">
      <c r="A3" s="429" t="s">
        <v>79</v>
      </c>
      <c r="B3" s="429"/>
      <c r="C3" s="429"/>
      <c r="D3" s="429"/>
      <c r="E3" s="429"/>
      <c r="F3" s="429"/>
      <c r="G3" s="429"/>
      <c r="H3" s="429"/>
    </row>
    <row r="4" spans="1:10" ht="15" customHeight="1">
      <c r="A4" s="425"/>
      <c r="B4" s="424"/>
      <c r="C4" s="424"/>
      <c r="D4" s="424"/>
      <c r="E4" s="424"/>
      <c r="F4" s="424"/>
      <c r="G4" s="424"/>
    </row>
    <row r="5" spans="1:10" ht="13.8" thickBot="1"/>
    <row r="6" spans="1:10" ht="39" customHeight="1" thickBot="1">
      <c r="A6" s="210" t="s">
        <v>63</v>
      </c>
      <c r="B6" s="210" t="s">
        <v>80</v>
      </c>
      <c r="C6" s="210" t="s">
        <v>81</v>
      </c>
      <c r="D6" s="210" t="s">
        <v>82</v>
      </c>
      <c r="E6" s="210" t="s">
        <v>83</v>
      </c>
      <c r="F6" s="210" t="s">
        <v>64</v>
      </c>
      <c r="I6" s="426" t="s">
        <v>84</v>
      </c>
      <c r="J6" s="427"/>
    </row>
    <row r="7" spans="1:10" ht="15" customHeight="1">
      <c r="A7" s="198" t="s">
        <v>1</v>
      </c>
      <c r="B7" s="200">
        <f>SUMIFS(Ratios!$F:$F,Ratios!$A:$A,"Abbott India",Ratios!$B:$B,2026)/100</f>
        <v>0.32509426057813157</v>
      </c>
      <c r="C7" s="200">
        <f>SUMIFS(Ratios!$G:$G,Ratios!$A:$A,"Abbott India",Ratios!$B:$B,2026)</f>
        <v>8.1100000000000005E-2</v>
      </c>
      <c r="D7" s="201">
        <f>SUMIFS(Ratios!$E:$E,Ratios!$A:$A,"Abbott India",Ratios!$B:$B,2026)</f>
        <v>-2083</v>
      </c>
      <c r="E7" s="202">
        <f t="shared" ref="E7:E16" si="0">RANK(B7,$B$7:$B$16)+RANK(C7,$C$7:$C$16)+RANK(D7,$D$7:$D$16,1)</f>
        <v>11</v>
      </c>
      <c r="F7" s="203">
        <f t="shared" ref="F7:F16" si="1">E7/SUM($E$7:$E$16)</f>
        <v>6.6666666666666666E-2</v>
      </c>
      <c r="I7" s="224" t="s">
        <v>85</v>
      </c>
      <c r="J7" s="225">
        <f>AVERAGE(Return!Q2:Q1221)</f>
        <v>4.4124172539956505E-4</v>
      </c>
    </row>
    <row r="8" spans="1:10" ht="15" customHeight="1">
      <c r="A8" s="199" t="s">
        <v>2</v>
      </c>
      <c r="B8" s="204">
        <f>SUMIFS(Ratios!$F:$F,Ratios!$A:$A,"Alkem Labs",Ratios!$B:$B,2026)/100</f>
        <v>0.17011577424023155</v>
      </c>
      <c r="C8" s="204">
        <f>SUMIFS(Ratios!$G:$G,Ratios!$A:$A,"Alkem Labs",Ratios!$B:$B,2026)</f>
        <v>0.1348</v>
      </c>
      <c r="D8" s="205">
        <f>SUMIFS(Ratios!$E:$E,Ratios!$A:$A,"Alkem Labs",Ratios!$B:$B,2026)</f>
        <v>314</v>
      </c>
      <c r="E8" s="206">
        <f t="shared" si="0"/>
        <v>16</v>
      </c>
      <c r="F8" s="207">
        <f t="shared" si="1"/>
        <v>9.696969696969697E-2</v>
      </c>
      <c r="I8" s="215" t="s">
        <v>41</v>
      </c>
      <c r="J8" s="217">
        <f>(1+J7)^252-1</f>
        <v>0.11758308142664564</v>
      </c>
    </row>
    <row r="9" spans="1:10" ht="15" customHeight="1">
      <c r="A9" s="199" t="s">
        <v>3</v>
      </c>
      <c r="B9" s="204">
        <f>SUMIFS(Ratios!$F:$F,Ratios!$A:$A,"Aurobindo Pharma Ltd",Ratios!$B:$B,2026)/100</f>
        <v>9.2449394315272743E-2</v>
      </c>
      <c r="C9" s="204">
        <f>SUMIFS(Ratios!$G:$G,Ratios!$A:$A,"Aurobindo Pharma Ltd",Ratios!$B:$B,2026)</f>
        <v>6.08E-2</v>
      </c>
      <c r="D9" s="205">
        <f>SUMIFS(Ratios!$E:$E,Ratios!$A:$A,"Aurobindo Pharma Ltd",Ratios!$B:$B,2026)</f>
        <v>-1797</v>
      </c>
      <c r="E9" s="206">
        <f t="shared" si="0"/>
        <v>22</v>
      </c>
      <c r="F9" s="207">
        <f t="shared" si="1"/>
        <v>0.13333333333333333</v>
      </c>
      <c r="I9" s="215" t="s">
        <v>86</v>
      </c>
      <c r="J9" s="216">
        <f>STDEV(Return!Q2:Q1221)</f>
        <v>6.5605910992046265E-3</v>
      </c>
    </row>
    <row r="10" spans="1:10" ht="15" customHeight="1">
      <c r="A10" s="199" t="s">
        <v>4</v>
      </c>
      <c r="B10" s="204">
        <f>SUMIFS(Ratios!$F:$F,Ratios!$A:$A,"Lupin",Ratios!$B:$B,2026)/100</f>
        <v>0.23855131860299358</v>
      </c>
      <c r="C10" s="204">
        <f>SUMIFS(Ratios!$G:$G,Ratios!$A:$A,"Lupin",Ratios!$B:$B,2026)</f>
        <v>0.23119999999999999</v>
      </c>
      <c r="D10" s="205">
        <f>SUMIFS(Ratios!$E:$E,Ratios!$A:$A,"Lupin",Ratios!$B:$B,2026)</f>
        <v>963</v>
      </c>
      <c r="E10" s="206">
        <f t="shared" si="0"/>
        <v>12</v>
      </c>
      <c r="F10" s="207">
        <f t="shared" si="1"/>
        <v>7.2727272727272724E-2</v>
      </c>
      <c r="I10" s="215" t="s">
        <v>43</v>
      </c>
      <c r="J10" s="217">
        <f>J9*SQRT(252)</f>
        <v>0.10414615501247595</v>
      </c>
    </row>
    <row r="11" spans="1:10" ht="15" customHeight="1">
      <c r="A11" s="199" t="s">
        <v>5</v>
      </c>
      <c r="B11" s="204">
        <f>SUMIFS(Ratios!$F:$F,Ratios!$A:$A,"Zydus Lifesciences Ltd",Ratios!$B:$B,2026)/100</f>
        <v>0.18899380348185305</v>
      </c>
      <c r="C11" s="204">
        <f>SUMIFS(Ratios!$G:$G,Ratios!$A:$A,"Zydus Lifesciences Ltd",Ratios!$B:$B,2026)</f>
        <v>0.1681</v>
      </c>
      <c r="D11" s="205">
        <f>SUMIFS(Ratios!$E:$E,Ratios!$A:$A,"Zydus Lifesciences Ltd",Ratios!$B:$B,2026)</f>
        <v>11079</v>
      </c>
      <c r="E11" s="206">
        <f t="shared" si="0"/>
        <v>17</v>
      </c>
      <c r="F11" s="207">
        <f t="shared" si="1"/>
        <v>0.10303030303030303</v>
      </c>
      <c r="I11" s="215" t="s">
        <v>87</v>
      </c>
      <c r="J11" s="218">
        <f>COVAR(Return!Q2:Q1221,Return!O2:O1221)/VAR(Return!O2:O1221)</f>
        <v>0.20342873368675937</v>
      </c>
    </row>
    <row r="12" spans="1:10" ht="15" customHeight="1">
      <c r="A12" s="199" t="s">
        <v>6</v>
      </c>
      <c r="B12" s="204">
        <f>SUMIFS(Ratios!$F:$F,Ratios!$A:$A,"Torrent Pharma",Ratios!$B:$B,2026)/100</f>
        <v>0.25488793514544589</v>
      </c>
      <c r="C12" s="204">
        <f>SUMIFS(Ratios!$G:$G,Ratios!$A:$A,"Torrent Pharma",Ratios!$B:$B,2026)</f>
        <v>0.21390000000000001</v>
      </c>
      <c r="D12" s="205">
        <f>SUMIFS(Ratios!$E:$E,Ratios!$A:$A,"Torrent Pharma",Ratios!$B:$B,2026)</f>
        <v>-1165</v>
      </c>
      <c r="E12" s="206">
        <f t="shared" si="0"/>
        <v>9</v>
      </c>
      <c r="F12" s="207">
        <f t="shared" si="1"/>
        <v>5.4545454545454543E-2</v>
      </c>
      <c r="I12" s="215" t="s">
        <v>88</v>
      </c>
      <c r="J12" s="217">
        <f>'Stock Statistics'!P18</f>
        <v>6.8199999999999997E-2</v>
      </c>
    </row>
    <row r="13" spans="1:10" ht="15" customHeight="1">
      <c r="A13" s="199" t="s">
        <v>7</v>
      </c>
      <c r="B13" s="204">
        <f>SUMIFS(Ratios!$F:$F,Ratios!$A:$A,"Dr Reddy",Ratios!$B:$B,2026)/100</f>
        <v>0.10973292515570571</v>
      </c>
      <c r="C13" s="204">
        <f>SUMIFS(Ratios!$G:$G,Ratios!$A:$A,"Dr Reddy",Ratios!$B:$B,2026)</f>
        <v>3.2399999999999998E-2</v>
      </c>
      <c r="D13" s="205">
        <f>SUMIFS(Ratios!$E:$E,Ratios!$A:$A,"Dr Reddy",Ratios!$B:$B,2026)</f>
        <v>4385</v>
      </c>
      <c r="E13" s="206">
        <f t="shared" si="0"/>
        <v>27</v>
      </c>
      <c r="F13" s="207">
        <f t="shared" si="1"/>
        <v>0.16363636363636364</v>
      </c>
      <c r="I13" s="215" t="s">
        <v>89</v>
      </c>
      <c r="J13" s="217">
        <f>'Stock Statistics'!P19</f>
        <v>0.18001297284019788</v>
      </c>
    </row>
    <row r="14" spans="1:10" ht="15" customHeight="1">
      <c r="A14" s="199" t="s">
        <v>8</v>
      </c>
      <c r="B14" s="204">
        <f>SUMIFS(Ratios!$F:$F,Ratios!$A:$A,"Sun Pharmaceutical",Ratios!$B:$B,2026)/100</f>
        <v>0.13771688404929999</v>
      </c>
      <c r="C14" s="204">
        <f>SUMIFS(Ratios!$G:$G,Ratios!$A:$A,"Sun Pharmaceutical",Ratios!$B:$B,2026)</f>
        <v>0.1119</v>
      </c>
      <c r="D14" s="205">
        <f>SUMIFS(Ratios!$E:$E,Ratios!$A:$A,"Sun Pharmaceutical",Ratios!$B:$B,2026)</f>
        <v>-6976</v>
      </c>
      <c r="E14" s="206">
        <f t="shared" si="0"/>
        <v>14</v>
      </c>
      <c r="F14" s="207">
        <f t="shared" si="1"/>
        <v>8.4848484848484854E-2</v>
      </c>
      <c r="I14" s="215" t="s">
        <v>90</v>
      </c>
      <c r="J14" s="216">
        <f>J8-(J12+J11*(J13-J12))</f>
        <v>2.663710995201217E-2</v>
      </c>
    </row>
    <row r="15" spans="1:10" ht="15" customHeight="1">
      <c r="A15" s="199" t="s">
        <v>9</v>
      </c>
      <c r="B15" s="204">
        <f>SUMIFS(Ratios!$F:$F,Ratios!$A:$A,"Cipla",Ratios!$B:$B,2026)/100</f>
        <v>0.11216310408921933</v>
      </c>
      <c r="C15" s="204">
        <f>SUMIFS(Ratios!$G:$G,Ratios!$A:$A,"Cipla",Ratios!$B:$B,2026)</f>
        <v>2.23E-2</v>
      </c>
      <c r="D15" s="205">
        <f>SUMIFS(Ratios!$E:$E,Ratios!$A:$A,"Cipla",Ratios!$B:$B,2026)</f>
        <v>-693</v>
      </c>
      <c r="E15" s="206">
        <f t="shared" si="0"/>
        <v>24</v>
      </c>
      <c r="F15" s="207">
        <f t="shared" si="1"/>
        <v>0.14545454545454545</v>
      </c>
      <c r="I15" s="215" t="s">
        <v>91</v>
      </c>
      <c r="J15" s="218">
        <f>(J8-J12)/J10</f>
        <v>0.47417095158942651</v>
      </c>
    </row>
    <row r="16" spans="1:10" ht="15" customHeight="1">
      <c r="A16" s="199" t="s">
        <v>10</v>
      </c>
      <c r="B16" s="204">
        <f>SUMIFS(Ratios!$F:$F,Ratios!$A:$A,"Divi's Laboratories",Ratios!$B:$B,2026)/100</f>
        <v>0.1532128154644711</v>
      </c>
      <c r="C16" s="204">
        <f>SUMIFS(Ratios!$G:$G,Ratios!$A:$A,"Divi's Laboratories",Ratios!$B:$B,2026)</f>
        <v>0.12820000000000001</v>
      </c>
      <c r="D16" s="205">
        <f>SUMIFS(Ratios!$E:$E,Ratios!$A:$A,"Divi's Laboratories",Ratios!$B:$B,2026)</f>
        <v>-3407</v>
      </c>
      <c r="E16" s="206">
        <f t="shared" si="0"/>
        <v>13</v>
      </c>
      <c r="F16" s="207">
        <f t="shared" si="1"/>
        <v>7.8787878787878782E-2</v>
      </c>
      <c r="I16" s="215" t="s">
        <v>60</v>
      </c>
      <c r="J16" s="218">
        <f>(J8-J12)/J11</f>
        <v>0.24275371788277447</v>
      </c>
    </row>
    <row r="17" spans="1:7" ht="15" customHeight="1" thickBot="1">
      <c r="A17" s="197" t="s">
        <v>92</v>
      </c>
      <c r="B17" s="208"/>
      <c r="C17" s="208"/>
      <c r="D17" s="208"/>
      <c r="E17" s="208"/>
      <c r="F17" s="209">
        <f>SUM(F7:F16)</f>
        <v>0.99999999999999989</v>
      </c>
    </row>
    <row r="19" spans="1:7" ht="15" customHeight="1">
      <c r="A19" s="429" t="s">
        <v>93</v>
      </c>
      <c r="B19" s="429"/>
      <c r="C19" s="429"/>
      <c r="D19" s="429"/>
      <c r="E19" s="429"/>
      <c r="F19" s="429"/>
    </row>
    <row r="20" spans="1:7" ht="11.4" customHeight="1">
      <c r="A20" s="423"/>
      <c r="B20" s="424"/>
      <c r="C20" s="424"/>
      <c r="D20" s="424"/>
      <c r="E20" s="424"/>
      <c r="F20" s="424"/>
      <c r="G20" s="424"/>
    </row>
    <row r="21" spans="1:7" ht="13.8" thickBot="1"/>
    <row r="22" spans="1:7" ht="15" customHeight="1">
      <c r="A22" s="219" t="s">
        <v>63</v>
      </c>
      <c r="B22" s="220" t="s">
        <v>64</v>
      </c>
      <c r="D22" s="222" t="s">
        <v>94</v>
      </c>
      <c r="E22" s="223"/>
    </row>
    <row r="23" spans="1:7" ht="15" customHeight="1">
      <c r="A23" s="199" t="s">
        <v>1</v>
      </c>
      <c r="B23" s="221">
        <v>0.1338</v>
      </c>
      <c r="D23" s="211" t="s">
        <v>85</v>
      </c>
      <c r="E23" s="212">
        <f>AVERAGE(Return!R2:R1221)</f>
        <v>7.0281230623776088E-4</v>
      </c>
    </row>
    <row r="24" spans="1:7" ht="15" customHeight="1">
      <c r="A24" s="199" t="s">
        <v>2</v>
      </c>
      <c r="B24" s="221">
        <v>0.19120000000000001</v>
      </c>
      <c r="D24" s="211" t="s">
        <v>41</v>
      </c>
      <c r="E24" s="213">
        <f>(1+E23)^252-1</f>
        <v>0.19368659018203904</v>
      </c>
    </row>
    <row r="25" spans="1:7" ht="15" customHeight="1">
      <c r="A25" s="199" t="s">
        <v>3</v>
      </c>
      <c r="B25" s="221">
        <v>1.24E-2</v>
      </c>
      <c r="D25" s="211" t="s">
        <v>86</v>
      </c>
      <c r="E25" s="212">
        <f>STDEV(Return!R2:R1221)</f>
        <v>6.9527738585568625E-3</v>
      </c>
    </row>
    <row r="26" spans="1:7" ht="15" customHeight="1">
      <c r="A26" s="199" t="s">
        <v>4</v>
      </c>
      <c r="B26" s="221">
        <v>0</v>
      </c>
      <c r="D26" s="211" t="s">
        <v>43</v>
      </c>
      <c r="E26" s="213">
        <f>E25*SQRT(252)</f>
        <v>0.11037186331087459</v>
      </c>
    </row>
    <row r="27" spans="1:7" ht="15" customHeight="1">
      <c r="A27" s="199" t="s">
        <v>5</v>
      </c>
      <c r="B27" s="221">
        <v>0.15770000000000001</v>
      </c>
      <c r="D27" s="211" t="s">
        <v>87</v>
      </c>
      <c r="E27" s="214">
        <f>COVAR(Return!R2:R1221,Return!O2:O1221)/VAR(Return!O2:O1221)</f>
        <v>0.16794585946027249</v>
      </c>
    </row>
    <row r="28" spans="1:7" ht="15" customHeight="1">
      <c r="A28" s="199" t="s">
        <v>6</v>
      </c>
      <c r="B28" s="221">
        <v>0.1062</v>
      </c>
      <c r="D28" s="211" t="s">
        <v>88</v>
      </c>
      <c r="E28" s="213">
        <f>'Stock Statistics'!P18</f>
        <v>6.8199999999999997E-2</v>
      </c>
    </row>
    <row r="29" spans="1:7" ht="15" customHeight="1">
      <c r="A29" s="199" t="s">
        <v>7</v>
      </c>
      <c r="B29" s="221">
        <v>0.03</v>
      </c>
      <c r="D29" s="211" t="s">
        <v>89</v>
      </c>
      <c r="E29" s="213">
        <f>'Stock Statistics'!P19</f>
        <v>0.18001297284019788</v>
      </c>
    </row>
    <row r="30" spans="1:7" ht="15" customHeight="1">
      <c r="A30" s="199" t="s">
        <v>8</v>
      </c>
      <c r="B30" s="221">
        <v>0.25</v>
      </c>
      <c r="D30" s="211" t="s">
        <v>90</v>
      </c>
      <c r="E30" s="212">
        <f>E24-(E28+E27*(E29-E28))</f>
        <v>0.10670806435958391</v>
      </c>
    </row>
    <row r="31" spans="1:7" ht="15" customHeight="1">
      <c r="A31" s="199" t="s">
        <v>9</v>
      </c>
      <c r="B31" s="221">
        <v>3.2899999999999999E-2</v>
      </c>
      <c r="D31" s="211" t="s">
        <v>91</v>
      </c>
      <c r="E31" s="214">
        <f>(E24-E28)/E26</f>
        <v>1.136943659532069</v>
      </c>
    </row>
    <row r="32" spans="1:7" ht="15" customHeight="1">
      <c r="A32" s="199" t="s">
        <v>10</v>
      </c>
      <c r="B32" s="221">
        <v>8.5900000000000004E-2</v>
      </c>
      <c r="D32" s="211" t="s">
        <v>60</v>
      </c>
      <c r="E32" s="214">
        <f>(E24-E28)/E27</f>
        <v>0.74718478076991746</v>
      </c>
    </row>
    <row r="33" spans="1:2" ht="15" customHeight="1" thickBot="1">
      <c r="A33" s="197" t="s">
        <v>92</v>
      </c>
      <c r="B33" s="196">
        <f>SUM(B23:B32)</f>
        <v>1.0001000000000002</v>
      </c>
    </row>
  </sheetData>
  <mergeCells count="6">
    <mergeCell ref="A20:G20"/>
    <mergeCell ref="A4:G4"/>
    <mergeCell ref="I6:J6"/>
    <mergeCell ref="A1:H1"/>
    <mergeCell ref="A3:H3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topLeftCell="E1" workbookViewId="0">
      <selection activeCell="A3" sqref="A3:K4"/>
    </sheetView>
  </sheetViews>
  <sheetFormatPr defaultRowHeight="13.2"/>
  <cols>
    <col min="1" max="1" width="20" customWidth="1"/>
    <col min="2" max="2" width="12" customWidth="1"/>
    <col min="3" max="3" width="3" customWidth="1"/>
    <col min="4" max="4" width="20" customWidth="1"/>
    <col min="5" max="5" width="12" customWidth="1"/>
    <col min="6" max="6" width="3" customWidth="1"/>
    <col min="7" max="7" width="20" customWidth="1"/>
    <col min="8" max="8" width="12" customWidth="1"/>
  </cols>
  <sheetData>
    <row r="1" spans="1:11" ht="17.399999999999999" customHeight="1">
      <c r="A1" s="430" t="s">
        <v>95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</row>
    <row r="3" spans="1:11" ht="15.6" customHeight="1">
      <c r="A3" s="431" t="s">
        <v>96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</row>
    <row r="4" spans="1:11" ht="6.6" customHeight="1">
      <c r="A4" s="431"/>
      <c r="B4" s="431"/>
      <c r="C4" s="431"/>
      <c r="D4" s="431"/>
      <c r="E4" s="431"/>
      <c r="F4" s="431"/>
      <c r="G4" s="431"/>
      <c r="H4" s="431"/>
      <c r="I4" s="431"/>
      <c r="J4" s="431"/>
      <c r="K4" s="431"/>
    </row>
    <row r="5" spans="1:11" ht="13.8" thickBot="1"/>
    <row r="6" spans="1:11" ht="13.8" customHeight="1">
      <c r="A6" s="226" t="s">
        <v>85</v>
      </c>
      <c r="B6" s="229">
        <f>AVERAGE(Return!S2:S1221)</f>
        <v>6.9905593142399573E-4</v>
      </c>
      <c r="D6" s="226" t="s">
        <v>85</v>
      </c>
      <c r="E6" s="232">
        <f>AVERAGE(Return!O2:O1221)</f>
        <v>7.214417702216141E-4</v>
      </c>
      <c r="G6" s="226" t="s">
        <v>85</v>
      </c>
      <c r="H6" s="229">
        <f>AVERAGE(Return!P2:P1221)</f>
        <v>6.605621390238242E-4</v>
      </c>
    </row>
    <row r="7" spans="1:11" ht="13.8" customHeight="1">
      <c r="A7" s="227" t="s">
        <v>41</v>
      </c>
      <c r="B7" s="230">
        <f>(1+B6)^252-1</f>
        <v>0.1925579641119104</v>
      </c>
      <c r="D7" s="227" t="s">
        <v>41</v>
      </c>
      <c r="E7" s="233">
        <f>(1+E6)^252-1</f>
        <v>0.19929966912292163</v>
      </c>
      <c r="G7" s="227" t="s">
        <v>41</v>
      </c>
      <c r="H7" s="230">
        <f>(1+H6)^252-1</f>
        <v>0.181053343294028</v>
      </c>
    </row>
    <row r="8" spans="1:11" ht="13.8" customHeight="1">
      <c r="A8" s="227" t="s">
        <v>86</v>
      </c>
      <c r="B8" s="230">
        <f>STDEV(Return!S2:S1221)</f>
        <v>5.9932690894895831E-3</v>
      </c>
      <c r="D8" s="227" t="s">
        <v>86</v>
      </c>
      <c r="E8" s="233">
        <f>STDEV(Return!O2:O1221)</f>
        <v>8.2266776931981291E-3</v>
      </c>
      <c r="G8" s="227" t="s">
        <v>86</v>
      </c>
      <c r="H8" s="230">
        <f>STDEV(Return!P2:P1221)</f>
        <v>8.3578424933537475E-3</v>
      </c>
    </row>
    <row r="9" spans="1:11" ht="13.8" customHeight="1">
      <c r="A9" s="227" t="s">
        <v>43</v>
      </c>
      <c r="B9" s="230">
        <f>B8*SQRT(252)</f>
        <v>9.5140197306479699E-2</v>
      </c>
      <c r="D9" s="227" t="s">
        <v>43</v>
      </c>
      <c r="E9" s="233">
        <f>E8*SQRT(252)</f>
        <v>0.13059445975490863</v>
      </c>
      <c r="G9" s="227" t="s">
        <v>43</v>
      </c>
      <c r="H9" s="230">
        <f>H8*SQRT(252)</f>
        <v>0.13267663640677216</v>
      </c>
    </row>
    <row r="10" spans="1:11" ht="13.8" customHeight="1">
      <c r="A10" s="227" t="s">
        <v>87</v>
      </c>
      <c r="B10" s="230">
        <f>COVAR(Return!S2:S1221,Return!O2:O1221)/VAR(Return!O2:O1221)</f>
        <v>0.52146351953724057</v>
      </c>
      <c r="D10" s="227" t="s">
        <v>87</v>
      </c>
      <c r="E10" s="233">
        <f>COVAR(Return!O2:O1221,Return!O2:O1221)/VAR(Return!O2:O1221)</f>
        <v>0.99917830731306545</v>
      </c>
      <c r="G10" s="227" t="s">
        <v>87</v>
      </c>
      <c r="H10" s="230">
        <f>COVAR(Return!P2:P1221,Return!O2:O1221)/VAR(Return!O2:O1221)</f>
        <v>3.4792531653090396E-2</v>
      </c>
    </row>
    <row r="11" spans="1:11" ht="13.8" customHeight="1">
      <c r="A11" s="227" t="s">
        <v>88</v>
      </c>
      <c r="B11" s="230">
        <f>'Stock Statistics'!P18</f>
        <v>6.8199999999999997E-2</v>
      </c>
      <c r="D11" s="227" t="s">
        <v>88</v>
      </c>
      <c r="E11" s="233">
        <f>'Stock Statistics'!P18</f>
        <v>6.8199999999999997E-2</v>
      </c>
      <c r="G11" s="227" t="s">
        <v>88</v>
      </c>
      <c r="H11" s="230">
        <f>'Stock Statistics'!P18</f>
        <v>6.8199999999999997E-2</v>
      </c>
    </row>
    <row r="12" spans="1:11" ht="13.8" customHeight="1">
      <c r="A12" s="227" t="s">
        <v>89</v>
      </c>
      <c r="B12" s="230">
        <f>'Stock Statistics'!P19</f>
        <v>0.18001297284019788</v>
      </c>
      <c r="D12" s="227" t="s">
        <v>89</v>
      </c>
      <c r="E12" s="233">
        <f>'Stock Statistics'!P19</f>
        <v>0.18001297284019788</v>
      </c>
      <c r="G12" s="227" t="s">
        <v>89</v>
      </c>
      <c r="H12" s="230">
        <f>'Stock Statistics'!P19</f>
        <v>0.18001297284019788</v>
      </c>
    </row>
    <row r="13" spans="1:11" ht="13.8" customHeight="1">
      <c r="A13" s="227" t="s">
        <v>90</v>
      </c>
      <c r="B13" s="230">
        <f>B7-(B11+B10*(B12-B11))</f>
        <v>6.6051577764738911E-2</v>
      </c>
      <c r="D13" s="227" t="s">
        <v>90</v>
      </c>
      <c r="E13" s="233">
        <f>E7-(E11+E10*(E12-E11))</f>
        <v>1.9378572184810955E-2</v>
      </c>
      <c r="G13" s="227" t="s">
        <v>90</v>
      </c>
      <c r="H13" s="230">
        <f>H7-(H11+H10*(H12-H11))</f>
        <v>0.10896308689725928</v>
      </c>
    </row>
    <row r="14" spans="1:11" ht="13.8" customHeight="1">
      <c r="A14" s="227" t="s">
        <v>91</v>
      </c>
      <c r="B14" s="230">
        <f>(B7-B11)/B9</f>
        <v>1.3071022305252331</v>
      </c>
      <c r="D14" s="227" t="s">
        <v>91</v>
      </c>
      <c r="E14" s="233">
        <f>(E7-E11)/E9</f>
        <v>1.0038685359927302</v>
      </c>
      <c r="G14" s="227" t="s">
        <v>91</v>
      </c>
      <c r="H14" s="230">
        <f>(H7-H11)/H9</f>
        <v>0.85058942064247023</v>
      </c>
    </row>
    <row r="15" spans="1:11" ht="13.8" customHeight="1" thickBot="1">
      <c r="A15" s="228" t="s">
        <v>60</v>
      </c>
      <c r="B15" s="231">
        <f>(B7-B11)/B10</f>
        <v>0.23847874194971239</v>
      </c>
      <c r="D15" s="228" t="s">
        <v>60</v>
      </c>
      <c r="E15" s="234">
        <f>(E7-E11)/E10</f>
        <v>0.13120748135081872</v>
      </c>
      <c r="G15" s="228" t="s">
        <v>60</v>
      </c>
      <c r="H15" s="231">
        <f>(H7-H11)/H10</f>
        <v>3.2436082668334363</v>
      </c>
    </row>
  </sheetData>
  <mergeCells count="2">
    <mergeCell ref="A1:K1"/>
    <mergeCell ref="A3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8"/>
  <sheetViews>
    <sheetView tabSelected="1" zoomScaleNormal="100" workbookViewId="0">
      <selection activeCell="H18" sqref="H18"/>
    </sheetView>
  </sheetViews>
  <sheetFormatPr defaultColWidth="12.6640625" defaultRowHeight="13.2"/>
  <cols>
    <col min="1" max="1" width="29.6640625" customWidth="1"/>
  </cols>
  <sheetData>
    <row r="1" spans="1:7" ht="27.6" customHeight="1">
      <c r="A1" s="432" t="s">
        <v>31</v>
      </c>
      <c r="B1" s="433"/>
      <c r="C1" s="433"/>
      <c r="D1" s="433"/>
      <c r="E1" s="433"/>
      <c r="F1" s="434"/>
    </row>
    <row r="2" spans="1:7" ht="15.75" customHeight="1">
      <c r="A2" s="176"/>
      <c r="B2" s="193">
        <v>44621</v>
      </c>
      <c r="C2" s="193">
        <v>44986</v>
      </c>
      <c r="D2" s="193">
        <v>45352</v>
      </c>
      <c r="E2" s="193">
        <v>45717</v>
      </c>
      <c r="F2" s="193">
        <v>46082</v>
      </c>
      <c r="G2" s="10"/>
    </row>
    <row r="3" spans="1:7" ht="15.75" customHeight="1">
      <c r="A3" s="177" t="s">
        <v>97</v>
      </c>
      <c r="B3" s="182">
        <v>8508</v>
      </c>
      <c r="C3" s="182">
        <v>9620</v>
      </c>
      <c r="D3" s="182">
        <v>10728</v>
      </c>
      <c r="E3" s="182">
        <v>11516</v>
      </c>
      <c r="F3" s="182">
        <v>13980</v>
      </c>
      <c r="G3" s="11"/>
    </row>
    <row r="4" spans="1:7" ht="15.75" customHeight="1">
      <c r="A4" s="178" t="s">
        <v>98</v>
      </c>
      <c r="B4" s="183">
        <v>6.2899999999999998E-2</v>
      </c>
      <c r="C4" s="183">
        <v>0.13070000000000001</v>
      </c>
      <c r="D4" s="183">
        <v>0.11509999999999999</v>
      </c>
      <c r="E4" s="183">
        <v>7.3499999999999996E-2</v>
      </c>
      <c r="F4" s="183">
        <v>0.21390000000000001</v>
      </c>
      <c r="G4" s="12"/>
    </row>
    <row r="5" spans="1:7" ht="15.75" customHeight="1">
      <c r="A5" s="177" t="s">
        <v>99</v>
      </c>
      <c r="B5" s="184">
        <v>6077</v>
      </c>
      <c r="C5" s="184">
        <v>6778</v>
      </c>
      <c r="D5" s="184">
        <v>7360</v>
      </c>
      <c r="E5" s="184">
        <v>7795</v>
      </c>
      <c r="F5" s="184">
        <v>9421</v>
      </c>
      <c r="G5" s="13"/>
    </row>
    <row r="6" spans="1:7" ht="15.75" customHeight="1">
      <c r="A6" s="177" t="s">
        <v>100</v>
      </c>
      <c r="B6" s="185">
        <v>0.28699999999999998</v>
      </c>
      <c r="C6" s="185">
        <v>0.2843</v>
      </c>
      <c r="D6" s="185">
        <v>0.25040000000000001</v>
      </c>
      <c r="E6" s="185">
        <v>0.24099999999999999</v>
      </c>
      <c r="F6" s="185">
        <v>0.2424</v>
      </c>
      <c r="G6" s="14"/>
    </row>
    <row r="7" spans="1:7" ht="15.75" customHeight="1">
      <c r="A7" s="178" t="s">
        <v>101</v>
      </c>
      <c r="B7" s="184">
        <v>2368</v>
      </c>
      <c r="C7" s="184">
        <v>2569</v>
      </c>
      <c r="D7" s="184">
        <v>2841</v>
      </c>
      <c r="E7" s="184">
        <v>3051</v>
      </c>
      <c r="F7" s="184">
        <v>3377</v>
      </c>
      <c r="G7" s="15"/>
    </row>
    <row r="8" spans="1:7" ht="15.75" customHeight="1">
      <c r="A8" s="178" t="s">
        <v>102</v>
      </c>
      <c r="B8" s="186">
        <v>74</v>
      </c>
      <c r="C8" s="186">
        <v>166</v>
      </c>
      <c r="D8" s="186">
        <v>-155</v>
      </c>
      <c r="E8" s="186">
        <v>-275</v>
      </c>
      <c r="F8" s="186">
        <v>11</v>
      </c>
      <c r="G8" s="15"/>
    </row>
    <row r="9" spans="1:7" ht="15.75" customHeight="1">
      <c r="A9" s="178" t="s">
        <v>103</v>
      </c>
      <c r="B9" s="185">
        <v>3.8600000000000002E-2</v>
      </c>
      <c r="C9" s="185">
        <v>3.4500000000000003E-2</v>
      </c>
      <c r="D9" s="185">
        <v>3.1899999999999998E-2</v>
      </c>
      <c r="E9" s="185">
        <v>3.0599999999999999E-2</v>
      </c>
      <c r="F9" s="185">
        <v>3.1E-2</v>
      </c>
      <c r="G9" s="15"/>
    </row>
    <row r="10" spans="1:7" ht="15.75" customHeight="1">
      <c r="A10" s="178" t="s">
        <v>104</v>
      </c>
      <c r="B10" s="185">
        <v>0.17949999999999999</v>
      </c>
      <c r="C10" s="185">
        <v>0.17469999999999999</v>
      </c>
      <c r="D10" s="185">
        <v>0.1852</v>
      </c>
      <c r="E10" s="185">
        <v>0.1915</v>
      </c>
      <c r="F10" s="185">
        <v>0.19120000000000001</v>
      </c>
      <c r="G10" s="15"/>
    </row>
    <row r="11" spans="1:7" ht="15.75" customHeight="1">
      <c r="A11" s="178" t="s">
        <v>105</v>
      </c>
      <c r="B11" s="185">
        <v>0.20910000000000001</v>
      </c>
      <c r="C11" s="185">
        <v>0.21099999999999999</v>
      </c>
      <c r="D11" s="185">
        <v>0.2185</v>
      </c>
      <c r="E11" s="185">
        <v>0.2137</v>
      </c>
      <c r="F11" s="185">
        <v>0.20930000000000001</v>
      </c>
      <c r="G11" s="15"/>
    </row>
    <row r="12" spans="1:7" ht="15.75" customHeight="1">
      <c r="A12" s="178" t="s">
        <v>106</v>
      </c>
      <c r="B12" s="182">
        <v>2431</v>
      </c>
      <c r="C12" s="182">
        <v>2842</v>
      </c>
      <c r="D12" s="182">
        <v>3368</v>
      </c>
      <c r="E12" s="182">
        <v>3721</v>
      </c>
      <c r="F12" s="182">
        <v>4558</v>
      </c>
      <c r="G12" s="11"/>
    </row>
    <row r="13" spans="1:7" ht="15.75" customHeight="1">
      <c r="A13" s="178" t="s">
        <v>107</v>
      </c>
      <c r="B13" s="187">
        <v>0.28999999999999998</v>
      </c>
      <c r="C13" s="187">
        <v>0.3</v>
      </c>
      <c r="D13" s="187">
        <v>0.31</v>
      </c>
      <c r="E13" s="187">
        <v>0.32</v>
      </c>
      <c r="F13" s="187">
        <v>0.33</v>
      </c>
      <c r="G13" s="16"/>
    </row>
    <row r="14" spans="1:7" ht="15.75" customHeight="1">
      <c r="A14" s="177" t="s">
        <v>108</v>
      </c>
      <c r="B14" s="188">
        <v>-288</v>
      </c>
      <c r="C14" s="188">
        <v>45</v>
      </c>
      <c r="D14" s="188">
        <v>146</v>
      </c>
      <c r="E14" s="188">
        <v>-1</v>
      </c>
      <c r="F14" s="188">
        <v>-182</v>
      </c>
      <c r="G14" s="17"/>
    </row>
    <row r="15" spans="1:7" ht="15.75" customHeight="1">
      <c r="A15" s="178" t="s">
        <v>109</v>
      </c>
      <c r="B15" s="188">
        <v>-475</v>
      </c>
      <c r="C15" s="188">
        <v>41</v>
      </c>
      <c r="D15" s="188">
        <v>106</v>
      </c>
      <c r="E15" s="188">
        <v>-6</v>
      </c>
      <c r="F15" s="188">
        <v>-40</v>
      </c>
      <c r="G15" s="12"/>
    </row>
    <row r="16" spans="1:7" ht="15.75" customHeight="1">
      <c r="A16" s="178" t="s">
        <v>110</v>
      </c>
      <c r="B16" s="188">
        <v>186</v>
      </c>
      <c r="C16" s="188">
        <v>4</v>
      </c>
      <c r="D16" s="188">
        <v>40</v>
      </c>
      <c r="E16" s="188">
        <v>5</v>
      </c>
      <c r="F16" s="188">
        <v>-142</v>
      </c>
      <c r="G16" s="12"/>
    </row>
    <row r="17" spans="1:7" ht="15.75" customHeight="1">
      <c r="A17" s="178" t="s">
        <v>111</v>
      </c>
      <c r="B17" s="186">
        <v>255</v>
      </c>
      <c r="C17" s="186">
        <v>333</v>
      </c>
      <c r="D17" s="186">
        <v>354</v>
      </c>
      <c r="E17" s="186">
        <v>252</v>
      </c>
      <c r="F17" s="186">
        <v>385</v>
      </c>
      <c r="G17" s="15"/>
    </row>
    <row r="18" spans="1:7" ht="15.75" customHeight="1">
      <c r="A18" s="178" t="s">
        <v>112</v>
      </c>
      <c r="B18" s="188">
        <v>662</v>
      </c>
      <c r="C18" s="188">
        <v>707</v>
      </c>
      <c r="D18" s="188">
        <v>808</v>
      </c>
      <c r="E18" s="188">
        <v>795</v>
      </c>
      <c r="F18" s="182">
        <v>1119</v>
      </c>
      <c r="G18" s="18"/>
    </row>
    <row r="19" spans="1:7" ht="15.75" customHeight="1">
      <c r="A19" s="178" t="s">
        <v>113</v>
      </c>
      <c r="B19" s="184">
        <v>1226</v>
      </c>
      <c r="C19" s="184">
        <v>1847</v>
      </c>
      <c r="D19" s="184">
        <v>2352</v>
      </c>
      <c r="E19" s="184">
        <v>2673</v>
      </c>
      <c r="F19" s="184">
        <v>2872</v>
      </c>
      <c r="G19" s="13"/>
    </row>
    <row r="20" spans="1:7" ht="15.75" customHeight="1">
      <c r="A20" s="178" t="s">
        <v>114</v>
      </c>
      <c r="B20" s="189">
        <v>0.37</v>
      </c>
      <c r="C20" s="189">
        <v>0.33</v>
      </c>
      <c r="D20" s="189">
        <v>0.3</v>
      </c>
      <c r="E20" s="189">
        <v>0.28000000000000003</v>
      </c>
      <c r="F20" s="189">
        <v>0.26</v>
      </c>
      <c r="G20" s="12"/>
    </row>
    <row r="21" spans="1:7" ht="15.75" customHeight="1">
      <c r="A21" s="177" t="s">
        <v>115</v>
      </c>
      <c r="B21" s="186">
        <v>777</v>
      </c>
      <c r="C21" s="184">
        <v>1245</v>
      </c>
      <c r="D21" s="184">
        <v>1656</v>
      </c>
      <c r="E21" s="184">
        <v>1911</v>
      </c>
      <c r="F21" s="184">
        <v>2138</v>
      </c>
      <c r="G21" s="13"/>
    </row>
    <row r="22" spans="1:7" ht="15.75" customHeight="1">
      <c r="A22" s="178" t="s">
        <v>116</v>
      </c>
      <c r="B22" s="186">
        <v>0</v>
      </c>
      <c r="C22" s="186">
        <v>0</v>
      </c>
      <c r="D22" s="186">
        <v>0</v>
      </c>
      <c r="E22" s="186">
        <v>0</v>
      </c>
      <c r="F22" s="186">
        <v>25</v>
      </c>
      <c r="G22" s="15"/>
    </row>
    <row r="23" spans="1:7" ht="15.75" customHeight="1">
      <c r="A23" s="178" t="s">
        <v>117</v>
      </c>
      <c r="B23" s="186">
        <v>-299</v>
      </c>
      <c r="C23" s="186">
        <v>28</v>
      </c>
      <c r="D23" s="186">
        <v>75</v>
      </c>
      <c r="E23" s="186">
        <v>-4</v>
      </c>
      <c r="F23" s="186">
        <v>-28</v>
      </c>
      <c r="G23" s="15"/>
    </row>
    <row r="24" spans="1:7" ht="15.75" customHeight="1">
      <c r="A24" s="178" t="s">
        <v>118</v>
      </c>
      <c r="B24" s="184">
        <v>1076</v>
      </c>
      <c r="C24" s="184">
        <v>1218</v>
      </c>
      <c r="D24" s="184">
        <v>1581</v>
      </c>
      <c r="E24" s="184">
        <v>1916</v>
      </c>
      <c r="F24" s="184">
        <v>2166</v>
      </c>
      <c r="G24" s="15"/>
    </row>
    <row r="25" spans="1:7" ht="15.75" customHeight="1">
      <c r="A25" s="178" t="s">
        <v>119</v>
      </c>
      <c r="B25" s="184">
        <v>1076</v>
      </c>
      <c r="C25" s="184">
        <v>1218</v>
      </c>
      <c r="D25" s="184">
        <v>1581</v>
      </c>
      <c r="E25" s="184">
        <v>1916</v>
      </c>
      <c r="F25" s="184">
        <v>2192</v>
      </c>
      <c r="G25" s="15"/>
    </row>
    <row r="26" spans="1:7" ht="15.75" customHeight="1">
      <c r="A26" s="178" t="s">
        <v>120</v>
      </c>
      <c r="B26" s="186">
        <v>777</v>
      </c>
      <c r="C26" s="184">
        <v>1245</v>
      </c>
      <c r="D26" s="184">
        <v>1656</v>
      </c>
      <c r="E26" s="184">
        <v>1911</v>
      </c>
      <c r="F26" s="184">
        <v>2163</v>
      </c>
      <c r="G26" s="15"/>
    </row>
    <row r="27" spans="1:7" ht="15.75" customHeight="1">
      <c r="A27" s="178" t="s">
        <v>121</v>
      </c>
      <c r="B27" s="187">
        <v>-0.13</v>
      </c>
      <c r="C27" s="187">
        <v>0.13</v>
      </c>
      <c r="D27" s="187">
        <v>0.3</v>
      </c>
      <c r="E27" s="187">
        <v>0.21</v>
      </c>
      <c r="F27" s="187">
        <v>0.14000000000000001</v>
      </c>
      <c r="G27" s="15"/>
    </row>
    <row r="28" spans="1:7" ht="15.75" customHeight="1">
      <c r="A28" s="178" t="s">
        <v>122</v>
      </c>
      <c r="B28" s="188">
        <v>22.97</v>
      </c>
      <c r="C28" s="188">
        <v>36.79</v>
      </c>
      <c r="D28" s="188">
        <v>48.94</v>
      </c>
      <c r="E28" s="188">
        <v>56.47</v>
      </c>
      <c r="F28" s="188">
        <v>63.92</v>
      </c>
      <c r="G28" s="12"/>
    </row>
    <row r="29" spans="1:7" ht="15.75" customHeight="1">
      <c r="A29" s="178" t="s">
        <v>123</v>
      </c>
      <c r="B29" s="187">
        <v>1.05</v>
      </c>
      <c r="C29" s="187">
        <v>0.6</v>
      </c>
      <c r="D29" s="187">
        <v>0.56999999999999995</v>
      </c>
      <c r="E29" s="187">
        <v>0.56999999999999995</v>
      </c>
      <c r="F29" s="187">
        <v>0.59</v>
      </c>
    </row>
    <row r="30" spans="1:7">
      <c r="A30" s="80"/>
      <c r="B30" s="80"/>
      <c r="C30" s="80"/>
      <c r="D30" s="80"/>
      <c r="E30" s="80"/>
      <c r="F30" s="80"/>
    </row>
    <row r="31" spans="1:7">
      <c r="A31" s="435" t="s">
        <v>207</v>
      </c>
      <c r="B31" s="436"/>
      <c r="C31" s="436"/>
      <c r="D31" s="436"/>
      <c r="E31" s="436"/>
      <c r="F31" s="437"/>
    </row>
    <row r="32" spans="1:7" ht="15.75" customHeight="1">
      <c r="A32" s="179"/>
      <c r="B32" s="190">
        <v>44621</v>
      </c>
      <c r="C32" s="190">
        <v>44986</v>
      </c>
      <c r="D32" s="190">
        <v>45352</v>
      </c>
      <c r="E32" s="190">
        <v>45717</v>
      </c>
      <c r="F32" s="190">
        <v>46082</v>
      </c>
    </row>
    <row r="33" spans="1:6" ht="15.75" customHeight="1">
      <c r="A33" s="178" t="s">
        <v>124</v>
      </c>
      <c r="B33" s="188">
        <v>85</v>
      </c>
      <c r="C33" s="188">
        <v>169</v>
      </c>
      <c r="D33" s="188">
        <v>169</v>
      </c>
      <c r="E33" s="188">
        <v>169</v>
      </c>
      <c r="F33" s="188">
        <v>169</v>
      </c>
    </row>
    <row r="34" spans="1:6" ht="15.75" customHeight="1">
      <c r="A34" s="178" t="s">
        <v>125</v>
      </c>
      <c r="B34" s="184">
        <v>5868</v>
      </c>
      <c r="C34" s="184">
        <v>6029</v>
      </c>
      <c r="D34" s="184">
        <v>6687</v>
      </c>
      <c r="E34" s="184">
        <v>7421</v>
      </c>
      <c r="F34" s="184">
        <v>8219</v>
      </c>
    </row>
    <row r="35" spans="1:6" ht="15.75" customHeight="1">
      <c r="A35" s="177" t="s">
        <v>126</v>
      </c>
      <c r="B35" s="182">
        <v>4070</v>
      </c>
      <c r="C35" s="182">
        <v>5369</v>
      </c>
      <c r="D35" s="182">
        <v>4022</v>
      </c>
      <c r="E35" s="182">
        <v>3202</v>
      </c>
      <c r="F35" s="182">
        <v>15026</v>
      </c>
    </row>
    <row r="36" spans="1:6" ht="15.75" customHeight="1">
      <c r="A36" s="178" t="s">
        <v>127</v>
      </c>
      <c r="B36" s="182">
        <v>2123</v>
      </c>
      <c r="C36" s="182">
        <v>2496</v>
      </c>
      <c r="D36" s="182">
        <v>1604</v>
      </c>
      <c r="E36" s="182">
        <v>1192</v>
      </c>
      <c r="F36" s="182">
        <v>11651</v>
      </c>
    </row>
    <row r="37" spans="1:6" ht="15.75" customHeight="1">
      <c r="A37" s="178" t="s">
        <v>128</v>
      </c>
      <c r="B37" s="182">
        <v>1895</v>
      </c>
      <c r="C37" s="182">
        <v>2801</v>
      </c>
      <c r="D37" s="182">
        <v>2334</v>
      </c>
      <c r="E37" s="182">
        <v>1834</v>
      </c>
      <c r="F37" s="182">
        <v>3147</v>
      </c>
    </row>
    <row r="38" spans="1:6" ht="15.75" customHeight="1">
      <c r="A38" s="178" t="s">
        <v>129</v>
      </c>
      <c r="B38" s="188">
        <v>52</v>
      </c>
      <c r="C38" s="188">
        <v>71</v>
      </c>
      <c r="D38" s="188">
        <v>85</v>
      </c>
      <c r="E38" s="188">
        <v>176</v>
      </c>
      <c r="F38" s="188">
        <v>227</v>
      </c>
    </row>
    <row r="39" spans="1:6" ht="15.75" customHeight="1">
      <c r="A39" s="178" t="s">
        <v>130</v>
      </c>
      <c r="B39" s="188">
        <v>0</v>
      </c>
      <c r="C39" s="188">
        <v>0</v>
      </c>
      <c r="D39" s="188">
        <v>0</v>
      </c>
      <c r="E39" s="188">
        <v>0</v>
      </c>
      <c r="F39" s="188">
        <v>0</v>
      </c>
    </row>
    <row r="40" spans="1:6" ht="15.75" customHeight="1">
      <c r="A40" s="177" t="s">
        <v>131</v>
      </c>
      <c r="B40" s="184">
        <v>2884</v>
      </c>
      <c r="C40" s="184">
        <v>3043</v>
      </c>
      <c r="D40" s="184">
        <v>3627</v>
      </c>
      <c r="E40" s="184">
        <v>3603</v>
      </c>
      <c r="F40" s="184">
        <v>20200</v>
      </c>
    </row>
    <row r="41" spans="1:6" ht="15.75" customHeight="1">
      <c r="A41" s="178" t="s">
        <v>132</v>
      </c>
      <c r="B41" s="186">
        <v>0</v>
      </c>
      <c r="C41" s="186">
        <v>0</v>
      </c>
      <c r="D41" s="186">
        <v>0</v>
      </c>
      <c r="E41" s="186">
        <v>0</v>
      </c>
      <c r="F41" s="184">
        <v>9196</v>
      </c>
    </row>
    <row r="42" spans="1:6" ht="15.75" customHeight="1">
      <c r="A42" s="178" t="s">
        <v>133</v>
      </c>
      <c r="B42" s="184">
        <v>1674</v>
      </c>
      <c r="C42" s="184">
        <v>1679</v>
      </c>
      <c r="D42" s="184">
        <v>2089</v>
      </c>
      <c r="E42" s="184">
        <v>1820</v>
      </c>
      <c r="F42" s="184">
        <v>2358</v>
      </c>
    </row>
    <row r="43" spans="1:6" ht="15.75" customHeight="1">
      <c r="A43" s="178" t="s">
        <v>134</v>
      </c>
      <c r="B43" s="186">
        <v>10</v>
      </c>
      <c r="C43" s="186">
        <v>1</v>
      </c>
      <c r="D43" s="186">
        <v>4</v>
      </c>
      <c r="E43" s="186">
        <v>2</v>
      </c>
      <c r="F43" s="186">
        <v>27</v>
      </c>
    </row>
    <row r="44" spans="1:6" ht="15.75" customHeight="1">
      <c r="A44" s="178" t="s">
        <v>135</v>
      </c>
      <c r="B44" s="184">
        <v>1199</v>
      </c>
      <c r="C44" s="184">
        <v>1363</v>
      </c>
      <c r="D44" s="184">
        <v>1534</v>
      </c>
      <c r="E44" s="184">
        <v>1781</v>
      </c>
      <c r="F44" s="184">
        <v>8618</v>
      </c>
    </row>
    <row r="45" spans="1:6" ht="15.75" customHeight="1">
      <c r="A45" s="178" t="s">
        <v>136</v>
      </c>
      <c r="B45" s="182">
        <v>12906</v>
      </c>
      <c r="C45" s="182">
        <v>14610</v>
      </c>
      <c r="D45" s="182">
        <v>14505</v>
      </c>
      <c r="E45" s="182">
        <v>14396</v>
      </c>
      <c r="F45" s="182">
        <v>43614</v>
      </c>
    </row>
    <row r="46" spans="1:6" ht="15.75" customHeight="1">
      <c r="A46" s="177" t="s">
        <v>137</v>
      </c>
      <c r="B46" s="184">
        <v>6423</v>
      </c>
      <c r="C46" s="184">
        <v>8121</v>
      </c>
      <c r="D46" s="184">
        <v>8138</v>
      </c>
      <c r="E46" s="184">
        <v>7947</v>
      </c>
      <c r="F46" s="184">
        <v>33191</v>
      </c>
    </row>
    <row r="47" spans="1:6" ht="15.75" customHeight="1">
      <c r="A47" s="178" t="s">
        <v>138</v>
      </c>
      <c r="B47" s="186">
        <v>792</v>
      </c>
      <c r="C47" s="186">
        <v>760</v>
      </c>
      <c r="D47" s="186">
        <v>780</v>
      </c>
      <c r="E47" s="186">
        <v>780</v>
      </c>
      <c r="F47" s="184">
        <v>1202</v>
      </c>
    </row>
    <row r="48" spans="1:6" ht="15.75" customHeight="1">
      <c r="A48" s="178" t="s">
        <v>139</v>
      </c>
      <c r="B48" s="184">
        <v>1239</v>
      </c>
      <c r="C48" s="184">
        <v>1232</v>
      </c>
      <c r="D48" s="184">
        <v>1611</v>
      </c>
      <c r="E48" s="184">
        <v>1722</v>
      </c>
      <c r="F48" s="184">
        <v>2347</v>
      </c>
    </row>
    <row r="49" spans="1:6" ht="15.75" customHeight="1">
      <c r="A49" s="178" t="s">
        <v>140</v>
      </c>
      <c r="B49" s="184">
        <v>2078</v>
      </c>
      <c r="C49" s="184">
        <v>2070</v>
      </c>
      <c r="D49" s="184">
        <v>2316</v>
      </c>
      <c r="E49" s="184">
        <v>2444</v>
      </c>
      <c r="F49" s="184">
        <v>2894</v>
      </c>
    </row>
    <row r="50" spans="1:6" ht="15.75" customHeight="1">
      <c r="A50" s="178" t="s">
        <v>141</v>
      </c>
      <c r="B50" s="186">
        <v>143</v>
      </c>
      <c r="C50" s="186">
        <v>157</v>
      </c>
      <c r="D50" s="186">
        <v>188</v>
      </c>
      <c r="E50" s="186">
        <v>200</v>
      </c>
      <c r="F50" s="186">
        <v>266</v>
      </c>
    </row>
    <row r="51" spans="1:6" ht="15.75" customHeight="1">
      <c r="A51" s="178" t="s">
        <v>142</v>
      </c>
      <c r="B51" s="186">
        <v>0</v>
      </c>
      <c r="C51" s="186">
        <v>0</v>
      </c>
      <c r="D51" s="186">
        <v>3</v>
      </c>
      <c r="E51" s="186">
        <v>4</v>
      </c>
      <c r="F51" s="186">
        <v>4</v>
      </c>
    </row>
    <row r="52" spans="1:6" ht="15.75" customHeight="1">
      <c r="A52" s="178" t="s">
        <v>143</v>
      </c>
      <c r="B52" s="186">
        <v>338</v>
      </c>
      <c r="C52" s="186">
        <v>329</v>
      </c>
      <c r="D52" s="186">
        <v>385</v>
      </c>
      <c r="E52" s="186">
        <v>420</v>
      </c>
      <c r="F52" s="186">
        <v>562</v>
      </c>
    </row>
    <row r="53" spans="1:6" ht="15.75" customHeight="1">
      <c r="A53" s="178" t="s">
        <v>144</v>
      </c>
      <c r="B53" s="186">
        <v>32</v>
      </c>
      <c r="C53" s="186">
        <v>44</v>
      </c>
      <c r="D53" s="186">
        <v>46</v>
      </c>
      <c r="E53" s="186">
        <v>125</v>
      </c>
      <c r="F53" s="186">
        <v>182</v>
      </c>
    </row>
    <row r="54" spans="1:6" ht="15.75" customHeight="1">
      <c r="A54" s="178" t="s">
        <v>145</v>
      </c>
      <c r="B54" s="184">
        <v>5827</v>
      </c>
      <c r="C54" s="184">
        <v>7888</v>
      </c>
      <c r="D54" s="184">
        <v>7900</v>
      </c>
      <c r="E54" s="184">
        <v>8079</v>
      </c>
      <c r="F54" s="184">
        <v>31661</v>
      </c>
    </row>
    <row r="55" spans="1:6" ht="15.75" customHeight="1">
      <c r="A55" s="178" t="s">
        <v>146</v>
      </c>
      <c r="B55" s="186">
        <v>279</v>
      </c>
      <c r="C55" s="186">
        <v>331</v>
      </c>
      <c r="D55" s="186">
        <v>256</v>
      </c>
      <c r="E55" s="186">
        <v>267</v>
      </c>
      <c r="F55" s="184">
        <v>1308</v>
      </c>
    </row>
    <row r="56" spans="1:6" ht="15.75" customHeight="1">
      <c r="A56" s="178" t="s">
        <v>147</v>
      </c>
      <c r="B56" s="184">
        <v>10728</v>
      </c>
      <c r="C56" s="184">
        <v>12812</v>
      </c>
      <c r="D56" s="184">
        <v>13485</v>
      </c>
      <c r="E56" s="184">
        <v>14041</v>
      </c>
      <c r="F56" s="184">
        <v>40426</v>
      </c>
    </row>
    <row r="57" spans="1:6" ht="15.75" customHeight="1">
      <c r="A57" s="178" t="s">
        <v>148</v>
      </c>
      <c r="B57" s="184">
        <v>4306</v>
      </c>
      <c r="C57" s="184">
        <v>4690</v>
      </c>
      <c r="D57" s="184">
        <v>5346</v>
      </c>
      <c r="E57" s="184">
        <v>6094</v>
      </c>
      <c r="F57" s="184">
        <v>7235</v>
      </c>
    </row>
    <row r="58" spans="1:6" ht="15.75" customHeight="1">
      <c r="A58" s="178" t="s">
        <v>149</v>
      </c>
      <c r="B58" s="188">
        <v>630</v>
      </c>
      <c r="C58" s="188">
        <v>765</v>
      </c>
      <c r="D58" s="188">
        <v>361</v>
      </c>
      <c r="E58" s="188">
        <v>478</v>
      </c>
      <c r="F58" s="188">
        <v>641</v>
      </c>
    </row>
    <row r="59" spans="1:6" ht="15.75" customHeight="1">
      <c r="A59" s="178" t="s">
        <v>150</v>
      </c>
      <c r="B59" s="186">
        <v>226</v>
      </c>
      <c r="C59" s="186">
        <v>199</v>
      </c>
      <c r="D59" s="186">
        <v>173</v>
      </c>
      <c r="E59" s="186">
        <v>156</v>
      </c>
      <c r="F59" s="186">
        <v>948</v>
      </c>
    </row>
    <row r="60" spans="1:6" ht="15.75" customHeight="1">
      <c r="A60" s="177" t="s">
        <v>151</v>
      </c>
      <c r="B60" s="182">
        <v>5628</v>
      </c>
      <c r="C60" s="182">
        <v>5524</v>
      </c>
      <c r="D60" s="182">
        <v>5834</v>
      </c>
      <c r="E60" s="182">
        <v>5815</v>
      </c>
      <c r="F60" s="182">
        <v>8833</v>
      </c>
    </row>
    <row r="61" spans="1:6" ht="15.75" customHeight="1">
      <c r="A61" s="178" t="s">
        <v>152</v>
      </c>
      <c r="B61" s="182">
        <v>2462</v>
      </c>
      <c r="C61" s="182">
        <v>2230</v>
      </c>
      <c r="D61" s="182">
        <v>2279</v>
      </c>
      <c r="E61" s="182">
        <v>2541</v>
      </c>
      <c r="F61" s="182">
        <v>3138</v>
      </c>
    </row>
    <row r="62" spans="1:6" ht="15.75" customHeight="1">
      <c r="A62" s="178" t="s">
        <v>153</v>
      </c>
      <c r="B62" s="182">
        <v>1632</v>
      </c>
      <c r="C62" s="182">
        <v>1944</v>
      </c>
      <c r="D62" s="182">
        <v>1844</v>
      </c>
      <c r="E62" s="182">
        <v>1866</v>
      </c>
      <c r="F62" s="182">
        <v>3031</v>
      </c>
    </row>
    <row r="63" spans="1:6" ht="15.75" customHeight="1">
      <c r="A63" s="178" t="s">
        <v>154</v>
      </c>
      <c r="B63" s="188">
        <v>403</v>
      </c>
      <c r="C63" s="188">
        <v>571</v>
      </c>
      <c r="D63" s="188">
        <v>839</v>
      </c>
      <c r="E63" s="188">
        <v>579</v>
      </c>
      <c r="F63" s="182">
        <v>1165</v>
      </c>
    </row>
    <row r="64" spans="1:6" ht="15.75" customHeight="1">
      <c r="A64" s="178" t="s">
        <v>155</v>
      </c>
      <c r="B64" s="188">
        <v>202</v>
      </c>
      <c r="C64" s="188">
        <v>231</v>
      </c>
      <c r="D64" s="188">
        <v>210</v>
      </c>
      <c r="E64" s="188">
        <v>260</v>
      </c>
      <c r="F64" s="188">
        <v>540</v>
      </c>
    </row>
    <row r="65" spans="1:6" ht="15.75" customHeight="1">
      <c r="A65" s="178" t="s">
        <v>156</v>
      </c>
      <c r="B65" s="188">
        <v>928</v>
      </c>
      <c r="C65" s="188">
        <v>548</v>
      </c>
      <c r="D65" s="188">
        <v>661</v>
      </c>
      <c r="E65" s="188">
        <v>567</v>
      </c>
      <c r="F65" s="188">
        <v>959</v>
      </c>
    </row>
    <row r="66" spans="1:6" ht="15.75" customHeight="1">
      <c r="A66" s="178" t="s">
        <v>157</v>
      </c>
      <c r="B66" s="184">
        <v>12906</v>
      </c>
      <c r="C66" s="184">
        <v>14610</v>
      </c>
      <c r="D66" s="184">
        <v>14505</v>
      </c>
      <c r="E66" s="184">
        <v>14396</v>
      </c>
      <c r="F66" s="184">
        <v>43614</v>
      </c>
    </row>
    <row r="67" spans="1:6">
      <c r="A67" s="80"/>
      <c r="B67" s="80"/>
      <c r="C67" s="80"/>
      <c r="D67" s="80"/>
      <c r="E67" s="80"/>
      <c r="F67" s="80"/>
    </row>
    <row r="68" spans="1:6">
      <c r="A68" s="435" t="s">
        <v>205</v>
      </c>
      <c r="B68" s="436"/>
      <c r="C68" s="436"/>
      <c r="D68" s="436"/>
      <c r="E68" s="436"/>
      <c r="F68" s="437"/>
    </row>
    <row r="69" spans="1:6" ht="15.75" customHeight="1">
      <c r="A69" s="179" t="s">
        <v>206</v>
      </c>
      <c r="B69" s="190">
        <v>44621</v>
      </c>
      <c r="C69" s="190">
        <v>44986</v>
      </c>
      <c r="D69" s="190">
        <v>45352</v>
      </c>
      <c r="E69" s="190">
        <v>45717</v>
      </c>
      <c r="F69" s="190">
        <v>46082</v>
      </c>
    </row>
    <row r="70" spans="1:6" ht="15.75" customHeight="1">
      <c r="A70" s="177" t="s">
        <v>158</v>
      </c>
      <c r="B70" s="182">
        <v>1803</v>
      </c>
      <c r="C70" s="182">
        <v>2368</v>
      </c>
      <c r="D70" s="182">
        <v>3266</v>
      </c>
      <c r="E70" s="182">
        <v>2585</v>
      </c>
      <c r="F70" s="182">
        <v>3023</v>
      </c>
    </row>
    <row r="71" spans="1:6" ht="15.75" customHeight="1">
      <c r="A71" s="178" t="s">
        <v>159</v>
      </c>
      <c r="B71" s="182">
        <v>2576</v>
      </c>
      <c r="C71" s="182">
        <v>2784</v>
      </c>
      <c r="D71" s="182">
        <v>3346</v>
      </c>
      <c r="E71" s="182">
        <v>3669</v>
      </c>
      <c r="F71" s="182">
        <v>4174</v>
      </c>
    </row>
    <row r="72" spans="1:6" ht="15.75" customHeight="1">
      <c r="A72" s="178" t="s">
        <v>160</v>
      </c>
      <c r="B72" s="188">
        <v>-113</v>
      </c>
      <c r="C72" s="188">
        <v>-290</v>
      </c>
      <c r="D72" s="188">
        <v>78</v>
      </c>
      <c r="E72" s="188">
        <v>17</v>
      </c>
      <c r="F72" s="188">
        <v>-254</v>
      </c>
    </row>
    <row r="73" spans="1:6" ht="15.75" customHeight="1">
      <c r="A73" s="178" t="s">
        <v>161</v>
      </c>
      <c r="B73" s="188">
        <v>219</v>
      </c>
      <c r="C73" s="188">
        <v>256</v>
      </c>
      <c r="D73" s="188">
        <v>-49</v>
      </c>
      <c r="E73" s="188">
        <v>-262</v>
      </c>
      <c r="F73" s="188">
        <v>34</v>
      </c>
    </row>
    <row r="74" spans="1:6" ht="15.75" customHeight="1">
      <c r="A74" s="178" t="s">
        <v>162</v>
      </c>
      <c r="B74" s="188">
        <v>-458</v>
      </c>
      <c r="C74" s="188">
        <v>-58</v>
      </c>
      <c r="D74" s="188">
        <v>414</v>
      </c>
      <c r="E74" s="188">
        <v>-278</v>
      </c>
      <c r="F74" s="188">
        <v>164</v>
      </c>
    </row>
    <row r="75" spans="1:6" ht="15.75" customHeight="1">
      <c r="A75" s="178" t="s">
        <v>163</v>
      </c>
      <c r="B75" s="188">
        <v>0</v>
      </c>
      <c r="C75" s="188">
        <v>-19</v>
      </c>
      <c r="D75" s="188">
        <v>-7</v>
      </c>
      <c r="E75" s="188">
        <v>-52</v>
      </c>
      <c r="F75" s="188">
        <v>-109</v>
      </c>
    </row>
    <row r="76" spans="1:6" ht="15.75" customHeight="1">
      <c r="A76" s="178" t="s">
        <v>164</v>
      </c>
      <c r="B76" s="188">
        <v>0</v>
      </c>
      <c r="C76" s="188">
        <v>93</v>
      </c>
      <c r="D76" s="188">
        <v>-18</v>
      </c>
      <c r="E76" s="188">
        <v>94</v>
      </c>
      <c r="F76" s="188">
        <v>-178</v>
      </c>
    </row>
    <row r="77" spans="1:6" ht="15.75" customHeight="1">
      <c r="A77" s="178" t="s">
        <v>165</v>
      </c>
      <c r="B77" s="188">
        <v>-352</v>
      </c>
      <c r="C77" s="188">
        <v>-18</v>
      </c>
      <c r="D77" s="188">
        <v>418</v>
      </c>
      <c r="E77" s="188">
        <v>-481</v>
      </c>
      <c r="F77" s="188">
        <v>-342</v>
      </c>
    </row>
    <row r="78" spans="1:6" ht="15.75" customHeight="1">
      <c r="A78" s="178" t="s">
        <v>166</v>
      </c>
      <c r="B78" s="188">
        <v>-421</v>
      </c>
      <c r="C78" s="188">
        <v>-398</v>
      </c>
      <c r="D78" s="188">
        <v>-498</v>
      </c>
      <c r="E78" s="188">
        <v>-603</v>
      </c>
      <c r="F78" s="188">
        <v>-809</v>
      </c>
    </row>
    <row r="79" spans="1:6" ht="15.75" customHeight="1">
      <c r="A79" s="177" t="s">
        <v>167</v>
      </c>
      <c r="B79" s="186">
        <v>-196</v>
      </c>
      <c r="C79" s="184">
        <v>-2335</v>
      </c>
      <c r="D79" s="186">
        <v>-160</v>
      </c>
      <c r="E79" s="186">
        <v>-549</v>
      </c>
      <c r="F79" s="184">
        <v>-12630</v>
      </c>
    </row>
    <row r="80" spans="1:6" ht="15.75" customHeight="1">
      <c r="A80" s="178" t="s">
        <v>168</v>
      </c>
      <c r="B80" s="186">
        <v>-203</v>
      </c>
      <c r="C80" s="186">
        <v>-574</v>
      </c>
      <c r="D80" s="186">
        <v>-433</v>
      </c>
      <c r="E80" s="186">
        <v>-612</v>
      </c>
      <c r="F80" s="186">
        <v>-677</v>
      </c>
    </row>
    <row r="81" spans="1:6" ht="15.75" customHeight="1">
      <c r="A81" s="178" t="s">
        <v>169</v>
      </c>
      <c r="B81" s="186">
        <v>7</v>
      </c>
      <c r="C81" s="186">
        <v>159</v>
      </c>
      <c r="D81" s="186">
        <v>134</v>
      </c>
      <c r="E81" s="186">
        <v>18</v>
      </c>
      <c r="F81" s="186">
        <v>41</v>
      </c>
    </row>
    <row r="82" spans="1:6" ht="15.75" customHeight="1">
      <c r="A82" s="178" t="s">
        <v>170</v>
      </c>
      <c r="B82" s="186">
        <v>-35</v>
      </c>
      <c r="C82" s="186">
        <v>0</v>
      </c>
      <c r="D82" s="186">
        <v>0</v>
      </c>
      <c r="E82" s="186">
        <v>-10</v>
      </c>
      <c r="F82" s="186">
        <v>-13</v>
      </c>
    </row>
    <row r="83" spans="1:6" ht="15.75" customHeight="1">
      <c r="A83" s="178" t="s">
        <v>171</v>
      </c>
      <c r="B83" s="186">
        <v>0</v>
      </c>
      <c r="C83" s="186">
        <v>47</v>
      </c>
      <c r="D83" s="186">
        <v>33</v>
      </c>
      <c r="E83" s="186">
        <v>46</v>
      </c>
      <c r="F83" s="186">
        <v>210</v>
      </c>
    </row>
    <row r="84" spans="1:6" ht="15.75" customHeight="1">
      <c r="A84" s="178" t="s">
        <v>172</v>
      </c>
      <c r="B84" s="186">
        <v>7</v>
      </c>
      <c r="C84" s="186">
        <v>13</v>
      </c>
      <c r="D84" s="186">
        <v>13</v>
      </c>
      <c r="E84" s="186">
        <v>20</v>
      </c>
      <c r="F84" s="186">
        <v>36</v>
      </c>
    </row>
    <row r="85" spans="1:6" ht="15.75" customHeight="1">
      <c r="A85" s="178" t="s">
        <v>173</v>
      </c>
      <c r="B85" s="186">
        <v>0</v>
      </c>
      <c r="C85" s="184">
        <v>-2000</v>
      </c>
      <c r="D85" s="186">
        <v>0</v>
      </c>
      <c r="E85" s="186">
        <v>0</v>
      </c>
      <c r="F85" s="184">
        <v>-12315</v>
      </c>
    </row>
    <row r="86" spans="1:6" ht="15.75" customHeight="1">
      <c r="A86" s="178" t="s">
        <v>174</v>
      </c>
      <c r="B86" s="186">
        <v>0</v>
      </c>
      <c r="C86" s="186">
        <v>0</v>
      </c>
      <c r="D86" s="186">
        <v>0</v>
      </c>
      <c r="E86" s="186">
        <v>0</v>
      </c>
      <c r="F86" s="186">
        <v>0</v>
      </c>
    </row>
    <row r="87" spans="1:6" ht="15.75" customHeight="1">
      <c r="A87" s="178" t="s">
        <v>175</v>
      </c>
      <c r="B87" s="186">
        <v>27</v>
      </c>
      <c r="C87" s="186">
        <v>20</v>
      </c>
      <c r="D87" s="186">
        <v>93</v>
      </c>
      <c r="E87" s="186">
        <v>-10</v>
      </c>
      <c r="F87" s="186">
        <v>88</v>
      </c>
    </row>
    <row r="88" spans="1:6" ht="15.75" customHeight="1">
      <c r="A88" s="177" t="s">
        <v>176</v>
      </c>
      <c r="B88" s="182">
        <v>-1781</v>
      </c>
      <c r="C88" s="188">
        <v>77</v>
      </c>
      <c r="D88" s="182">
        <v>-2780</v>
      </c>
      <c r="E88" s="182">
        <v>-2298</v>
      </c>
      <c r="F88" s="182">
        <v>10151</v>
      </c>
    </row>
    <row r="89" spans="1:6" ht="15.75" customHeight="1">
      <c r="A89" s="178" t="s">
        <v>177</v>
      </c>
      <c r="B89" s="188">
        <v>219</v>
      </c>
      <c r="C89" s="182">
        <v>2237</v>
      </c>
      <c r="D89" s="188">
        <v>0</v>
      </c>
      <c r="E89" s="188">
        <v>0</v>
      </c>
      <c r="F89" s="182">
        <v>12594</v>
      </c>
    </row>
    <row r="90" spans="1:6" ht="15.75" customHeight="1">
      <c r="A90" s="178" t="s">
        <v>178</v>
      </c>
      <c r="B90" s="182">
        <v>-1033</v>
      </c>
      <c r="C90" s="188">
        <v>-972</v>
      </c>
      <c r="D90" s="182">
        <v>-1369</v>
      </c>
      <c r="E90" s="188">
        <v>-926</v>
      </c>
      <c r="F90" s="188">
        <v>-672</v>
      </c>
    </row>
    <row r="91" spans="1:6" ht="15.75" customHeight="1">
      <c r="A91" s="178" t="s">
        <v>179</v>
      </c>
      <c r="B91" s="188">
        <v>0</v>
      </c>
      <c r="C91" s="188">
        <v>0</v>
      </c>
      <c r="D91" s="188">
        <v>0</v>
      </c>
      <c r="E91" s="188">
        <v>0</v>
      </c>
      <c r="F91" s="188">
        <v>0</v>
      </c>
    </row>
    <row r="92" spans="1:6" ht="15.75" customHeight="1">
      <c r="A92" s="178" t="s">
        <v>180</v>
      </c>
      <c r="B92" s="188">
        <v>-258</v>
      </c>
      <c r="C92" s="188">
        <v>-303</v>
      </c>
      <c r="D92" s="188">
        <v>-371</v>
      </c>
      <c r="E92" s="188">
        <v>-262</v>
      </c>
      <c r="F92" s="188">
        <v>-427</v>
      </c>
    </row>
    <row r="93" spans="1:6" ht="15.75" customHeight="1">
      <c r="A93" s="178" t="s">
        <v>181</v>
      </c>
      <c r="B93" s="188">
        <v>-677</v>
      </c>
      <c r="C93" s="188">
        <v>-863</v>
      </c>
      <c r="D93" s="182">
        <v>-1015</v>
      </c>
      <c r="E93" s="182">
        <v>-1083</v>
      </c>
      <c r="F93" s="182">
        <v>-1289</v>
      </c>
    </row>
    <row r="94" spans="1:6" ht="15.75" customHeight="1">
      <c r="A94" s="178" t="s">
        <v>182</v>
      </c>
      <c r="B94" s="188">
        <v>-32</v>
      </c>
      <c r="C94" s="188">
        <v>-22</v>
      </c>
      <c r="D94" s="188">
        <v>-24</v>
      </c>
      <c r="E94" s="188">
        <v>-27</v>
      </c>
      <c r="F94" s="188">
        <v>-55</v>
      </c>
    </row>
    <row r="95" spans="1:6" ht="15.75" customHeight="1">
      <c r="A95" s="178" t="s">
        <v>183</v>
      </c>
      <c r="B95" s="186">
        <v>-174</v>
      </c>
      <c r="C95" s="186">
        <v>110</v>
      </c>
      <c r="D95" s="186">
        <v>327</v>
      </c>
      <c r="E95" s="186">
        <v>-262</v>
      </c>
      <c r="F95" s="186">
        <v>544</v>
      </c>
    </row>
    <row r="96" spans="1:6" ht="15.75" customHeight="1">
      <c r="A96" s="180" t="s">
        <v>184</v>
      </c>
      <c r="B96" s="194">
        <v>1607</v>
      </c>
      <c r="C96" s="194">
        <v>1953</v>
      </c>
      <c r="D96" s="194">
        <v>2967</v>
      </c>
      <c r="E96" s="194">
        <v>1991</v>
      </c>
      <c r="F96" s="194">
        <v>2386</v>
      </c>
    </row>
    <row r="97" spans="1:6" ht="15.75" customHeight="1">
      <c r="A97" s="180" t="s">
        <v>185</v>
      </c>
      <c r="B97" s="195">
        <v>0.91</v>
      </c>
      <c r="C97" s="195">
        <v>0.97</v>
      </c>
      <c r="D97" s="195">
        <v>1.1200000000000001</v>
      </c>
      <c r="E97" s="195">
        <v>0.86</v>
      </c>
      <c r="F97" s="195">
        <v>0.84</v>
      </c>
    </row>
    <row r="98" spans="1:6">
      <c r="A98" s="181"/>
      <c r="B98" s="121"/>
      <c r="C98" s="121"/>
      <c r="D98" s="121"/>
      <c r="E98" s="121"/>
      <c r="F98" s="121"/>
    </row>
  </sheetData>
  <mergeCells count="3">
    <mergeCell ref="A1:F1"/>
    <mergeCell ref="A68:F68"/>
    <mergeCell ref="A31:F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"/>
  <sheetViews>
    <sheetView zoomScale="80" zoomScaleNormal="100" workbookViewId="0">
      <selection activeCell="I12" sqref="I12"/>
    </sheetView>
  </sheetViews>
  <sheetFormatPr defaultColWidth="12.6640625" defaultRowHeight="13.2"/>
  <cols>
    <col min="1" max="1" width="28.88671875" customWidth="1"/>
  </cols>
  <sheetData>
    <row r="1" spans="1:7" ht="26.4" customHeight="1">
      <c r="A1" s="438" t="s">
        <v>35</v>
      </c>
      <c r="B1" s="439"/>
      <c r="C1" s="439"/>
      <c r="D1" s="439"/>
      <c r="E1" s="439"/>
      <c r="F1" s="439"/>
      <c r="G1" s="439"/>
    </row>
    <row r="2" spans="1:7" ht="13.5" customHeight="1">
      <c r="A2" s="236"/>
      <c r="B2" s="267">
        <v>44621</v>
      </c>
      <c r="C2" s="267">
        <v>44986</v>
      </c>
      <c r="D2" s="267">
        <v>45352</v>
      </c>
      <c r="E2" s="267">
        <v>45717</v>
      </c>
      <c r="F2" s="267">
        <v>46082</v>
      </c>
      <c r="G2" s="268"/>
    </row>
    <row r="3" spans="1:7" ht="12.75" customHeight="1">
      <c r="A3" s="237" t="s">
        <v>97</v>
      </c>
      <c r="B3" s="251">
        <v>10634</v>
      </c>
      <c r="C3" s="251">
        <v>11599</v>
      </c>
      <c r="D3" s="251">
        <v>12668</v>
      </c>
      <c r="E3" s="251">
        <v>12965</v>
      </c>
      <c r="F3" s="251">
        <v>14712</v>
      </c>
      <c r="G3" s="239"/>
    </row>
    <row r="4" spans="1:7" ht="13.5" customHeight="1">
      <c r="A4" s="238" t="s">
        <v>98</v>
      </c>
      <c r="B4" s="252">
        <v>0.1996</v>
      </c>
      <c r="C4" s="252">
        <v>9.0800000000000006E-2</v>
      </c>
      <c r="D4" s="252">
        <v>9.2100000000000001E-2</v>
      </c>
      <c r="E4" s="252">
        <v>2.3400000000000001E-2</v>
      </c>
      <c r="F4" s="252">
        <v>0.1348</v>
      </c>
      <c r="G4" s="240"/>
    </row>
    <row r="5" spans="1:7" ht="12.75" customHeight="1">
      <c r="A5" s="237" t="s">
        <v>99</v>
      </c>
      <c r="B5" s="253">
        <v>8580</v>
      </c>
      <c r="C5" s="253">
        <v>9977</v>
      </c>
      <c r="D5" s="253">
        <v>10419</v>
      </c>
      <c r="E5" s="253">
        <v>10452</v>
      </c>
      <c r="F5" s="253">
        <v>11706</v>
      </c>
      <c r="G5" s="241"/>
    </row>
    <row r="6" spans="1:7" ht="12.75" customHeight="1">
      <c r="A6" s="237" t="s">
        <v>186</v>
      </c>
      <c r="B6" s="254">
        <v>0.3931</v>
      </c>
      <c r="C6" s="254">
        <v>0.42299999999999999</v>
      </c>
      <c r="D6" s="254">
        <v>0.38979999999999998</v>
      </c>
      <c r="E6" s="254">
        <v>0.36749999999999999</v>
      </c>
      <c r="F6" s="254">
        <v>0.34620000000000001</v>
      </c>
      <c r="G6" s="242"/>
    </row>
    <row r="7" spans="1:7" ht="12.75" customHeight="1">
      <c r="A7" s="238" t="s">
        <v>103</v>
      </c>
      <c r="B7" s="254">
        <v>4.8899999999999999E-2</v>
      </c>
      <c r="C7" s="254">
        <v>4.4200000000000003E-2</v>
      </c>
      <c r="D7" s="254">
        <v>4.3400000000000001E-2</v>
      </c>
      <c r="E7" s="254">
        <v>6.1199999999999997E-2</v>
      </c>
      <c r="F7" s="254">
        <v>5.3600000000000002E-2</v>
      </c>
      <c r="G7" s="242"/>
    </row>
    <row r="8" spans="1:7" ht="12.75" customHeight="1">
      <c r="A8" s="238" t="s">
        <v>104</v>
      </c>
      <c r="B8" s="254">
        <v>0.1847</v>
      </c>
      <c r="C8" s="254">
        <v>0.18390000000000001</v>
      </c>
      <c r="D8" s="254">
        <v>0.1739</v>
      </c>
      <c r="E8" s="254">
        <v>0.18940000000000001</v>
      </c>
      <c r="F8" s="254">
        <v>0.193</v>
      </c>
      <c r="G8" s="242"/>
    </row>
    <row r="9" spans="1:7" ht="13.5" customHeight="1">
      <c r="A9" s="238" t="s">
        <v>105</v>
      </c>
      <c r="B9" s="254">
        <v>0.18010000000000001</v>
      </c>
      <c r="C9" s="254">
        <v>0.20899999999999999</v>
      </c>
      <c r="D9" s="254">
        <v>0.2155</v>
      </c>
      <c r="E9" s="254">
        <v>0.18820000000000001</v>
      </c>
      <c r="F9" s="254">
        <v>0.2029</v>
      </c>
      <c r="G9" s="242"/>
    </row>
    <row r="10" spans="1:7" ht="12.75" customHeight="1">
      <c r="A10" s="238" t="s">
        <v>106</v>
      </c>
      <c r="B10" s="251">
        <v>2054</v>
      </c>
      <c r="C10" s="251">
        <v>1622</v>
      </c>
      <c r="D10" s="251">
        <v>2249</v>
      </c>
      <c r="E10" s="251">
        <v>2512</v>
      </c>
      <c r="F10" s="251">
        <v>3007</v>
      </c>
      <c r="G10" s="239"/>
    </row>
    <row r="11" spans="1:7" ht="13.5" customHeight="1">
      <c r="A11" s="238" t="s">
        <v>107</v>
      </c>
      <c r="B11" s="255">
        <v>0.19</v>
      </c>
      <c r="C11" s="255">
        <v>0.14000000000000001</v>
      </c>
      <c r="D11" s="255">
        <v>0.18</v>
      </c>
      <c r="E11" s="255">
        <v>0.19</v>
      </c>
      <c r="F11" s="255">
        <v>0.2</v>
      </c>
      <c r="G11" s="243"/>
    </row>
    <row r="12" spans="1:7" ht="12.75" customHeight="1">
      <c r="A12" s="237" t="s">
        <v>108</v>
      </c>
      <c r="B12" s="256">
        <v>146</v>
      </c>
      <c r="C12" s="256">
        <v>101</v>
      </c>
      <c r="D12" s="256">
        <v>186</v>
      </c>
      <c r="E12" s="256">
        <v>494</v>
      </c>
      <c r="F12" s="256">
        <v>407</v>
      </c>
      <c r="G12" s="240"/>
    </row>
    <row r="13" spans="1:7" ht="12.75" customHeight="1">
      <c r="A13" s="238" t="s">
        <v>109</v>
      </c>
      <c r="B13" s="256">
        <v>-13</v>
      </c>
      <c r="C13" s="256">
        <v>-115</v>
      </c>
      <c r="D13" s="256">
        <v>-125</v>
      </c>
      <c r="E13" s="256">
        <v>5</v>
      </c>
      <c r="F13" s="256">
        <v>-176</v>
      </c>
      <c r="G13" s="240"/>
    </row>
    <row r="14" spans="1:7" ht="12.75" customHeight="1">
      <c r="A14" s="238" t="s">
        <v>110</v>
      </c>
      <c r="B14" s="256">
        <v>159</v>
      </c>
      <c r="C14" s="256">
        <v>216</v>
      </c>
      <c r="D14" s="256">
        <v>311</v>
      </c>
      <c r="E14" s="256">
        <v>489</v>
      </c>
      <c r="F14" s="256">
        <v>583</v>
      </c>
      <c r="G14" s="240"/>
    </row>
    <row r="15" spans="1:7" ht="12.75" customHeight="1">
      <c r="A15" s="238" t="s">
        <v>111</v>
      </c>
      <c r="B15" s="257">
        <v>52</v>
      </c>
      <c r="C15" s="257">
        <v>107</v>
      </c>
      <c r="D15" s="257">
        <v>112</v>
      </c>
      <c r="E15" s="257">
        <v>122</v>
      </c>
      <c r="F15" s="257">
        <v>161</v>
      </c>
      <c r="G15" s="242"/>
    </row>
    <row r="16" spans="1:7" ht="13.5" customHeight="1">
      <c r="A16" s="238" t="s">
        <v>112</v>
      </c>
      <c r="B16" s="256">
        <v>304</v>
      </c>
      <c r="C16" s="256">
        <v>310</v>
      </c>
      <c r="D16" s="256">
        <v>299</v>
      </c>
      <c r="E16" s="256">
        <v>357</v>
      </c>
      <c r="F16" s="256">
        <v>382</v>
      </c>
      <c r="G16" s="240"/>
    </row>
    <row r="17" spans="1:7" ht="12.75" customHeight="1">
      <c r="A17" s="238" t="s">
        <v>113</v>
      </c>
      <c r="B17" s="253">
        <v>1844</v>
      </c>
      <c r="C17" s="253">
        <v>1305</v>
      </c>
      <c r="D17" s="253">
        <v>2023</v>
      </c>
      <c r="E17" s="253">
        <v>2527</v>
      </c>
      <c r="F17" s="253">
        <v>2871</v>
      </c>
      <c r="G17" s="241"/>
    </row>
    <row r="18" spans="1:7" ht="13.5" customHeight="1">
      <c r="A18" s="238" t="s">
        <v>114</v>
      </c>
      <c r="B18" s="258">
        <v>0.09</v>
      </c>
      <c r="C18" s="258">
        <v>0.23</v>
      </c>
      <c r="D18" s="258">
        <v>0.1</v>
      </c>
      <c r="E18" s="258">
        <v>0.12</v>
      </c>
      <c r="F18" s="258">
        <v>0.18</v>
      </c>
      <c r="G18" s="240"/>
    </row>
    <row r="19" spans="1:7" ht="12.75" customHeight="1">
      <c r="A19" s="237" t="s">
        <v>115</v>
      </c>
      <c r="B19" s="253">
        <v>1680</v>
      </c>
      <c r="C19" s="253">
        <v>1007</v>
      </c>
      <c r="D19" s="253">
        <v>1811</v>
      </c>
      <c r="E19" s="253">
        <v>2215</v>
      </c>
      <c r="F19" s="253">
        <v>2351</v>
      </c>
      <c r="G19" s="241"/>
    </row>
    <row r="20" spans="1:7" ht="12.75" customHeight="1">
      <c r="A20" s="238" t="s">
        <v>187</v>
      </c>
      <c r="B20" s="257">
        <v>0</v>
      </c>
      <c r="C20" s="257">
        <v>0</v>
      </c>
      <c r="D20" s="257">
        <v>0</v>
      </c>
      <c r="E20" s="257">
        <v>-1</v>
      </c>
      <c r="F20" s="257">
        <v>-2</v>
      </c>
      <c r="G20" s="242"/>
    </row>
    <row r="21" spans="1:7" ht="12.75" customHeight="1">
      <c r="A21" s="238" t="s">
        <v>116</v>
      </c>
      <c r="B21" s="257">
        <v>-35</v>
      </c>
      <c r="C21" s="257">
        <v>-23</v>
      </c>
      <c r="D21" s="257">
        <v>-16</v>
      </c>
      <c r="E21" s="257">
        <v>-50</v>
      </c>
      <c r="F21" s="257">
        <v>-49</v>
      </c>
      <c r="G21" s="242"/>
    </row>
    <row r="22" spans="1:7" ht="12.75" customHeight="1">
      <c r="A22" s="238" t="s">
        <v>117</v>
      </c>
      <c r="B22" s="257">
        <v>-10</v>
      </c>
      <c r="C22" s="257">
        <v>-89</v>
      </c>
      <c r="D22" s="257">
        <v>-99</v>
      </c>
      <c r="E22" s="257">
        <v>6</v>
      </c>
      <c r="F22" s="257">
        <v>-138</v>
      </c>
      <c r="G22" s="242"/>
    </row>
    <row r="23" spans="1:7" ht="12.75" customHeight="1">
      <c r="A23" s="238" t="s">
        <v>118</v>
      </c>
      <c r="B23" s="253">
        <v>1691</v>
      </c>
      <c r="C23" s="253">
        <v>1096</v>
      </c>
      <c r="D23" s="253">
        <v>1910</v>
      </c>
      <c r="E23" s="253">
        <v>2210</v>
      </c>
      <c r="F23" s="253">
        <v>2489</v>
      </c>
      <c r="G23" s="242"/>
    </row>
    <row r="24" spans="1:7" ht="12.75" customHeight="1">
      <c r="A24" s="238" t="s">
        <v>119</v>
      </c>
      <c r="B24" s="253">
        <v>1656</v>
      </c>
      <c r="C24" s="253">
        <v>1071</v>
      </c>
      <c r="D24" s="253">
        <v>1894</v>
      </c>
      <c r="E24" s="253">
        <v>2160</v>
      </c>
      <c r="F24" s="253">
        <v>2437</v>
      </c>
      <c r="G24" s="242"/>
    </row>
    <row r="25" spans="1:7" ht="12.75" customHeight="1">
      <c r="A25" s="238" t="s">
        <v>120</v>
      </c>
      <c r="B25" s="253">
        <v>1646</v>
      </c>
      <c r="C25" s="257">
        <v>984</v>
      </c>
      <c r="D25" s="253">
        <v>1796</v>
      </c>
      <c r="E25" s="253">
        <v>2165</v>
      </c>
      <c r="F25" s="253">
        <v>2302</v>
      </c>
      <c r="G25" s="242"/>
    </row>
    <row r="26" spans="1:7" ht="12.75" customHeight="1">
      <c r="A26" s="238" t="s">
        <v>121</v>
      </c>
      <c r="B26" s="255">
        <v>0.06</v>
      </c>
      <c r="C26" s="255">
        <v>-0.35</v>
      </c>
      <c r="D26" s="255">
        <v>0.77</v>
      </c>
      <c r="E26" s="255">
        <v>0.14000000000000001</v>
      </c>
      <c r="F26" s="255">
        <v>0.13</v>
      </c>
      <c r="G26" s="242"/>
    </row>
    <row r="27" spans="1:7" ht="12.75" customHeight="1">
      <c r="A27" s="238" t="s">
        <v>122</v>
      </c>
      <c r="B27" s="256">
        <v>137.63</v>
      </c>
      <c r="C27" s="256">
        <v>82.31</v>
      </c>
      <c r="D27" s="256">
        <v>150.19</v>
      </c>
      <c r="E27" s="256">
        <v>181.11</v>
      </c>
      <c r="F27" s="256">
        <v>192.51</v>
      </c>
      <c r="G27" s="240"/>
    </row>
    <row r="28" spans="1:7" ht="12.75" customHeight="1">
      <c r="A28" s="238" t="s">
        <v>123</v>
      </c>
      <c r="B28" s="255">
        <v>0.25</v>
      </c>
      <c r="C28" s="255">
        <v>0.61</v>
      </c>
      <c r="D28" s="255">
        <v>0.27</v>
      </c>
      <c r="E28" s="255">
        <v>0.25</v>
      </c>
      <c r="F28" s="255">
        <v>0.28000000000000003</v>
      </c>
      <c r="G28" s="242"/>
    </row>
    <row r="29" spans="1:7" ht="12.75" customHeight="1">
      <c r="A29" s="235"/>
      <c r="B29" s="79"/>
      <c r="C29" s="79"/>
      <c r="D29" s="79"/>
      <c r="E29" s="79"/>
      <c r="F29" s="79"/>
      <c r="G29" s="79"/>
    </row>
    <row r="30" spans="1:7">
      <c r="A30" s="79"/>
      <c r="B30" s="79"/>
      <c r="C30" s="79"/>
      <c r="D30" s="79"/>
      <c r="E30" s="79"/>
      <c r="F30" s="79"/>
      <c r="G30" s="79"/>
    </row>
    <row r="31" spans="1:7" ht="12.75" customHeight="1">
      <c r="A31" s="236"/>
      <c r="B31" s="266">
        <v>44621</v>
      </c>
      <c r="C31" s="266">
        <v>44986</v>
      </c>
      <c r="D31" s="266">
        <v>45352</v>
      </c>
      <c r="E31" s="266">
        <v>45717</v>
      </c>
      <c r="F31" s="266">
        <v>46082</v>
      </c>
      <c r="G31" s="30"/>
    </row>
    <row r="32" spans="1:7" ht="12.75" customHeight="1">
      <c r="A32" s="238" t="s">
        <v>124</v>
      </c>
      <c r="B32" s="245">
        <v>24</v>
      </c>
      <c r="C32" s="245">
        <v>24</v>
      </c>
      <c r="D32" s="245">
        <v>24</v>
      </c>
      <c r="E32" s="245">
        <v>24</v>
      </c>
      <c r="F32" s="245">
        <v>24</v>
      </c>
      <c r="G32" s="83"/>
    </row>
    <row r="33" spans="1:7" ht="13.5" customHeight="1">
      <c r="A33" s="238" t="s">
        <v>125</v>
      </c>
      <c r="B33" s="246">
        <v>8614</v>
      </c>
      <c r="C33" s="246">
        <v>9021</v>
      </c>
      <c r="D33" s="246">
        <v>10288</v>
      </c>
      <c r="E33" s="246">
        <v>11961</v>
      </c>
      <c r="F33" s="246">
        <v>13796</v>
      </c>
      <c r="G33" s="83"/>
    </row>
    <row r="34" spans="1:7" ht="12.75" customHeight="1">
      <c r="A34" s="237" t="s">
        <v>126</v>
      </c>
      <c r="B34" s="244">
        <v>2668</v>
      </c>
      <c r="C34" s="244">
        <v>1397</v>
      </c>
      <c r="D34" s="244">
        <v>1418</v>
      </c>
      <c r="E34" s="244">
        <v>1381</v>
      </c>
      <c r="F34" s="244">
        <v>2047</v>
      </c>
      <c r="G34" s="83"/>
    </row>
    <row r="35" spans="1:7" ht="12.75" customHeight="1">
      <c r="A35" s="238" t="s">
        <v>127</v>
      </c>
      <c r="B35" s="245">
        <v>9</v>
      </c>
      <c r="C35" s="245">
        <v>0</v>
      </c>
      <c r="D35" s="245">
        <v>40</v>
      </c>
      <c r="E35" s="245">
        <v>311</v>
      </c>
      <c r="F35" s="245">
        <v>492</v>
      </c>
      <c r="G35" s="83"/>
    </row>
    <row r="36" spans="1:7" ht="12.75" customHeight="1">
      <c r="A36" s="238" t="s">
        <v>128</v>
      </c>
      <c r="B36" s="244">
        <v>2571</v>
      </c>
      <c r="C36" s="244">
        <v>1307</v>
      </c>
      <c r="D36" s="244">
        <v>1174</v>
      </c>
      <c r="E36" s="245">
        <v>752</v>
      </c>
      <c r="F36" s="244">
        <v>1131</v>
      </c>
      <c r="G36" s="83"/>
    </row>
    <row r="37" spans="1:7" ht="12.75" customHeight="1">
      <c r="A37" s="238" t="s">
        <v>129</v>
      </c>
      <c r="B37" s="245">
        <v>88</v>
      </c>
      <c r="C37" s="245">
        <v>90</v>
      </c>
      <c r="D37" s="245">
        <v>204</v>
      </c>
      <c r="E37" s="245">
        <v>318</v>
      </c>
      <c r="F37" s="245">
        <v>424</v>
      </c>
      <c r="G37" s="83"/>
    </row>
    <row r="38" spans="1:7" ht="13.5" customHeight="1">
      <c r="A38" s="238" t="s">
        <v>130</v>
      </c>
      <c r="B38" s="245">
        <v>0</v>
      </c>
      <c r="C38" s="245">
        <v>0</v>
      </c>
      <c r="D38" s="245">
        <v>0</v>
      </c>
      <c r="E38" s="245">
        <v>0</v>
      </c>
      <c r="F38" s="245">
        <v>0</v>
      </c>
      <c r="G38" s="83"/>
    </row>
    <row r="39" spans="1:7" ht="12.75" customHeight="1">
      <c r="A39" s="237" t="s">
        <v>131</v>
      </c>
      <c r="B39" s="246">
        <v>2763</v>
      </c>
      <c r="C39" s="246">
        <v>3315</v>
      </c>
      <c r="D39" s="246">
        <v>3844</v>
      </c>
      <c r="E39" s="246">
        <v>4325</v>
      </c>
      <c r="F39" s="246">
        <v>4991</v>
      </c>
      <c r="G39" s="83"/>
    </row>
    <row r="40" spans="1:7" ht="12.75" customHeight="1">
      <c r="A40" s="238" t="s">
        <v>132</v>
      </c>
      <c r="B40" s="247">
        <v>209</v>
      </c>
      <c r="C40" s="247">
        <v>390</v>
      </c>
      <c r="D40" s="247">
        <v>402</v>
      </c>
      <c r="E40" s="247">
        <v>449</v>
      </c>
      <c r="F40" s="247">
        <v>529</v>
      </c>
      <c r="G40" s="83"/>
    </row>
    <row r="41" spans="1:7" ht="12.75" customHeight="1">
      <c r="A41" s="238" t="s">
        <v>133</v>
      </c>
      <c r="B41" s="246">
        <v>1173</v>
      </c>
      <c r="C41" s="246">
        <v>1165</v>
      </c>
      <c r="D41" s="246">
        <v>1748</v>
      </c>
      <c r="E41" s="246">
        <v>1937</v>
      </c>
      <c r="F41" s="246">
        <v>2244</v>
      </c>
      <c r="G41" s="83"/>
    </row>
    <row r="42" spans="1:7" ht="12.75" customHeight="1">
      <c r="A42" s="238" t="s">
        <v>134</v>
      </c>
      <c r="B42" s="247">
        <v>73</v>
      </c>
      <c r="C42" s="247">
        <v>74</v>
      </c>
      <c r="D42" s="247">
        <v>112</v>
      </c>
      <c r="E42" s="247">
        <v>220</v>
      </c>
      <c r="F42" s="247">
        <v>235</v>
      </c>
      <c r="G42" s="83"/>
    </row>
    <row r="43" spans="1:7" ht="13.5" customHeight="1">
      <c r="A43" s="238" t="s">
        <v>135</v>
      </c>
      <c r="B43" s="246">
        <v>1307</v>
      </c>
      <c r="C43" s="246">
        <v>1686</v>
      </c>
      <c r="D43" s="246">
        <v>1582</v>
      </c>
      <c r="E43" s="246">
        <v>1719</v>
      </c>
      <c r="F43" s="246">
        <v>1983</v>
      </c>
      <c r="G43" s="83"/>
    </row>
    <row r="44" spans="1:7" ht="13.5" customHeight="1">
      <c r="A44" s="238" t="s">
        <v>136</v>
      </c>
      <c r="B44" s="244">
        <v>14069</v>
      </c>
      <c r="C44" s="244">
        <v>13757</v>
      </c>
      <c r="D44" s="244">
        <v>15575</v>
      </c>
      <c r="E44" s="244">
        <v>17691</v>
      </c>
      <c r="F44" s="244">
        <v>20858</v>
      </c>
      <c r="G44" s="83"/>
    </row>
    <row r="45" spans="1:7" ht="12.75" customHeight="1">
      <c r="A45" s="237" t="s">
        <v>137</v>
      </c>
      <c r="B45" s="246">
        <v>2902</v>
      </c>
      <c r="C45" s="246">
        <v>2683</v>
      </c>
      <c r="D45" s="246">
        <v>2873</v>
      </c>
      <c r="E45" s="246">
        <v>2852</v>
      </c>
      <c r="F45" s="246">
        <v>3871</v>
      </c>
      <c r="G45" s="83"/>
    </row>
    <row r="46" spans="1:7" ht="12.75" customHeight="1">
      <c r="A46" s="238" t="s">
        <v>138</v>
      </c>
      <c r="B46" s="247">
        <v>137</v>
      </c>
      <c r="C46" s="247">
        <v>375</v>
      </c>
      <c r="D46" s="247">
        <v>192</v>
      </c>
      <c r="E46" s="247">
        <v>152</v>
      </c>
      <c r="F46" s="247">
        <v>153</v>
      </c>
      <c r="G46" s="83"/>
    </row>
    <row r="47" spans="1:7" ht="12.75" customHeight="1">
      <c r="A47" s="238" t="s">
        <v>139</v>
      </c>
      <c r="B47" s="247">
        <v>967</v>
      </c>
      <c r="C47" s="247">
        <v>879</v>
      </c>
      <c r="D47" s="246">
        <v>1348</v>
      </c>
      <c r="E47" s="246">
        <v>1420</v>
      </c>
      <c r="F47" s="246">
        <v>1930</v>
      </c>
      <c r="G47" s="83"/>
    </row>
    <row r="48" spans="1:7" ht="12.75" customHeight="1">
      <c r="A48" s="238" t="s">
        <v>140</v>
      </c>
      <c r="B48" s="246">
        <v>2004</v>
      </c>
      <c r="C48" s="246">
        <v>1930</v>
      </c>
      <c r="D48" s="246">
        <v>2083</v>
      </c>
      <c r="E48" s="246">
        <v>2139</v>
      </c>
      <c r="F48" s="246">
        <v>2544</v>
      </c>
      <c r="G48" s="83"/>
    </row>
    <row r="49" spans="1:7" ht="12.75" customHeight="1">
      <c r="A49" s="238" t="s">
        <v>141</v>
      </c>
      <c r="B49" s="247">
        <v>149</v>
      </c>
      <c r="C49" s="247">
        <v>139</v>
      </c>
      <c r="D49" s="247">
        <v>169</v>
      </c>
      <c r="E49" s="247">
        <v>201</v>
      </c>
      <c r="F49" s="247">
        <v>244</v>
      </c>
      <c r="G49" s="83"/>
    </row>
    <row r="50" spans="1:7" ht="12.75" customHeight="1">
      <c r="A50" s="238" t="s">
        <v>143</v>
      </c>
      <c r="B50" s="247">
        <v>61</v>
      </c>
      <c r="C50" s="247">
        <v>61</v>
      </c>
      <c r="D50" s="247">
        <v>72</v>
      </c>
      <c r="E50" s="247">
        <v>81</v>
      </c>
      <c r="F50" s="247">
        <v>94</v>
      </c>
      <c r="G50" s="83"/>
    </row>
    <row r="51" spans="1:7" ht="12.75" customHeight="1">
      <c r="A51" s="238" t="s">
        <v>144</v>
      </c>
      <c r="B51" s="247">
        <v>42</v>
      </c>
      <c r="C51" s="247">
        <v>40</v>
      </c>
      <c r="D51" s="247">
        <v>45</v>
      </c>
      <c r="E51" s="247">
        <v>63</v>
      </c>
      <c r="F51" s="247">
        <v>65</v>
      </c>
      <c r="G51" s="83"/>
    </row>
    <row r="52" spans="1:7" ht="12.75" customHeight="1">
      <c r="A52" s="238" t="s">
        <v>145</v>
      </c>
      <c r="B52" s="247">
        <v>523</v>
      </c>
      <c r="C52" s="247">
        <v>537</v>
      </c>
      <c r="D52" s="247">
        <v>534</v>
      </c>
      <c r="E52" s="247">
        <v>546</v>
      </c>
      <c r="F52" s="247">
        <v>649</v>
      </c>
      <c r="G52" s="83"/>
    </row>
    <row r="53" spans="1:7" ht="13.5" customHeight="1">
      <c r="A53" s="238" t="s">
        <v>146</v>
      </c>
      <c r="B53" s="247">
        <v>302</v>
      </c>
      <c r="C53" s="247">
        <v>89</v>
      </c>
      <c r="D53" s="247">
        <v>101</v>
      </c>
      <c r="E53" s="247">
        <v>117</v>
      </c>
      <c r="F53" s="247">
        <v>392</v>
      </c>
      <c r="G53" s="83"/>
    </row>
    <row r="54" spans="1:7" ht="12.75" customHeight="1">
      <c r="A54" s="238" t="s">
        <v>147</v>
      </c>
      <c r="B54" s="246">
        <v>4186</v>
      </c>
      <c r="C54" s="246">
        <v>4050</v>
      </c>
      <c r="D54" s="246">
        <v>4544</v>
      </c>
      <c r="E54" s="246">
        <v>4720</v>
      </c>
      <c r="F54" s="246">
        <v>6070</v>
      </c>
      <c r="G54" s="83"/>
    </row>
    <row r="55" spans="1:7" ht="12.75" customHeight="1">
      <c r="A55" s="238" t="s">
        <v>148</v>
      </c>
      <c r="B55" s="246">
        <v>1284</v>
      </c>
      <c r="C55" s="246">
        <v>1367</v>
      </c>
      <c r="D55" s="246">
        <v>1671</v>
      </c>
      <c r="E55" s="246">
        <v>1867</v>
      </c>
      <c r="F55" s="246">
        <v>2199</v>
      </c>
      <c r="G55" s="83"/>
    </row>
    <row r="56" spans="1:7" ht="12.75" customHeight="1">
      <c r="A56" s="238" t="s">
        <v>149</v>
      </c>
      <c r="B56" s="245">
        <v>339</v>
      </c>
      <c r="C56" s="245">
        <v>323</v>
      </c>
      <c r="D56" s="245">
        <v>159</v>
      </c>
      <c r="E56" s="245">
        <v>548</v>
      </c>
      <c r="F56" s="245">
        <v>282</v>
      </c>
      <c r="G56" s="83"/>
    </row>
    <row r="57" spans="1:7" ht="13.5" customHeight="1">
      <c r="A57" s="238" t="s">
        <v>150</v>
      </c>
      <c r="B57" s="247">
        <v>371</v>
      </c>
      <c r="C57" s="247">
        <v>622</v>
      </c>
      <c r="D57" s="247">
        <v>484</v>
      </c>
      <c r="E57" s="246">
        <v>1846</v>
      </c>
      <c r="F57" s="246">
        <v>1869</v>
      </c>
      <c r="G57" s="83"/>
    </row>
    <row r="58" spans="1:7" ht="12.75" customHeight="1">
      <c r="A58" s="237" t="s">
        <v>151</v>
      </c>
      <c r="B58" s="244">
        <v>10457</v>
      </c>
      <c r="C58" s="244">
        <v>10129</v>
      </c>
      <c r="D58" s="244">
        <v>12060</v>
      </c>
      <c r="E58" s="244">
        <v>12445</v>
      </c>
      <c r="F58" s="244">
        <v>14836</v>
      </c>
      <c r="G58" s="83"/>
    </row>
    <row r="59" spans="1:7" ht="12.75" customHeight="1">
      <c r="A59" s="238" t="s">
        <v>152</v>
      </c>
      <c r="B59" s="244">
        <v>3006</v>
      </c>
      <c r="C59" s="244">
        <v>2608</v>
      </c>
      <c r="D59" s="244">
        <v>2661</v>
      </c>
      <c r="E59" s="244">
        <v>2922</v>
      </c>
      <c r="F59" s="244">
        <v>3333</v>
      </c>
      <c r="G59" s="83"/>
    </row>
    <row r="60" spans="1:7" ht="12.75" customHeight="1">
      <c r="A60" s="237" t="s">
        <v>188</v>
      </c>
      <c r="B60" s="244">
        <v>1885</v>
      </c>
      <c r="C60" s="244">
        <v>2132</v>
      </c>
      <c r="D60" s="244">
        <v>2253</v>
      </c>
      <c r="E60" s="244">
        <v>2466</v>
      </c>
      <c r="F60" s="244">
        <v>2979</v>
      </c>
      <c r="G60" s="83"/>
    </row>
    <row r="61" spans="1:7" ht="12.75" customHeight="1">
      <c r="A61" s="238" t="s">
        <v>154</v>
      </c>
      <c r="B61" s="244">
        <v>2579</v>
      </c>
      <c r="C61" s="244">
        <v>2617</v>
      </c>
      <c r="D61" s="244">
        <v>1579</v>
      </c>
      <c r="E61" s="244">
        <v>1563</v>
      </c>
      <c r="F61" s="244">
        <v>1733</v>
      </c>
      <c r="G61" s="83"/>
    </row>
    <row r="62" spans="1:7" ht="12.75" customHeight="1">
      <c r="A62" s="238" t="s">
        <v>155</v>
      </c>
      <c r="B62" s="245">
        <v>134</v>
      </c>
      <c r="C62" s="245">
        <v>173</v>
      </c>
      <c r="D62" s="245">
        <v>181</v>
      </c>
      <c r="E62" s="245">
        <v>199</v>
      </c>
      <c r="F62" s="245">
        <v>202</v>
      </c>
      <c r="G62" s="83"/>
    </row>
    <row r="63" spans="1:7" ht="13.5" customHeight="1">
      <c r="A63" s="238" t="s">
        <v>156</v>
      </c>
      <c r="B63" s="244">
        <v>2854</v>
      </c>
      <c r="C63" s="244">
        <v>2600</v>
      </c>
      <c r="D63" s="244">
        <v>5385</v>
      </c>
      <c r="E63" s="244">
        <v>5294</v>
      </c>
      <c r="F63" s="244">
        <v>6589</v>
      </c>
      <c r="G63" s="83"/>
    </row>
    <row r="64" spans="1:7" ht="12.75" customHeight="1">
      <c r="A64" s="238" t="s">
        <v>157</v>
      </c>
      <c r="B64" s="246">
        <v>14069</v>
      </c>
      <c r="C64" s="246">
        <v>13757</v>
      </c>
      <c r="D64" s="246">
        <v>15575</v>
      </c>
      <c r="E64" s="246">
        <v>17691</v>
      </c>
      <c r="F64" s="246">
        <v>20858</v>
      </c>
      <c r="G64" s="83"/>
    </row>
    <row r="65" spans="1:7">
      <c r="A65" s="79"/>
      <c r="B65" s="79"/>
      <c r="C65" s="79"/>
      <c r="D65" s="79"/>
      <c r="E65" s="79"/>
      <c r="F65" s="79"/>
      <c r="G65" s="79"/>
    </row>
    <row r="66" spans="1:7">
      <c r="A66" s="79"/>
      <c r="B66" s="79"/>
      <c r="C66" s="79"/>
      <c r="D66" s="79"/>
      <c r="E66" s="79"/>
      <c r="F66" s="79"/>
      <c r="G66" s="79"/>
    </row>
    <row r="67" spans="1:7" ht="13.5" customHeight="1">
      <c r="A67" s="259"/>
      <c r="B67" s="264">
        <v>44621</v>
      </c>
      <c r="C67" s="264">
        <v>44986</v>
      </c>
      <c r="D67" s="264">
        <v>45352</v>
      </c>
      <c r="E67" s="264">
        <v>45717</v>
      </c>
      <c r="F67" s="264">
        <v>46082</v>
      </c>
      <c r="G67" s="265"/>
    </row>
    <row r="68" spans="1:7" ht="13.5" customHeight="1">
      <c r="A68" s="260" t="s">
        <v>158</v>
      </c>
      <c r="B68" s="244">
        <v>1111</v>
      </c>
      <c r="C68" s="244">
        <v>1682</v>
      </c>
      <c r="D68" s="244">
        <v>1948</v>
      </c>
      <c r="E68" s="244">
        <v>1913</v>
      </c>
      <c r="F68" s="244">
        <v>1963</v>
      </c>
      <c r="G68" s="83"/>
    </row>
    <row r="69" spans="1:7" ht="12.75" customHeight="1">
      <c r="A69" s="261" t="s">
        <v>159</v>
      </c>
      <c r="B69" s="244">
        <v>2053</v>
      </c>
      <c r="C69" s="244">
        <v>1629</v>
      </c>
      <c r="D69" s="244">
        <v>2407</v>
      </c>
      <c r="E69" s="244">
        <v>2631</v>
      </c>
      <c r="F69" s="244">
        <v>3007</v>
      </c>
      <c r="G69" s="83"/>
    </row>
    <row r="70" spans="1:7" ht="12.75" customHeight="1">
      <c r="A70" s="261" t="s">
        <v>160</v>
      </c>
      <c r="B70" s="245">
        <v>-222</v>
      </c>
      <c r="C70" s="245">
        <v>-135</v>
      </c>
      <c r="D70" s="245">
        <v>-222</v>
      </c>
      <c r="E70" s="245">
        <v>-219</v>
      </c>
      <c r="F70" s="245">
        <v>-329</v>
      </c>
      <c r="G70" s="83"/>
    </row>
    <row r="71" spans="1:7" ht="12.75" customHeight="1">
      <c r="A71" s="261" t="s">
        <v>161</v>
      </c>
      <c r="B71" s="245">
        <v>-673</v>
      </c>
      <c r="C71" s="245">
        <v>473</v>
      </c>
      <c r="D71" s="245">
        <v>-73</v>
      </c>
      <c r="E71" s="245">
        <v>-261</v>
      </c>
      <c r="F71" s="245">
        <v>-247</v>
      </c>
      <c r="G71" s="83"/>
    </row>
    <row r="72" spans="1:7" ht="12.75" customHeight="1">
      <c r="A72" s="261" t="s">
        <v>162</v>
      </c>
      <c r="B72" s="245">
        <v>334</v>
      </c>
      <c r="C72" s="245">
        <v>15</v>
      </c>
      <c r="D72" s="245">
        <v>525</v>
      </c>
      <c r="E72" s="245">
        <v>217</v>
      </c>
      <c r="F72" s="245">
        <v>121</v>
      </c>
      <c r="G72" s="83"/>
    </row>
    <row r="73" spans="1:7" ht="12.75" customHeight="1">
      <c r="A73" s="261" t="s">
        <v>163</v>
      </c>
      <c r="B73" s="245">
        <v>-44</v>
      </c>
      <c r="C73" s="245">
        <v>-77</v>
      </c>
      <c r="D73" s="245">
        <v>-135</v>
      </c>
      <c r="E73" s="245">
        <v>25</v>
      </c>
      <c r="F73" s="245">
        <v>-88</v>
      </c>
      <c r="G73" s="83"/>
    </row>
    <row r="74" spans="1:7" ht="13.5" customHeight="1">
      <c r="A74" s="261" t="s">
        <v>164</v>
      </c>
      <c r="B74" s="245">
        <v>59</v>
      </c>
      <c r="C74" s="245">
        <v>51</v>
      </c>
      <c r="D74" s="245">
        <v>-146</v>
      </c>
      <c r="E74" s="245">
        <v>24</v>
      </c>
      <c r="F74" s="245">
        <v>127</v>
      </c>
      <c r="G74" s="83"/>
    </row>
    <row r="75" spans="1:7" ht="12.75" customHeight="1">
      <c r="A75" s="261" t="s">
        <v>165</v>
      </c>
      <c r="B75" s="245">
        <v>-545</v>
      </c>
      <c r="C75" s="245">
        <v>327</v>
      </c>
      <c r="D75" s="245">
        <v>-52</v>
      </c>
      <c r="E75" s="245">
        <v>-214</v>
      </c>
      <c r="F75" s="245">
        <v>-415</v>
      </c>
      <c r="G75" s="83"/>
    </row>
    <row r="76" spans="1:7" ht="13.5" customHeight="1">
      <c r="A76" s="261" t="s">
        <v>166</v>
      </c>
      <c r="B76" s="245">
        <v>-397</v>
      </c>
      <c r="C76" s="245">
        <v>-273</v>
      </c>
      <c r="D76" s="245">
        <v>-407</v>
      </c>
      <c r="E76" s="245">
        <v>-504</v>
      </c>
      <c r="F76" s="245">
        <v>-629</v>
      </c>
      <c r="G76" s="83"/>
    </row>
    <row r="77" spans="1:7" ht="12.75" customHeight="1">
      <c r="A77" s="260" t="s">
        <v>167</v>
      </c>
      <c r="B77" s="246">
        <v>-1433</v>
      </c>
      <c r="C77" s="247">
        <v>120</v>
      </c>
      <c r="D77" s="246">
        <v>-1011</v>
      </c>
      <c r="E77" s="246">
        <v>-1288</v>
      </c>
      <c r="F77" s="246">
        <v>-1682</v>
      </c>
      <c r="G77" s="83"/>
    </row>
    <row r="78" spans="1:7" ht="12.75" customHeight="1">
      <c r="A78" s="261" t="s">
        <v>168</v>
      </c>
      <c r="B78" s="247">
        <v>-339</v>
      </c>
      <c r="C78" s="247">
        <v>-233</v>
      </c>
      <c r="D78" s="247">
        <v>-259</v>
      </c>
      <c r="E78" s="247">
        <v>-676</v>
      </c>
      <c r="F78" s="247">
        <v>-617</v>
      </c>
      <c r="G78" s="83"/>
    </row>
    <row r="79" spans="1:7" ht="12.75" customHeight="1">
      <c r="A79" s="261" t="s">
        <v>169</v>
      </c>
      <c r="B79" s="247">
        <v>11</v>
      </c>
      <c r="C79" s="247">
        <v>3</v>
      </c>
      <c r="D79" s="247">
        <v>72</v>
      </c>
      <c r="E79" s="247">
        <v>41</v>
      </c>
      <c r="F79" s="247">
        <v>130</v>
      </c>
      <c r="G79" s="83"/>
    </row>
    <row r="80" spans="1:7" ht="12.75" customHeight="1">
      <c r="A80" s="261" t="s">
        <v>170</v>
      </c>
      <c r="B80" s="247">
        <v>-41</v>
      </c>
      <c r="C80" s="247">
        <v>-218</v>
      </c>
      <c r="D80" s="247">
        <v>-53</v>
      </c>
      <c r="E80" s="246">
        <v>-1938</v>
      </c>
      <c r="F80" s="246">
        <v>-2506</v>
      </c>
      <c r="G80" s="83"/>
    </row>
    <row r="81" spans="1:7" ht="12.75" customHeight="1">
      <c r="A81" s="261" t="s">
        <v>171</v>
      </c>
      <c r="B81" s="247">
        <v>0</v>
      </c>
      <c r="C81" s="247">
        <v>0</v>
      </c>
      <c r="D81" s="247">
        <v>214</v>
      </c>
      <c r="E81" s="247">
        <v>662</v>
      </c>
      <c r="F81" s="246">
        <v>2561</v>
      </c>
      <c r="G81" s="83"/>
    </row>
    <row r="82" spans="1:7" ht="12.75" customHeight="1">
      <c r="A82" s="261" t="s">
        <v>189</v>
      </c>
      <c r="B82" s="247">
        <v>0</v>
      </c>
      <c r="C82" s="247">
        <v>0</v>
      </c>
      <c r="D82" s="247">
        <v>0</v>
      </c>
      <c r="E82" s="247">
        <v>0</v>
      </c>
      <c r="F82" s="247">
        <v>0</v>
      </c>
      <c r="G82" s="83"/>
    </row>
    <row r="83" spans="1:7" ht="12.75" customHeight="1">
      <c r="A83" s="261" t="s">
        <v>172</v>
      </c>
      <c r="B83" s="247">
        <v>98</v>
      </c>
      <c r="C83" s="247">
        <v>147</v>
      </c>
      <c r="D83" s="247">
        <v>239</v>
      </c>
      <c r="E83" s="247">
        <v>348</v>
      </c>
      <c r="F83" s="247">
        <v>328</v>
      </c>
      <c r="G83" s="83"/>
    </row>
    <row r="84" spans="1:7" ht="12.75" customHeight="1">
      <c r="A84" s="261" t="s">
        <v>190</v>
      </c>
      <c r="B84" s="247">
        <v>0</v>
      </c>
      <c r="C84" s="247">
        <v>0</v>
      </c>
      <c r="D84" s="247">
        <v>0</v>
      </c>
      <c r="E84" s="247">
        <v>0</v>
      </c>
      <c r="F84" s="247">
        <v>0</v>
      </c>
      <c r="G84" s="83"/>
    </row>
    <row r="85" spans="1:7" ht="12.75" customHeight="1">
      <c r="A85" s="261" t="s">
        <v>191</v>
      </c>
      <c r="B85" s="247">
        <v>0</v>
      </c>
      <c r="C85" s="247">
        <v>0</v>
      </c>
      <c r="D85" s="247">
        <v>0</v>
      </c>
      <c r="E85" s="247">
        <v>-33</v>
      </c>
      <c r="F85" s="247">
        <v>-4</v>
      </c>
      <c r="G85" s="83"/>
    </row>
    <row r="86" spans="1:7" ht="12.75" customHeight="1">
      <c r="A86" s="261" t="s">
        <v>173</v>
      </c>
      <c r="B86" s="247">
        <v>0</v>
      </c>
      <c r="C86" s="247">
        <v>0</v>
      </c>
      <c r="D86" s="247">
        <v>0</v>
      </c>
      <c r="E86" s="247">
        <v>0</v>
      </c>
      <c r="F86" s="247">
        <v>0</v>
      </c>
      <c r="G86" s="83"/>
    </row>
    <row r="87" spans="1:7" ht="13.5" customHeight="1">
      <c r="A87" s="261" t="s">
        <v>175</v>
      </c>
      <c r="B87" s="246">
        <v>-1162</v>
      </c>
      <c r="C87" s="247">
        <v>420</v>
      </c>
      <c r="D87" s="246">
        <v>-1224</v>
      </c>
      <c r="E87" s="247">
        <v>308</v>
      </c>
      <c r="F87" s="246">
        <v>-1573</v>
      </c>
      <c r="G87" s="83"/>
    </row>
    <row r="88" spans="1:7" ht="12.75" customHeight="1">
      <c r="A88" s="260" t="s">
        <v>176</v>
      </c>
      <c r="B88" s="245">
        <v>380</v>
      </c>
      <c r="C88" s="244">
        <v>-1761</v>
      </c>
      <c r="D88" s="244">
        <v>-1145</v>
      </c>
      <c r="E88" s="245">
        <v>-811</v>
      </c>
      <c r="F88" s="245">
        <v>-503</v>
      </c>
      <c r="G88" s="83"/>
    </row>
    <row r="89" spans="1:7" ht="12.75" customHeight="1">
      <c r="A89" s="261" t="s">
        <v>192</v>
      </c>
      <c r="B89" s="245">
        <v>0</v>
      </c>
      <c r="C89" s="245">
        <v>0</v>
      </c>
      <c r="D89" s="245">
        <v>0</v>
      </c>
      <c r="E89" s="245">
        <v>0</v>
      </c>
      <c r="F89" s="245">
        <v>0</v>
      </c>
      <c r="G89" s="83"/>
    </row>
    <row r="90" spans="1:7" ht="12.75" customHeight="1">
      <c r="A90" s="261" t="s">
        <v>193</v>
      </c>
      <c r="B90" s="245">
        <v>0</v>
      </c>
      <c r="C90" s="245">
        <v>161</v>
      </c>
      <c r="D90" s="245">
        <v>0</v>
      </c>
      <c r="E90" s="245">
        <v>0</v>
      </c>
      <c r="F90" s="245">
        <v>0</v>
      </c>
      <c r="G90" s="83"/>
    </row>
    <row r="91" spans="1:7" ht="12.75" customHeight="1">
      <c r="A91" s="261" t="s">
        <v>177</v>
      </c>
      <c r="B91" s="245">
        <v>882</v>
      </c>
      <c r="C91" s="245">
        <v>0</v>
      </c>
      <c r="D91" s="245">
        <v>40</v>
      </c>
      <c r="E91" s="245">
        <v>288</v>
      </c>
      <c r="F91" s="245">
        <v>314</v>
      </c>
      <c r="G91" s="83"/>
    </row>
    <row r="92" spans="1:7" ht="12.75" customHeight="1">
      <c r="A92" s="261" t="s">
        <v>178</v>
      </c>
      <c r="B92" s="245">
        <v>-19</v>
      </c>
      <c r="C92" s="244">
        <v>-1278</v>
      </c>
      <c r="D92" s="245">
        <v>-521</v>
      </c>
      <c r="E92" s="245">
        <v>-482</v>
      </c>
      <c r="F92" s="245">
        <v>-65</v>
      </c>
      <c r="G92" s="83"/>
    </row>
    <row r="93" spans="1:7" ht="12.75" customHeight="1">
      <c r="A93" s="261" t="s">
        <v>180</v>
      </c>
      <c r="B93" s="245">
        <v>-40</v>
      </c>
      <c r="C93" s="245">
        <v>-90</v>
      </c>
      <c r="D93" s="245">
        <v>-91</v>
      </c>
      <c r="E93" s="245">
        <v>-81</v>
      </c>
      <c r="F93" s="245">
        <v>-123</v>
      </c>
      <c r="G93" s="83"/>
    </row>
    <row r="94" spans="1:7" ht="12.75" customHeight="1">
      <c r="A94" s="261" t="s">
        <v>181</v>
      </c>
      <c r="B94" s="245">
        <v>-422</v>
      </c>
      <c r="C94" s="245">
        <v>-530</v>
      </c>
      <c r="D94" s="245">
        <v>-540</v>
      </c>
      <c r="E94" s="245">
        <v>-505</v>
      </c>
      <c r="F94" s="245">
        <v>-614</v>
      </c>
      <c r="G94" s="83"/>
    </row>
    <row r="95" spans="1:7" ht="12.75" customHeight="1">
      <c r="A95" s="261" t="s">
        <v>182</v>
      </c>
      <c r="B95" s="245">
        <v>-21</v>
      </c>
      <c r="C95" s="245">
        <v>-24</v>
      </c>
      <c r="D95" s="245">
        <v>-32</v>
      </c>
      <c r="E95" s="245">
        <v>-32</v>
      </c>
      <c r="F95" s="245">
        <v>-41</v>
      </c>
      <c r="G95" s="83"/>
    </row>
    <row r="96" spans="1:7" ht="13.5" customHeight="1">
      <c r="A96" s="261" t="s">
        <v>194</v>
      </c>
      <c r="B96" s="245">
        <v>0</v>
      </c>
      <c r="C96" s="245">
        <v>0</v>
      </c>
      <c r="D96" s="245">
        <v>0</v>
      </c>
      <c r="E96" s="245">
        <v>0</v>
      </c>
      <c r="F96" s="245">
        <v>26</v>
      </c>
      <c r="G96" s="83"/>
    </row>
    <row r="97" spans="1:7" ht="12.75" customHeight="1">
      <c r="A97" s="261" t="s">
        <v>183</v>
      </c>
      <c r="B97" s="247">
        <v>58</v>
      </c>
      <c r="C97" s="247">
        <v>42</v>
      </c>
      <c r="D97" s="247">
        <v>-207</v>
      </c>
      <c r="E97" s="247">
        <v>-186</v>
      </c>
      <c r="F97" s="247">
        <v>-222</v>
      </c>
      <c r="G97" s="83"/>
    </row>
    <row r="98" spans="1:7" ht="12.75" customHeight="1">
      <c r="A98" s="262" t="s">
        <v>184</v>
      </c>
      <c r="B98" s="248">
        <v>783</v>
      </c>
      <c r="C98" s="249">
        <v>1453</v>
      </c>
      <c r="D98" s="249">
        <v>1761</v>
      </c>
      <c r="E98" s="249">
        <v>1278</v>
      </c>
      <c r="F98" s="249">
        <v>1476</v>
      </c>
      <c r="G98" s="83"/>
    </row>
    <row r="99" spans="1:7" ht="12.75" customHeight="1">
      <c r="A99" s="262" t="s">
        <v>185</v>
      </c>
      <c r="B99" s="250">
        <v>0.73</v>
      </c>
      <c r="C99" s="250">
        <v>1.21</v>
      </c>
      <c r="D99" s="250">
        <v>1.05</v>
      </c>
      <c r="E99" s="250">
        <v>0.96</v>
      </c>
      <c r="F99" s="250">
        <v>0.86</v>
      </c>
      <c r="G99" s="83"/>
    </row>
    <row r="100" spans="1:7">
      <c r="A100" s="263"/>
      <c r="B100" s="83"/>
      <c r="C100" s="83"/>
      <c r="D100" s="83"/>
      <c r="E100" s="83"/>
      <c r="F100" s="83"/>
      <c r="G100" s="83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6"/>
  <sheetViews>
    <sheetView topLeftCell="A18" zoomScaleNormal="100" workbookViewId="0">
      <selection activeCell="K14" sqref="K14"/>
    </sheetView>
  </sheetViews>
  <sheetFormatPr defaultColWidth="12.6640625" defaultRowHeight="13.2"/>
  <cols>
    <col min="1" max="1" width="25.77734375" customWidth="1"/>
  </cols>
  <sheetData>
    <row r="1" spans="1:7" ht="21" customHeight="1">
      <c r="A1" s="440" t="s">
        <v>36</v>
      </c>
      <c r="B1" s="439"/>
      <c r="C1" s="439"/>
      <c r="D1" s="439"/>
      <c r="E1" s="439"/>
      <c r="F1" s="439"/>
      <c r="G1" s="439"/>
    </row>
    <row r="2" spans="1:7" ht="13.5" customHeight="1">
      <c r="A2" s="269"/>
      <c r="B2" s="272">
        <v>44621</v>
      </c>
      <c r="C2" s="272">
        <v>44986</v>
      </c>
      <c r="D2" s="272">
        <v>45352</v>
      </c>
      <c r="E2" s="272">
        <v>45717</v>
      </c>
      <c r="F2" s="272">
        <v>46082</v>
      </c>
      <c r="G2" s="273"/>
    </row>
    <row r="3" spans="1:7" ht="12.75" customHeight="1">
      <c r="A3" s="270" t="s">
        <v>97</v>
      </c>
      <c r="B3" s="274">
        <v>4919</v>
      </c>
      <c r="C3" s="274">
        <v>5349</v>
      </c>
      <c r="D3" s="274">
        <v>5849</v>
      </c>
      <c r="E3" s="274">
        <v>6409</v>
      </c>
      <c r="F3" s="274">
        <v>6929</v>
      </c>
      <c r="G3" s="274"/>
    </row>
    <row r="4" spans="1:7" ht="13.5" customHeight="1">
      <c r="A4" s="271" t="s">
        <v>98</v>
      </c>
      <c r="B4" s="275">
        <v>0.1414</v>
      </c>
      <c r="C4" s="275">
        <v>8.7300000000000003E-2</v>
      </c>
      <c r="D4" s="275">
        <v>9.35E-2</v>
      </c>
      <c r="E4" s="275">
        <v>9.5799999999999996E-2</v>
      </c>
      <c r="F4" s="275">
        <v>8.1100000000000005E-2</v>
      </c>
      <c r="G4" s="276"/>
    </row>
    <row r="5" spans="1:7" ht="13.5" customHeight="1">
      <c r="A5" s="270" t="s">
        <v>99</v>
      </c>
      <c r="B5" s="277">
        <v>3832</v>
      </c>
      <c r="C5" s="277">
        <v>4143</v>
      </c>
      <c r="D5" s="277">
        <v>4396</v>
      </c>
      <c r="E5" s="277">
        <v>4714</v>
      </c>
      <c r="F5" s="277">
        <v>5037</v>
      </c>
      <c r="G5" s="277"/>
    </row>
    <row r="6" spans="1:7" ht="12.75" customHeight="1">
      <c r="A6" s="270" t="s">
        <v>100</v>
      </c>
      <c r="B6" s="278">
        <v>0.54</v>
      </c>
      <c r="C6" s="278">
        <v>0.56000000000000005</v>
      </c>
      <c r="D6" s="278">
        <v>0.55000000000000004</v>
      </c>
      <c r="E6" s="278">
        <v>0.55000000000000004</v>
      </c>
      <c r="F6" s="278">
        <v>0.53</v>
      </c>
      <c r="G6" s="279"/>
    </row>
    <row r="7" spans="1:7" ht="12.75" customHeight="1">
      <c r="A7" s="271" t="s">
        <v>101</v>
      </c>
      <c r="B7" s="277">
        <v>2679</v>
      </c>
      <c r="C7" s="277">
        <v>2909</v>
      </c>
      <c r="D7" s="277">
        <v>3213</v>
      </c>
      <c r="E7" s="277">
        <v>3677</v>
      </c>
      <c r="F7" s="277">
        <v>3778</v>
      </c>
      <c r="G7" s="279"/>
    </row>
    <row r="8" spans="1:7" ht="12.75" customHeight="1">
      <c r="A8" s="271" t="s">
        <v>102</v>
      </c>
      <c r="B8" s="279">
        <v>-22</v>
      </c>
      <c r="C8" s="279">
        <v>66</v>
      </c>
      <c r="D8" s="279">
        <v>8</v>
      </c>
      <c r="E8" s="279">
        <v>-181</v>
      </c>
      <c r="F8" s="279">
        <v>-85</v>
      </c>
      <c r="G8" s="279"/>
    </row>
    <row r="9" spans="1:7" ht="12.75" customHeight="1">
      <c r="A9" s="271" t="s">
        <v>103</v>
      </c>
      <c r="B9" s="278">
        <v>0.02</v>
      </c>
      <c r="C9" s="278">
        <v>0.01</v>
      </c>
      <c r="D9" s="278">
        <v>0.02</v>
      </c>
      <c r="E9" s="278">
        <v>0.02</v>
      </c>
      <c r="F9" s="278">
        <v>0.02</v>
      </c>
      <c r="G9" s="279"/>
    </row>
    <row r="10" spans="1:7" ht="12.75" customHeight="1">
      <c r="A10" s="271" t="s">
        <v>104</v>
      </c>
      <c r="B10" s="278">
        <v>0.12</v>
      </c>
      <c r="C10" s="278">
        <v>0.11</v>
      </c>
      <c r="D10" s="278">
        <v>0.1</v>
      </c>
      <c r="E10" s="278">
        <v>0.09</v>
      </c>
      <c r="F10" s="278">
        <v>0.1</v>
      </c>
      <c r="G10" s="279"/>
    </row>
    <row r="11" spans="1:7" ht="13.5" customHeight="1">
      <c r="A11" s="271" t="s">
        <v>105</v>
      </c>
      <c r="B11" s="278">
        <v>0.11</v>
      </c>
      <c r="C11" s="278">
        <v>0.1</v>
      </c>
      <c r="D11" s="278">
        <v>0.08</v>
      </c>
      <c r="E11" s="278">
        <v>7.0000000000000007E-2</v>
      </c>
      <c r="F11" s="278">
        <v>7.0000000000000007E-2</v>
      </c>
      <c r="G11" s="279"/>
    </row>
    <row r="12" spans="1:7" ht="12.75" customHeight="1">
      <c r="A12" s="271" t="s">
        <v>106</v>
      </c>
      <c r="B12" s="274">
        <v>1088</v>
      </c>
      <c r="C12" s="274">
        <v>1206</v>
      </c>
      <c r="D12" s="274">
        <v>1453</v>
      </c>
      <c r="E12" s="274">
        <v>1695</v>
      </c>
      <c r="F12" s="274">
        <v>1892</v>
      </c>
      <c r="G12" s="274"/>
    </row>
    <row r="13" spans="1:7" ht="13.5" customHeight="1">
      <c r="A13" s="271" t="s">
        <v>107</v>
      </c>
      <c r="B13" s="278">
        <v>0.22</v>
      </c>
      <c r="C13" s="278">
        <v>0.23</v>
      </c>
      <c r="D13" s="278">
        <v>0.25</v>
      </c>
      <c r="E13" s="278">
        <v>0.26</v>
      </c>
      <c r="F13" s="278">
        <v>0.27</v>
      </c>
      <c r="G13" s="278"/>
    </row>
    <row r="14" spans="1:7" ht="12.75" customHeight="1">
      <c r="A14" s="270" t="s">
        <v>108</v>
      </c>
      <c r="B14" s="276">
        <v>77</v>
      </c>
      <c r="C14" s="276">
        <v>154</v>
      </c>
      <c r="D14" s="276">
        <v>248</v>
      </c>
      <c r="E14" s="276">
        <v>275</v>
      </c>
      <c r="F14" s="276">
        <v>288</v>
      </c>
      <c r="G14" s="276"/>
    </row>
    <row r="15" spans="1:7" ht="12.75" customHeight="1">
      <c r="A15" s="271" t="s">
        <v>109</v>
      </c>
      <c r="B15" s="276">
        <v>0</v>
      </c>
      <c r="C15" s="276">
        <v>0</v>
      </c>
      <c r="D15" s="276">
        <v>0</v>
      </c>
      <c r="E15" s="276">
        <v>-1</v>
      </c>
      <c r="F15" s="276">
        <v>4</v>
      </c>
      <c r="G15" s="276"/>
    </row>
    <row r="16" spans="1:7" ht="12.75" customHeight="1">
      <c r="A16" s="271" t="s">
        <v>110</v>
      </c>
      <c r="B16" s="276">
        <v>77</v>
      </c>
      <c r="C16" s="276">
        <v>154</v>
      </c>
      <c r="D16" s="276">
        <v>248</v>
      </c>
      <c r="E16" s="276">
        <v>276</v>
      </c>
      <c r="F16" s="276">
        <v>284</v>
      </c>
      <c r="G16" s="276"/>
    </row>
    <row r="17" spans="1:7" ht="12.75" customHeight="1">
      <c r="A17" s="271" t="s">
        <v>111</v>
      </c>
      <c r="B17" s="279">
        <v>19</v>
      </c>
      <c r="C17" s="279">
        <v>16</v>
      </c>
      <c r="D17" s="279">
        <v>12</v>
      </c>
      <c r="E17" s="279">
        <v>11</v>
      </c>
      <c r="F17" s="279">
        <v>25</v>
      </c>
      <c r="G17" s="279"/>
    </row>
    <row r="18" spans="1:7" ht="13.5" customHeight="1">
      <c r="A18" s="271" t="s">
        <v>112</v>
      </c>
      <c r="B18" s="276">
        <v>66</v>
      </c>
      <c r="C18" s="276">
        <v>70</v>
      </c>
      <c r="D18" s="276">
        <v>71</v>
      </c>
      <c r="E18" s="276">
        <v>72</v>
      </c>
      <c r="F18" s="276">
        <v>76</v>
      </c>
      <c r="G18" s="276"/>
    </row>
    <row r="19" spans="1:7" ht="12.75" customHeight="1">
      <c r="A19" s="271" t="s">
        <v>113</v>
      </c>
      <c r="B19" s="277">
        <v>1080</v>
      </c>
      <c r="C19" s="277">
        <v>1274</v>
      </c>
      <c r="D19" s="277">
        <v>1618</v>
      </c>
      <c r="E19" s="277">
        <v>1887</v>
      </c>
      <c r="F19" s="277">
        <v>2079</v>
      </c>
      <c r="G19" s="277"/>
    </row>
    <row r="20" spans="1:7" ht="13.5" customHeight="1">
      <c r="A20" s="271" t="s">
        <v>114</v>
      </c>
      <c r="B20" s="280">
        <v>0.26</v>
      </c>
      <c r="C20" s="280">
        <v>0.25</v>
      </c>
      <c r="D20" s="280">
        <v>0.26</v>
      </c>
      <c r="E20" s="280">
        <v>0.25</v>
      </c>
      <c r="F20" s="280">
        <v>0.25</v>
      </c>
      <c r="G20" s="276"/>
    </row>
    <row r="21" spans="1:7" ht="12.75" customHeight="1">
      <c r="A21" s="270" t="s">
        <v>115</v>
      </c>
      <c r="B21" s="279">
        <v>799</v>
      </c>
      <c r="C21" s="279">
        <v>949</v>
      </c>
      <c r="D21" s="277">
        <v>1201</v>
      </c>
      <c r="E21" s="277">
        <v>1414</v>
      </c>
      <c r="F21" s="277">
        <v>1552</v>
      </c>
      <c r="G21" s="277"/>
    </row>
    <row r="22" spans="1:7" ht="12.75" customHeight="1">
      <c r="A22" s="271" t="s">
        <v>117</v>
      </c>
      <c r="B22" s="279">
        <v>0</v>
      </c>
      <c r="C22" s="279">
        <v>0</v>
      </c>
      <c r="D22" s="279">
        <v>0</v>
      </c>
      <c r="E22" s="279">
        <v>0</v>
      </c>
      <c r="F22" s="279">
        <v>5</v>
      </c>
      <c r="G22" s="279"/>
    </row>
    <row r="23" spans="1:7" ht="12.75" customHeight="1">
      <c r="A23" s="271" t="s">
        <v>118</v>
      </c>
      <c r="B23" s="279">
        <v>799</v>
      </c>
      <c r="C23" s="279">
        <v>950</v>
      </c>
      <c r="D23" s="277">
        <v>1201</v>
      </c>
      <c r="E23" s="277">
        <v>1415</v>
      </c>
      <c r="F23" s="277">
        <v>1547</v>
      </c>
      <c r="G23" s="279"/>
    </row>
    <row r="24" spans="1:7" ht="12.75" customHeight="1">
      <c r="A24" s="271" t="s">
        <v>119</v>
      </c>
      <c r="B24" s="279">
        <v>799</v>
      </c>
      <c r="C24" s="279">
        <v>950</v>
      </c>
      <c r="D24" s="277">
        <v>1201</v>
      </c>
      <c r="E24" s="277">
        <v>1415</v>
      </c>
      <c r="F24" s="277">
        <v>1547</v>
      </c>
      <c r="G24" s="279"/>
    </row>
    <row r="25" spans="1:7" ht="12.75" customHeight="1">
      <c r="A25" s="271" t="s">
        <v>120</v>
      </c>
      <c r="B25" s="279">
        <v>799</v>
      </c>
      <c r="C25" s="279">
        <v>949</v>
      </c>
      <c r="D25" s="277">
        <v>1201</v>
      </c>
      <c r="E25" s="277">
        <v>1414</v>
      </c>
      <c r="F25" s="277">
        <v>1552</v>
      </c>
      <c r="G25" s="279"/>
    </row>
    <row r="26" spans="1:7" ht="12.75" customHeight="1">
      <c r="A26" s="271" t="s">
        <v>121</v>
      </c>
      <c r="B26" s="278">
        <v>0.16</v>
      </c>
      <c r="C26" s="278">
        <v>0.19</v>
      </c>
      <c r="D26" s="278">
        <v>0.26</v>
      </c>
      <c r="E26" s="278">
        <v>0.18</v>
      </c>
      <c r="F26" s="278">
        <v>0.09</v>
      </c>
      <c r="G26" s="279"/>
    </row>
    <row r="27" spans="1:7" ht="12.75" customHeight="1">
      <c r="A27" s="271" t="s">
        <v>122</v>
      </c>
      <c r="B27" s="276">
        <v>375.87</v>
      </c>
      <c r="C27" s="276">
        <v>446.8</v>
      </c>
      <c r="D27" s="276">
        <v>565.29999999999995</v>
      </c>
      <c r="E27" s="276">
        <v>665.64</v>
      </c>
      <c r="F27" s="276">
        <v>730.39</v>
      </c>
      <c r="G27" s="276"/>
    </row>
    <row r="28" spans="1:7" ht="12.75" customHeight="1">
      <c r="A28" s="271" t="s">
        <v>123</v>
      </c>
      <c r="B28" s="278">
        <v>0.73</v>
      </c>
      <c r="C28" s="278">
        <v>0.73</v>
      </c>
      <c r="D28" s="278">
        <v>0.73</v>
      </c>
      <c r="E28" s="278">
        <v>0.71</v>
      </c>
      <c r="F28" s="278">
        <v>0.9</v>
      </c>
      <c r="G28" s="279"/>
    </row>
    <row r="29" spans="1:7" ht="12.75" customHeight="1">
      <c r="A29" s="19"/>
    </row>
    <row r="30" spans="1:7" ht="13.8" thickBot="1"/>
    <row r="31" spans="1:7" ht="12.75" customHeight="1">
      <c r="A31" s="281"/>
      <c r="B31" s="298">
        <v>44621</v>
      </c>
      <c r="C31" s="298">
        <v>44986</v>
      </c>
      <c r="D31" s="298">
        <v>45352</v>
      </c>
      <c r="E31" s="298">
        <v>45717</v>
      </c>
      <c r="F31" s="298">
        <v>46082</v>
      </c>
      <c r="G31" s="299"/>
    </row>
    <row r="32" spans="1:7" ht="12.75" customHeight="1">
      <c r="A32" s="282" t="s">
        <v>124</v>
      </c>
      <c r="B32" s="284">
        <v>21</v>
      </c>
      <c r="C32" s="284">
        <v>21</v>
      </c>
      <c r="D32" s="284">
        <v>21</v>
      </c>
      <c r="E32" s="284">
        <v>21</v>
      </c>
      <c r="F32" s="284">
        <v>21</v>
      </c>
      <c r="G32" s="285"/>
    </row>
    <row r="33" spans="1:7" ht="13.5" customHeight="1">
      <c r="A33" s="282" t="s">
        <v>125</v>
      </c>
      <c r="B33" s="286">
        <v>2799</v>
      </c>
      <c r="C33" s="286">
        <v>3167</v>
      </c>
      <c r="D33" s="286">
        <v>3678</v>
      </c>
      <c r="E33" s="286">
        <v>4212</v>
      </c>
      <c r="F33" s="286">
        <v>4753</v>
      </c>
      <c r="G33" s="285"/>
    </row>
    <row r="34" spans="1:7" ht="12.75" customHeight="1">
      <c r="A34" s="283" t="s">
        <v>126</v>
      </c>
      <c r="B34" s="284">
        <v>152</v>
      </c>
      <c r="C34" s="284">
        <v>113</v>
      </c>
      <c r="D34" s="284">
        <v>83</v>
      </c>
      <c r="E34" s="284">
        <v>197</v>
      </c>
      <c r="F34" s="284">
        <v>172</v>
      </c>
      <c r="G34" s="285"/>
    </row>
    <row r="35" spans="1:7" ht="13.5" customHeight="1">
      <c r="A35" s="282" t="s">
        <v>129</v>
      </c>
      <c r="B35" s="284">
        <v>152</v>
      </c>
      <c r="C35" s="284">
        <v>113</v>
      </c>
      <c r="D35" s="284">
        <v>83</v>
      </c>
      <c r="E35" s="284">
        <v>197</v>
      </c>
      <c r="F35" s="284">
        <v>172</v>
      </c>
      <c r="G35" s="285"/>
    </row>
    <row r="36" spans="1:7" ht="12.75" customHeight="1">
      <c r="A36" s="283" t="s">
        <v>131</v>
      </c>
      <c r="B36" s="286">
        <v>1253</v>
      </c>
      <c r="C36" s="286">
        <v>1254</v>
      </c>
      <c r="D36" s="286">
        <v>1411</v>
      </c>
      <c r="E36" s="286">
        <v>1487</v>
      </c>
      <c r="F36" s="286">
        <v>1556</v>
      </c>
      <c r="G36" s="285"/>
    </row>
    <row r="37" spans="1:7" ht="12.75" customHeight="1">
      <c r="A37" s="282" t="s">
        <v>133</v>
      </c>
      <c r="B37" s="287">
        <v>889</v>
      </c>
      <c r="C37" s="287">
        <v>892</v>
      </c>
      <c r="D37" s="286">
        <v>1003</v>
      </c>
      <c r="E37" s="286">
        <v>1058</v>
      </c>
      <c r="F37" s="286">
        <v>1107</v>
      </c>
      <c r="G37" s="285"/>
    </row>
    <row r="38" spans="1:7" ht="12.75" customHeight="1">
      <c r="A38" s="282" t="s">
        <v>134</v>
      </c>
      <c r="B38" s="287">
        <v>0</v>
      </c>
      <c r="C38" s="287">
        <v>0</v>
      </c>
      <c r="D38" s="287">
        <v>0</v>
      </c>
      <c r="E38" s="287">
        <v>0</v>
      </c>
      <c r="F38" s="287">
        <v>0</v>
      </c>
      <c r="G38" s="285"/>
    </row>
    <row r="39" spans="1:7" ht="13.5" customHeight="1">
      <c r="A39" s="282" t="s">
        <v>135</v>
      </c>
      <c r="B39" s="287">
        <v>363</v>
      </c>
      <c r="C39" s="287">
        <v>362</v>
      </c>
      <c r="D39" s="287">
        <v>409</v>
      </c>
      <c r="E39" s="287">
        <v>430</v>
      </c>
      <c r="F39" s="287">
        <v>449</v>
      </c>
      <c r="G39" s="285"/>
    </row>
    <row r="40" spans="1:7" ht="13.5" customHeight="1">
      <c r="A40" s="282" t="s">
        <v>136</v>
      </c>
      <c r="B40" s="288">
        <v>4224</v>
      </c>
      <c r="C40" s="288">
        <v>4556</v>
      </c>
      <c r="D40" s="288">
        <v>5193</v>
      </c>
      <c r="E40" s="288">
        <v>5917</v>
      </c>
      <c r="F40" s="288">
        <v>6502</v>
      </c>
      <c r="G40" s="285"/>
    </row>
    <row r="41" spans="1:7" ht="12.75" customHeight="1">
      <c r="A41" s="283" t="s">
        <v>137</v>
      </c>
      <c r="B41" s="287">
        <v>271</v>
      </c>
      <c r="C41" s="287">
        <v>237</v>
      </c>
      <c r="D41" s="287">
        <v>225</v>
      </c>
      <c r="E41" s="287">
        <v>336</v>
      </c>
      <c r="F41" s="287">
        <v>331</v>
      </c>
      <c r="G41" s="285"/>
    </row>
    <row r="42" spans="1:7" ht="12.75" customHeight="1">
      <c r="A42" s="282" t="s">
        <v>138</v>
      </c>
      <c r="B42" s="287">
        <v>0</v>
      </c>
      <c r="C42" s="287">
        <v>0</v>
      </c>
      <c r="D42" s="287">
        <v>0</v>
      </c>
      <c r="E42" s="287">
        <v>0</v>
      </c>
      <c r="F42" s="287">
        <v>3</v>
      </c>
      <c r="G42" s="285"/>
    </row>
    <row r="43" spans="1:7" ht="12.75" customHeight="1">
      <c r="A43" s="282" t="s">
        <v>139</v>
      </c>
      <c r="B43" s="287">
        <v>183</v>
      </c>
      <c r="C43" s="287">
        <v>147</v>
      </c>
      <c r="D43" s="287">
        <v>166</v>
      </c>
      <c r="E43" s="287">
        <v>250</v>
      </c>
      <c r="F43" s="287">
        <v>224</v>
      </c>
      <c r="G43" s="285"/>
    </row>
    <row r="44" spans="1:7" ht="12.75" customHeight="1">
      <c r="A44" s="282" t="s">
        <v>140</v>
      </c>
      <c r="B44" s="287">
        <v>120</v>
      </c>
      <c r="C44" s="287">
        <v>139</v>
      </c>
      <c r="D44" s="287">
        <v>168</v>
      </c>
      <c r="E44" s="287">
        <v>190</v>
      </c>
      <c r="F44" s="287">
        <v>230</v>
      </c>
      <c r="G44" s="285"/>
    </row>
    <row r="45" spans="1:7" ht="12.75" customHeight="1">
      <c r="A45" s="282" t="s">
        <v>141</v>
      </c>
      <c r="B45" s="287">
        <v>45</v>
      </c>
      <c r="C45" s="287">
        <v>50</v>
      </c>
      <c r="D45" s="287">
        <v>57</v>
      </c>
      <c r="E45" s="287">
        <v>68</v>
      </c>
      <c r="F45" s="287">
        <v>70</v>
      </c>
      <c r="G45" s="285"/>
    </row>
    <row r="46" spans="1:7" ht="12.75" customHeight="1">
      <c r="A46" s="282" t="s">
        <v>143</v>
      </c>
      <c r="B46" s="287">
        <v>14</v>
      </c>
      <c r="C46" s="287">
        <v>11</v>
      </c>
      <c r="D46" s="287">
        <v>12</v>
      </c>
      <c r="E46" s="287">
        <v>23</v>
      </c>
      <c r="F46" s="287">
        <v>21</v>
      </c>
      <c r="G46" s="285"/>
    </row>
    <row r="47" spans="1:7" ht="12.75" customHeight="1">
      <c r="A47" s="282" t="s">
        <v>144</v>
      </c>
      <c r="B47" s="287">
        <v>3</v>
      </c>
      <c r="C47" s="287">
        <v>3</v>
      </c>
      <c r="D47" s="287">
        <v>5</v>
      </c>
      <c r="E47" s="287">
        <v>4</v>
      </c>
      <c r="F47" s="287">
        <v>3</v>
      </c>
      <c r="G47" s="285"/>
    </row>
    <row r="48" spans="1:7" ht="12.75" customHeight="1">
      <c r="A48" s="282" t="s">
        <v>145</v>
      </c>
      <c r="B48" s="287">
        <v>9</v>
      </c>
      <c r="C48" s="287">
        <v>9</v>
      </c>
      <c r="D48" s="287">
        <v>9</v>
      </c>
      <c r="E48" s="287">
        <v>10</v>
      </c>
      <c r="F48" s="287">
        <v>10</v>
      </c>
      <c r="G48" s="285"/>
    </row>
    <row r="49" spans="1:7" ht="13.5" customHeight="1">
      <c r="A49" s="282" t="s">
        <v>146</v>
      </c>
      <c r="B49" s="287">
        <v>6</v>
      </c>
      <c r="C49" s="287">
        <v>7</v>
      </c>
      <c r="D49" s="287">
        <v>7</v>
      </c>
      <c r="E49" s="287">
        <v>7</v>
      </c>
      <c r="F49" s="287">
        <v>7</v>
      </c>
      <c r="G49" s="285"/>
    </row>
    <row r="50" spans="1:7" ht="12.75" customHeight="1">
      <c r="A50" s="282" t="s">
        <v>147</v>
      </c>
      <c r="B50" s="287">
        <v>382</v>
      </c>
      <c r="C50" s="287">
        <v>367</v>
      </c>
      <c r="D50" s="287">
        <v>424</v>
      </c>
      <c r="E50" s="287">
        <v>553</v>
      </c>
      <c r="F50" s="287">
        <v>567</v>
      </c>
      <c r="G50" s="285"/>
    </row>
    <row r="51" spans="1:7" ht="12.75" customHeight="1">
      <c r="A51" s="282" t="s">
        <v>148</v>
      </c>
      <c r="B51" s="287">
        <v>111</v>
      </c>
      <c r="C51" s="287">
        <v>130</v>
      </c>
      <c r="D51" s="287">
        <v>200</v>
      </c>
      <c r="E51" s="287">
        <v>217</v>
      </c>
      <c r="F51" s="287">
        <v>236</v>
      </c>
      <c r="G51" s="285"/>
    </row>
    <row r="52" spans="1:7" ht="12.75" customHeight="1">
      <c r="A52" s="282" t="s">
        <v>149</v>
      </c>
      <c r="B52" s="284">
        <v>1</v>
      </c>
      <c r="C52" s="284">
        <v>4</v>
      </c>
      <c r="D52" s="284">
        <v>10</v>
      </c>
      <c r="E52" s="284">
        <v>18</v>
      </c>
      <c r="F52" s="284">
        <v>6</v>
      </c>
      <c r="G52" s="285"/>
    </row>
    <row r="53" spans="1:7" ht="13.5" customHeight="1">
      <c r="A53" s="282" t="s">
        <v>150</v>
      </c>
      <c r="B53" s="287">
        <v>0</v>
      </c>
      <c r="C53" s="287">
        <v>0</v>
      </c>
      <c r="D53" s="287">
        <v>0</v>
      </c>
      <c r="E53" s="287">
        <v>0</v>
      </c>
      <c r="F53" s="287">
        <v>0</v>
      </c>
      <c r="G53" s="285"/>
    </row>
    <row r="54" spans="1:7" ht="12.75" customHeight="1">
      <c r="A54" s="283" t="s">
        <v>151</v>
      </c>
      <c r="B54" s="288">
        <v>3952</v>
      </c>
      <c r="C54" s="288">
        <v>4315</v>
      </c>
      <c r="D54" s="288">
        <v>4958</v>
      </c>
      <c r="E54" s="288">
        <v>5563</v>
      </c>
      <c r="F54" s="288">
        <v>6165</v>
      </c>
      <c r="G54" s="285"/>
    </row>
    <row r="55" spans="1:7" ht="12.75" customHeight="1">
      <c r="A55" s="282" t="s">
        <v>152</v>
      </c>
      <c r="B55" s="284">
        <v>688</v>
      </c>
      <c r="C55" s="284">
        <v>649</v>
      </c>
      <c r="D55" s="284">
        <v>620</v>
      </c>
      <c r="E55" s="284">
        <v>882</v>
      </c>
      <c r="F55" s="284">
        <v>947</v>
      </c>
      <c r="G55" s="285"/>
    </row>
    <row r="56" spans="1:7" ht="12.75" customHeight="1">
      <c r="A56" s="282" t="s">
        <v>153</v>
      </c>
      <c r="B56" s="284">
        <v>288</v>
      </c>
      <c r="C56" s="284">
        <v>317</v>
      </c>
      <c r="D56" s="284">
        <v>319</v>
      </c>
      <c r="E56" s="284">
        <v>380</v>
      </c>
      <c r="F56" s="284">
        <v>362</v>
      </c>
      <c r="G56" s="285"/>
    </row>
    <row r="57" spans="1:7" ht="12.75" customHeight="1">
      <c r="A57" s="282" t="s">
        <v>154</v>
      </c>
      <c r="B57" s="288">
        <v>2749</v>
      </c>
      <c r="C57" s="288">
        <v>1937</v>
      </c>
      <c r="D57" s="288">
        <v>2134</v>
      </c>
      <c r="E57" s="288">
        <v>1626</v>
      </c>
      <c r="F57" s="288">
        <v>2255</v>
      </c>
      <c r="G57" s="285"/>
    </row>
    <row r="58" spans="1:7" ht="12.75" customHeight="1">
      <c r="A58" s="282" t="s">
        <v>155</v>
      </c>
      <c r="B58" s="284">
        <v>35</v>
      </c>
      <c r="C58" s="284">
        <v>27</v>
      </c>
      <c r="D58" s="284">
        <v>31</v>
      </c>
      <c r="E58" s="284">
        <v>23</v>
      </c>
      <c r="F58" s="284">
        <v>28</v>
      </c>
      <c r="G58" s="285"/>
    </row>
    <row r="59" spans="1:7" ht="13.5" customHeight="1">
      <c r="A59" s="282" t="s">
        <v>156</v>
      </c>
      <c r="B59" s="284">
        <v>193</v>
      </c>
      <c r="C59" s="288">
        <v>1385</v>
      </c>
      <c r="D59" s="288">
        <v>1854</v>
      </c>
      <c r="E59" s="288">
        <v>2652</v>
      </c>
      <c r="F59" s="288">
        <v>2573</v>
      </c>
      <c r="G59" s="285"/>
    </row>
    <row r="60" spans="1:7" ht="12.75" customHeight="1">
      <c r="A60" s="282" t="s">
        <v>157</v>
      </c>
      <c r="B60" s="286">
        <v>4224</v>
      </c>
      <c r="C60" s="286">
        <v>4556</v>
      </c>
      <c r="D60" s="286">
        <v>5193</v>
      </c>
      <c r="E60" s="286">
        <v>5917</v>
      </c>
      <c r="F60" s="286">
        <v>6502</v>
      </c>
      <c r="G60" s="285"/>
    </row>
    <row r="61" spans="1:7" ht="13.8" thickBot="1">
      <c r="A61" s="161"/>
      <c r="B61" s="289"/>
      <c r="C61" s="289"/>
      <c r="D61" s="289"/>
      <c r="E61" s="289"/>
      <c r="F61" s="289"/>
      <c r="G61" s="290"/>
    </row>
    <row r="63" spans="1:7" ht="13.5" customHeight="1">
      <c r="A63" s="291"/>
      <c r="B63" s="176">
        <v>44621</v>
      </c>
      <c r="C63" s="176">
        <v>44986</v>
      </c>
      <c r="D63" s="176">
        <v>45352</v>
      </c>
      <c r="E63" s="176">
        <v>45717</v>
      </c>
      <c r="F63" s="176">
        <v>46082</v>
      </c>
      <c r="G63" s="170"/>
    </row>
    <row r="64" spans="1:7" ht="13.5" customHeight="1">
      <c r="A64" s="177" t="s">
        <v>158</v>
      </c>
      <c r="B64" s="292">
        <v>948</v>
      </c>
      <c r="C64" s="292">
        <v>893</v>
      </c>
      <c r="D64" s="293">
        <v>1213</v>
      </c>
      <c r="E64" s="293">
        <v>1012</v>
      </c>
      <c r="F64" s="293">
        <v>1319</v>
      </c>
      <c r="G64" s="168"/>
    </row>
    <row r="65" spans="1:7" ht="12.75" customHeight="1">
      <c r="A65" s="178" t="s">
        <v>159</v>
      </c>
      <c r="B65" s="293">
        <v>1108</v>
      </c>
      <c r="C65" s="293">
        <v>1211</v>
      </c>
      <c r="D65" s="293">
        <v>1488</v>
      </c>
      <c r="E65" s="293">
        <v>1716</v>
      </c>
      <c r="F65" s="293">
        <v>1929</v>
      </c>
      <c r="G65" s="168"/>
    </row>
    <row r="66" spans="1:7" ht="12.75" customHeight="1">
      <c r="A66" s="178" t="s">
        <v>160</v>
      </c>
      <c r="B66" s="292">
        <v>-39</v>
      </c>
      <c r="C66" s="292">
        <v>-29</v>
      </c>
      <c r="D66" s="292">
        <v>-2</v>
      </c>
      <c r="E66" s="292">
        <v>-63</v>
      </c>
      <c r="F66" s="292">
        <v>16</v>
      </c>
      <c r="G66" s="168"/>
    </row>
    <row r="67" spans="1:7" ht="12.75" customHeight="1">
      <c r="A67" s="178" t="s">
        <v>161</v>
      </c>
      <c r="B67" s="292">
        <v>30</v>
      </c>
      <c r="C67" s="292">
        <v>39</v>
      </c>
      <c r="D67" s="292">
        <v>29</v>
      </c>
      <c r="E67" s="292">
        <v>-262</v>
      </c>
      <c r="F67" s="292">
        <v>-65</v>
      </c>
      <c r="G67" s="168"/>
    </row>
    <row r="68" spans="1:7" ht="12.75" customHeight="1">
      <c r="A68" s="178" t="s">
        <v>162</v>
      </c>
      <c r="B68" s="292">
        <v>115</v>
      </c>
      <c r="C68" s="292">
        <v>-1</v>
      </c>
      <c r="D68" s="292">
        <v>96</v>
      </c>
      <c r="E68" s="292">
        <v>41</v>
      </c>
      <c r="F68" s="292">
        <v>32</v>
      </c>
      <c r="G68" s="168"/>
    </row>
    <row r="69" spans="1:7" ht="12.75" customHeight="1">
      <c r="A69" s="178" t="s">
        <v>163</v>
      </c>
      <c r="B69" s="292">
        <v>0</v>
      </c>
      <c r="C69" s="292">
        <v>0</v>
      </c>
      <c r="D69" s="292">
        <v>0</v>
      </c>
      <c r="E69" s="292">
        <v>0</v>
      </c>
      <c r="F69" s="292">
        <v>0</v>
      </c>
      <c r="G69" s="168"/>
    </row>
    <row r="70" spans="1:7" ht="13.5" customHeight="1">
      <c r="A70" s="178" t="s">
        <v>164</v>
      </c>
      <c r="B70" s="292">
        <v>23</v>
      </c>
      <c r="C70" s="292">
        <v>14</v>
      </c>
      <c r="D70" s="292">
        <v>6</v>
      </c>
      <c r="E70" s="292">
        <v>28</v>
      </c>
      <c r="F70" s="292">
        <v>-53</v>
      </c>
      <c r="G70" s="168"/>
    </row>
    <row r="71" spans="1:7" ht="12.75" customHeight="1">
      <c r="A71" s="178" t="s">
        <v>165</v>
      </c>
      <c r="B71" s="292">
        <v>129</v>
      </c>
      <c r="C71" s="292">
        <v>23</v>
      </c>
      <c r="D71" s="292">
        <v>129</v>
      </c>
      <c r="E71" s="292">
        <v>-257</v>
      </c>
      <c r="F71" s="292">
        <v>-70</v>
      </c>
      <c r="G71" s="168"/>
    </row>
    <row r="72" spans="1:7" ht="13.5" customHeight="1">
      <c r="A72" s="178" t="s">
        <v>166</v>
      </c>
      <c r="B72" s="292">
        <v>-289</v>
      </c>
      <c r="C72" s="292">
        <v>-341</v>
      </c>
      <c r="D72" s="292">
        <v>-404</v>
      </c>
      <c r="E72" s="292">
        <v>-447</v>
      </c>
      <c r="F72" s="292">
        <v>-540</v>
      </c>
      <c r="G72" s="168"/>
    </row>
    <row r="73" spans="1:7" ht="12.75" customHeight="1">
      <c r="A73" s="177" t="s">
        <v>167</v>
      </c>
      <c r="B73" s="294">
        <v>-396</v>
      </c>
      <c r="C73" s="294">
        <v>-148</v>
      </c>
      <c r="D73" s="294">
        <v>-416</v>
      </c>
      <c r="E73" s="294">
        <v>182</v>
      </c>
      <c r="F73" s="294">
        <v>-371</v>
      </c>
      <c r="G73" s="168"/>
    </row>
    <row r="74" spans="1:7" ht="12.75" customHeight="1">
      <c r="A74" s="178" t="s">
        <v>168</v>
      </c>
      <c r="B74" s="294">
        <v>-44</v>
      </c>
      <c r="C74" s="294">
        <v>-34</v>
      </c>
      <c r="D74" s="294">
        <v>-48</v>
      </c>
      <c r="E74" s="294">
        <v>-53</v>
      </c>
      <c r="F74" s="294">
        <v>-41</v>
      </c>
      <c r="G74" s="168"/>
    </row>
    <row r="75" spans="1:7" ht="12.75" customHeight="1">
      <c r="A75" s="178" t="s">
        <v>169</v>
      </c>
      <c r="B75" s="294">
        <v>0</v>
      </c>
      <c r="C75" s="294">
        <v>0</v>
      </c>
      <c r="D75" s="294">
        <v>0</v>
      </c>
      <c r="E75" s="294">
        <v>1</v>
      </c>
      <c r="F75" s="294">
        <v>29</v>
      </c>
      <c r="G75" s="168"/>
    </row>
    <row r="76" spans="1:7" ht="12.75" customHeight="1">
      <c r="A76" s="178" t="s">
        <v>172</v>
      </c>
      <c r="B76" s="294">
        <v>69</v>
      </c>
      <c r="C76" s="294">
        <v>102</v>
      </c>
      <c r="D76" s="294">
        <v>144</v>
      </c>
      <c r="E76" s="294">
        <v>125</v>
      </c>
      <c r="F76" s="294">
        <v>385</v>
      </c>
      <c r="G76" s="168"/>
    </row>
    <row r="77" spans="1:7" ht="12.75" customHeight="1">
      <c r="A77" s="178" t="s">
        <v>174</v>
      </c>
      <c r="B77" s="294">
        <v>0</v>
      </c>
      <c r="C77" s="294">
        <v>0</v>
      </c>
      <c r="D77" s="294">
        <v>0</v>
      </c>
      <c r="E77" s="294">
        <v>0</v>
      </c>
      <c r="F77" s="294">
        <v>0</v>
      </c>
      <c r="G77" s="168"/>
    </row>
    <row r="78" spans="1:7" ht="13.5" customHeight="1">
      <c r="A78" s="178" t="s">
        <v>175</v>
      </c>
      <c r="B78" s="294">
        <v>-421</v>
      </c>
      <c r="C78" s="294">
        <v>-216</v>
      </c>
      <c r="D78" s="294">
        <v>-512</v>
      </c>
      <c r="E78" s="294">
        <v>109</v>
      </c>
      <c r="F78" s="294">
        <v>-744</v>
      </c>
      <c r="G78" s="168"/>
    </row>
    <row r="79" spans="1:7" ht="12.75" customHeight="1">
      <c r="A79" s="177" t="s">
        <v>176</v>
      </c>
      <c r="B79" s="292">
        <v>-637</v>
      </c>
      <c r="C79" s="292">
        <v>-639</v>
      </c>
      <c r="D79" s="292">
        <v>-745</v>
      </c>
      <c r="E79" s="292">
        <v>-925</v>
      </c>
      <c r="F79" s="293">
        <v>-1066</v>
      </c>
      <c r="G79" s="168"/>
    </row>
    <row r="80" spans="1:7" ht="12.75" customHeight="1">
      <c r="A80" s="178" t="s">
        <v>180</v>
      </c>
      <c r="B80" s="292">
        <v>-1</v>
      </c>
      <c r="C80" s="292">
        <v>0</v>
      </c>
      <c r="D80" s="292">
        <v>-9</v>
      </c>
      <c r="E80" s="292">
        <v>-7</v>
      </c>
      <c r="F80" s="292">
        <v>-18</v>
      </c>
      <c r="G80" s="168"/>
    </row>
    <row r="81" spans="1:7" ht="12.75" customHeight="1">
      <c r="A81" s="178" t="s">
        <v>181</v>
      </c>
      <c r="B81" s="292">
        <v>-584</v>
      </c>
      <c r="C81" s="292">
        <v>-584</v>
      </c>
      <c r="D81" s="292">
        <v>-691</v>
      </c>
      <c r="E81" s="292">
        <v>-871</v>
      </c>
      <c r="F81" s="293">
        <v>-1009</v>
      </c>
      <c r="G81" s="168"/>
    </row>
    <row r="82" spans="1:7" ht="12.75" customHeight="1">
      <c r="A82" s="178" t="s">
        <v>182</v>
      </c>
      <c r="B82" s="292">
        <v>-52</v>
      </c>
      <c r="C82" s="292">
        <v>-54</v>
      </c>
      <c r="D82" s="292">
        <v>-45</v>
      </c>
      <c r="E82" s="292">
        <v>-47</v>
      </c>
      <c r="F82" s="292">
        <v>-39</v>
      </c>
      <c r="G82" s="168"/>
    </row>
    <row r="83" spans="1:7" ht="13.5" customHeight="1">
      <c r="A83" s="178" t="s">
        <v>194</v>
      </c>
      <c r="B83" s="292">
        <v>0</v>
      </c>
      <c r="C83" s="292">
        <v>0</v>
      </c>
      <c r="D83" s="292">
        <v>0</v>
      </c>
      <c r="E83" s="292">
        <v>0</v>
      </c>
      <c r="F83" s="292">
        <v>0</v>
      </c>
      <c r="G83" s="168"/>
    </row>
    <row r="84" spans="1:7" ht="12.75" customHeight="1">
      <c r="A84" s="178" t="s">
        <v>183</v>
      </c>
      <c r="B84" s="294">
        <v>-86</v>
      </c>
      <c r="C84" s="294">
        <v>107</v>
      </c>
      <c r="D84" s="294">
        <v>52</v>
      </c>
      <c r="E84" s="294">
        <v>269</v>
      </c>
      <c r="F84" s="294">
        <v>-118</v>
      </c>
      <c r="G84" s="168"/>
    </row>
    <row r="85" spans="1:7" ht="12.75" customHeight="1">
      <c r="A85" s="180" t="s">
        <v>184</v>
      </c>
      <c r="B85" s="295">
        <v>904</v>
      </c>
      <c r="C85" s="295">
        <v>860</v>
      </c>
      <c r="D85" s="296">
        <v>1165</v>
      </c>
      <c r="E85" s="295">
        <v>960</v>
      </c>
      <c r="F85" s="296">
        <v>1307</v>
      </c>
      <c r="G85" s="168"/>
    </row>
    <row r="86" spans="1:7" ht="12.75" customHeight="1">
      <c r="A86" s="180" t="s">
        <v>185</v>
      </c>
      <c r="B86" s="297">
        <v>1.1399999999999999</v>
      </c>
      <c r="C86" s="297">
        <v>1.02</v>
      </c>
      <c r="D86" s="297">
        <v>1.1100000000000001</v>
      </c>
      <c r="E86" s="297">
        <v>0.86</v>
      </c>
      <c r="F86" s="297">
        <v>0.98</v>
      </c>
      <c r="G86" s="16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8"/>
  <sheetViews>
    <sheetView zoomScale="81" zoomScaleNormal="100" workbookViewId="0">
      <selection activeCell="R23" sqref="R23"/>
    </sheetView>
  </sheetViews>
  <sheetFormatPr defaultColWidth="12.6640625" defaultRowHeight="13.2"/>
  <cols>
    <col min="1" max="1" width="30.109375" customWidth="1"/>
  </cols>
  <sheetData>
    <row r="1" spans="1:7" ht="24.6" customHeight="1" thickBot="1">
      <c r="A1" s="441" t="s">
        <v>34</v>
      </c>
      <c r="B1" s="442"/>
      <c r="C1" s="442"/>
      <c r="D1" s="442"/>
      <c r="E1" s="442"/>
      <c r="F1" s="442"/>
      <c r="G1" s="442"/>
    </row>
    <row r="2" spans="1:7" ht="15.75" customHeight="1">
      <c r="A2" s="303"/>
      <c r="B2" s="301">
        <v>44621</v>
      </c>
      <c r="C2" s="301">
        <v>44986</v>
      </c>
      <c r="D2" s="301">
        <v>45352</v>
      </c>
      <c r="E2" s="301">
        <v>45717</v>
      </c>
      <c r="F2" s="301">
        <v>46082</v>
      </c>
      <c r="G2" s="302"/>
    </row>
    <row r="3" spans="1:7" ht="15.75" customHeight="1">
      <c r="A3" s="304" t="s">
        <v>97</v>
      </c>
      <c r="B3" s="309">
        <v>23455</v>
      </c>
      <c r="C3" s="309">
        <v>24855</v>
      </c>
      <c r="D3" s="309">
        <v>29002</v>
      </c>
      <c r="E3" s="309">
        <v>31724</v>
      </c>
      <c r="F3" s="309">
        <v>33653</v>
      </c>
      <c r="G3" s="310"/>
    </row>
    <row r="4" spans="1:7" ht="15.75" customHeight="1">
      <c r="A4" s="305" t="s">
        <v>98</v>
      </c>
      <c r="B4" s="311">
        <v>-5.3199999999999997E-2</v>
      </c>
      <c r="C4" s="311">
        <v>5.9700000000000003E-2</v>
      </c>
      <c r="D4" s="311">
        <v>0.1668</v>
      </c>
      <c r="E4" s="311">
        <v>9.3899999999999997E-2</v>
      </c>
      <c r="F4" s="311">
        <v>6.08E-2</v>
      </c>
      <c r="G4" s="312"/>
    </row>
    <row r="5" spans="1:7" ht="15.75" customHeight="1">
      <c r="A5" s="304" t="s">
        <v>99</v>
      </c>
      <c r="B5" s="313">
        <v>19060</v>
      </c>
      <c r="C5" s="313">
        <v>21148</v>
      </c>
      <c r="D5" s="313">
        <v>23176</v>
      </c>
      <c r="E5" s="313">
        <v>25164</v>
      </c>
      <c r="F5" s="313">
        <v>26783</v>
      </c>
      <c r="G5" s="314"/>
    </row>
    <row r="6" spans="1:7" ht="15.75" customHeight="1">
      <c r="A6" s="304" t="s">
        <v>186</v>
      </c>
      <c r="B6" s="315">
        <v>0.43230000000000002</v>
      </c>
      <c r="C6" s="315">
        <v>0.45440000000000003</v>
      </c>
      <c r="D6" s="315">
        <v>0.43459999999999999</v>
      </c>
      <c r="E6" s="315">
        <v>0.41060000000000002</v>
      </c>
      <c r="F6" s="315">
        <v>0.40079999999999999</v>
      </c>
      <c r="G6" s="316"/>
    </row>
    <row r="7" spans="1:7" ht="15.75" customHeight="1">
      <c r="A7" s="305" t="s">
        <v>103</v>
      </c>
      <c r="B7" s="315">
        <v>7.1800000000000003E-2</v>
      </c>
      <c r="C7" s="315">
        <v>7.5200000000000003E-2</v>
      </c>
      <c r="D7" s="315">
        <v>6.7900000000000002E-2</v>
      </c>
      <c r="E7" s="315">
        <v>7.2900000000000006E-2</v>
      </c>
      <c r="F7" s="315">
        <v>7.6899999999999996E-2</v>
      </c>
      <c r="G7" s="316"/>
    </row>
    <row r="8" spans="1:7" ht="15.75" customHeight="1">
      <c r="A8" s="305" t="s">
        <v>104</v>
      </c>
      <c r="B8" s="315">
        <v>0.1472</v>
      </c>
      <c r="C8" s="315">
        <v>0.14180000000000001</v>
      </c>
      <c r="D8" s="315">
        <v>0.1353</v>
      </c>
      <c r="E8" s="315">
        <v>0.14119999999999999</v>
      </c>
      <c r="F8" s="315">
        <v>0.15429999999999999</v>
      </c>
      <c r="G8" s="316"/>
    </row>
    <row r="9" spans="1:7" ht="15.75" customHeight="1">
      <c r="A9" s="305" t="s">
        <v>105</v>
      </c>
      <c r="B9" s="315">
        <v>0.1613</v>
      </c>
      <c r="C9" s="315">
        <v>0.17949999999999999</v>
      </c>
      <c r="D9" s="315">
        <v>0.16139999999999999</v>
      </c>
      <c r="E9" s="315">
        <v>0.16850000000000001</v>
      </c>
      <c r="F9" s="315">
        <v>0.1638</v>
      </c>
      <c r="G9" s="316"/>
    </row>
    <row r="10" spans="1:7" ht="15.75" customHeight="1">
      <c r="A10" s="305" t="s">
        <v>106</v>
      </c>
      <c r="B10" s="309">
        <v>4396</v>
      </c>
      <c r="C10" s="309">
        <v>3707</v>
      </c>
      <c r="D10" s="309">
        <v>5826</v>
      </c>
      <c r="E10" s="309">
        <v>6560</v>
      </c>
      <c r="F10" s="309">
        <v>6870</v>
      </c>
      <c r="G10" s="310"/>
    </row>
    <row r="11" spans="1:7" ht="15.75" customHeight="1">
      <c r="A11" s="305" t="s">
        <v>107</v>
      </c>
      <c r="B11" s="317">
        <v>0.19</v>
      </c>
      <c r="C11" s="317">
        <v>0.15</v>
      </c>
      <c r="D11" s="317">
        <v>0.2</v>
      </c>
      <c r="E11" s="317">
        <v>0.21</v>
      </c>
      <c r="F11" s="317">
        <v>0.2</v>
      </c>
      <c r="G11" s="318"/>
    </row>
    <row r="12" spans="1:7" ht="15.75" customHeight="1">
      <c r="A12" s="304" t="s">
        <v>108</v>
      </c>
      <c r="B12" s="319">
        <v>152</v>
      </c>
      <c r="C12" s="319">
        <v>291</v>
      </c>
      <c r="D12" s="319">
        <v>366</v>
      </c>
      <c r="E12" s="319">
        <v>613</v>
      </c>
      <c r="F12" s="319">
        <v>404</v>
      </c>
      <c r="G12" s="312"/>
    </row>
    <row r="13" spans="1:7" ht="15.75" customHeight="1">
      <c r="A13" s="305" t="s">
        <v>109</v>
      </c>
      <c r="B13" s="319">
        <v>-139</v>
      </c>
      <c r="C13" s="319">
        <v>13</v>
      </c>
      <c r="D13" s="319">
        <v>-168</v>
      </c>
      <c r="E13" s="319">
        <v>25</v>
      </c>
      <c r="F13" s="319">
        <v>-88</v>
      </c>
      <c r="G13" s="312"/>
    </row>
    <row r="14" spans="1:7" ht="15.75" customHeight="1">
      <c r="A14" s="305" t="s">
        <v>110</v>
      </c>
      <c r="B14" s="319">
        <v>291</v>
      </c>
      <c r="C14" s="319">
        <v>277</v>
      </c>
      <c r="D14" s="319">
        <v>534</v>
      </c>
      <c r="E14" s="319">
        <v>588</v>
      </c>
      <c r="F14" s="319">
        <v>492</v>
      </c>
      <c r="G14" s="312"/>
    </row>
    <row r="15" spans="1:7" ht="15.75" customHeight="1">
      <c r="A15" s="305" t="s">
        <v>111</v>
      </c>
      <c r="B15" s="320">
        <v>49</v>
      </c>
      <c r="C15" s="320">
        <v>140</v>
      </c>
      <c r="D15" s="320">
        <v>290</v>
      </c>
      <c r="E15" s="320">
        <v>457</v>
      </c>
      <c r="F15" s="320">
        <v>384</v>
      </c>
      <c r="G15" s="316"/>
    </row>
    <row r="16" spans="1:7" ht="15.75" customHeight="1">
      <c r="A16" s="305" t="s">
        <v>112</v>
      </c>
      <c r="B16" s="309">
        <v>1127</v>
      </c>
      <c r="C16" s="309">
        <v>1245</v>
      </c>
      <c r="D16" s="309">
        <v>1522</v>
      </c>
      <c r="E16" s="309">
        <v>1649</v>
      </c>
      <c r="F16" s="309">
        <v>1778</v>
      </c>
      <c r="G16" s="310"/>
    </row>
    <row r="17" spans="1:7" ht="15.75" customHeight="1">
      <c r="A17" s="305" t="s">
        <v>113</v>
      </c>
      <c r="B17" s="313">
        <v>3373</v>
      </c>
      <c r="C17" s="313">
        <v>2612</v>
      </c>
      <c r="D17" s="313">
        <v>4380</v>
      </c>
      <c r="E17" s="313">
        <v>5066</v>
      </c>
      <c r="F17" s="313">
        <v>5112</v>
      </c>
      <c r="G17" s="314"/>
    </row>
    <row r="18" spans="1:7" ht="15.75" customHeight="1">
      <c r="A18" s="305" t="s">
        <v>114</v>
      </c>
      <c r="B18" s="321">
        <v>0.22</v>
      </c>
      <c r="C18" s="321">
        <v>0.26</v>
      </c>
      <c r="D18" s="321">
        <v>0.28000000000000003</v>
      </c>
      <c r="E18" s="321">
        <v>0.31</v>
      </c>
      <c r="F18" s="321">
        <v>0.31</v>
      </c>
      <c r="G18" s="312"/>
    </row>
    <row r="19" spans="1:7" ht="15.75" customHeight="1">
      <c r="A19" s="304" t="s">
        <v>115</v>
      </c>
      <c r="B19" s="313">
        <v>2647</v>
      </c>
      <c r="C19" s="313">
        <v>1928</v>
      </c>
      <c r="D19" s="313">
        <v>3169</v>
      </c>
      <c r="E19" s="313">
        <v>3484</v>
      </c>
      <c r="F19" s="313">
        <v>3503</v>
      </c>
      <c r="G19" s="314"/>
    </row>
    <row r="20" spans="1:7" ht="15.75" customHeight="1">
      <c r="A20" s="305" t="s">
        <v>116</v>
      </c>
      <c r="B20" s="320">
        <v>1</v>
      </c>
      <c r="C20" s="320">
        <v>0</v>
      </c>
      <c r="D20" s="320">
        <v>4</v>
      </c>
      <c r="E20" s="320">
        <v>2</v>
      </c>
      <c r="F20" s="320">
        <v>2</v>
      </c>
      <c r="G20" s="316"/>
    </row>
    <row r="21" spans="1:7" ht="15.75" customHeight="1">
      <c r="A21" s="305" t="s">
        <v>117</v>
      </c>
      <c r="B21" s="320">
        <v>-109</v>
      </c>
      <c r="C21" s="320">
        <v>8</v>
      </c>
      <c r="D21" s="320">
        <v>-100</v>
      </c>
      <c r="E21" s="320">
        <v>33</v>
      </c>
      <c r="F21" s="320">
        <v>-58</v>
      </c>
      <c r="G21" s="316"/>
    </row>
    <row r="22" spans="1:7" ht="15.75" customHeight="1">
      <c r="A22" s="305" t="s">
        <v>118</v>
      </c>
      <c r="B22" s="313">
        <v>2756</v>
      </c>
      <c r="C22" s="313">
        <v>1920</v>
      </c>
      <c r="D22" s="313">
        <v>3269</v>
      </c>
      <c r="E22" s="313">
        <v>3451</v>
      </c>
      <c r="F22" s="313">
        <v>3561</v>
      </c>
      <c r="G22" s="316"/>
    </row>
    <row r="23" spans="1:7" ht="15.75" customHeight="1">
      <c r="A23" s="305" t="s">
        <v>119</v>
      </c>
      <c r="B23" s="313">
        <v>2757</v>
      </c>
      <c r="C23" s="313">
        <v>1920</v>
      </c>
      <c r="D23" s="313">
        <v>3273</v>
      </c>
      <c r="E23" s="313">
        <v>3453</v>
      </c>
      <c r="F23" s="313">
        <v>3563</v>
      </c>
      <c r="G23" s="316"/>
    </row>
    <row r="24" spans="1:7" ht="15.75" customHeight="1">
      <c r="A24" s="305" t="s">
        <v>120</v>
      </c>
      <c r="B24" s="313">
        <v>2648</v>
      </c>
      <c r="C24" s="313">
        <v>1928</v>
      </c>
      <c r="D24" s="313">
        <v>3173</v>
      </c>
      <c r="E24" s="313">
        <v>3486</v>
      </c>
      <c r="F24" s="313">
        <v>3505</v>
      </c>
      <c r="G24" s="316"/>
    </row>
    <row r="25" spans="1:7" ht="15.75" customHeight="1">
      <c r="A25" s="305" t="s">
        <v>121</v>
      </c>
      <c r="B25" s="317">
        <v>-0.19</v>
      </c>
      <c r="C25" s="317">
        <v>-0.3</v>
      </c>
      <c r="D25" s="317">
        <v>0.7</v>
      </c>
      <c r="E25" s="317">
        <v>0.06</v>
      </c>
      <c r="F25" s="317">
        <v>0.03</v>
      </c>
      <c r="G25" s="316"/>
    </row>
    <row r="26" spans="1:7" ht="15.75" customHeight="1">
      <c r="A26" s="305" t="s">
        <v>122</v>
      </c>
      <c r="B26" s="319">
        <v>45.2</v>
      </c>
      <c r="C26" s="319">
        <v>32.9</v>
      </c>
      <c r="D26" s="319">
        <v>54.15</v>
      </c>
      <c r="E26" s="319">
        <v>60.02</v>
      </c>
      <c r="F26" s="319">
        <v>60.34</v>
      </c>
      <c r="G26" s="312"/>
    </row>
    <row r="27" spans="1:7" ht="15.75" customHeight="1" thickBot="1">
      <c r="A27" s="306" t="s">
        <v>123</v>
      </c>
      <c r="B27" s="322">
        <v>0.2</v>
      </c>
      <c r="C27" s="322">
        <v>0.23</v>
      </c>
      <c r="D27" s="322">
        <v>0.08</v>
      </c>
      <c r="E27" s="322">
        <v>0</v>
      </c>
      <c r="F27" s="322">
        <v>7.0000000000000007E-2</v>
      </c>
      <c r="G27" s="323"/>
    </row>
    <row r="28" spans="1:7" ht="15.75" customHeight="1">
      <c r="A28" s="19"/>
    </row>
    <row r="29" spans="1:7" ht="13.8" thickBot="1"/>
    <row r="30" spans="1:7" ht="15.75" customHeight="1">
      <c r="A30" s="303"/>
      <c r="B30" s="324">
        <v>44621</v>
      </c>
      <c r="C30" s="324">
        <v>44986</v>
      </c>
      <c r="D30" s="324">
        <v>45352</v>
      </c>
      <c r="E30" s="324">
        <v>45717</v>
      </c>
      <c r="F30" s="324">
        <v>46082</v>
      </c>
      <c r="G30" s="325"/>
    </row>
    <row r="31" spans="1:7" ht="15.75" customHeight="1">
      <c r="A31" s="305" t="s">
        <v>124</v>
      </c>
      <c r="B31" s="319">
        <v>59</v>
      </c>
      <c r="C31" s="319">
        <v>59</v>
      </c>
      <c r="D31" s="319">
        <v>59</v>
      </c>
      <c r="E31" s="319">
        <v>58</v>
      </c>
      <c r="F31" s="319">
        <v>58</v>
      </c>
      <c r="G31" s="326"/>
    </row>
    <row r="32" spans="1:7" ht="15.75" customHeight="1">
      <c r="A32" s="305" t="s">
        <v>125</v>
      </c>
      <c r="B32" s="313">
        <v>24517</v>
      </c>
      <c r="C32" s="313">
        <v>26781</v>
      </c>
      <c r="D32" s="313">
        <v>29784</v>
      </c>
      <c r="E32" s="313">
        <v>32595</v>
      </c>
      <c r="F32" s="313">
        <v>37833</v>
      </c>
      <c r="G32" s="326"/>
    </row>
    <row r="33" spans="1:7" ht="15.75" customHeight="1">
      <c r="A33" s="304" t="s">
        <v>126</v>
      </c>
      <c r="B33" s="309">
        <v>2851</v>
      </c>
      <c r="C33" s="309">
        <v>5286</v>
      </c>
      <c r="D33" s="309">
        <v>6648</v>
      </c>
      <c r="E33" s="309">
        <v>8263</v>
      </c>
      <c r="F33" s="309">
        <v>8073</v>
      </c>
      <c r="G33" s="326"/>
    </row>
    <row r="34" spans="1:7" ht="15.75" customHeight="1">
      <c r="A34" s="305" t="s">
        <v>127</v>
      </c>
      <c r="B34" s="319">
        <v>249</v>
      </c>
      <c r="C34" s="319">
        <v>619</v>
      </c>
      <c r="D34" s="309">
        <v>2135</v>
      </c>
      <c r="E34" s="309">
        <v>1562</v>
      </c>
      <c r="F34" s="319">
        <v>803</v>
      </c>
      <c r="G34" s="326"/>
    </row>
    <row r="35" spans="1:7" ht="15.75" customHeight="1">
      <c r="A35" s="305" t="s">
        <v>128</v>
      </c>
      <c r="B35" s="309">
        <v>2124</v>
      </c>
      <c r="C35" s="309">
        <v>4243</v>
      </c>
      <c r="D35" s="309">
        <v>4180</v>
      </c>
      <c r="E35" s="309">
        <v>6380</v>
      </c>
      <c r="F35" s="309">
        <v>6873</v>
      </c>
      <c r="G35" s="326"/>
    </row>
    <row r="36" spans="1:7" ht="15.75" customHeight="1">
      <c r="A36" s="305" t="s">
        <v>129</v>
      </c>
      <c r="B36" s="319">
        <v>478</v>
      </c>
      <c r="C36" s="319">
        <v>425</v>
      </c>
      <c r="D36" s="319">
        <v>332</v>
      </c>
      <c r="E36" s="319">
        <v>321</v>
      </c>
      <c r="F36" s="319">
        <v>397</v>
      </c>
      <c r="G36" s="326"/>
    </row>
    <row r="37" spans="1:7" ht="15.75" customHeight="1">
      <c r="A37" s="305" t="s">
        <v>195</v>
      </c>
      <c r="B37" s="319">
        <v>0</v>
      </c>
      <c r="C37" s="319">
        <v>0</v>
      </c>
      <c r="D37" s="319">
        <v>0</v>
      </c>
      <c r="E37" s="319">
        <v>2</v>
      </c>
      <c r="F37" s="319">
        <v>5</v>
      </c>
      <c r="G37" s="326"/>
    </row>
    <row r="38" spans="1:7" ht="15.75" customHeight="1">
      <c r="A38" s="305" t="s">
        <v>130</v>
      </c>
      <c r="B38" s="319">
        <v>0</v>
      </c>
      <c r="C38" s="319">
        <v>0</v>
      </c>
      <c r="D38" s="319">
        <v>0</v>
      </c>
      <c r="E38" s="319">
        <v>-2</v>
      </c>
      <c r="F38" s="319">
        <v>-5</v>
      </c>
      <c r="G38" s="326"/>
    </row>
    <row r="39" spans="1:7" ht="15.75" customHeight="1">
      <c r="A39" s="304" t="s">
        <v>131</v>
      </c>
      <c r="B39" s="313">
        <v>6211</v>
      </c>
      <c r="C39" s="313">
        <v>7379</v>
      </c>
      <c r="D39" s="313">
        <v>8227</v>
      </c>
      <c r="E39" s="313">
        <v>8566</v>
      </c>
      <c r="F39" s="313">
        <v>12232</v>
      </c>
      <c r="G39" s="326"/>
    </row>
    <row r="40" spans="1:7" ht="15.75" customHeight="1">
      <c r="A40" s="305" t="s">
        <v>132</v>
      </c>
      <c r="B40" s="320">
        <v>-2</v>
      </c>
      <c r="C40" s="320">
        <v>12</v>
      </c>
      <c r="D40" s="320">
        <v>8</v>
      </c>
      <c r="E40" s="320">
        <v>-6</v>
      </c>
      <c r="F40" s="320">
        <v>-8</v>
      </c>
      <c r="G40" s="326"/>
    </row>
    <row r="41" spans="1:7" ht="15.75" customHeight="1">
      <c r="A41" s="305" t="s">
        <v>133</v>
      </c>
      <c r="B41" s="313">
        <v>2703</v>
      </c>
      <c r="C41" s="313">
        <v>3871</v>
      </c>
      <c r="D41" s="313">
        <v>4454</v>
      </c>
      <c r="E41" s="313">
        <v>4189</v>
      </c>
      <c r="F41" s="313">
        <v>5567</v>
      </c>
      <c r="G41" s="326"/>
    </row>
    <row r="42" spans="1:7" ht="15.75" customHeight="1">
      <c r="A42" s="305" t="s">
        <v>134</v>
      </c>
      <c r="B42" s="320">
        <v>0</v>
      </c>
      <c r="C42" s="320">
        <v>0</v>
      </c>
      <c r="D42" s="320">
        <v>0</v>
      </c>
      <c r="E42" s="320">
        <v>0</v>
      </c>
      <c r="F42" s="320">
        <v>0</v>
      </c>
      <c r="G42" s="326"/>
    </row>
    <row r="43" spans="1:7" ht="15.75" customHeight="1">
      <c r="A43" s="305" t="s">
        <v>135</v>
      </c>
      <c r="B43" s="313">
        <v>3510</v>
      </c>
      <c r="C43" s="313">
        <v>3496</v>
      </c>
      <c r="D43" s="313">
        <v>3765</v>
      </c>
      <c r="E43" s="313">
        <v>4383</v>
      </c>
      <c r="F43" s="313">
        <v>6673</v>
      </c>
      <c r="G43" s="326"/>
    </row>
    <row r="44" spans="1:7" ht="15.75" customHeight="1">
      <c r="A44" s="305" t="s">
        <v>136</v>
      </c>
      <c r="B44" s="309">
        <v>33638</v>
      </c>
      <c r="C44" s="309">
        <v>39505</v>
      </c>
      <c r="D44" s="309">
        <v>44717</v>
      </c>
      <c r="E44" s="309">
        <v>49482</v>
      </c>
      <c r="F44" s="309">
        <v>58196</v>
      </c>
      <c r="G44" s="326"/>
    </row>
    <row r="45" spans="1:7" ht="15.75" customHeight="1">
      <c r="A45" s="304" t="s">
        <v>137</v>
      </c>
      <c r="B45" s="313">
        <v>10532</v>
      </c>
      <c r="C45" s="313">
        <v>11024</v>
      </c>
      <c r="D45" s="313">
        <v>14493</v>
      </c>
      <c r="E45" s="313">
        <v>14794</v>
      </c>
      <c r="F45" s="313">
        <v>17407</v>
      </c>
      <c r="G45" s="326"/>
    </row>
    <row r="46" spans="1:7" ht="15.75" customHeight="1">
      <c r="A46" s="305" t="s">
        <v>138</v>
      </c>
      <c r="B46" s="320">
        <v>781</v>
      </c>
      <c r="C46" s="320">
        <v>955</v>
      </c>
      <c r="D46" s="320">
        <v>979</v>
      </c>
      <c r="E46" s="313">
        <v>1007</v>
      </c>
      <c r="F46" s="313">
        <v>1186</v>
      </c>
      <c r="G46" s="326"/>
    </row>
    <row r="47" spans="1:7" ht="15.75" customHeight="1">
      <c r="A47" s="305" t="s">
        <v>139</v>
      </c>
      <c r="B47" s="313">
        <v>2841</v>
      </c>
      <c r="C47" s="313">
        <v>3592</v>
      </c>
      <c r="D47" s="313">
        <v>4916</v>
      </c>
      <c r="E47" s="313">
        <v>4735</v>
      </c>
      <c r="F47" s="313">
        <v>5623</v>
      </c>
      <c r="G47" s="326"/>
    </row>
    <row r="48" spans="1:7" ht="15.75" customHeight="1">
      <c r="A48" s="305" t="s">
        <v>140</v>
      </c>
      <c r="B48" s="313">
        <v>7489</v>
      </c>
      <c r="C48" s="313">
        <v>8433</v>
      </c>
      <c r="D48" s="313">
        <v>11048</v>
      </c>
      <c r="E48" s="313">
        <v>11993</v>
      </c>
      <c r="F48" s="313">
        <v>14275</v>
      </c>
      <c r="G48" s="326"/>
    </row>
    <row r="49" spans="1:7" ht="15.75" customHeight="1">
      <c r="A49" s="305" t="s">
        <v>141</v>
      </c>
      <c r="B49" s="320">
        <v>112</v>
      </c>
      <c r="C49" s="320">
        <v>166</v>
      </c>
      <c r="D49" s="320">
        <v>506</v>
      </c>
      <c r="E49" s="320">
        <v>448</v>
      </c>
      <c r="F49" s="320">
        <v>499</v>
      </c>
      <c r="G49" s="326"/>
    </row>
    <row r="50" spans="1:7" ht="15.75" customHeight="1">
      <c r="A50" s="305" t="s">
        <v>143</v>
      </c>
      <c r="B50" s="320">
        <v>243</v>
      </c>
      <c r="C50" s="320">
        <v>268</v>
      </c>
      <c r="D50" s="320">
        <v>297</v>
      </c>
      <c r="E50" s="320">
        <v>343</v>
      </c>
      <c r="F50" s="320">
        <v>418</v>
      </c>
      <c r="G50" s="326"/>
    </row>
    <row r="51" spans="1:7" ht="15.75" customHeight="1">
      <c r="A51" s="305" t="s">
        <v>144</v>
      </c>
      <c r="B51" s="320">
        <v>131</v>
      </c>
      <c r="C51" s="320">
        <v>142</v>
      </c>
      <c r="D51" s="320">
        <v>172</v>
      </c>
      <c r="E51" s="320">
        <v>201</v>
      </c>
      <c r="F51" s="320">
        <v>234</v>
      </c>
      <c r="G51" s="326"/>
    </row>
    <row r="52" spans="1:7" ht="15.75" customHeight="1">
      <c r="A52" s="305" t="s">
        <v>145</v>
      </c>
      <c r="B52" s="313">
        <v>3928</v>
      </c>
      <c r="C52" s="313">
        <v>5039</v>
      </c>
      <c r="D52" s="313">
        <v>5530</v>
      </c>
      <c r="E52" s="313">
        <v>5735</v>
      </c>
      <c r="F52" s="313">
        <v>7017</v>
      </c>
      <c r="G52" s="326"/>
    </row>
    <row r="53" spans="1:7" ht="15.75" customHeight="1">
      <c r="A53" s="305" t="s">
        <v>146</v>
      </c>
      <c r="B53" s="320">
        <v>0</v>
      </c>
      <c r="C53" s="320">
        <v>0</v>
      </c>
      <c r="D53" s="320">
        <v>0</v>
      </c>
      <c r="E53" s="320">
        <v>0</v>
      </c>
      <c r="F53" s="320">
        <v>0</v>
      </c>
      <c r="G53" s="326"/>
    </row>
    <row r="54" spans="1:7" ht="15.75" customHeight="1">
      <c r="A54" s="305" t="s">
        <v>147</v>
      </c>
      <c r="B54" s="313">
        <v>15525</v>
      </c>
      <c r="C54" s="313">
        <v>18593</v>
      </c>
      <c r="D54" s="313">
        <v>23448</v>
      </c>
      <c r="E54" s="313">
        <v>24463</v>
      </c>
      <c r="F54" s="313">
        <v>29251</v>
      </c>
      <c r="G54" s="326"/>
    </row>
    <row r="55" spans="1:7" ht="15.75" customHeight="1">
      <c r="A55" s="305" t="s">
        <v>148</v>
      </c>
      <c r="B55" s="313">
        <v>4992</v>
      </c>
      <c r="C55" s="313">
        <v>7570</v>
      </c>
      <c r="D55" s="313">
        <v>8955</v>
      </c>
      <c r="E55" s="313">
        <v>9669</v>
      </c>
      <c r="F55" s="313">
        <v>11844</v>
      </c>
      <c r="G55" s="326"/>
    </row>
    <row r="56" spans="1:7" ht="15.75" customHeight="1">
      <c r="A56" s="305" t="s">
        <v>149</v>
      </c>
      <c r="B56" s="309">
        <v>3747</v>
      </c>
      <c r="C56" s="309">
        <v>5390</v>
      </c>
      <c r="D56" s="309">
        <v>3869</v>
      </c>
      <c r="E56" s="309">
        <v>4900</v>
      </c>
      <c r="F56" s="309">
        <v>5214</v>
      </c>
      <c r="G56" s="326"/>
    </row>
    <row r="57" spans="1:7" ht="15.75" customHeight="1">
      <c r="A57" s="305" t="s">
        <v>150</v>
      </c>
      <c r="B57" s="320">
        <v>997</v>
      </c>
      <c r="C57" s="320">
        <v>543</v>
      </c>
      <c r="D57" s="320">
        <v>372</v>
      </c>
      <c r="E57" s="320">
        <v>252</v>
      </c>
      <c r="F57" s="313">
        <v>1051</v>
      </c>
      <c r="G57" s="326"/>
    </row>
    <row r="58" spans="1:7" ht="15.75" customHeight="1">
      <c r="A58" s="304" t="s">
        <v>151</v>
      </c>
      <c r="B58" s="309">
        <v>18362</v>
      </c>
      <c r="C58" s="309">
        <v>22549</v>
      </c>
      <c r="D58" s="309">
        <v>25983</v>
      </c>
      <c r="E58" s="309">
        <v>29536</v>
      </c>
      <c r="F58" s="309">
        <v>34525</v>
      </c>
      <c r="G58" s="326"/>
    </row>
    <row r="59" spans="1:7" ht="15.75" customHeight="1">
      <c r="A59" s="305" t="s">
        <v>152</v>
      </c>
      <c r="B59" s="309">
        <v>7559</v>
      </c>
      <c r="C59" s="309">
        <v>8516</v>
      </c>
      <c r="D59" s="309">
        <v>9810</v>
      </c>
      <c r="E59" s="309">
        <v>10544</v>
      </c>
      <c r="F59" s="309">
        <v>12053</v>
      </c>
      <c r="G59" s="326"/>
    </row>
    <row r="60" spans="1:7" ht="15.75" customHeight="1">
      <c r="A60" s="305" t="s">
        <v>153</v>
      </c>
      <c r="B60" s="309">
        <v>4012</v>
      </c>
      <c r="C60" s="309">
        <v>4466</v>
      </c>
      <c r="D60" s="309">
        <v>4817</v>
      </c>
      <c r="E60" s="309">
        <v>5746</v>
      </c>
      <c r="F60" s="309">
        <v>7094</v>
      </c>
      <c r="G60" s="326"/>
    </row>
    <row r="61" spans="1:7" ht="15.75" customHeight="1">
      <c r="A61" s="305" t="s">
        <v>154</v>
      </c>
      <c r="B61" s="309">
        <v>4190</v>
      </c>
      <c r="C61" s="309">
        <v>6084</v>
      </c>
      <c r="D61" s="309">
        <v>6278</v>
      </c>
      <c r="E61" s="309">
        <v>8235</v>
      </c>
      <c r="F61" s="309">
        <v>9870</v>
      </c>
      <c r="G61" s="326"/>
    </row>
    <row r="62" spans="1:7" ht="15.75" customHeight="1">
      <c r="A62" s="305" t="s">
        <v>155</v>
      </c>
      <c r="B62" s="319">
        <v>283</v>
      </c>
      <c r="C62" s="319">
        <v>87</v>
      </c>
      <c r="D62" s="319">
        <v>17</v>
      </c>
      <c r="E62" s="319">
        <v>17</v>
      </c>
      <c r="F62" s="319">
        <v>38</v>
      </c>
      <c r="G62" s="326"/>
    </row>
    <row r="63" spans="1:7" ht="15.75" customHeight="1">
      <c r="A63" s="305" t="s">
        <v>156</v>
      </c>
      <c r="B63" s="309">
        <v>2318</v>
      </c>
      <c r="C63" s="309">
        <v>3395</v>
      </c>
      <c r="D63" s="309">
        <v>5061</v>
      </c>
      <c r="E63" s="309">
        <v>4994</v>
      </c>
      <c r="F63" s="309">
        <v>5470</v>
      </c>
      <c r="G63" s="326"/>
    </row>
    <row r="64" spans="1:7" ht="15.75" customHeight="1" thickBot="1">
      <c r="A64" s="306" t="s">
        <v>157</v>
      </c>
      <c r="B64" s="327">
        <v>33638</v>
      </c>
      <c r="C64" s="327">
        <v>39505</v>
      </c>
      <c r="D64" s="327">
        <v>44717</v>
      </c>
      <c r="E64" s="327">
        <v>49482</v>
      </c>
      <c r="F64" s="327">
        <v>58196</v>
      </c>
      <c r="G64" s="328"/>
    </row>
    <row r="66" spans="1:7" ht="13.8" thickBot="1"/>
    <row r="67" spans="1:7" ht="15.75" customHeight="1">
      <c r="A67" s="303"/>
      <c r="B67" s="324">
        <v>44621</v>
      </c>
      <c r="C67" s="324">
        <v>44986</v>
      </c>
      <c r="D67" s="324">
        <v>45352</v>
      </c>
      <c r="E67" s="324">
        <v>45717</v>
      </c>
      <c r="F67" s="324">
        <v>46082</v>
      </c>
      <c r="G67" s="325"/>
    </row>
    <row r="68" spans="1:7" ht="15.75" customHeight="1">
      <c r="A68" s="304" t="s">
        <v>158</v>
      </c>
      <c r="B68" s="309">
        <v>5016</v>
      </c>
      <c r="C68" s="309">
        <v>2387</v>
      </c>
      <c r="D68" s="309">
        <v>2435</v>
      </c>
      <c r="E68" s="309">
        <v>3925</v>
      </c>
      <c r="F68" s="309">
        <v>5526</v>
      </c>
      <c r="G68" s="326"/>
    </row>
    <row r="69" spans="1:7" ht="15.75" customHeight="1">
      <c r="A69" s="305" t="s">
        <v>159</v>
      </c>
      <c r="B69" s="309">
        <v>4717</v>
      </c>
      <c r="C69" s="309">
        <v>4199</v>
      </c>
      <c r="D69" s="309">
        <v>5876</v>
      </c>
      <c r="E69" s="309">
        <v>6900</v>
      </c>
      <c r="F69" s="309">
        <v>7194</v>
      </c>
      <c r="G69" s="326"/>
    </row>
    <row r="70" spans="1:7" ht="15.75" customHeight="1">
      <c r="A70" s="305" t="s">
        <v>160</v>
      </c>
      <c r="B70" s="319">
        <v>-411</v>
      </c>
      <c r="C70" s="319">
        <v>-432</v>
      </c>
      <c r="D70" s="319">
        <v>-264</v>
      </c>
      <c r="E70" s="319">
        <v>-862</v>
      </c>
      <c r="F70" s="309">
        <v>-1171</v>
      </c>
      <c r="G70" s="326"/>
    </row>
    <row r="71" spans="1:7" ht="15.75" customHeight="1">
      <c r="A71" s="305" t="s">
        <v>161</v>
      </c>
      <c r="B71" s="309">
        <v>1498</v>
      </c>
      <c r="C71" s="319">
        <v>-927</v>
      </c>
      <c r="D71" s="309">
        <v>-1304</v>
      </c>
      <c r="E71" s="319">
        <v>-735</v>
      </c>
      <c r="F71" s="309">
        <v>-1500</v>
      </c>
      <c r="G71" s="326"/>
    </row>
    <row r="72" spans="1:7" ht="15.75" customHeight="1">
      <c r="A72" s="305" t="s">
        <v>162</v>
      </c>
      <c r="B72" s="319">
        <v>111</v>
      </c>
      <c r="C72" s="319">
        <v>708</v>
      </c>
      <c r="D72" s="319">
        <v>583</v>
      </c>
      <c r="E72" s="319">
        <v>-311</v>
      </c>
      <c r="F72" s="309">
        <v>1282</v>
      </c>
      <c r="G72" s="326"/>
    </row>
    <row r="73" spans="1:7" ht="15.75" customHeight="1">
      <c r="A73" s="305" t="s">
        <v>163</v>
      </c>
      <c r="B73" s="319">
        <v>3</v>
      </c>
      <c r="C73" s="319">
        <v>1</v>
      </c>
      <c r="D73" s="319">
        <v>0</v>
      </c>
      <c r="E73" s="319">
        <v>0</v>
      </c>
      <c r="F73" s="319">
        <v>0</v>
      </c>
      <c r="G73" s="326"/>
    </row>
    <row r="74" spans="1:7" ht="15.75" customHeight="1">
      <c r="A74" s="305" t="s">
        <v>164</v>
      </c>
      <c r="B74" s="319">
        <v>358</v>
      </c>
      <c r="C74" s="319">
        <v>-445</v>
      </c>
      <c r="D74" s="319">
        <v>-690</v>
      </c>
      <c r="E74" s="319">
        <v>664</v>
      </c>
      <c r="F74" s="309">
        <v>1553</v>
      </c>
      <c r="G74" s="326"/>
    </row>
    <row r="75" spans="1:7" ht="15.75" customHeight="1">
      <c r="A75" s="305" t="s">
        <v>165</v>
      </c>
      <c r="B75" s="309">
        <v>1558</v>
      </c>
      <c r="C75" s="309">
        <v>-1095</v>
      </c>
      <c r="D75" s="309">
        <v>-1675</v>
      </c>
      <c r="E75" s="309">
        <v>-1244</v>
      </c>
      <c r="F75" s="319">
        <v>164</v>
      </c>
      <c r="G75" s="326"/>
    </row>
    <row r="76" spans="1:7" ht="15.75" customHeight="1">
      <c r="A76" s="305" t="s">
        <v>166</v>
      </c>
      <c r="B76" s="309">
        <v>-1258</v>
      </c>
      <c r="C76" s="319">
        <v>-717</v>
      </c>
      <c r="D76" s="309">
        <v>-1767</v>
      </c>
      <c r="E76" s="309">
        <v>-1731</v>
      </c>
      <c r="F76" s="309">
        <v>-1832</v>
      </c>
      <c r="G76" s="326"/>
    </row>
    <row r="77" spans="1:7" ht="15.75" customHeight="1">
      <c r="A77" s="304" t="s">
        <v>167</v>
      </c>
      <c r="B77" s="313">
        <v>-3211</v>
      </c>
      <c r="C77" s="313">
        <v>-3971</v>
      </c>
      <c r="D77" s="313">
        <v>-4242</v>
      </c>
      <c r="E77" s="313">
        <v>-1866</v>
      </c>
      <c r="F77" s="313">
        <v>-2630</v>
      </c>
      <c r="G77" s="326"/>
    </row>
    <row r="78" spans="1:7" ht="15.75" customHeight="1">
      <c r="A78" s="305" t="s">
        <v>168</v>
      </c>
      <c r="B78" s="313">
        <v>-2705</v>
      </c>
      <c r="C78" s="313">
        <v>-2720</v>
      </c>
      <c r="D78" s="313">
        <v>-3562</v>
      </c>
      <c r="E78" s="313">
        <v>-2520</v>
      </c>
      <c r="F78" s="313">
        <v>-3105</v>
      </c>
      <c r="G78" s="326"/>
    </row>
    <row r="79" spans="1:7" ht="15.75" customHeight="1">
      <c r="A79" s="305" t="s">
        <v>169</v>
      </c>
      <c r="B79" s="320">
        <v>381</v>
      </c>
      <c r="C79" s="320">
        <v>11</v>
      </c>
      <c r="D79" s="320">
        <v>60</v>
      </c>
      <c r="E79" s="320">
        <v>3</v>
      </c>
      <c r="F79" s="320">
        <v>46</v>
      </c>
      <c r="G79" s="326"/>
    </row>
    <row r="80" spans="1:7" ht="15.75" customHeight="1">
      <c r="A80" s="305" t="s">
        <v>170</v>
      </c>
      <c r="B80" s="320">
        <v>-898</v>
      </c>
      <c r="C80" s="313">
        <v>-2014</v>
      </c>
      <c r="D80" s="320">
        <v>-24</v>
      </c>
      <c r="E80" s="320">
        <v>-23</v>
      </c>
      <c r="F80" s="320">
        <v>-788</v>
      </c>
      <c r="G80" s="326"/>
    </row>
    <row r="81" spans="1:7" ht="15.75" customHeight="1">
      <c r="A81" s="305" t="s">
        <v>171</v>
      </c>
      <c r="B81" s="320">
        <v>462</v>
      </c>
      <c r="C81" s="313">
        <v>2457</v>
      </c>
      <c r="D81" s="320">
        <v>177</v>
      </c>
      <c r="E81" s="320">
        <v>111</v>
      </c>
      <c r="F81" s="320">
        <v>6</v>
      </c>
      <c r="G81" s="326"/>
    </row>
    <row r="82" spans="1:7" ht="15.75" customHeight="1">
      <c r="A82" s="305" t="s">
        <v>172</v>
      </c>
      <c r="B82" s="320">
        <v>25</v>
      </c>
      <c r="C82" s="320">
        <v>147</v>
      </c>
      <c r="D82" s="320">
        <v>281</v>
      </c>
      <c r="E82" s="320">
        <v>347</v>
      </c>
      <c r="F82" s="320">
        <v>329</v>
      </c>
      <c r="G82" s="326"/>
    </row>
    <row r="83" spans="1:7" ht="15.75" customHeight="1">
      <c r="A83" s="305" t="s">
        <v>190</v>
      </c>
      <c r="B83" s="320">
        <v>0</v>
      </c>
      <c r="C83" s="320">
        <v>0</v>
      </c>
      <c r="D83" s="320">
        <v>0</v>
      </c>
      <c r="E83" s="320">
        <v>0</v>
      </c>
      <c r="F83" s="320">
        <v>2</v>
      </c>
      <c r="G83" s="326"/>
    </row>
    <row r="84" spans="1:7" ht="15.75" customHeight="1">
      <c r="A84" s="305" t="s">
        <v>196</v>
      </c>
      <c r="B84" s="320">
        <v>29</v>
      </c>
      <c r="C84" s="320">
        <v>0</v>
      </c>
      <c r="D84" s="320">
        <v>0</v>
      </c>
      <c r="E84" s="320">
        <v>0</v>
      </c>
      <c r="F84" s="320">
        <v>0</v>
      </c>
      <c r="G84" s="326"/>
    </row>
    <row r="85" spans="1:7" ht="15.75" customHeight="1">
      <c r="A85" s="305" t="s">
        <v>173</v>
      </c>
      <c r="B85" s="320">
        <v>0</v>
      </c>
      <c r="C85" s="320">
        <v>0</v>
      </c>
      <c r="D85" s="320">
        <v>0</v>
      </c>
      <c r="E85" s="320">
        <v>-11</v>
      </c>
      <c r="F85" s="320">
        <v>-3</v>
      </c>
      <c r="G85" s="326"/>
    </row>
    <row r="86" spans="1:7" ht="15.75" customHeight="1">
      <c r="A86" s="305" t="s">
        <v>174</v>
      </c>
      <c r="B86" s="320">
        <v>0</v>
      </c>
      <c r="C86" s="320">
        <v>0</v>
      </c>
      <c r="D86" s="320">
        <v>0</v>
      </c>
      <c r="E86" s="320">
        <v>0</v>
      </c>
      <c r="F86" s="320">
        <v>0</v>
      </c>
      <c r="G86" s="326"/>
    </row>
    <row r="87" spans="1:7" ht="15.75" customHeight="1">
      <c r="A87" s="305" t="s">
        <v>175</v>
      </c>
      <c r="B87" s="320">
        <v>-506</v>
      </c>
      <c r="C87" s="313">
        <v>-1851</v>
      </c>
      <c r="D87" s="313">
        <v>-1175</v>
      </c>
      <c r="E87" s="320">
        <v>227</v>
      </c>
      <c r="F87" s="320">
        <v>883</v>
      </c>
      <c r="G87" s="326"/>
    </row>
    <row r="88" spans="1:7" ht="15.75" customHeight="1">
      <c r="A88" s="304" t="s">
        <v>176</v>
      </c>
      <c r="B88" s="309">
        <v>-2969</v>
      </c>
      <c r="C88" s="309">
        <v>1814</v>
      </c>
      <c r="D88" s="319">
        <v>800</v>
      </c>
      <c r="E88" s="319">
        <v>120</v>
      </c>
      <c r="F88" s="309">
        <v>-1269</v>
      </c>
      <c r="G88" s="326"/>
    </row>
    <row r="89" spans="1:7" ht="15.75" customHeight="1">
      <c r="A89" s="305" t="s">
        <v>192</v>
      </c>
      <c r="B89" s="319">
        <v>0</v>
      </c>
      <c r="C89" s="319">
        <v>0</v>
      </c>
      <c r="D89" s="319">
        <v>0</v>
      </c>
      <c r="E89" s="319">
        <v>0</v>
      </c>
      <c r="F89" s="319">
        <v>0</v>
      </c>
      <c r="G89" s="326"/>
    </row>
    <row r="90" spans="1:7" ht="15.75" customHeight="1">
      <c r="A90" s="305" t="s">
        <v>177</v>
      </c>
      <c r="B90" s="319">
        <v>83</v>
      </c>
      <c r="C90" s="309">
        <v>2463</v>
      </c>
      <c r="D90" s="309">
        <v>1563</v>
      </c>
      <c r="E90" s="309">
        <v>2723</v>
      </c>
      <c r="F90" s="319">
        <v>720</v>
      </c>
      <c r="G90" s="326"/>
    </row>
    <row r="91" spans="1:7" ht="15.75" customHeight="1">
      <c r="A91" s="305" t="s">
        <v>178</v>
      </c>
      <c r="B91" s="309">
        <v>-2637</v>
      </c>
      <c r="C91" s="319">
        <v>-6</v>
      </c>
      <c r="D91" s="319">
        <v>-102</v>
      </c>
      <c r="E91" s="309">
        <v>-1119</v>
      </c>
      <c r="F91" s="309">
        <v>-1304</v>
      </c>
      <c r="G91" s="326"/>
    </row>
    <row r="92" spans="1:7" ht="15.75" customHeight="1">
      <c r="A92" s="305" t="s">
        <v>180</v>
      </c>
      <c r="B92" s="319">
        <v>-18</v>
      </c>
      <c r="C92" s="319">
        <v>-111</v>
      </c>
      <c r="D92" s="319">
        <v>-251</v>
      </c>
      <c r="E92" s="319">
        <v>-420</v>
      </c>
      <c r="F92" s="319">
        <v>-344</v>
      </c>
      <c r="G92" s="326"/>
    </row>
    <row r="93" spans="1:7" ht="15.75" customHeight="1">
      <c r="A93" s="305" t="s">
        <v>181</v>
      </c>
      <c r="B93" s="319">
        <v>-264</v>
      </c>
      <c r="C93" s="319">
        <v>-440</v>
      </c>
      <c r="D93" s="319">
        <v>-264</v>
      </c>
      <c r="E93" s="319">
        <v>-1</v>
      </c>
      <c r="F93" s="319">
        <v>-232</v>
      </c>
      <c r="G93" s="326"/>
    </row>
    <row r="94" spans="1:7" ht="15.75" customHeight="1">
      <c r="A94" s="305" t="s">
        <v>182</v>
      </c>
      <c r="B94" s="319">
        <v>-133</v>
      </c>
      <c r="C94" s="319">
        <v>-92</v>
      </c>
      <c r="D94" s="319">
        <v>-147</v>
      </c>
      <c r="E94" s="319">
        <v>-110</v>
      </c>
      <c r="F94" s="319">
        <v>-109</v>
      </c>
      <c r="G94" s="326"/>
    </row>
    <row r="95" spans="1:7" ht="15.75" customHeight="1">
      <c r="A95" s="305" t="s">
        <v>194</v>
      </c>
      <c r="B95" s="319">
        <v>0</v>
      </c>
      <c r="C95" s="319">
        <v>0</v>
      </c>
      <c r="D95" s="319">
        <v>0</v>
      </c>
      <c r="E95" s="319">
        <v>-953</v>
      </c>
      <c r="F95" s="319">
        <v>0</v>
      </c>
      <c r="G95" s="326"/>
    </row>
    <row r="96" spans="1:7" ht="15.75" customHeight="1">
      <c r="A96" s="305" t="s">
        <v>183</v>
      </c>
      <c r="B96" s="313">
        <v>-1164</v>
      </c>
      <c r="C96" s="320">
        <v>230</v>
      </c>
      <c r="D96" s="313">
        <v>-1007</v>
      </c>
      <c r="E96" s="313">
        <v>2178</v>
      </c>
      <c r="F96" s="313">
        <v>1628</v>
      </c>
      <c r="G96" s="326"/>
    </row>
    <row r="97" spans="1:7" ht="15.75" customHeight="1">
      <c r="A97" s="307" t="s">
        <v>184</v>
      </c>
      <c r="B97" s="329">
        <v>2693</v>
      </c>
      <c r="C97" s="330">
        <v>-323</v>
      </c>
      <c r="D97" s="329">
        <v>-1067</v>
      </c>
      <c r="E97" s="329">
        <v>1408</v>
      </c>
      <c r="F97" s="329">
        <v>2468</v>
      </c>
      <c r="G97" s="326"/>
    </row>
    <row r="98" spans="1:7" ht="15.75" customHeight="1" thickBot="1">
      <c r="A98" s="308" t="s">
        <v>185</v>
      </c>
      <c r="B98" s="331">
        <v>1.43</v>
      </c>
      <c r="C98" s="331">
        <v>0.84</v>
      </c>
      <c r="D98" s="331">
        <v>0.72</v>
      </c>
      <c r="E98" s="331">
        <v>0.86</v>
      </c>
      <c r="F98" s="331">
        <v>1.07</v>
      </c>
      <c r="G98" s="32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9"/>
  <sheetViews>
    <sheetView zoomScale="87" zoomScaleNormal="100" workbookViewId="0">
      <selection activeCell="P25" sqref="P25"/>
    </sheetView>
  </sheetViews>
  <sheetFormatPr defaultColWidth="12.6640625" defaultRowHeight="13.2"/>
  <cols>
    <col min="1" max="1" width="32.77734375" customWidth="1"/>
  </cols>
  <sheetData>
    <row r="1" spans="1:14" ht="24" customHeight="1">
      <c r="A1" s="443" t="s">
        <v>32</v>
      </c>
      <c r="B1" s="444"/>
      <c r="C1" s="444"/>
      <c r="D1" s="444"/>
      <c r="E1" s="444"/>
      <c r="F1" s="444"/>
      <c r="G1" s="444"/>
    </row>
    <row r="2" spans="1:14" ht="13.5" customHeight="1">
      <c r="A2" s="332"/>
      <c r="B2" s="334">
        <v>44621</v>
      </c>
      <c r="C2" s="334">
        <v>44986</v>
      </c>
      <c r="D2" s="334">
        <v>45352</v>
      </c>
      <c r="E2" s="334">
        <v>45717</v>
      </c>
      <c r="F2" s="334">
        <v>46082</v>
      </c>
      <c r="G2" s="335"/>
    </row>
    <row r="3" spans="1:14" ht="12.75" customHeight="1" thickBot="1">
      <c r="A3" s="270" t="s">
        <v>97</v>
      </c>
      <c r="B3" s="336">
        <v>15265</v>
      </c>
      <c r="C3" s="336">
        <v>17237</v>
      </c>
      <c r="D3" s="336">
        <v>19547</v>
      </c>
      <c r="E3" s="336">
        <v>23242</v>
      </c>
      <c r="F3" s="336">
        <v>27148</v>
      </c>
      <c r="G3" s="336"/>
    </row>
    <row r="4" spans="1:14" ht="13.5" customHeight="1" thickBot="1">
      <c r="A4" s="271" t="s">
        <v>98</v>
      </c>
      <c r="B4" s="337">
        <v>1.0800000000000001E-2</v>
      </c>
      <c r="C4" s="337">
        <v>0.12920000000000001</v>
      </c>
      <c r="D4" s="337">
        <v>0.13400000000000001</v>
      </c>
      <c r="E4" s="337">
        <v>0.189</v>
      </c>
      <c r="F4" s="337">
        <v>0.1681</v>
      </c>
      <c r="G4" s="338"/>
      <c r="N4" s="348"/>
    </row>
    <row r="5" spans="1:14" ht="12.75" customHeight="1">
      <c r="A5" s="270" t="s">
        <v>99</v>
      </c>
      <c r="B5" s="339">
        <v>11923</v>
      </c>
      <c r="C5" s="339">
        <v>13378</v>
      </c>
      <c r="D5" s="339">
        <v>14163</v>
      </c>
      <c r="E5" s="339">
        <v>16183</v>
      </c>
      <c r="F5" s="339">
        <v>18673</v>
      </c>
      <c r="G5" s="339"/>
    </row>
    <row r="6" spans="1:14" ht="12.75" customHeight="1">
      <c r="A6" s="270" t="s">
        <v>186</v>
      </c>
      <c r="B6" s="340">
        <v>0.36330000000000001</v>
      </c>
      <c r="C6" s="340">
        <v>0.36609999999999998</v>
      </c>
      <c r="D6" s="340">
        <v>0.31859999999999999</v>
      </c>
      <c r="E6" s="340">
        <v>0.2727</v>
      </c>
      <c r="F6" s="340">
        <v>0.26860000000000001</v>
      </c>
      <c r="G6" s="341"/>
    </row>
    <row r="7" spans="1:14" ht="12.75" customHeight="1">
      <c r="A7" s="271" t="s">
        <v>103</v>
      </c>
      <c r="B7" s="340">
        <v>5.3199999999999997E-2</v>
      </c>
      <c r="C7" s="340">
        <v>4.8399999999999999E-2</v>
      </c>
      <c r="D7" s="340">
        <v>4.6699999999999998E-2</v>
      </c>
      <c r="E7" s="340">
        <v>4.2200000000000001E-2</v>
      </c>
      <c r="F7" s="340">
        <v>4.1599999999999998E-2</v>
      </c>
      <c r="G7" s="341"/>
    </row>
    <row r="8" spans="1:14" ht="12.75" customHeight="1">
      <c r="A8" s="271" t="s">
        <v>104</v>
      </c>
      <c r="B8" s="340">
        <v>0.15970000000000001</v>
      </c>
      <c r="C8" s="340">
        <v>0.16070000000000001</v>
      </c>
      <c r="D8" s="340">
        <v>0.16070000000000001</v>
      </c>
      <c r="E8" s="340">
        <v>0.15859999999999999</v>
      </c>
      <c r="F8" s="340">
        <v>0.16289999999999999</v>
      </c>
      <c r="G8" s="341"/>
    </row>
    <row r="9" spans="1:14" ht="13.5" customHeight="1">
      <c r="A9" s="271" t="s">
        <v>105</v>
      </c>
      <c r="B9" s="340">
        <v>0.2049</v>
      </c>
      <c r="C9" s="340">
        <v>0.20100000000000001</v>
      </c>
      <c r="D9" s="340">
        <v>0.19850000000000001</v>
      </c>
      <c r="E9" s="340">
        <v>0.2228</v>
      </c>
      <c r="F9" s="340">
        <v>0.21479999999999999</v>
      </c>
      <c r="G9" s="341"/>
    </row>
    <row r="10" spans="1:14" ht="12.75" customHeight="1">
      <c r="A10" s="271" t="s">
        <v>106</v>
      </c>
      <c r="B10" s="336">
        <v>3342</v>
      </c>
      <c r="C10" s="336">
        <v>3860</v>
      </c>
      <c r="D10" s="336">
        <v>5384</v>
      </c>
      <c r="E10" s="336">
        <v>7058</v>
      </c>
      <c r="F10" s="336">
        <v>8475</v>
      </c>
      <c r="G10" s="336"/>
    </row>
    <row r="11" spans="1:14" ht="13.5" customHeight="1">
      <c r="A11" s="271" t="s">
        <v>107</v>
      </c>
      <c r="B11" s="342">
        <v>0.22</v>
      </c>
      <c r="C11" s="342">
        <v>0.22</v>
      </c>
      <c r="D11" s="342">
        <v>0.28000000000000003</v>
      </c>
      <c r="E11" s="342">
        <v>0.3</v>
      </c>
      <c r="F11" s="342">
        <v>0.31</v>
      </c>
      <c r="G11" s="342"/>
    </row>
    <row r="12" spans="1:14" ht="12.75" customHeight="1">
      <c r="A12" s="270" t="s">
        <v>108</v>
      </c>
      <c r="B12" s="336">
        <v>2581</v>
      </c>
      <c r="C12" s="338">
        <v>-422</v>
      </c>
      <c r="D12" s="338">
        <v>293</v>
      </c>
      <c r="E12" s="338">
        <v>50</v>
      </c>
      <c r="F12" s="338">
        <v>-7</v>
      </c>
      <c r="G12" s="338"/>
    </row>
    <row r="13" spans="1:14" ht="12.75" customHeight="1">
      <c r="A13" s="271" t="s">
        <v>109</v>
      </c>
      <c r="B13" s="336">
        <v>2357</v>
      </c>
      <c r="C13" s="338">
        <v>-588</v>
      </c>
      <c r="D13" s="338">
        <v>22</v>
      </c>
      <c r="E13" s="338">
        <v>-185</v>
      </c>
      <c r="F13" s="338">
        <v>-514</v>
      </c>
      <c r="G13" s="338"/>
    </row>
    <row r="14" spans="1:14" ht="12.75" customHeight="1">
      <c r="A14" s="271" t="s">
        <v>110</v>
      </c>
      <c r="B14" s="338">
        <v>225</v>
      </c>
      <c r="C14" s="338">
        <v>166</v>
      </c>
      <c r="D14" s="338">
        <v>271</v>
      </c>
      <c r="E14" s="338">
        <v>235</v>
      </c>
      <c r="F14" s="338">
        <v>507</v>
      </c>
      <c r="G14" s="338"/>
    </row>
    <row r="15" spans="1:14" ht="12.75" customHeight="1">
      <c r="A15" s="271" t="s">
        <v>111</v>
      </c>
      <c r="B15" s="341">
        <v>127</v>
      </c>
      <c r="C15" s="341">
        <v>130</v>
      </c>
      <c r="D15" s="341">
        <v>81</v>
      </c>
      <c r="E15" s="341">
        <v>166</v>
      </c>
      <c r="F15" s="341">
        <v>439</v>
      </c>
      <c r="G15" s="341"/>
    </row>
    <row r="16" spans="1:14" ht="13.5" customHeight="1">
      <c r="A16" s="271" t="s">
        <v>112</v>
      </c>
      <c r="B16" s="338">
        <v>713</v>
      </c>
      <c r="C16" s="338">
        <v>723</v>
      </c>
      <c r="D16" s="338">
        <v>764</v>
      </c>
      <c r="E16" s="338">
        <v>916</v>
      </c>
      <c r="F16" s="336">
        <v>1408</v>
      </c>
      <c r="G16" s="336"/>
    </row>
    <row r="17" spans="1:7" ht="12.75" customHeight="1">
      <c r="A17" s="271" t="s">
        <v>113</v>
      </c>
      <c r="B17" s="339">
        <v>5084</v>
      </c>
      <c r="C17" s="339">
        <v>2585</v>
      </c>
      <c r="D17" s="339">
        <v>4832</v>
      </c>
      <c r="E17" s="339">
        <v>6027</v>
      </c>
      <c r="F17" s="339">
        <v>6621</v>
      </c>
      <c r="G17" s="339"/>
    </row>
    <row r="18" spans="1:7" ht="13.5" customHeight="1">
      <c r="A18" s="271" t="s">
        <v>114</v>
      </c>
      <c r="B18" s="343">
        <v>0.1</v>
      </c>
      <c r="C18" s="343">
        <v>0.23</v>
      </c>
      <c r="D18" s="343">
        <v>0.2</v>
      </c>
      <c r="E18" s="343">
        <v>0.23</v>
      </c>
      <c r="F18" s="343">
        <v>0.24</v>
      </c>
      <c r="G18" s="338"/>
    </row>
    <row r="19" spans="1:7" ht="12.75" customHeight="1">
      <c r="A19" s="270" t="s">
        <v>115</v>
      </c>
      <c r="B19" s="339">
        <v>4618</v>
      </c>
      <c r="C19" s="339">
        <v>2092</v>
      </c>
      <c r="D19" s="339">
        <v>3973</v>
      </c>
      <c r="E19" s="339">
        <v>4673</v>
      </c>
      <c r="F19" s="339">
        <v>5124</v>
      </c>
      <c r="G19" s="339"/>
    </row>
    <row r="20" spans="1:7" ht="12.75" customHeight="1">
      <c r="A20" s="271" t="s">
        <v>187</v>
      </c>
      <c r="B20" s="341">
        <v>46</v>
      </c>
      <c r="C20" s="341">
        <v>95</v>
      </c>
      <c r="D20" s="341">
        <v>118</v>
      </c>
      <c r="E20" s="341">
        <v>58</v>
      </c>
      <c r="F20" s="341">
        <v>97</v>
      </c>
      <c r="G20" s="341"/>
    </row>
    <row r="21" spans="1:7" ht="12.75" customHeight="1">
      <c r="A21" s="271" t="s">
        <v>116</v>
      </c>
      <c r="B21" s="341">
        <v>-131</v>
      </c>
      <c r="C21" s="341">
        <v>-132</v>
      </c>
      <c r="D21" s="341">
        <v>-113</v>
      </c>
      <c r="E21" s="341">
        <v>-147</v>
      </c>
      <c r="F21" s="341">
        <v>-84</v>
      </c>
      <c r="G21" s="341"/>
    </row>
    <row r="22" spans="1:7" ht="12.75" customHeight="1">
      <c r="A22" s="271" t="s">
        <v>117</v>
      </c>
      <c r="B22" s="341">
        <v>122</v>
      </c>
      <c r="C22" s="341">
        <v>-428</v>
      </c>
      <c r="D22" s="341">
        <v>-1</v>
      </c>
      <c r="E22" s="341">
        <v>-124</v>
      </c>
      <c r="F22" s="341">
        <v>-392</v>
      </c>
      <c r="G22" s="341"/>
    </row>
    <row r="23" spans="1:7" ht="12.75" customHeight="1">
      <c r="A23" s="271" t="s">
        <v>118</v>
      </c>
      <c r="B23" s="339">
        <v>4496</v>
      </c>
      <c r="C23" s="339">
        <v>2519</v>
      </c>
      <c r="D23" s="339">
        <v>3973</v>
      </c>
      <c r="E23" s="339">
        <v>4797</v>
      </c>
      <c r="F23" s="339">
        <v>5516</v>
      </c>
      <c r="G23" s="341"/>
    </row>
    <row r="24" spans="1:7" ht="12.75" customHeight="1">
      <c r="A24" s="271" t="s">
        <v>119</v>
      </c>
      <c r="B24" s="339">
        <v>4369</v>
      </c>
      <c r="C24" s="339">
        <v>2361</v>
      </c>
      <c r="D24" s="339">
        <v>3860</v>
      </c>
      <c r="E24" s="339">
        <v>4646</v>
      </c>
      <c r="F24" s="339">
        <v>5426</v>
      </c>
      <c r="G24" s="341"/>
    </row>
    <row r="25" spans="1:7" ht="12.75" customHeight="1">
      <c r="A25" s="271" t="s">
        <v>120</v>
      </c>
      <c r="B25" s="339">
        <v>4487</v>
      </c>
      <c r="C25" s="339">
        <v>1960</v>
      </c>
      <c r="D25" s="339">
        <v>3860</v>
      </c>
      <c r="E25" s="339">
        <v>4526</v>
      </c>
      <c r="F25" s="339">
        <v>5040</v>
      </c>
      <c r="G25" s="341"/>
    </row>
    <row r="26" spans="1:7" ht="12.75" customHeight="1">
      <c r="A26" s="271" t="s">
        <v>121</v>
      </c>
      <c r="B26" s="342">
        <v>0.9</v>
      </c>
      <c r="C26" s="342">
        <v>-0.46</v>
      </c>
      <c r="D26" s="342">
        <v>0.63</v>
      </c>
      <c r="E26" s="342">
        <v>0.2</v>
      </c>
      <c r="F26" s="342">
        <v>0.17</v>
      </c>
      <c r="G26" s="341"/>
    </row>
    <row r="27" spans="1:7" ht="12.75" customHeight="1">
      <c r="A27" s="271" t="s">
        <v>122</v>
      </c>
      <c r="B27" s="338">
        <v>43.83</v>
      </c>
      <c r="C27" s="338">
        <v>19.37</v>
      </c>
      <c r="D27" s="338">
        <v>38.36</v>
      </c>
      <c r="E27" s="338">
        <v>44.97</v>
      </c>
      <c r="F27" s="338">
        <v>50.09</v>
      </c>
      <c r="G27" s="338"/>
    </row>
    <row r="28" spans="1:7" ht="12.75" customHeight="1">
      <c r="A28" s="271" t="s">
        <v>123</v>
      </c>
      <c r="B28" s="342">
        <v>0.06</v>
      </c>
      <c r="C28" s="342">
        <v>0.31</v>
      </c>
      <c r="D28" s="342">
        <v>0.08</v>
      </c>
      <c r="E28" s="342">
        <v>0.24</v>
      </c>
      <c r="F28" s="342">
        <v>0.02</v>
      </c>
      <c r="G28" s="341"/>
    </row>
    <row r="29" spans="1:7" ht="12.75" customHeight="1">
      <c r="A29" s="19"/>
    </row>
    <row r="31" spans="1:7" ht="12.75" customHeight="1">
      <c r="A31" s="332"/>
      <c r="B31" s="334">
        <v>44621</v>
      </c>
      <c r="C31" s="334">
        <v>44986</v>
      </c>
      <c r="D31" s="334">
        <v>45352</v>
      </c>
      <c r="E31" s="334">
        <v>45717</v>
      </c>
      <c r="F31" s="334">
        <v>46082</v>
      </c>
      <c r="G31" s="344"/>
    </row>
    <row r="32" spans="1:7" ht="12.75" customHeight="1">
      <c r="A32" s="271" t="s">
        <v>124</v>
      </c>
      <c r="B32" s="338">
        <v>102</v>
      </c>
      <c r="C32" s="338">
        <v>101</v>
      </c>
      <c r="D32" s="338">
        <v>101</v>
      </c>
      <c r="E32" s="338">
        <v>101</v>
      </c>
      <c r="F32" s="338">
        <v>101</v>
      </c>
      <c r="G32" s="344"/>
    </row>
    <row r="33" spans="1:7" ht="13.5" customHeight="1">
      <c r="A33" s="271" t="s">
        <v>125</v>
      </c>
      <c r="B33" s="339">
        <v>16897</v>
      </c>
      <c r="C33" s="339">
        <v>17415</v>
      </c>
      <c r="D33" s="339">
        <v>19729</v>
      </c>
      <c r="E33" s="339">
        <v>23852</v>
      </c>
      <c r="F33" s="339">
        <v>27011</v>
      </c>
      <c r="G33" s="344"/>
    </row>
    <row r="34" spans="1:7" ht="12.75" customHeight="1">
      <c r="A34" s="270" t="s">
        <v>126</v>
      </c>
      <c r="B34" s="336">
        <v>4221</v>
      </c>
      <c r="C34" s="336">
        <v>1195</v>
      </c>
      <c r="D34" s="338">
        <v>804</v>
      </c>
      <c r="E34" s="336">
        <v>3213</v>
      </c>
      <c r="F34" s="336">
        <v>12496</v>
      </c>
      <c r="G34" s="344"/>
    </row>
    <row r="35" spans="1:7" ht="12.75" customHeight="1">
      <c r="A35" s="271" t="s">
        <v>127</v>
      </c>
      <c r="B35" s="338">
        <v>362</v>
      </c>
      <c r="C35" s="338">
        <v>0</v>
      </c>
      <c r="D35" s="338">
        <v>0</v>
      </c>
      <c r="E35" s="338">
        <v>0</v>
      </c>
      <c r="F35" s="336">
        <v>3188</v>
      </c>
      <c r="G35" s="344"/>
    </row>
    <row r="36" spans="1:7" ht="12.75" customHeight="1">
      <c r="A36" s="271" t="s">
        <v>128</v>
      </c>
      <c r="B36" s="336">
        <v>3834</v>
      </c>
      <c r="C36" s="336">
        <v>1163</v>
      </c>
      <c r="D36" s="338">
        <v>769</v>
      </c>
      <c r="E36" s="336">
        <v>3170</v>
      </c>
      <c r="F36" s="336">
        <v>8582</v>
      </c>
      <c r="G36" s="344"/>
    </row>
    <row r="37" spans="1:7" ht="12.75" customHeight="1">
      <c r="A37" s="271" t="s">
        <v>129</v>
      </c>
      <c r="B37" s="338">
        <v>25</v>
      </c>
      <c r="C37" s="338">
        <v>32</v>
      </c>
      <c r="D37" s="338">
        <v>36</v>
      </c>
      <c r="E37" s="338">
        <v>44</v>
      </c>
      <c r="F37" s="338">
        <v>726</v>
      </c>
      <c r="G37" s="344"/>
    </row>
    <row r="38" spans="1:7" ht="13.5" customHeight="1">
      <c r="A38" s="271" t="s">
        <v>130</v>
      </c>
      <c r="B38" s="338">
        <v>0</v>
      </c>
      <c r="C38" s="338">
        <v>0</v>
      </c>
      <c r="D38" s="338">
        <v>0</v>
      </c>
      <c r="E38" s="338">
        <v>0</v>
      </c>
      <c r="F38" s="338">
        <v>0</v>
      </c>
      <c r="G38" s="344"/>
    </row>
    <row r="39" spans="1:7" ht="12.75" customHeight="1">
      <c r="A39" s="270" t="s">
        <v>131</v>
      </c>
      <c r="B39" s="339">
        <v>6421</v>
      </c>
      <c r="C39" s="339">
        <v>6851</v>
      </c>
      <c r="D39" s="339">
        <v>8201</v>
      </c>
      <c r="E39" s="339">
        <v>9523</v>
      </c>
      <c r="F39" s="339">
        <v>11065</v>
      </c>
      <c r="G39" s="344"/>
    </row>
    <row r="40" spans="1:7" ht="12.75" customHeight="1">
      <c r="A40" s="271" t="s">
        <v>132</v>
      </c>
      <c r="B40" s="339">
        <v>2054</v>
      </c>
      <c r="C40" s="339">
        <v>2172</v>
      </c>
      <c r="D40" s="339">
        <v>2272</v>
      </c>
      <c r="E40" s="339">
        <v>2405</v>
      </c>
      <c r="F40" s="339">
        <v>2471</v>
      </c>
      <c r="G40" s="344"/>
    </row>
    <row r="41" spans="1:7" ht="12.75" customHeight="1">
      <c r="A41" s="271" t="s">
        <v>133</v>
      </c>
      <c r="B41" s="339">
        <v>2138</v>
      </c>
      <c r="C41" s="339">
        <v>2125</v>
      </c>
      <c r="D41" s="339">
        <v>2127</v>
      </c>
      <c r="E41" s="339">
        <v>2281</v>
      </c>
      <c r="F41" s="339">
        <v>2845</v>
      </c>
      <c r="G41" s="344"/>
    </row>
    <row r="42" spans="1:7" ht="12.75" customHeight="1">
      <c r="A42" s="271" t="s">
        <v>134</v>
      </c>
      <c r="B42" s="341">
        <v>49</v>
      </c>
      <c r="C42" s="341">
        <v>72</v>
      </c>
      <c r="D42" s="341">
        <v>73</v>
      </c>
      <c r="E42" s="341">
        <v>73</v>
      </c>
      <c r="F42" s="341">
        <v>82</v>
      </c>
      <c r="G42" s="344"/>
    </row>
    <row r="43" spans="1:7" ht="13.5" customHeight="1">
      <c r="A43" s="271" t="s">
        <v>135</v>
      </c>
      <c r="B43" s="339">
        <v>2180</v>
      </c>
      <c r="C43" s="339">
        <v>2482</v>
      </c>
      <c r="D43" s="339">
        <v>3729</v>
      </c>
      <c r="E43" s="339">
        <v>4764</v>
      </c>
      <c r="F43" s="339">
        <v>5667</v>
      </c>
      <c r="G43" s="344"/>
    </row>
    <row r="44" spans="1:7" ht="13.5" customHeight="1">
      <c r="A44" s="271" t="s">
        <v>136</v>
      </c>
      <c r="B44" s="336">
        <v>27642</v>
      </c>
      <c r="C44" s="336">
        <v>25562</v>
      </c>
      <c r="D44" s="336">
        <v>28834</v>
      </c>
      <c r="E44" s="336">
        <v>36689</v>
      </c>
      <c r="F44" s="336">
        <v>50673</v>
      </c>
      <c r="G44" s="344"/>
    </row>
    <row r="45" spans="1:7" ht="12.75" customHeight="1">
      <c r="A45" s="270" t="s">
        <v>137</v>
      </c>
      <c r="B45" s="339">
        <v>12253</v>
      </c>
      <c r="C45" s="339">
        <v>11521</v>
      </c>
      <c r="D45" s="339">
        <v>12368</v>
      </c>
      <c r="E45" s="339">
        <v>13134</v>
      </c>
      <c r="F45" s="339">
        <v>24106</v>
      </c>
      <c r="G45" s="344"/>
    </row>
    <row r="46" spans="1:7" ht="12.75" customHeight="1">
      <c r="A46" s="271" t="s">
        <v>138</v>
      </c>
      <c r="B46" s="341">
        <v>573</v>
      </c>
      <c r="C46" s="341">
        <v>626</v>
      </c>
      <c r="D46" s="341">
        <v>617</v>
      </c>
      <c r="E46" s="341">
        <v>642</v>
      </c>
      <c r="F46" s="341">
        <v>960</v>
      </c>
      <c r="G46" s="344"/>
    </row>
    <row r="47" spans="1:7" ht="12.75" customHeight="1">
      <c r="A47" s="271" t="s">
        <v>139</v>
      </c>
      <c r="B47" s="339">
        <v>1969</v>
      </c>
      <c r="C47" s="339">
        <v>2075</v>
      </c>
      <c r="D47" s="339">
        <v>2191</v>
      </c>
      <c r="E47" s="339">
        <v>2373</v>
      </c>
      <c r="F47" s="339">
        <v>3972</v>
      </c>
      <c r="G47" s="344"/>
    </row>
    <row r="48" spans="1:7" ht="12.75" customHeight="1">
      <c r="A48" s="271" t="s">
        <v>140</v>
      </c>
      <c r="B48" s="339">
        <v>6652</v>
      </c>
      <c r="C48" s="339">
        <v>6993</v>
      </c>
      <c r="D48" s="339">
        <v>7525</v>
      </c>
      <c r="E48" s="339">
        <v>8043</v>
      </c>
      <c r="F48" s="339">
        <v>10031</v>
      </c>
      <c r="G48" s="344"/>
    </row>
    <row r="49" spans="1:7" ht="12.75" customHeight="1">
      <c r="A49" s="271" t="s">
        <v>141</v>
      </c>
      <c r="B49" s="341">
        <v>155</v>
      </c>
      <c r="C49" s="341">
        <v>165</v>
      </c>
      <c r="D49" s="341">
        <v>176</v>
      </c>
      <c r="E49" s="341">
        <v>182</v>
      </c>
      <c r="F49" s="341">
        <v>188</v>
      </c>
      <c r="G49" s="344"/>
    </row>
    <row r="50" spans="1:7" ht="12.75" customHeight="1">
      <c r="A50" s="271" t="s">
        <v>143</v>
      </c>
      <c r="B50" s="341">
        <v>200</v>
      </c>
      <c r="C50" s="341">
        <v>205</v>
      </c>
      <c r="D50" s="341">
        <v>218</v>
      </c>
      <c r="E50" s="341">
        <v>226</v>
      </c>
      <c r="F50" s="341">
        <v>278</v>
      </c>
      <c r="G50" s="344"/>
    </row>
    <row r="51" spans="1:7" ht="12.75" customHeight="1">
      <c r="A51" s="271" t="s">
        <v>144</v>
      </c>
      <c r="B51" s="341">
        <v>118</v>
      </c>
      <c r="C51" s="341">
        <v>135</v>
      </c>
      <c r="D51" s="341">
        <v>159</v>
      </c>
      <c r="E51" s="341">
        <v>194</v>
      </c>
      <c r="F51" s="341">
        <v>226</v>
      </c>
      <c r="G51" s="344"/>
    </row>
    <row r="52" spans="1:7" ht="12.75" customHeight="1">
      <c r="A52" s="271" t="s">
        <v>145</v>
      </c>
      <c r="B52" s="339">
        <v>7843</v>
      </c>
      <c r="C52" s="339">
        <v>7889</v>
      </c>
      <c r="D52" s="339">
        <v>8653</v>
      </c>
      <c r="E52" s="339">
        <v>9610</v>
      </c>
      <c r="F52" s="339">
        <v>17652</v>
      </c>
      <c r="G52" s="344"/>
    </row>
    <row r="53" spans="1:7" ht="13.5" customHeight="1">
      <c r="A53" s="271" t="s">
        <v>146</v>
      </c>
      <c r="B53" s="341">
        <v>205</v>
      </c>
      <c r="C53" s="341">
        <v>256</v>
      </c>
      <c r="D53" s="341">
        <v>382</v>
      </c>
      <c r="E53" s="341">
        <v>428</v>
      </c>
      <c r="F53" s="339">
        <v>1003</v>
      </c>
      <c r="G53" s="344"/>
    </row>
    <row r="54" spans="1:7" ht="12.75" customHeight="1">
      <c r="A54" s="271" t="s">
        <v>147</v>
      </c>
      <c r="B54" s="339">
        <v>17716</v>
      </c>
      <c r="C54" s="339">
        <v>18344</v>
      </c>
      <c r="D54" s="339">
        <v>19920</v>
      </c>
      <c r="E54" s="339">
        <v>21700</v>
      </c>
      <c r="F54" s="339">
        <v>34310</v>
      </c>
      <c r="G54" s="344"/>
    </row>
    <row r="55" spans="1:7" ht="12.75" customHeight="1">
      <c r="A55" s="271" t="s">
        <v>148</v>
      </c>
      <c r="B55" s="339">
        <v>5462</v>
      </c>
      <c r="C55" s="339">
        <v>6823</v>
      </c>
      <c r="D55" s="339">
        <v>7551</v>
      </c>
      <c r="E55" s="339">
        <v>8566</v>
      </c>
      <c r="F55" s="339">
        <v>10204</v>
      </c>
      <c r="G55" s="344"/>
    </row>
    <row r="56" spans="1:7" ht="12.75" customHeight="1">
      <c r="A56" s="271" t="s">
        <v>149</v>
      </c>
      <c r="B56" s="338">
        <v>661</v>
      </c>
      <c r="C56" s="336">
        <v>1201</v>
      </c>
      <c r="D56" s="336">
        <v>2423</v>
      </c>
      <c r="E56" s="336">
        <v>2692</v>
      </c>
      <c r="F56" s="336">
        <v>3698</v>
      </c>
      <c r="G56" s="344"/>
    </row>
    <row r="57" spans="1:7" ht="13.5" customHeight="1">
      <c r="A57" s="271" t="s">
        <v>150</v>
      </c>
      <c r="B57" s="339">
        <v>3288</v>
      </c>
      <c r="C57" s="339">
        <v>1547</v>
      </c>
      <c r="D57" s="339">
        <v>1220</v>
      </c>
      <c r="E57" s="339">
        <v>6412</v>
      </c>
      <c r="F57" s="339">
        <v>7540</v>
      </c>
      <c r="G57" s="344"/>
    </row>
    <row r="58" spans="1:7" ht="12.75" customHeight="1">
      <c r="A58" s="270" t="s">
        <v>151</v>
      </c>
      <c r="B58" s="336">
        <v>11439</v>
      </c>
      <c r="C58" s="336">
        <v>11294</v>
      </c>
      <c r="D58" s="336">
        <v>12822</v>
      </c>
      <c r="E58" s="336">
        <v>14451</v>
      </c>
      <c r="F58" s="336">
        <v>15328</v>
      </c>
      <c r="G58" s="344"/>
    </row>
    <row r="59" spans="1:7" ht="12.75" customHeight="1">
      <c r="A59" s="271" t="s">
        <v>152</v>
      </c>
      <c r="B59" s="336">
        <v>3719</v>
      </c>
      <c r="C59" s="336">
        <v>3413</v>
      </c>
      <c r="D59" s="336">
        <v>3442</v>
      </c>
      <c r="E59" s="336">
        <v>3944</v>
      </c>
      <c r="F59" s="336">
        <v>5628</v>
      </c>
      <c r="G59" s="344"/>
    </row>
    <row r="60" spans="1:7" ht="12.75" customHeight="1">
      <c r="A60" s="271" t="s">
        <v>153</v>
      </c>
      <c r="B60" s="336">
        <v>3340</v>
      </c>
      <c r="C60" s="336">
        <v>4417</v>
      </c>
      <c r="D60" s="336">
        <v>5220</v>
      </c>
      <c r="E60" s="336">
        <v>4085</v>
      </c>
      <c r="F60" s="336">
        <v>5416</v>
      </c>
      <c r="G60" s="344"/>
    </row>
    <row r="61" spans="1:7" ht="12.75" customHeight="1">
      <c r="A61" s="271" t="s">
        <v>154</v>
      </c>
      <c r="B61" s="336">
        <v>1107</v>
      </c>
      <c r="C61" s="338">
        <v>573</v>
      </c>
      <c r="D61" s="336">
        <v>1105</v>
      </c>
      <c r="E61" s="336">
        <v>2957</v>
      </c>
      <c r="F61" s="336">
        <v>1417</v>
      </c>
      <c r="G61" s="344"/>
    </row>
    <row r="62" spans="1:7" ht="12.75" customHeight="1">
      <c r="A62" s="271" t="s">
        <v>155</v>
      </c>
      <c r="B62" s="338">
        <v>322</v>
      </c>
      <c r="C62" s="338">
        <v>332</v>
      </c>
      <c r="D62" s="338">
        <v>350</v>
      </c>
      <c r="E62" s="338">
        <v>342</v>
      </c>
      <c r="F62" s="338">
        <v>789</v>
      </c>
      <c r="G62" s="344"/>
    </row>
    <row r="63" spans="1:7" ht="13.5" customHeight="1">
      <c r="A63" s="271" t="s">
        <v>156</v>
      </c>
      <c r="B63" s="336">
        <v>2950</v>
      </c>
      <c r="C63" s="336">
        <v>2558</v>
      </c>
      <c r="D63" s="336">
        <v>2705</v>
      </c>
      <c r="E63" s="336">
        <v>3124</v>
      </c>
      <c r="F63" s="336">
        <v>2079</v>
      </c>
      <c r="G63" s="344"/>
    </row>
    <row r="64" spans="1:7" ht="12.75" customHeight="1">
      <c r="A64" s="271" t="s">
        <v>157</v>
      </c>
      <c r="B64" s="339">
        <v>27642</v>
      </c>
      <c r="C64" s="339">
        <v>25562</v>
      </c>
      <c r="D64" s="339">
        <v>28834</v>
      </c>
      <c r="E64" s="339">
        <v>36689</v>
      </c>
      <c r="F64" s="339">
        <v>50673</v>
      </c>
      <c r="G64" s="344"/>
    </row>
    <row r="67" spans="1:7" ht="13.5" customHeight="1">
      <c r="A67" s="332"/>
      <c r="B67" s="334">
        <v>44621</v>
      </c>
      <c r="C67" s="334">
        <v>44986</v>
      </c>
      <c r="D67" s="334">
        <v>45352</v>
      </c>
      <c r="E67" s="334">
        <v>45717</v>
      </c>
      <c r="F67" s="334">
        <v>46082</v>
      </c>
      <c r="G67" s="344"/>
    </row>
    <row r="68" spans="1:7" ht="13.5" customHeight="1">
      <c r="A68" s="270" t="s">
        <v>158</v>
      </c>
      <c r="B68" s="336">
        <v>2104</v>
      </c>
      <c r="C68" s="336">
        <v>2689</v>
      </c>
      <c r="D68" s="336">
        <v>3228</v>
      </c>
      <c r="E68" s="336">
        <v>6781</v>
      </c>
      <c r="F68" s="336">
        <v>2117</v>
      </c>
      <c r="G68" s="344"/>
    </row>
    <row r="69" spans="1:7" ht="12.75" customHeight="1">
      <c r="A69" s="271" t="s">
        <v>159</v>
      </c>
      <c r="B69" s="336">
        <v>3130</v>
      </c>
      <c r="C69" s="336">
        <v>3517</v>
      </c>
      <c r="D69" s="336">
        <v>5385</v>
      </c>
      <c r="E69" s="336">
        <v>7047</v>
      </c>
      <c r="F69" s="336">
        <v>6331</v>
      </c>
      <c r="G69" s="344"/>
    </row>
    <row r="70" spans="1:7" ht="12.75" customHeight="1">
      <c r="A70" s="271" t="s">
        <v>160</v>
      </c>
      <c r="B70" s="338">
        <v>-182</v>
      </c>
      <c r="C70" s="338">
        <v>-848</v>
      </c>
      <c r="D70" s="338">
        <v>-747</v>
      </c>
      <c r="E70" s="336">
        <v>1196</v>
      </c>
      <c r="F70" s="338">
        <v>-858</v>
      </c>
      <c r="G70" s="344"/>
    </row>
    <row r="71" spans="1:7" ht="12.75" customHeight="1">
      <c r="A71" s="271" t="s">
        <v>161</v>
      </c>
      <c r="B71" s="338">
        <v>-526</v>
      </c>
      <c r="C71" s="338">
        <v>441</v>
      </c>
      <c r="D71" s="338">
        <v>-2</v>
      </c>
      <c r="E71" s="338">
        <v>-445</v>
      </c>
      <c r="F71" s="338">
        <v>-412</v>
      </c>
      <c r="G71" s="344"/>
    </row>
    <row r="72" spans="1:7" ht="12.75" customHeight="1">
      <c r="A72" s="271" t="s">
        <v>162</v>
      </c>
      <c r="B72" s="338">
        <v>-120</v>
      </c>
      <c r="C72" s="338">
        <v>-171</v>
      </c>
      <c r="D72" s="338">
        <v>-45</v>
      </c>
      <c r="E72" s="338">
        <v>74</v>
      </c>
      <c r="F72" s="338">
        <v>-795</v>
      </c>
      <c r="G72" s="344"/>
    </row>
    <row r="73" spans="1:7" ht="12.75" customHeight="1">
      <c r="A73" s="271" t="s">
        <v>163</v>
      </c>
      <c r="B73" s="338">
        <v>0</v>
      </c>
      <c r="C73" s="338">
        <v>0</v>
      </c>
      <c r="D73" s="338">
        <v>0</v>
      </c>
      <c r="E73" s="338">
        <v>0</v>
      </c>
      <c r="F73" s="338">
        <v>0</v>
      </c>
      <c r="G73" s="344"/>
    </row>
    <row r="74" spans="1:7" ht="13.5" customHeight="1">
      <c r="A74" s="271" t="s">
        <v>164</v>
      </c>
      <c r="B74" s="338">
        <v>476</v>
      </c>
      <c r="C74" s="338">
        <v>343</v>
      </c>
      <c r="D74" s="338">
        <v>-77</v>
      </c>
      <c r="E74" s="338">
        <v>712</v>
      </c>
      <c r="F74" s="338">
        <v>-558</v>
      </c>
      <c r="G74" s="344"/>
    </row>
    <row r="75" spans="1:7" ht="12.75" customHeight="1">
      <c r="A75" s="271" t="s">
        <v>165</v>
      </c>
      <c r="B75" s="338">
        <v>-352</v>
      </c>
      <c r="C75" s="338">
        <v>-236</v>
      </c>
      <c r="D75" s="338">
        <v>-871</v>
      </c>
      <c r="E75" s="336">
        <v>1536</v>
      </c>
      <c r="F75" s="336">
        <v>-2624</v>
      </c>
      <c r="G75" s="344"/>
    </row>
    <row r="76" spans="1:7" ht="12.75" customHeight="1">
      <c r="A76" s="271" t="s">
        <v>166</v>
      </c>
      <c r="B76" s="338">
        <v>-675</v>
      </c>
      <c r="C76" s="338">
        <v>-592</v>
      </c>
      <c r="D76" s="336">
        <v>-1286</v>
      </c>
      <c r="E76" s="336">
        <v>-1802</v>
      </c>
      <c r="F76" s="336">
        <v>-1591</v>
      </c>
      <c r="G76" s="344"/>
    </row>
    <row r="77" spans="1:7" ht="12.75" customHeight="1">
      <c r="A77" s="271" t="s">
        <v>197</v>
      </c>
      <c r="B77" s="338">
        <v>0</v>
      </c>
      <c r="C77" s="338">
        <v>0</v>
      </c>
      <c r="D77" s="338">
        <v>0</v>
      </c>
      <c r="E77" s="338">
        <v>0</v>
      </c>
      <c r="F77" s="338">
        <v>0</v>
      </c>
      <c r="G77" s="344"/>
    </row>
    <row r="78" spans="1:7" ht="13.5" customHeight="1">
      <c r="A78" s="271" t="s">
        <v>198</v>
      </c>
      <c r="B78" s="338">
        <v>0</v>
      </c>
      <c r="C78" s="338">
        <v>0</v>
      </c>
      <c r="D78" s="338">
        <v>0</v>
      </c>
      <c r="E78" s="338">
        <v>0</v>
      </c>
      <c r="F78" s="338">
        <v>0</v>
      </c>
      <c r="G78" s="344"/>
    </row>
    <row r="79" spans="1:7" ht="12.75" customHeight="1">
      <c r="A79" s="270" t="s">
        <v>167</v>
      </c>
      <c r="B79" s="339">
        <v>1137</v>
      </c>
      <c r="C79" s="339">
        <v>1178</v>
      </c>
      <c r="D79" s="339">
        <v>-1492</v>
      </c>
      <c r="E79" s="339">
        <v>-8363</v>
      </c>
      <c r="F79" s="339">
        <v>-7895</v>
      </c>
      <c r="G79" s="344"/>
    </row>
    <row r="80" spans="1:7" ht="12.75" customHeight="1">
      <c r="A80" s="271" t="s">
        <v>168</v>
      </c>
      <c r="B80" s="339">
        <v>-1203</v>
      </c>
      <c r="C80" s="339">
        <v>-1031</v>
      </c>
      <c r="D80" s="341">
        <v>-907</v>
      </c>
      <c r="E80" s="339">
        <v>-1694</v>
      </c>
      <c r="F80" s="339">
        <v>-2672</v>
      </c>
      <c r="G80" s="344"/>
    </row>
    <row r="81" spans="1:7" ht="12.75" customHeight="1">
      <c r="A81" s="271" t="s">
        <v>169</v>
      </c>
      <c r="B81" s="341">
        <v>148</v>
      </c>
      <c r="C81" s="341">
        <v>39</v>
      </c>
      <c r="D81" s="341">
        <v>24</v>
      </c>
      <c r="E81" s="341">
        <v>51</v>
      </c>
      <c r="F81" s="341">
        <v>25</v>
      </c>
      <c r="G81" s="344"/>
    </row>
    <row r="82" spans="1:7" ht="12.75" customHeight="1">
      <c r="A82" s="271" t="s">
        <v>170</v>
      </c>
      <c r="B82" s="341">
        <v>-270</v>
      </c>
      <c r="C82" s="341">
        <v>0</v>
      </c>
      <c r="D82" s="341">
        <v>-107</v>
      </c>
      <c r="E82" s="339">
        <v>-4580</v>
      </c>
      <c r="F82" s="339">
        <v>-1228</v>
      </c>
      <c r="G82" s="344"/>
    </row>
    <row r="83" spans="1:7" ht="12.75" customHeight="1">
      <c r="A83" s="271" t="s">
        <v>171</v>
      </c>
      <c r="B83" s="341">
        <v>75</v>
      </c>
      <c r="C83" s="339">
        <v>1784</v>
      </c>
      <c r="D83" s="341">
        <v>408</v>
      </c>
      <c r="E83" s="341">
        <v>216</v>
      </c>
      <c r="F83" s="341">
        <v>112</v>
      </c>
      <c r="G83" s="344"/>
    </row>
    <row r="84" spans="1:7" ht="12.75" customHeight="1">
      <c r="A84" s="271" t="s">
        <v>172</v>
      </c>
      <c r="B84" s="341">
        <v>58</v>
      </c>
      <c r="C84" s="341">
        <v>76</v>
      </c>
      <c r="D84" s="341">
        <v>127</v>
      </c>
      <c r="E84" s="341">
        <v>182</v>
      </c>
      <c r="F84" s="341">
        <v>427</v>
      </c>
      <c r="G84" s="344"/>
    </row>
    <row r="85" spans="1:7" ht="12.75" customHeight="1">
      <c r="A85" s="271" t="s">
        <v>190</v>
      </c>
      <c r="B85" s="341">
        <v>1</v>
      </c>
      <c r="C85" s="341">
        <v>1</v>
      </c>
      <c r="D85" s="341">
        <v>1</v>
      </c>
      <c r="E85" s="341">
        <v>1</v>
      </c>
      <c r="F85" s="341">
        <v>1</v>
      </c>
      <c r="G85" s="344"/>
    </row>
    <row r="86" spans="1:7" ht="12.75" customHeight="1">
      <c r="A86" s="271" t="s">
        <v>191</v>
      </c>
      <c r="B86" s="341">
        <v>0</v>
      </c>
      <c r="C86" s="341">
        <v>0</v>
      </c>
      <c r="D86" s="341">
        <v>0</v>
      </c>
      <c r="E86" s="341">
        <v>-671</v>
      </c>
      <c r="F86" s="341">
        <v>0</v>
      </c>
      <c r="G86" s="344"/>
    </row>
    <row r="87" spans="1:7" ht="12.75" customHeight="1">
      <c r="A87" s="271" t="s">
        <v>196</v>
      </c>
      <c r="B87" s="341">
        <v>0</v>
      </c>
      <c r="C87" s="341">
        <v>40</v>
      </c>
      <c r="D87" s="341">
        <v>55</v>
      </c>
      <c r="E87" s="341">
        <v>18</v>
      </c>
      <c r="F87" s="341">
        <v>0</v>
      </c>
      <c r="G87" s="344"/>
    </row>
    <row r="88" spans="1:7" ht="13.5" customHeight="1">
      <c r="A88" s="271" t="s">
        <v>175</v>
      </c>
      <c r="B88" s="339">
        <v>2328</v>
      </c>
      <c r="C88" s="341">
        <v>267</v>
      </c>
      <c r="D88" s="339">
        <v>-1094</v>
      </c>
      <c r="E88" s="339">
        <v>-1886</v>
      </c>
      <c r="F88" s="339">
        <v>-4560</v>
      </c>
      <c r="G88" s="344"/>
    </row>
    <row r="89" spans="1:7" ht="12.75" customHeight="1">
      <c r="A89" s="270" t="s">
        <v>176</v>
      </c>
      <c r="B89" s="338">
        <v>-868</v>
      </c>
      <c r="C89" s="336">
        <v>-4400</v>
      </c>
      <c r="D89" s="336">
        <v>-1810</v>
      </c>
      <c r="E89" s="336">
        <v>1995</v>
      </c>
      <c r="F89" s="336">
        <v>5807</v>
      </c>
      <c r="G89" s="344"/>
    </row>
    <row r="90" spans="1:7" ht="12.75" customHeight="1">
      <c r="A90" s="271" t="s">
        <v>192</v>
      </c>
      <c r="B90" s="338">
        <v>0</v>
      </c>
      <c r="C90" s="338">
        <v>0</v>
      </c>
      <c r="D90" s="338">
        <v>0</v>
      </c>
      <c r="E90" s="338">
        <v>0</v>
      </c>
      <c r="F90" s="338">
        <v>0</v>
      </c>
      <c r="G90" s="344"/>
    </row>
    <row r="91" spans="1:7" ht="12.75" customHeight="1">
      <c r="A91" s="271" t="s">
        <v>177</v>
      </c>
      <c r="B91" s="336">
        <v>1037</v>
      </c>
      <c r="C91" s="338">
        <v>158</v>
      </c>
      <c r="D91" s="338">
        <v>1</v>
      </c>
      <c r="E91" s="336">
        <v>2402</v>
      </c>
      <c r="F91" s="336">
        <v>8260</v>
      </c>
      <c r="G91" s="344"/>
    </row>
    <row r="92" spans="1:7" ht="12.75" customHeight="1">
      <c r="A92" s="271" t="s">
        <v>178</v>
      </c>
      <c r="B92" s="336">
        <v>-1421</v>
      </c>
      <c r="C92" s="336">
        <v>-3302</v>
      </c>
      <c r="D92" s="338">
        <v>-393</v>
      </c>
      <c r="E92" s="338">
        <v>0</v>
      </c>
      <c r="F92" s="338">
        <v>-968</v>
      </c>
      <c r="G92" s="344"/>
    </row>
    <row r="93" spans="1:7" ht="12.75" customHeight="1">
      <c r="A93" s="271" t="s">
        <v>180</v>
      </c>
      <c r="B93" s="338">
        <v>-111</v>
      </c>
      <c r="C93" s="338">
        <v>-126</v>
      </c>
      <c r="D93" s="338">
        <v>-73</v>
      </c>
      <c r="E93" s="338">
        <v>-90</v>
      </c>
      <c r="F93" s="338">
        <v>-354</v>
      </c>
      <c r="G93" s="344"/>
    </row>
    <row r="94" spans="1:7" ht="12.75" customHeight="1">
      <c r="A94" s="271" t="s">
        <v>181</v>
      </c>
      <c r="B94" s="338">
        <v>-372</v>
      </c>
      <c r="C94" s="338">
        <v>-267</v>
      </c>
      <c r="D94" s="338">
        <v>-621</v>
      </c>
      <c r="E94" s="338">
        <v>-302</v>
      </c>
      <c r="F94" s="336">
        <v>-1106</v>
      </c>
      <c r="G94" s="344"/>
    </row>
    <row r="95" spans="1:7" ht="12.75" customHeight="1">
      <c r="A95" s="271" t="s">
        <v>182</v>
      </c>
      <c r="B95" s="338">
        <v>-1</v>
      </c>
      <c r="C95" s="338">
        <v>0</v>
      </c>
      <c r="D95" s="338">
        <v>0</v>
      </c>
      <c r="E95" s="338">
        <v>-15</v>
      </c>
      <c r="F95" s="338">
        <v>-26</v>
      </c>
      <c r="G95" s="344"/>
    </row>
    <row r="96" spans="1:7" ht="13.5" customHeight="1">
      <c r="A96" s="271" t="s">
        <v>194</v>
      </c>
      <c r="B96" s="338">
        <v>0</v>
      </c>
      <c r="C96" s="338">
        <v>-863</v>
      </c>
      <c r="D96" s="338">
        <v>-725</v>
      </c>
      <c r="E96" s="338">
        <v>0</v>
      </c>
      <c r="F96" s="338">
        <v>0</v>
      </c>
      <c r="G96" s="344"/>
    </row>
    <row r="97" spans="1:7" ht="12.75" customHeight="1">
      <c r="A97" s="271" t="s">
        <v>183</v>
      </c>
      <c r="B97" s="339">
        <v>2373</v>
      </c>
      <c r="C97" s="341">
        <v>-534</v>
      </c>
      <c r="D97" s="341">
        <v>-75</v>
      </c>
      <c r="E97" s="341">
        <v>414</v>
      </c>
      <c r="F97" s="341">
        <v>28</v>
      </c>
      <c r="G97" s="344"/>
    </row>
    <row r="98" spans="1:7" ht="12.75" customHeight="1">
      <c r="A98" s="333" t="s">
        <v>184</v>
      </c>
      <c r="B98" s="345">
        <v>1050</v>
      </c>
      <c r="C98" s="345">
        <v>1697</v>
      </c>
      <c r="D98" s="345">
        <v>2345</v>
      </c>
      <c r="E98" s="345">
        <v>5139</v>
      </c>
      <c r="F98" s="346">
        <v>-530</v>
      </c>
      <c r="G98" s="344"/>
    </row>
    <row r="99" spans="1:7" ht="12.75" customHeight="1">
      <c r="A99" s="333" t="s">
        <v>185</v>
      </c>
      <c r="B99" s="347">
        <v>0.83</v>
      </c>
      <c r="C99" s="347">
        <v>0.85</v>
      </c>
      <c r="D99" s="347">
        <v>0.84</v>
      </c>
      <c r="E99" s="347">
        <v>1.22</v>
      </c>
      <c r="F99" s="347">
        <v>0.44</v>
      </c>
      <c r="G99" s="344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7"/>
  <sheetViews>
    <sheetView zoomScale="82" zoomScaleNormal="10" workbookViewId="0">
      <selection activeCell="I4" sqref="I4"/>
    </sheetView>
  </sheetViews>
  <sheetFormatPr defaultColWidth="12.6640625" defaultRowHeight="13.2"/>
  <cols>
    <col min="1" max="1" width="33.109375" customWidth="1"/>
  </cols>
  <sheetData>
    <row r="1" spans="1:7" ht="28.2" customHeight="1">
      <c r="A1" s="445" t="s">
        <v>33</v>
      </c>
      <c r="B1" s="446"/>
      <c r="C1" s="446"/>
      <c r="D1" s="446"/>
      <c r="E1" s="446"/>
      <c r="F1" s="446"/>
      <c r="G1" s="446"/>
    </row>
    <row r="2" spans="1:7" ht="15.75" customHeight="1">
      <c r="A2" s="351"/>
      <c r="B2" s="355">
        <v>44621</v>
      </c>
      <c r="C2" s="355">
        <v>44986</v>
      </c>
      <c r="D2" s="355">
        <v>45352</v>
      </c>
      <c r="E2" s="355">
        <v>45717</v>
      </c>
      <c r="F2" s="355">
        <v>46082</v>
      </c>
      <c r="G2" s="356"/>
    </row>
    <row r="3" spans="1:7" ht="15.75" customHeight="1">
      <c r="A3" s="352" t="s">
        <v>97</v>
      </c>
      <c r="B3" s="357">
        <v>16405</v>
      </c>
      <c r="C3" s="357">
        <v>16642</v>
      </c>
      <c r="D3" s="357">
        <v>20011</v>
      </c>
      <c r="E3" s="357">
        <v>22708</v>
      </c>
      <c r="F3" s="357">
        <v>27958</v>
      </c>
      <c r="G3" s="357"/>
    </row>
    <row r="4" spans="1:7" ht="15.75" customHeight="1">
      <c r="A4" s="353" t="s">
        <v>98</v>
      </c>
      <c r="B4" s="358">
        <v>8.1900000000000001E-2</v>
      </c>
      <c r="C4" s="358">
        <v>1.44E-2</v>
      </c>
      <c r="D4" s="358">
        <v>0.20250000000000001</v>
      </c>
      <c r="E4" s="358">
        <v>0.1348</v>
      </c>
      <c r="F4" s="358">
        <v>0.23119999999999999</v>
      </c>
      <c r="G4" s="359"/>
    </row>
    <row r="5" spans="1:7" ht="15.75" customHeight="1">
      <c r="A5" s="352" t="s">
        <v>99</v>
      </c>
      <c r="B5" s="360">
        <v>16187</v>
      </c>
      <c r="C5" s="360">
        <v>14921</v>
      </c>
      <c r="D5" s="360">
        <v>16211</v>
      </c>
      <c r="E5" s="360">
        <v>17430</v>
      </c>
      <c r="F5" s="360">
        <v>19798</v>
      </c>
      <c r="G5" s="360"/>
    </row>
    <row r="6" spans="1:7" ht="15.75" customHeight="1">
      <c r="A6" s="352" t="s">
        <v>186</v>
      </c>
      <c r="B6" s="361">
        <v>0.39510000000000001</v>
      </c>
      <c r="C6" s="361">
        <v>0.40739999999999998</v>
      </c>
      <c r="D6" s="361">
        <v>0.33200000000000002</v>
      </c>
      <c r="E6" s="361">
        <v>0.30130000000000001</v>
      </c>
      <c r="F6" s="361">
        <v>0.2621</v>
      </c>
      <c r="G6" s="362"/>
    </row>
    <row r="7" spans="1:7" ht="15.75" customHeight="1">
      <c r="A7" s="353" t="s">
        <v>103</v>
      </c>
      <c r="B7" s="361">
        <v>0.1177</v>
      </c>
      <c r="C7" s="361">
        <v>0.1142</v>
      </c>
      <c r="D7" s="361">
        <v>0.1116</v>
      </c>
      <c r="E7" s="361">
        <v>0.1084</v>
      </c>
      <c r="F7" s="361">
        <v>0.1003</v>
      </c>
      <c r="G7" s="362"/>
    </row>
    <row r="8" spans="1:7" ht="15.75" customHeight="1">
      <c r="A8" s="353" t="s">
        <v>104</v>
      </c>
      <c r="B8" s="361">
        <v>0.1822</v>
      </c>
      <c r="C8" s="361">
        <v>0.1855</v>
      </c>
      <c r="D8" s="361">
        <v>0.17460000000000001</v>
      </c>
      <c r="E8" s="361">
        <v>0.17460000000000001</v>
      </c>
      <c r="F8" s="361">
        <v>0.1636</v>
      </c>
      <c r="G8" s="362"/>
    </row>
    <row r="9" spans="1:7" ht="15.75" customHeight="1">
      <c r="A9" s="353" t="s">
        <v>105</v>
      </c>
      <c r="B9" s="361">
        <v>0.29160000000000003</v>
      </c>
      <c r="C9" s="361">
        <v>0.1895</v>
      </c>
      <c r="D9" s="361">
        <v>0.19189999999999999</v>
      </c>
      <c r="E9" s="361">
        <v>0.18329999999999999</v>
      </c>
      <c r="F9" s="361">
        <v>0.1822</v>
      </c>
      <c r="G9" s="362"/>
    </row>
    <row r="10" spans="1:7" ht="15.75" customHeight="1">
      <c r="A10" s="353" t="s">
        <v>106</v>
      </c>
      <c r="B10" s="359">
        <v>219</v>
      </c>
      <c r="C10" s="357">
        <v>1721</v>
      </c>
      <c r="D10" s="357">
        <v>3800</v>
      </c>
      <c r="E10" s="357">
        <v>5278</v>
      </c>
      <c r="F10" s="357">
        <v>8160</v>
      </c>
      <c r="G10" s="357"/>
    </row>
    <row r="11" spans="1:7" ht="15.75" customHeight="1">
      <c r="A11" s="353" t="s">
        <v>107</v>
      </c>
      <c r="B11" s="361">
        <v>1.2999999999999999E-2</v>
      </c>
      <c r="C11" s="363">
        <v>0.1</v>
      </c>
      <c r="D11" s="363">
        <v>0.19</v>
      </c>
      <c r="E11" s="363">
        <v>0.23</v>
      </c>
      <c r="F11" s="363">
        <v>0.28999999999999998</v>
      </c>
      <c r="G11" s="363"/>
    </row>
    <row r="12" spans="1:7" ht="15.75" customHeight="1">
      <c r="A12" s="352" t="s">
        <v>108</v>
      </c>
      <c r="B12" s="359">
        <v>210</v>
      </c>
      <c r="C12" s="359">
        <v>151</v>
      </c>
      <c r="D12" s="359">
        <v>131</v>
      </c>
      <c r="E12" s="359">
        <v>202</v>
      </c>
      <c r="F12" s="359">
        <v>523</v>
      </c>
      <c r="G12" s="359"/>
    </row>
    <row r="13" spans="1:7" ht="15.75" customHeight="1">
      <c r="A13" s="353" t="s">
        <v>109</v>
      </c>
      <c r="B13" s="359">
        <v>33</v>
      </c>
      <c r="C13" s="359">
        <v>33</v>
      </c>
      <c r="D13" s="359">
        <v>31</v>
      </c>
      <c r="E13" s="359">
        <v>45</v>
      </c>
      <c r="F13" s="359">
        <v>-456</v>
      </c>
      <c r="G13" s="359"/>
    </row>
    <row r="14" spans="1:7" ht="15.75" customHeight="1">
      <c r="A14" s="353" t="s">
        <v>110</v>
      </c>
      <c r="B14" s="359">
        <v>177</v>
      </c>
      <c r="C14" s="359">
        <v>118</v>
      </c>
      <c r="D14" s="359">
        <v>100</v>
      </c>
      <c r="E14" s="359">
        <v>156</v>
      </c>
      <c r="F14" s="359">
        <v>979</v>
      </c>
      <c r="G14" s="359"/>
    </row>
    <row r="15" spans="1:7" ht="15.75" customHeight="1">
      <c r="A15" s="353" t="s">
        <v>111</v>
      </c>
      <c r="B15" s="362">
        <v>143</v>
      </c>
      <c r="C15" s="362">
        <v>274</v>
      </c>
      <c r="D15" s="362">
        <v>312</v>
      </c>
      <c r="E15" s="362">
        <v>295</v>
      </c>
      <c r="F15" s="362">
        <v>434</v>
      </c>
      <c r="G15" s="362"/>
    </row>
    <row r="16" spans="1:7" ht="15.75" customHeight="1">
      <c r="A16" s="353" t="s">
        <v>112</v>
      </c>
      <c r="B16" s="357">
        <v>1659</v>
      </c>
      <c r="C16" s="359">
        <v>881</v>
      </c>
      <c r="D16" s="357">
        <v>1197</v>
      </c>
      <c r="E16" s="357">
        <v>1169</v>
      </c>
      <c r="F16" s="357">
        <v>1376</v>
      </c>
      <c r="G16" s="357"/>
    </row>
    <row r="17" spans="1:7" ht="15.75" customHeight="1">
      <c r="A17" s="353" t="s">
        <v>113</v>
      </c>
      <c r="B17" s="360">
        <v>-1372</v>
      </c>
      <c r="C17" s="362">
        <v>716</v>
      </c>
      <c r="D17" s="360">
        <v>2422</v>
      </c>
      <c r="E17" s="360">
        <v>4015</v>
      </c>
      <c r="F17" s="360">
        <v>6873</v>
      </c>
      <c r="G17" s="360"/>
    </row>
    <row r="18" spans="1:7" ht="15.75" customHeight="1">
      <c r="A18" s="353" t="s">
        <v>114</v>
      </c>
      <c r="B18" s="364">
        <v>0.1</v>
      </c>
      <c r="C18" s="364">
        <v>0.38</v>
      </c>
      <c r="D18" s="364">
        <v>0.2</v>
      </c>
      <c r="E18" s="364">
        <v>0.18</v>
      </c>
      <c r="F18" s="364">
        <v>0.22</v>
      </c>
      <c r="G18" s="359"/>
    </row>
    <row r="19" spans="1:7" ht="15.75" customHeight="1">
      <c r="A19" s="352" t="s">
        <v>115</v>
      </c>
      <c r="B19" s="360">
        <v>-1528</v>
      </c>
      <c r="C19" s="362">
        <v>448</v>
      </c>
      <c r="D19" s="360">
        <v>1936</v>
      </c>
      <c r="E19" s="360">
        <v>3306</v>
      </c>
      <c r="F19" s="360">
        <v>5355</v>
      </c>
      <c r="G19" s="360"/>
    </row>
    <row r="20" spans="1:7" ht="15.75" customHeight="1">
      <c r="A20" s="353" t="s">
        <v>187</v>
      </c>
      <c r="B20" s="362">
        <v>-19</v>
      </c>
      <c r="C20" s="362">
        <v>0</v>
      </c>
      <c r="D20" s="362">
        <v>0</v>
      </c>
      <c r="E20" s="362">
        <v>0</v>
      </c>
      <c r="F20" s="362">
        <v>0</v>
      </c>
      <c r="G20" s="362"/>
    </row>
    <row r="21" spans="1:7" ht="15.75" customHeight="1">
      <c r="A21" s="353" t="s">
        <v>116</v>
      </c>
      <c r="B21" s="362">
        <v>0</v>
      </c>
      <c r="C21" s="362">
        <v>-18</v>
      </c>
      <c r="D21" s="362">
        <v>-21</v>
      </c>
      <c r="E21" s="362">
        <v>-25</v>
      </c>
      <c r="F21" s="362">
        <v>-23</v>
      </c>
      <c r="G21" s="362"/>
    </row>
    <row r="22" spans="1:7" ht="15.75" customHeight="1">
      <c r="A22" s="353" t="s">
        <v>117</v>
      </c>
      <c r="B22" s="362">
        <v>33</v>
      </c>
      <c r="C22" s="362">
        <v>20</v>
      </c>
      <c r="D22" s="362">
        <v>23</v>
      </c>
      <c r="E22" s="362">
        <v>57</v>
      </c>
      <c r="F22" s="362">
        <v>-355</v>
      </c>
      <c r="G22" s="362"/>
    </row>
    <row r="23" spans="1:7" ht="15.75" customHeight="1">
      <c r="A23" s="353" t="s">
        <v>118</v>
      </c>
      <c r="B23" s="360">
        <v>-1561</v>
      </c>
      <c r="C23" s="362">
        <v>427</v>
      </c>
      <c r="D23" s="360">
        <v>1913</v>
      </c>
      <c r="E23" s="360">
        <v>3250</v>
      </c>
      <c r="F23" s="360">
        <v>5710</v>
      </c>
      <c r="G23" s="362"/>
    </row>
    <row r="24" spans="1:7" ht="15.75" customHeight="1">
      <c r="A24" s="353" t="s">
        <v>119</v>
      </c>
      <c r="B24" s="360">
        <v>-1561</v>
      </c>
      <c r="C24" s="362">
        <v>410</v>
      </c>
      <c r="D24" s="360">
        <v>1892</v>
      </c>
      <c r="E24" s="360">
        <v>3225</v>
      </c>
      <c r="F24" s="360">
        <v>5686</v>
      </c>
      <c r="G24" s="362"/>
    </row>
    <row r="25" spans="1:7" ht="15.75" customHeight="1">
      <c r="A25" s="353" t="s">
        <v>120</v>
      </c>
      <c r="B25" s="360">
        <v>-1528</v>
      </c>
      <c r="C25" s="362">
        <v>430</v>
      </c>
      <c r="D25" s="360">
        <v>1914</v>
      </c>
      <c r="E25" s="360">
        <v>3282</v>
      </c>
      <c r="F25" s="360">
        <v>5333</v>
      </c>
      <c r="G25" s="362"/>
    </row>
    <row r="26" spans="1:7" ht="15.75" customHeight="1">
      <c r="A26" s="353" t="s">
        <v>121</v>
      </c>
      <c r="B26" s="363">
        <v>-2.33</v>
      </c>
      <c r="C26" s="363">
        <v>1.26</v>
      </c>
      <c r="D26" s="363">
        <v>3.61</v>
      </c>
      <c r="E26" s="363">
        <v>0.7</v>
      </c>
      <c r="F26" s="363">
        <v>0.76</v>
      </c>
      <c r="G26" s="362"/>
    </row>
    <row r="27" spans="1:7" ht="15.75" customHeight="1">
      <c r="A27" s="353" t="s">
        <v>122</v>
      </c>
      <c r="B27" s="359">
        <v>-33.619999999999997</v>
      </c>
      <c r="C27" s="359">
        <v>9.4499999999999993</v>
      </c>
      <c r="D27" s="359">
        <v>42.01</v>
      </c>
      <c r="E27" s="359">
        <v>71.88</v>
      </c>
      <c r="F27" s="359">
        <v>116.65</v>
      </c>
      <c r="G27" s="359"/>
    </row>
    <row r="28" spans="1:7" ht="15.75" customHeight="1">
      <c r="A28" s="353" t="s">
        <v>123</v>
      </c>
      <c r="B28" s="363">
        <v>-0.12</v>
      </c>
      <c r="C28" s="363">
        <v>0.42</v>
      </c>
      <c r="D28" s="363">
        <v>0.19</v>
      </c>
      <c r="E28" s="363">
        <v>0.17</v>
      </c>
      <c r="F28" s="363">
        <v>0.15</v>
      </c>
      <c r="G28" s="362"/>
    </row>
    <row r="29" spans="1:7" ht="15.75" customHeight="1">
      <c r="A29" s="19"/>
    </row>
    <row r="31" spans="1:7" ht="15.75" customHeight="1">
      <c r="A31" s="351"/>
      <c r="B31" s="355">
        <v>44621</v>
      </c>
      <c r="C31" s="355">
        <v>44986</v>
      </c>
      <c r="D31" s="355">
        <v>45352</v>
      </c>
      <c r="E31" s="355">
        <v>45717</v>
      </c>
      <c r="F31" s="355">
        <v>46082</v>
      </c>
      <c r="G31" s="121"/>
    </row>
    <row r="32" spans="1:7" ht="15.75" customHeight="1">
      <c r="A32" s="353" t="s">
        <v>124</v>
      </c>
      <c r="B32" s="359">
        <v>91</v>
      </c>
      <c r="C32" s="359">
        <v>91</v>
      </c>
      <c r="D32" s="359">
        <v>91</v>
      </c>
      <c r="E32" s="359">
        <v>91</v>
      </c>
      <c r="F32" s="359">
        <v>91</v>
      </c>
      <c r="G32" s="121"/>
    </row>
    <row r="33" spans="1:7" ht="15.75" customHeight="1">
      <c r="A33" s="353" t="s">
        <v>125</v>
      </c>
      <c r="B33" s="360">
        <v>12062</v>
      </c>
      <c r="C33" s="360">
        <v>12374</v>
      </c>
      <c r="D33" s="360">
        <v>14199</v>
      </c>
      <c r="E33" s="360">
        <v>17112</v>
      </c>
      <c r="F33" s="360">
        <v>22357</v>
      </c>
      <c r="G33" s="121"/>
    </row>
    <row r="34" spans="1:7" ht="15.75" customHeight="1">
      <c r="A34" s="352" t="s">
        <v>126</v>
      </c>
      <c r="B34" s="357">
        <v>4158</v>
      </c>
      <c r="C34" s="357">
        <v>4542</v>
      </c>
      <c r="D34" s="357">
        <v>2922</v>
      </c>
      <c r="E34" s="357">
        <v>5448</v>
      </c>
      <c r="F34" s="357">
        <v>6616</v>
      </c>
      <c r="G34" s="121"/>
    </row>
    <row r="35" spans="1:7" ht="15.75" customHeight="1">
      <c r="A35" s="353" t="s">
        <v>127</v>
      </c>
      <c r="B35" s="359">
        <v>142</v>
      </c>
      <c r="C35" s="359">
        <v>28</v>
      </c>
      <c r="D35" s="359">
        <v>0</v>
      </c>
      <c r="E35" s="357">
        <v>1766</v>
      </c>
      <c r="F35" s="357">
        <v>1643</v>
      </c>
      <c r="G35" s="121"/>
    </row>
    <row r="36" spans="1:7" ht="15.75" customHeight="1">
      <c r="A36" s="353" t="s">
        <v>128</v>
      </c>
      <c r="B36" s="357">
        <v>3702</v>
      </c>
      <c r="C36" s="357">
        <v>4217</v>
      </c>
      <c r="D36" s="357">
        <v>2670</v>
      </c>
      <c r="E36" s="357">
        <v>3310</v>
      </c>
      <c r="F36" s="357">
        <v>4267</v>
      </c>
      <c r="G36" s="121"/>
    </row>
    <row r="37" spans="1:7" ht="15.75" customHeight="1">
      <c r="A37" s="353" t="s">
        <v>129</v>
      </c>
      <c r="B37" s="359">
        <v>314</v>
      </c>
      <c r="C37" s="359">
        <v>297</v>
      </c>
      <c r="D37" s="359">
        <v>252</v>
      </c>
      <c r="E37" s="359">
        <v>371</v>
      </c>
      <c r="F37" s="359">
        <v>706</v>
      </c>
      <c r="G37" s="121"/>
    </row>
    <row r="38" spans="1:7" ht="15.75" customHeight="1">
      <c r="A38" s="353" t="s">
        <v>130</v>
      </c>
      <c r="B38" s="359">
        <v>0</v>
      </c>
      <c r="C38" s="359">
        <v>0</v>
      </c>
      <c r="D38" s="359">
        <v>0</v>
      </c>
      <c r="E38" s="359">
        <v>0</v>
      </c>
      <c r="F38" s="359">
        <v>0</v>
      </c>
      <c r="G38" s="121"/>
    </row>
    <row r="39" spans="1:7" ht="15.75" customHeight="1">
      <c r="A39" s="352" t="s">
        <v>131</v>
      </c>
      <c r="B39" s="360">
        <v>5340</v>
      </c>
      <c r="C39" s="360">
        <v>5794</v>
      </c>
      <c r="D39" s="360">
        <v>6539</v>
      </c>
      <c r="E39" s="360">
        <v>6327</v>
      </c>
      <c r="F39" s="360">
        <v>9082</v>
      </c>
      <c r="G39" s="121"/>
    </row>
    <row r="40" spans="1:7" ht="15.75" customHeight="1">
      <c r="A40" s="353" t="s">
        <v>132</v>
      </c>
      <c r="B40" s="362">
        <v>69</v>
      </c>
      <c r="C40" s="362">
        <v>78</v>
      </c>
      <c r="D40" s="362">
        <v>83</v>
      </c>
      <c r="E40" s="362">
        <v>91</v>
      </c>
      <c r="F40" s="362">
        <v>65</v>
      </c>
      <c r="G40" s="121"/>
    </row>
    <row r="41" spans="1:7" ht="15.75" customHeight="1">
      <c r="A41" s="353" t="s">
        <v>133</v>
      </c>
      <c r="B41" s="360">
        <v>2283</v>
      </c>
      <c r="C41" s="360">
        <v>2532</v>
      </c>
      <c r="D41" s="360">
        <v>2958</v>
      </c>
      <c r="E41" s="360">
        <v>2958</v>
      </c>
      <c r="F41" s="360">
        <v>4173</v>
      </c>
      <c r="G41" s="121"/>
    </row>
    <row r="42" spans="1:7" ht="15.75" customHeight="1">
      <c r="A42" s="353" t="s">
        <v>134</v>
      </c>
      <c r="B42" s="362">
        <v>16</v>
      </c>
      <c r="C42" s="362">
        <v>15</v>
      </c>
      <c r="D42" s="362">
        <v>25</v>
      </c>
      <c r="E42" s="362">
        <v>22</v>
      </c>
      <c r="F42" s="362">
        <v>21</v>
      </c>
      <c r="G42" s="121"/>
    </row>
    <row r="43" spans="1:7" ht="15.75" customHeight="1">
      <c r="A43" s="353" t="s">
        <v>135</v>
      </c>
      <c r="B43" s="360">
        <v>2973</v>
      </c>
      <c r="C43" s="360">
        <v>3169</v>
      </c>
      <c r="D43" s="360">
        <v>3473</v>
      </c>
      <c r="E43" s="360">
        <v>3257</v>
      </c>
      <c r="F43" s="360">
        <v>4822</v>
      </c>
      <c r="G43" s="121"/>
    </row>
    <row r="44" spans="1:7" ht="15.75" customHeight="1">
      <c r="A44" s="353" t="s">
        <v>136</v>
      </c>
      <c r="B44" s="357">
        <v>21651</v>
      </c>
      <c r="C44" s="357">
        <v>22800</v>
      </c>
      <c r="D44" s="357">
        <v>23751</v>
      </c>
      <c r="E44" s="357">
        <v>28978</v>
      </c>
      <c r="F44" s="357">
        <v>38146</v>
      </c>
      <c r="G44" s="121"/>
    </row>
    <row r="45" spans="1:7" ht="15.75" customHeight="1">
      <c r="A45" s="352" t="s">
        <v>137</v>
      </c>
      <c r="B45" s="360">
        <v>7382</v>
      </c>
      <c r="C45" s="360">
        <v>8355</v>
      </c>
      <c r="D45" s="360">
        <v>8878</v>
      </c>
      <c r="E45" s="360">
        <v>9719</v>
      </c>
      <c r="F45" s="360">
        <v>10994</v>
      </c>
      <c r="G45" s="121"/>
    </row>
    <row r="46" spans="1:7" ht="15.75" customHeight="1">
      <c r="A46" s="353" t="s">
        <v>138</v>
      </c>
      <c r="B46" s="362">
        <v>316</v>
      </c>
      <c r="C46" s="362">
        <v>328</v>
      </c>
      <c r="D46" s="362">
        <v>336</v>
      </c>
      <c r="E46" s="362">
        <v>324</v>
      </c>
      <c r="F46" s="362">
        <v>346</v>
      </c>
      <c r="G46" s="121"/>
    </row>
    <row r="47" spans="1:7" ht="15.75" customHeight="1">
      <c r="A47" s="353" t="s">
        <v>139</v>
      </c>
      <c r="B47" s="360">
        <v>2660</v>
      </c>
      <c r="C47" s="360">
        <v>2832</v>
      </c>
      <c r="D47" s="360">
        <v>2972</v>
      </c>
      <c r="E47" s="360">
        <v>3143</v>
      </c>
      <c r="F47" s="360">
        <v>3456</v>
      </c>
      <c r="G47" s="121"/>
    </row>
    <row r="48" spans="1:7" ht="15.75" customHeight="1">
      <c r="A48" s="353" t="s">
        <v>140</v>
      </c>
      <c r="B48" s="360">
        <v>4414</v>
      </c>
      <c r="C48" s="360">
        <v>4903</v>
      </c>
      <c r="D48" s="360">
        <v>5505</v>
      </c>
      <c r="E48" s="360">
        <v>5911</v>
      </c>
      <c r="F48" s="360">
        <v>6344</v>
      </c>
      <c r="G48" s="121"/>
    </row>
    <row r="49" spans="1:7" ht="15.75" customHeight="1">
      <c r="A49" s="353" t="s">
        <v>141</v>
      </c>
      <c r="B49" s="362">
        <v>285</v>
      </c>
      <c r="C49" s="362">
        <v>299</v>
      </c>
      <c r="D49" s="362">
        <v>354</v>
      </c>
      <c r="E49" s="362">
        <v>408</v>
      </c>
      <c r="F49" s="362">
        <v>501</v>
      </c>
      <c r="G49" s="121"/>
    </row>
    <row r="50" spans="1:7" ht="15.75" customHeight="1">
      <c r="A50" s="353" t="s">
        <v>143</v>
      </c>
      <c r="B50" s="362">
        <v>206</v>
      </c>
      <c r="C50" s="362">
        <v>220</v>
      </c>
      <c r="D50" s="362">
        <v>194</v>
      </c>
      <c r="E50" s="362">
        <v>195</v>
      </c>
      <c r="F50" s="362">
        <v>204</v>
      </c>
      <c r="G50" s="121"/>
    </row>
    <row r="51" spans="1:7" ht="15.75" customHeight="1">
      <c r="A51" s="353" t="s">
        <v>144</v>
      </c>
      <c r="B51" s="362">
        <v>89</v>
      </c>
      <c r="C51" s="362">
        <v>106</v>
      </c>
      <c r="D51" s="362">
        <v>117</v>
      </c>
      <c r="E51" s="362">
        <v>124</v>
      </c>
      <c r="F51" s="362">
        <v>133</v>
      </c>
      <c r="G51" s="121"/>
    </row>
    <row r="52" spans="1:7" ht="15.75" customHeight="1">
      <c r="A52" s="353" t="s">
        <v>145</v>
      </c>
      <c r="B52" s="360">
        <v>7783</v>
      </c>
      <c r="C52" s="360">
        <v>2219</v>
      </c>
      <c r="D52" s="360">
        <v>2325</v>
      </c>
      <c r="E52" s="360">
        <v>2233</v>
      </c>
      <c r="F52" s="360">
        <v>2659</v>
      </c>
      <c r="G52" s="121"/>
    </row>
    <row r="53" spans="1:7" ht="15.75" customHeight="1">
      <c r="A53" s="353" t="s">
        <v>146</v>
      </c>
      <c r="B53" s="362">
        <v>238</v>
      </c>
      <c r="C53" s="360">
        <v>7170</v>
      </c>
      <c r="D53" s="360">
        <v>7860</v>
      </c>
      <c r="E53" s="360">
        <v>7846</v>
      </c>
      <c r="F53" s="360">
        <v>9575</v>
      </c>
      <c r="G53" s="121"/>
    </row>
    <row r="54" spans="1:7" ht="15.75" customHeight="1">
      <c r="A54" s="353" t="s">
        <v>147</v>
      </c>
      <c r="B54" s="360">
        <v>15990</v>
      </c>
      <c r="C54" s="360">
        <v>18077</v>
      </c>
      <c r="D54" s="360">
        <v>19665</v>
      </c>
      <c r="E54" s="360">
        <v>20184</v>
      </c>
      <c r="F54" s="360">
        <v>23217</v>
      </c>
      <c r="G54" s="121"/>
    </row>
    <row r="55" spans="1:7" ht="15.75" customHeight="1">
      <c r="A55" s="353" t="s">
        <v>148</v>
      </c>
      <c r="B55" s="360">
        <v>8609</v>
      </c>
      <c r="C55" s="360">
        <v>9722</v>
      </c>
      <c r="D55" s="360">
        <v>10786</v>
      </c>
      <c r="E55" s="360">
        <v>10464</v>
      </c>
      <c r="F55" s="360">
        <v>12224</v>
      </c>
      <c r="G55" s="121"/>
    </row>
    <row r="56" spans="1:7" ht="15.75" customHeight="1">
      <c r="A56" s="353" t="s">
        <v>149</v>
      </c>
      <c r="B56" s="357">
        <v>1146</v>
      </c>
      <c r="C56" s="357">
        <v>1238</v>
      </c>
      <c r="D56" s="359">
        <v>773</v>
      </c>
      <c r="E56" s="359">
        <v>517</v>
      </c>
      <c r="F56" s="357">
        <v>1016</v>
      </c>
      <c r="G56" s="121"/>
    </row>
    <row r="57" spans="1:7" ht="15.75" customHeight="1">
      <c r="A57" s="353" t="s">
        <v>150</v>
      </c>
      <c r="B57" s="362">
        <v>900</v>
      </c>
      <c r="C57" s="362">
        <v>517</v>
      </c>
      <c r="D57" s="360">
        <v>1075</v>
      </c>
      <c r="E57" s="360">
        <v>1146</v>
      </c>
      <c r="F57" s="360">
        <v>3670</v>
      </c>
      <c r="G57" s="121"/>
    </row>
    <row r="58" spans="1:7" ht="15.75" customHeight="1">
      <c r="A58" s="352" t="s">
        <v>151</v>
      </c>
      <c r="B58" s="357">
        <v>12224</v>
      </c>
      <c r="C58" s="357">
        <v>12690</v>
      </c>
      <c r="D58" s="357">
        <v>13026</v>
      </c>
      <c r="E58" s="357">
        <v>17596</v>
      </c>
      <c r="F58" s="357">
        <v>22466</v>
      </c>
      <c r="G58" s="121"/>
    </row>
    <row r="59" spans="1:7" ht="15.75" customHeight="1">
      <c r="A59" s="353" t="s">
        <v>152</v>
      </c>
      <c r="B59" s="357">
        <v>4631</v>
      </c>
      <c r="C59" s="357">
        <v>4492</v>
      </c>
      <c r="D59" s="357">
        <v>4954</v>
      </c>
      <c r="E59" s="357">
        <v>5476</v>
      </c>
      <c r="F59" s="357">
        <v>6083</v>
      </c>
      <c r="G59" s="121"/>
    </row>
    <row r="60" spans="1:7" ht="15.75" customHeight="1">
      <c r="A60" s="353" t="s">
        <v>153</v>
      </c>
      <c r="B60" s="357">
        <v>4262</v>
      </c>
      <c r="C60" s="357">
        <v>4481</v>
      </c>
      <c r="D60" s="357">
        <v>4692</v>
      </c>
      <c r="E60" s="357">
        <v>5497</v>
      </c>
      <c r="F60" s="357">
        <v>6604</v>
      </c>
      <c r="G60" s="121"/>
    </row>
    <row r="61" spans="1:7" ht="15.75" customHeight="1">
      <c r="A61" s="353" t="s">
        <v>154</v>
      </c>
      <c r="B61" s="357">
        <v>1098</v>
      </c>
      <c r="C61" s="357">
        <v>1293</v>
      </c>
      <c r="D61" s="357">
        <v>1203</v>
      </c>
      <c r="E61" s="357">
        <v>3142</v>
      </c>
      <c r="F61" s="357">
        <v>5653</v>
      </c>
      <c r="G61" s="121"/>
    </row>
    <row r="62" spans="1:7" ht="15.75" customHeight="1">
      <c r="A62" s="353" t="s">
        <v>155</v>
      </c>
      <c r="B62" s="359">
        <v>347</v>
      </c>
      <c r="C62" s="359">
        <v>333</v>
      </c>
      <c r="D62" s="359">
        <v>402</v>
      </c>
      <c r="E62" s="359">
        <v>393</v>
      </c>
      <c r="F62" s="359">
        <v>509</v>
      </c>
      <c r="G62" s="121"/>
    </row>
    <row r="63" spans="1:7" ht="15.75" customHeight="1">
      <c r="A63" s="353" t="s">
        <v>156</v>
      </c>
      <c r="B63" s="357">
        <v>1886</v>
      </c>
      <c r="C63" s="357">
        <v>2091</v>
      </c>
      <c r="D63" s="357">
        <v>1776</v>
      </c>
      <c r="E63" s="357">
        <v>3087</v>
      </c>
      <c r="F63" s="357">
        <v>3617</v>
      </c>
      <c r="G63" s="121"/>
    </row>
    <row r="64" spans="1:7" ht="15.75" customHeight="1">
      <c r="A64" s="353" t="s">
        <v>157</v>
      </c>
      <c r="B64" s="360">
        <v>21651</v>
      </c>
      <c r="C64" s="360">
        <v>22800</v>
      </c>
      <c r="D64" s="360">
        <v>23751</v>
      </c>
      <c r="E64" s="360">
        <v>28978</v>
      </c>
      <c r="F64" s="360">
        <v>38146</v>
      </c>
      <c r="G64" s="121"/>
    </row>
    <row r="65" spans="1:7">
      <c r="A65" s="181"/>
      <c r="B65" s="80"/>
      <c r="C65" s="80"/>
      <c r="D65" s="80"/>
      <c r="E65" s="80"/>
      <c r="F65" s="80"/>
    </row>
    <row r="67" spans="1:7" ht="15.75" customHeight="1">
      <c r="A67" s="351"/>
      <c r="B67" s="355">
        <v>44621</v>
      </c>
      <c r="C67" s="355">
        <v>44986</v>
      </c>
      <c r="D67" s="355">
        <v>45352</v>
      </c>
      <c r="E67" s="355">
        <v>45717</v>
      </c>
      <c r="F67" s="355">
        <v>46082</v>
      </c>
      <c r="G67" s="121"/>
    </row>
    <row r="68" spans="1:7" ht="15.75" customHeight="1">
      <c r="A68" s="352" t="s">
        <v>158</v>
      </c>
      <c r="B68" s="359">
        <v>367</v>
      </c>
      <c r="C68" s="357">
        <v>1897</v>
      </c>
      <c r="D68" s="357">
        <v>3648</v>
      </c>
      <c r="E68" s="357">
        <v>3000</v>
      </c>
      <c r="F68" s="357">
        <v>7334</v>
      </c>
      <c r="G68" s="121"/>
    </row>
    <row r="69" spans="1:7" ht="15.75" customHeight="1">
      <c r="A69" s="353" t="s">
        <v>159</v>
      </c>
      <c r="B69" s="359">
        <v>335</v>
      </c>
      <c r="C69" s="357">
        <v>1814</v>
      </c>
      <c r="D69" s="357">
        <v>3889</v>
      </c>
      <c r="E69" s="357">
        <v>5317</v>
      </c>
      <c r="F69" s="357">
        <v>7968</v>
      </c>
      <c r="G69" s="121"/>
    </row>
    <row r="70" spans="1:7" ht="15.75" customHeight="1">
      <c r="A70" s="353" t="s">
        <v>160</v>
      </c>
      <c r="B70" s="359">
        <v>275</v>
      </c>
      <c r="C70" s="359">
        <v>-132</v>
      </c>
      <c r="D70" s="359">
        <v>-241</v>
      </c>
      <c r="E70" s="359">
        <v>-781</v>
      </c>
      <c r="F70" s="359">
        <v>-739</v>
      </c>
      <c r="G70" s="121"/>
    </row>
    <row r="71" spans="1:7" ht="15.75" customHeight="1">
      <c r="A71" s="353" t="s">
        <v>161</v>
      </c>
      <c r="B71" s="359">
        <v>-499</v>
      </c>
      <c r="C71" s="359">
        <v>195</v>
      </c>
      <c r="D71" s="359">
        <v>-440</v>
      </c>
      <c r="E71" s="359">
        <v>-541</v>
      </c>
      <c r="F71" s="359">
        <v>-586</v>
      </c>
      <c r="G71" s="121"/>
    </row>
    <row r="72" spans="1:7" ht="15.75" customHeight="1">
      <c r="A72" s="353" t="s">
        <v>162</v>
      </c>
      <c r="B72" s="359">
        <v>234</v>
      </c>
      <c r="C72" s="359">
        <v>217</v>
      </c>
      <c r="D72" s="359">
        <v>419</v>
      </c>
      <c r="E72" s="359">
        <v>1</v>
      </c>
      <c r="F72" s="357">
        <v>1191</v>
      </c>
      <c r="G72" s="121"/>
    </row>
    <row r="73" spans="1:7" ht="15.75" customHeight="1">
      <c r="A73" s="353" t="s">
        <v>163</v>
      </c>
      <c r="B73" s="359">
        <v>3</v>
      </c>
      <c r="C73" s="359">
        <v>-15</v>
      </c>
      <c r="D73" s="359">
        <v>0</v>
      </c>
      <c r="E73" s="359">
        <v>0</v>
      </c>
      <c r="F73" s="359">
        <v>0</v>
      </c>
      <c r="G73" s="121"/>
    </row>
    <row r="74" spans="1:7" ht="15.75" customHeight="1">
      <c r="A74" s="353" t="s">
        <v>164</v>
      </c>
      <c r="B74" s="359">
        <v>-28</v>
      </c>
      <c r="C74" s="359">
        <v>62</v>
      </c>
      <c r="D74" s="359">
        <v>348</v>
      </c>
      <c r="E74" s="359">
        <v>-89</v>
      </c>
      <c r="F74" s="359">
        <v>768</v>
      </c>
      <c r="G74" s="121"/>
    </row>
    <row r="75" spans="1:7" ht="15.75" customHeight="1">
      <c r="A75" s="353" t="s">
        <v>165</v>
      </c>
      <c r="B75" s="359">
        <v>-15</v>
      </c>
      <c r="C75" s="359">
        <v>327</v>
      </c>
      <c r="D75" s="359">
        <v>86</v>
      </c>
      <c r="E75" s="357">
        <v>-1411</v>
      </c>
      <c r="F75" s="359">
        <v>634</v>
      </c>
      <c r="G75" s="121"/>
    </row>
    <row r="76" spans="1:7" ht="15.75" customHeight="1">
      <c r="A76" s="353" t="s">
        <v>166</v>
      </c>
      <c r="B76" s="359">
        <v>47</v>
      </c>
      <c r="C76" s="359">
        <v>-243</v>
      </c>
      <c r="D76" s="359">
        <v>-326</v>
      </c>
      <c r="E76" s="359">
        <v>-906</v>
      </c>
      <c r="F76" s="357">
        <v>-1267</v>
      </c>
      <c r="G76" s="121"/>
    </row>
    <row r="77" spans="1:7" ht="15.75" customHeight="1">
      <c r="A77" s="352" t="s">
        <v>167</v>
      </c>
      <c r="B77" s="360">
        <v>1292</v>
      </c>
      <c r="C77" s="360">
        <v>-1287</v>
      </c>
      <c r="D77" s="360">
        <v>-1712</v>
      </c>
      <c r="E77" s="360">
        <v>-4172</v>
      </c>
      <c r="F77" s="360">
        <v>-3865</v>
      </c>
      <c r="G77" s="121"/>
    </row>
    <row r="78" spans="1:7" ht="15.75" customHeight="1">
      <c r="A78" s="353" t="s">
        <v>168</v>
      </c>
      <c r="B78" s="362">
        <v>-905</v>
      </c>
      <c r="C78" s="360">
        <v>-1500</v>
      </c>
      <c r="D78" s="362">
        <v>-929</v>
      </c>
      <c r="E78" s="360">
        <v>-1682</v>
      </c>
      <c r="F78" s="360">
        <v>-2055</v>
      </c>
      <c r="G78" s="121"/>
    </row>
    <row r="79" spans="1:7" ht="15.75" customHeight="1">
      <c r="A79" s="353" t="s">
        <v>169</v>
      </c>
      <c r="B79" s="362">
        <v>7</v>
      </c>
      <c r="C79" s="362">
        <v>39</v>
      </c>
      <c r="D79" s="362">
        <v>12</v>
      </c>
      <c r="E79" s="362">
        <v>29</v>
      </c>
      <c r="F79" s="362">
        <v>248</v>
      </c>
      <c r="G79" s="121"/>
    </row>
    <row r="80" spans="1:7" ht="15.75" customHeight="1">
      <c r="A80" s="353" t="s">
        <v>170</v>
      </c>
      <c r="B80" s="360">
        <v>-11350</v>
      </c>
      <c r="C80" s="360">
        <v>-11823</v>
      </c>
      <c r="D80" s="360">
        <v>-11128</v>
      </c>
      <c r="E80" s="360">
        <v>-17048</v>
      </c>
      <c r="F80" s="360">
        <v>-18847</v>
      </c>
      <c r="G80" s="121"/>
    </row>
    <row r="81" spans="1:7" ht="15.75" customHeight="1">
      <c r="A81" s="353" t="s">
        <v>171</v>
      </c>
      <c r="B81" s="360">
        <v>12939</v>
      </c>
      <c r="C81" s="360">
        <v>12219</v>
      </c>
      <c r="D81" s="360">
        <v>10591</v>
      </c>
      <c r="E81" s="360">
        <v>17016</v>
      </c>
      <c r="F81" s="360">
        <v>16497</v>
      </c>
      <c r="G81" s="121"/>
    </row>
    <row r="82" spans="1:7" ht="15.75" customHeight="1">
      <c r="A82" s="353" t="s">
        <v>172</v>
      </c>
      <c r="B82" s="362">
        <v>33</v>
      </c>
      <c r="C82" s="362">
        <v>32</v>
      </c>
      <c r="D82" s="362">
        <v>46</v>
      </c>
      <c r="E82" s="362">
        <v>130</v>
      </c>
      <c r="F82" s="362">
        <v>217</v>
      </c>
      <c r="G82" s="121"/>
    </row>
    <row r="83" spans="1:7" ht="15.75" customHeight="1">
      <c r="A83" s="353" t="s">
        <v>190</v>
      </c>
      <c r="B83" s="362">
        <v>0</v>
      </c>
      <c r="C83" s="362">
        <v>0</v>
      </c>
      <c r="D83" s="362">
        <v>0</v>
      </c>
      <c r="E83" s="362">
        <v>0</v>
      </c>
      <c r="F83" s="362">
        <v>0</v>
      </c>
      <c r="G83" s="121"/>
    </row>
    <row r="84" spans="1:7" ht="15.75" customHeight="1">
      <c r="A84" s="353" t="s">
        <v>196</v>
      </c>
      <c r="B84" s="362">
        <v>0</v>
      </c>
      <c r="C84" s="362">
        <v>0</v>
      </c>
      <c r="D84" s="362">
        <v>0</v>
      </c>
      <c r="E84" s="362">
        <v>0</v>
      </c>
      <c r="F84" s="362">
        <v>0</v>
      </c>
      <c r="G84" s="121"/>
    </row>
    <row r="85" spans="1:7" ht="15.75" customHeight="1">
      <c r="A85" s="353" t="s">
        <v>173</v>
      </c>
      <c r="B85" s="362">
        <v>0</v>
      </c>
      <c r="C85" s="362">
        <v>0</v>
      </c>
      <c r="D85" s="362">
        <v>0</v>
      </c>
      <c r="E85" s="362">
        <v>0</v>
      </c>
      <c r="F85" s="362">
        <v>0</v>
      </c>
      <c r="G85" s="121"/>
    </row>
    <row r="86" spans="1:7" ht="15.75" customHeight="1">
      <c r="A86" s="353" t="s">
        <v>175</v>
      </c>
      <c r="B86" s="362">
        <v>568</v>
      </c>
      <c r="C86" s="362">
        <v>-254</v>
      </c>
      <c r="D86" s="362">
        <v>-304</v>
      </c>
      <c r="E86" s="360">
        <v>-2616</v>
      </c>
      <c r="F86" s="362">
        <v>75</v>
      </c>
      <c r="G86" s="121"/>
    </row>
    <row r="87" spans="1:7" ht="15.75" customHeight="1">
      <c r="A87" s="352" t="s">
        <v>176</v>
      </c>
      <c r="B87" s="357">
        <v>-1572</v>
      </c>
      <c r="C87" s="359">
        <v>-337</v>
      </c>
      <c r="D87" s="357">
        <v>-2184</v>
      </c>
      <c r="E87" s="357">
        <v>1732</v>
      </c>
      <c r="F87" s="359">
        <v>-846</v>
      </c>
      <c r="G87" s="121"/>
    </row>
    <row r="88" spans="1:7" ht="15.75" customHeight="1">
      <c r="A88" s="353" t="s">
        <v>192</v>
      </c>
      <c r="B88" s="359">
        <v>16</v>
      </c>
      <c r="C88" s="359">
        <v>2</v>
      </c>
      <c r="D88" s="359">
        <v>15</v>
      </c>
      <c r="E88" s="359">
        <v>40</v>
      </c>
      <c r="F88" s="359">
        <v>16</v>
      </c>
      <c r="G88" s="121"/>
    </row>
    <row r="89" spans="1:7" ht="15.75" customHeight="1">
      <c r="A89" s="353" t="s">
        <v>177</v>
      </c>
      <c r="B89" s="359">
        <v>142</v>
      </c>
      <c r="C89" s="359">
        <v>286</v>
      </c>
      <c r="D89" s="359">
        <v>0</v>
      </c>
      <c r="E89" s="357">
        <v>2428</v>
      </c>
      <c r="F89" s="359">
        <v>279</v>
      </c>
      <c r="G89" s="121"/>
    </row>
    <row r="90" spans="1:7" ht="15.75" customHeight="1">
      <c r="A90" s="353" t="s">
        <v>178</v>
      </c>
      <c r="B90" s="357">
        <v>-1221</v>
      </c>
      <c r="C90" s="359">
        <v>-113</v>
      </c>
      <c r="D90" s="357">
        <v>-1617</v>
      </c>
      <c r="E90" s="359">
        <v>0</v>
      </c>
      <c r="F90" s="359">
        <v>0</v>
      </c>
      <c r="G90" s="121"/>
    </row>
    <row r="91" spans="1:7" ht="15.75" customHeight="1">
      <c r="A91" s="353" t="s">
        <v>180</v>
      </c>
      <c r="B91" s="359">
        <v>-124</v>
      </c>
      <c r="C91" s="359">
        <v>-227</v>
      </c>
      <c r="D91" s="359">
        <v>-283</v>
      </c>
      <c r="E91" s="359">
        <v>-255</v>
      </c>
      <c r="F91" s="359">
        <v>-400</v>
      </c>
      <c r="G91" s="121"/>
    </row>
    <row r="92" spans="1:7" ht="15.75" customHeight="1">
      <c r="A92" s="353" t="s">
        <v>181</v>
      </c>
      <c r="B92" s="359">
        <v>-295</v>
      </c>
      <c r="C92" s="359">
        <v>-182</v>
      </c>
      <c r="D92" s="359">
        <v>-183</v>
      </c>
      <c r="E92" s="359">
        <v>-365</v>
      </c>
      <c r="F92" s="359">
        <v>-548</v>
      </c>
      <c r="G92" s="121"/>
    </row>
    <row r="93" spans="1:7" ht="15.75" customHeight="1">
      <c r="A93" s="353" t="s">
        <v>182</v>
      </c>
      <c r="B93" s="359">
        <v>-91</v>
      </c>
      <c r="C93" s="359">
        <v>-103</v>
      </c>
      <c r="D93" s="359">
        <v>-116</v>
      </c>
      <c r="E93" s="359">
        <v>-115</v>
      </c>
      <c r="F93" s="359">
        <v>-126</v>
      </c>
      <c r="G93" s="121"/>
    </row>
    <row r="94" spans="1:7" ht="15.75" customHeight="1">
      <c r="A94" s="353" t="s">
        <v>194</v>
      </c>
      <c r="B94" s="359">
        <v>0</v>
      </c>
      <c r="C94" s="359">
        <v>0</v>
      </c>
      <c r="D94" s="359">
        <v>0</v>
      </c>
      <c r="E94" s="359">
        <v>0</v>
      </c>
      <c r="F94" s="359">
        <v>-67</v>
      </c>
      <c r="G94" s="121"/>
    </row>
    <row r="95" spans="1:7" ht="15.75" customHeight="1">
      <c r="A95" s="353" t="s">
        <v>183</v>
      </c>
      <c r="B95" s="362">
        <v>87</v>
      </c>
      <c r="C95" s="362">
        <v>273</v>
      </c>
      <c r="D95" s="362">
        <v>-248</v>
      </c>
      <c r="E95" s="362">
        <v>560</v>
      </c>
      <c r="F95" s="360">
        <v>2624</v>
      </c>
      <c r="G95" s="121"/>
    </row>
    <row r="96" spans="1:7" ht="15.75" customHeight="1">
      <c r="A96" s="354" t="s">
        <v>184</v>
      </c>
      <c r="B96" s="365">
        <v>-531</v>
      </c>
      <c r="C96" s="365">
        <v>436</v>
      </c>
      <c r="D96" s="366">
        <v>2732</v>
      </c>
      <c r="E96" s="366">
        <v>1347</v>
      </c>
      <c r="F96" s="366">
        <v>5527</v>
      </c>
      <c r="G96" s="121"/>
    </row>
    <row r="97" spans="1:7" ht="15.75" customHeight="1">
      <c r="A97" s="354" t="s">
        <v>185</v>
      </c>
      <c r="B97" s="367">
        <v>1.46</v>
      </c>
      <c r="C97" s="367">
        <v>1.24</v>
      </c>
      <c r="D97" s="367">
        <v>1.05</v>
      </c>
      <c r="E97" s="367">
        <v>0.74</v>
      </c>
      <c r="F97" s="367">
        <v>1.05</v>
      </c>
      <c r="G97" s="121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2"/>
  <sheetViews>
    <sheetView zoomScale="77" zoomScaleNormal="100" workbookViewId="0">
      <selection activeCell="I12" sqref="I12"/>
    </sheetView>
  </sheetViews>
  <sheetFormatPr defaultColWidth="12.6640625" defaultRowHeight="13.2"/>
  <cols>
    <col min="1" max="1" width="29.5546875" customWidth="1"/>
  </cols>
  <sheetData>
    <row r="1" spans="1:7" ht="25.8" customHeight="1" thickBot="1">
      <c r="A1" s="447" t="s">
        <v>208</v>
      </c>
      <c r="B1" s="417"/>
      <c r="C1" s="417"/>
      <c r="D1" s="417"/>
      <c r="E1" s="417"/>
      <c r="F1" s="417"/>
      <c r="G1" s="418"/>
    </row>
    <row r="2" spans="1:7" ht="15.75" customHeight="1">
      <c r="A2" s="386" t="s">
        <v>199</v>
      </c>
      <c r="B2" s="9"/>
      <c r="C2" s="9"/>
      <c r="D2" s="9"/>
      <c r="E2" s="9"/>
      <c r="F2" s="9"/>
      <c r="G2" s="21"/>
    </row>
    <row r="3" spans="1:7" ht="12.75" customHeight="1">
      <c r="A3" s="190"/>
      <c r="B3" s="387">
        <v>44621</v>
      </c>
      <c r="C3" s="387">
        <v>44986</v>
      </c>
      <c r="D3" s="387">
        <v>45352</v>
      </c>
      <c r="E3" s="387">
        <v>45717</v>
      </c>
      <c r="F3" s="387">
        <v>46082</v>
      </c>
      <c r="G3" s="381"/>
    </row>
    <row r="4" spans="1:7" ht="12.75" customHeight="1">
      <c r="A4" s="369" t="s">
        <v>97</v>
      </c>
      <c r="B4" s="374">
        <v>38654</v>
      </c>
      <c r="C4" s="374">
        <v>43886</v>
      </c>
      <c r="D4" s="374">
        <v>48497</v>
      </c>
      <c r="E4" s="374">
        <v>52578</v>
      </c>
      <c r="F4" s="374">
        <v>58462</v>
      </c>
      <c r="G4" s="374"/>
    </row>
    <row r="5" spans="1:7" ht="12.75" customHeight="1">
      <c r="A5" s="370" t="s">
        <v>98</v>
      </c>
      <c r="B5" s="382">
        <v>0.15390000000000001</v>
      </c>
      <c r="C5" s="382">
        <v>0.1353</v>
      </c>
      <c r="D5" s="382">
        <v>0.1051</v>
      </c>
      <c r="E5" s="382">
        <v>8.4199999999999997E-2</v>
      </c>
      <c r="F5" s="382">
        <v>0.1119</v>
      </c>
      <c r="G5" s="375"/>
    </row>
    <row r="6" spans="1:7" ht="12.75" customHeight="1">
      <c r="A6" s="369" t="s">
        <v>99</v>
      </c>
      <c r="B6" s="376">
        <v>28397</v>
      </c>
      <c r="C6" s="376">
        <v>32235</v>
      </c>
      <c r="D6" s="376">
        <v>35479</v>
      </c>
      <c r="E6" s="376">
        <v>37464</v>
      </c>
      <c r="F6" s="376">
        <v>41961</v>
      </c>
      <c r="G6" s="376"/>
    </row>
    <row r="7" spans="1:7" ht="12.75" customHeight="1">
      <c r="A7" s="369" t="s">
        <v>100</v>
      </c>
      <c r="B7" s="383">
        <v>0.26779999999999998</v>
      </c>
      <c r="C7" s="383">
        <v>0.24299999999999999</v>
      </c>
      <c r="D7" s="383">
        <v>0.21990000000000001</v>
      </c>
      <c r="E7" s="383">
        <v>0.2044</v>
      </c>
      <c r="F7" s="383">
        <v>0.19750000000000001</v>
      </c>
      <c r="G7" s="377"/>
    </row>
    <row r="8" spans="1:7" ht="12.75" customHeight="1">
      <c r="A8" s="370" t="s">
        <v>101</v>
      </c>
      <c r="B8" s="376">
        <v>10459</v>
      </c>
      <c r="C8" s="376">
        <v>11349</v>
      </c>
      <c r="D8" s="376">
        <v>10370</v>
      </c>
      <c r="E8" s="376">
        <v>10597</v>
      </c>
      <c r="F8" s="376">
        <v>11201</v>
      </c>
      <c r="G8" s="377"/>
    </row>
    <row r="9" spans="1:7" ht="12.75" customHeight="1">
      <c r="A9" s="370" t="s">
        <v>102</v>
      </c>
      <c r="B9" s="377">
        <v>-108</v>
      </c>
      <c r="C9" s="377">
        <v>-687</v>
      </c>
      <c r="D9" s="377">
        <v>292</v>
      </c>
      <c r="E9" s="377">
        <v>150</v>
      </c>
      <c r="F9" s="377">
        <v>343</v>
      </c>
      <c r="G9" s="377"/>
    </row>
    <row r="10" spans="1:7" ht="12.75" customHeight="1">
      <c r="A10" s="370" t="s">
        <v>103</v>
      </c>
      <c r="B10" s="383">
        <v>6.6799999999999998E-2</v>
      </c>
      <c r="C10" s="383">
        <v>6.3E-2</v>
      </c>
      <c r="D10" s="383">
        <v>6.08E-2</v>
      </c>
      <c r="E10" s="383">
        <v>5.7299999999999997E-2</v>
      </c>
      <c r="F10" s="383">
        <v>5.7799999999999997E-2</v>
      </c>
      <c r="G10" s="377"/>
    </row>
    <row r="11" spans="1:7" ht="12.75" customHeight="1">
      <c r="A11" s="370" t="s">
        <v>104</v>
      </c>
      <c r="B11" s="383">
        <v>0.18890000000000001</v>
      </c>
      <c r="C11" s="383">
        <v>0.189</v>
      </c>
      <c r="D11" s="383">
        <v>0.19439999999999999</v>
      </c>
      <c r="E11" s="383">
        <v>0.18970000000000001</v>
      </c>
      <c r="F11" s="383">
        <v>0.1953</v>
      </c>
      <c r="G11" s="377"/>
    </row>
    <row r="12" spans="1:7" ht="12.75" customHeight="1">
      <c r="A12" s="370" t="s">
        <v>105</v>
      </c>
      <c r="B12" s="383">
        <v>0.21110000000000001</v>
      </c>
      <c r="C12" s="383">
        <v>0.23949999999999999</v>
      </c>
      <c r="D12" s="383">
        <v>0.25650000000000001</v>
      </c>
      <c r="E12" s="383">
        <v>0.26119999999999999</v>
      </c>
      <c r="F12" s="383">
        <v>0.26719999999999999</v>
      </c>
      <c r="G12" s="377"/>
    </row>
    <row r="13" spans="1:7" ht="12.75" customHeight="1">
      <c r="A13" s="370" t="s">
        <v>106</v>
      </c>
      <c r="B13" s="374">
        <v>10258</v>
      </c>
      <c r="C13" s="374">
        <v>11650</v>
      </c>
      <c r="D13" s="374">
        <v>13018</v>
      </c>
      <c r="E13" s="374">
        <v>15114</v>
      </c>
      <c r="F13" s="374">
        <v>16501</v>
      </c>
      <c r="G13" s="374"/>
    </row>
    <row r="14" spans="1:7" ht="12.75" customHeight="1">
      <c r="A14" s="370" t="s">
        <v>107</v>
      </c>
      <c r="B14" s="384">
        <v>0.27</v>
      </c>
      <c r="C14" s="384">
        <v>0.27</v>
      </c>
      <c r="D14" s="384">
        <v>0.27</v>
      </c>
      <c r="E14" s="384">
        <v>0.28999999999999998</v>
      </c>
      <c r="F14" s="384">
        <v>0.28000000000000003</v>
      </c>
      <c r="G14" s="384"/>
    </row>
    <row r="15" spans="1:7" ht="12.75" customHeight="1">
      <c r="A15" s="369" t="s">
        <v>108</v>
      </c>
      <c r="B15" s="374">
        <v>-3505</v>
      </c>
      <c r="C15" s="375">
        <v>459</v>
      </c>
      <c r="D15" s="375">
        <v>865</v>
      </c>
      <c r="E15" s="374">
        <v>1444</v>
      </c>
      <c r="F15" s="374">
        <v>1895</v>
      </c>
      <c r="G15" s="374"/>
    </row>
    <row r="16" spans="1:7" ht="12.75" customHeight="1">
      <c r="A16" s="370" t="s">
        <v>109</v>
      </c>
      <c r="B16" s="374">
        <v>-4532</v>
      </c>
      <c r="C16" s="375">
        <v>-164</v>
      </c>
      <c r="D16" s="375">
        <v>-504</v>
      </c>
      <c r="E16" s="375">
        <v>-694</v>
      </c>
      <c r="F16" s="374">
        <v>-1314</v>
      </c>
      <c r="G16" s="375"/>
    </row>
    <row r="17" spans="1:7" ht="12.75" customHeight="1">
      <c r="A17" s="370" t="s">
        <v>110</v>
      </c>
      <c r="B17" s="374">
        <v>1027</v>
      </c>
      <c r="C17" s="375">
        <v>623</v>
      </c>
      <c r="D17" s="374">
        <v>1370</v>
      </c>
      <c r="E17" s="374">
        <v>2139</v>
      </c>
      <c r="F17" s="374">
        <v>3209</v>
      </c>
      <c r="G17" s="375"/>
    </row>
    <row r="18" spans="1:7" ht="12.75" customHeight="1">
      <c r="A18" s="370" t="s">
        <v>111</v>
      </c>
      <c r="B18" s="377">
        <v>127</v>
      </c>
      <c r="C18" s="377">
        <v>172</v>
      </c>
      <c r="D18" s="377">
        <v>238</v>
      </c>
      <c r="E18" s="377">
        <v>231</v>
      </c>
      <c r="F18" s="377">
        <v>339</v>
      </c>
      <c r="G18" s="377"/>
    </row>
    <row r="19" spans="1:7" ht="12.75" customHeight="1">
      <c r="A19" s="370" t="s">
        <v>112</v>
      </c>
      <c r="B19" s="374">
        <v>2144</v>
      </c>
      <c r="C19" s="374">
        <v>2529</v>
      </c>
      <c r="D19" s="374">
        <v>2557</v>
      </c>
      <c r="E19" s="374">
        <v>2575</v>
      </c>
      <c r="F19" s="374">
        <v>2938</v>
      </c>
      <c r="G19" s="374"/>
    </row>
    <row r="20" spans="1:7" ht="12.75" customHeight="1">
      <c r="A20" s="370" t="s">
        <v>113</v>
      </c>
      <c r="B20" s="376">
        <v>4481</v>
      </c>
      <c r="C20" s="376">
        <v>9408</v>
      </c>
      <c r="D20" s="376">
        <v>11088</v>
      </c>
      <c r="E20" s="376">
        <v>13752</v>
      </c>
      <c r="F20" s="376">
        <v>15119</v>
      </c>
      <c r="G20" s="376"/>
    </row>
    <row r="21" spans="1:7" ht="12.75" customHeight="1">
      <c r="A21" s="370" t="s">
        <v>114</v>
      </c>
      <c r="B21" s="385">
        <v>0.24</v>
      </c>
      <c r="C21" s="385">
        <v>0.09</v>
      </c>
      <c r="D21" s="385">
        <v>0.13</v>
      </c>
      <c r="E21" s="385">
        <v>0.2</v>
      </c>
      <c r="F21" s="385">
        <v>0.24</v>
      </c>
      <c r="G21" s="375"/>
    </row>
    <row r="22" spans="1:7" ht="12.75" customHeight="1">
      <c r="A22" s="369" t="s">
        <v>115</v>
      </c>
      <c r="B22" s="376">
        <v>3389</v>
      </c>
      <c r="C22" s="376">
        <v>8513</v>
      </c>
      <c r="D22" s="376">
        <v>9610</v>
      </c>
      <c r="E22" s="376">
        <v>10965</v>
      </c>
      <c r="F22" s="376">
        <v>11509</v>
      </c>
      <c r="G22" s="376"/>
    </row>
    <row r="23" spans="1:7" ht="12.75" customHeight="1">
      <c r="A23" s="370" t="s">
        <v>187</v>
      </c>
      <c r="B23" s="377">
        <v>-17</v>
      </c>
      <c r="C23" s="377">
        <v>-48</v>
      </c>
      <c r="D23" s="377">
        <v>-38</v>
      </c>
      <c r="E23" s="377">
        <v>-15</v>
      </c>
      <c r="F23" s="377">
        <v>-56</v>
      </c>
      <c r="G23" s="377"/>
    </row>
    <row r="24" spans="1:7" ht="12.75" customHeight="1">
      <c r="A24" s="370" t="s">
        <v>116</v>
      </c>
      <c r="B24" s="377">
        <v>-117</v>
      </c>
      <c r="C24" s="377">
        <v>-39</v>
      </c>
      <c r="D24" s="377">
        <v>-34</v>
      </c>
      <c r="E24" s="377">
        <v>-36</v>
      </c>
      <c r="F24" s="377">
        <v>-29</v>
      </c>
      <c r="G24" s="377"/>
    </row>
    <row r="25" spans="1:7" ht="12.75" customHeight="1">
      <c r="A25" s="370" t="s">
        <v>117</v>
      </c>
      <c r="B25" s="376">
        <v>-3444</v>
      </c>
      <c r="C25" s="377">
        <v>-131</v>
      </c>
      <c r="D25" s="377">
        <v>-414</v>
      </c>
      <c r="E25" s="377">
        <v>-527</v>
      </c>
      <c r="F25" s="377">
        <v>-949</v>
      </c>
      <c r="G25" s="377"/>
    </row>
    <row r="26" spans="1:7" ht="12.75" customHeight="1">
      <c r="A26" s="370" t="s">
        <v>118</v>
      </c>
      <c r="B26" s="376">
        <v>6834</v>
      </c>
      <c r="C26" s="376">
        <v>8644</v>
      </c>
      <c r="D26" s="376">
        <v>10024</v>
      </c>
      <c r="E26" s="376">
        <v>11491</v>
      </c>
      <c r="F26" s="376">
        <v>12458</v>
      </c>
      <c r="G26" s="377"/>
    </row>
    <row r="27" spans="1:7" ht="12.75" customHeight="1">
      <c r="A27" s="370" t="s">
        <v>119</v>
      </c>
      <c r="B27" s="376">
        <v>6599</v>
      </c>
      <c r="C27" s="376">
        <v>8604</v>
      </c>
      <c r="D27" s="376">
        <v>9989</v>
      </c>
      <c r="E27" s="376">
        <v>11454</v>
      </c>
      <c r="F27" s="376">
        <v>12426</v>
      </c>
      <c r="G27" s="377"/>
    </row>
    <row r="28" spans="1:7" ht="12.75" customHeight="1">
      <c r="A28" s="370" t="s">
        <v>120</v>
      </c>
      <c r="B28" s="376">
        <v>3273</v>
      </c>
      <c r="C28" s="376">
        <v>8474</v>
      </c>
      <c r="D28" s="376">
        <v>9576</v>
      </c>
      <c r="E28" s="376">
        <v>10929</v>
      </c>
      <c r="F28" s="376">
        <v>11479</v>
      </c>
      <c r="G28" s="377"/>
    </row>
    <row r="29" spans="1:7" ht="12.75" customHeight="1">
      <c r="A29" s="370" t="s">
        <v>121</v>
      </c>
      <c r="B29" s="384">
        <v>0.15</v>
      </c>
      <c r="C29" s="384">
        <v>0.3</v>
      </c>
      <c r="D29" s="384">
        <v>0.16</v>
      </c>
      <c r="E29" s="384">
        <v>0.15</v>
      </c>
      <c r="F29" s="384">
        <v>0.08</v>
      </c>
      <c r="G29" s="377"/>
    </row>
    <row r="30" spans="1:7" ht="12.75" customHeight="1">
      <c r="A30" s="370" t="s">
        <v>122</v>
      </c>
      <c r="B30" s="375">
        <v>13.64</v>
      </c>
      <c r="C30" s="375">
        <v>35.32</v>
      </c>
      <c r="D30" s="375">
        <v>39.909999999999997</v>
      </c>
      <c r="E30" s="375">
        <v>45.55</v>
      </c>
      <c r="F30" s="375">
        <v>47.84</v>
      </c>
      <c r="G30" s="375"/>
    </row>
    <row r="31" spans="1:7" ht="12.75" customHeight="1">
      <c r="A31" s="370" t="s">
        <v>123</v>
      </c>
      <c r="B31" s="384">
        <v>0.73</v>
      </c>
      <c r="C31" s="384">
        <v>0.33</v>
      </c>
      <c r="D31" s="384">
        <v>0.34</v>
      </c>
      <c r="E31" s="384">
        <v>0.35</v>
      </c>
      <c r="F31" s="384">
        <v>0.33</v>
      </c>
      <c r="G31" s="377"/>
    </row>
    <row r="32" spans="1:7" ht="12.75" customHeight="1">
      <c r="A32" s="19"/>
    </row>
    <row r="33" spans="1:7" ht="16.5" customHeight="1">
      <c r="A33" s="368" t="s">
        <v>200</v>
      </c>
      <c r="B33" s="80"/>
      <c r="C33" s="80"/>
      <c r="D33" s="80"/>
      <c r="E33" s="80"/>
      <c r="F33" s="80"/>
      <c r="G33" s="80"/>
    </row>
    <row r="34" spans="1:7" ht="12.75" customHeight="1">
      <c r="A34" s="190"/>
      <c r="B34" s="372">
        <v>44621</v>
      </c>
      <c r="C34" s="372">
        <v>44986</v>
      </c>
      <c r="D34" s="372">
        <v>45352</v>
      </c>
      <c r="E34" s="372">
        <v>45717</v>
      </c>
      <c r="F34" s="372">
        <v>46082</v>
      </c>
      <c r="G34" s="373"/>
    </row>
    <row r="35" spans="1:7" ht="12.75" customHeight="1">
      <c r="A35" s="370" t="s">
        <v>124</v>
      </c>
      <c r="B35" s="375">
        <v>240</v>
      </c>
      <c r="C35" s="375">
        <v>240</v>
      </c>
      <c r="D35" s="375">
        <v>240</v>
      </c>
      <c r="E35" s="375">
        <v>240</v>
      </c>
      <c r="F35" s="375">
        <v>240</v>
      </c>
      <c r="G35" s="373"/>
    </row>
    <row r="36" spans="1:7" ht="12.75" customHeight="1">
      <c r="A36" s="370" t="s">
        <v>125</v>
      </c>
      <c r="B36" s="376">
        <v>47771</v>
      </c>
      <c r="C36" s="376">
        <v>55755</v>
      </c>
      <c r="D36" s="376">
        <v>63427</v>
      </c>
      <c r="E36" s="376">
        <v>71978</v>
      </c>
      <c r="F36" s="376">
        <v>83330</v>
      </c>
      <c r="G36" s="373"/>
    </row>
    <row r="37" spans="1:7" ht="12.75" customHeight="1">
      <c r="A37" s="369" t="s">
        <v>126</v>
      </c>
      <c r="B37" s="374">
        <v>1290</v>
      </c>
      <c r="C37" s="374">
        <v>6886</v>
      </c>
      <c r="D37" s="374">
        <v>3274</v>
      </c>
      <c r="E37" s="374">
        <v>2362</v>
      </c>
      <c r="F37" s="374">
        <v>4627</v>
      </c>
      <c r="G37" s="373"/>
    </row>
    <row r="38" spans="1:7" ht="12.75" customHeight="1">
      <c r="A38" s="370" t="s">
        <v>127</v>
      </c>
      <c r="B38" s="375">
        <v>230</v>
      </c>
      <c r="C38" s="375">
        <v>0</v>
      </c>
      <c r="D38" s="375">
        <v>1</v>
      </c>
      <c r="E38" s="375">
        <v>3</v>
      </c>
      <c r="F38" s="375">
        <v>31</v>
      </c>
      <c r="G38" s="373"/>
    </row>
    <row r="39" spans="1:7" ht="12.75" customHeight="1">
      <c r="A39" s="370" t="s">
        <v>128</v>
      </c>
      <c r="B39" s="375">
        <v>701</v>
      </c>
      <c r="C39" s="374">
        <v>6198</v>
      </c>
      <c r="D39" s="374">
        <v>2844</v>
      </c>
      <c r="E39" s="374">
        <v>1867</v>
      </c>
      <c r="F39" s="374">
        <v>4050</v>
      </c>
      <c r="G39" s="373"/>
    </row>
    <row r="40" spans="1:7" ht="12.75" customHeight="1">
      <c r="A40" s="370" t="s">
        <v>129</v>
      </c>
      <c r="B40" s="375">
        <v>360</v>
      </c>
      <c r="C40" s="375">
        <v>688</v>
      </c>
      <c r="D40" s="375">
        <v>428</v>
      </c>
      <c r="E40" s="375">
        <v>493</v>
      </c>
      <c r="F40" s="375">
        <v>546</v>
      </c>
      <c r="G40" s="373"/>
    </row>
    <row r="41" spans="1:7" ht="12.75" customHeight="1">
      <c r="A41" s="370" t="s">
        <v>130</v>
      </c>
      <c r="B41" s="375">
        <v>0</v>
      </c>
      <c r="C41" s="375">
        <v>0</v>
      </c>
      <c r="D41" s="375">
        <v>0</v>
      </c>
      <c r="E41" s="375">
        <v>0</v>
      </c>
      <c r="F41" s="375">
        <v>0</v>
      </c>
      <c r="G41" s="373"/>
    </row>
    <row r="42" spans="1:7" ht="12.75" customHeight="1">
      <c r="A42" s="369" t="s">
        <v>131</v>
      </c>
      <c r="B42" s="376">
        <v>20474</v>
      </c>
      <c r="C42" s="376">
        <v>17831</v>
      </c>
      <c r="D42" s="376">
        <v>18387</v>
      </c>
      <c r="E42" s="376">
        <v>17328</v>
      </c>
      <c r="F42" s="376">
        <v>20210</v>
      </c>
      <c r="G42" s="373"/>
    </row>
    <row r="43" spans="1:7" ht="12.75" customHeight="1">
      <c r="A43" s="370" t="s">
        <v>132</v>
      </c>
      <c r="B43" s="376">
        <v>3055</v>
      </c>
      <c r="C43" s="376">
        <v>3320</v>
      </c>
      <c r="D43" s="376">
        <v>3459</v>
      </c>
      <c r="E43" s="377">
        <v>268</v>
      </c>
      <c r="F43" s="377">
        <v>310</v>
      </c>
      <c r="G43" s="373"/>
    </row>
    <row r="44" spans="1:7" ht="12.75" customHeight="1">
      <c r="A44" s="370" t="s">
        <v>133</v>
      </c>
      <c r="B44" s="376">
        <v>4490</v>
      </c>
      <c r="C44" s="376">
        <v>5682</v>
      </c>
      <c r="D44" s="376">
        <v>5653</v>
      </c>
      <c r="E44" s="376">
        <v>6184</v>
      </c>
      <c r="F44" s="376">
        <v>7334</v>
      </c>
      <c r="G44" s="373"/>
    </row>
    <row r="45" spans="1:7" ht="12.75" customHeight="1">
      <c r="A45" s="370" t="s">
        <v>134</v>
      </c>
      <c r="B45" s="377">
        <v>29</v>
      </c>
      <c r="C45" s="377">
        <v>41</v>
      </c>
      <c r="D45" s="377">
        <v>43</v>
      </c>
      <c r="E45" s="377">
        <v>25</v>
      </c>
      <c r="F45" s="377">
        <v>137</v>
      </c>
      <c r="G45" s="373"/>
    </row>
    <row r="46" spans="1:7" ht="12.75" customHeight="1">
      <c r="A46" s="370" t="s">
        <v>135</v>
      </c>
      <c r="B46" s="376">
        <v>12901</v>
      </c>
      <c r="C46" s="376">
        <v>8788</v>
      </c>
      <c r="D46" s="376">
        <v>9232</v>
      </c>
      <c r="E46" s="376">
        <v>10851</v>
      </c>
      <c r="F46" s="376">
        <v>12429</v>
      </c>
      <c r="G46" s="373"/>
    </row>
    <row r="47" spans="1:7" ht="12.75" customHeight="1">
      <c r="A47" s="370" t="s">
        <v>136</v>
      </c>
      <c r="B47" s="374">
        <v>69776</v>
      </c>
      <c r="C47" s="374">
        <v>80712</v>
      </c>
      <c r="D47" s="374">
        <v>85328</v>
      </c>
      <c r="E47" s="374">
        <v>91908</v>
      </c>
      <c r="F47" s="374">
        <v>108407</v>
      </c>
      <c r="G47" s="373"/>
    </row>
    <row r="48" spans="1:7" ht="12.75" customHeight="1">
      <c r="A48" s="369" t="s">
        <v>137</v>
      </c>
      <c r="B48" s="376">
        <v>22665</v>
      </c>
      <c r="C48" s="376">
        <v>24065</v>
      </c>
      <c r="D48" s="376">
        <v>23248</v>
      </c>
      <c r="E48" s="376">
        <v>22586</v>
      </c>
      <c r="F48" s="376">
        <v>32822</v>
      </c>
      <c r="G48" s="373"/>
    </row>
    <row r="49" spans="1:7" ht="12.75" customHeight="1">
      <c r="A49" s="370" t="s">
        <v>138</v>
      </c>
      <c r="B49" s="377">
        <v>862</v>
      </c>
      <c r="C49" s="377">
        <v>898</v>
      </c>
      <c r="D49" s="376">
        <v>1047</v>
      </c>
      <c r="E49" s="376">
        <v>1017</v>
      </c>
      <c r="F49" s="376">
        <v>1190</v>
      </c>
      <c r="G49" s="373"/>
    </row>
    <row r="50" spans="1:7" ht="12.75" customHeight="1">
      <c r="A50" s="370" t="s">
        <v>139</v>
      </c>
      <c r="B50" s="376">
        <v>6048</v>
      </c>
      <c r="C50" s="376">
        <v>6820</v>
      </c>
      <c r="D50" s="376">
        <v>6803</v>
      </c>
      <c r="E50" s="376">
        <v>7052</v>
      </c>
      <c r="F50" s="376">
        <v>8074</v>
      </c>
      <c r="G50" s="373"/>
    </row>
    <row r="51" spans="1:7" ht="12.75" customHeight="1">
      <c r="A51" s="370" t="s">
        <v>140</v>
      </c>
      <c r="B51" s="376">
        <v>12363</v>
      </c>
      <c r="C51" s="376">
        <v>13077</v>
      </c>
      <c r="D51" s="376">
        <v>13706</v>
      </c>
      <c r="E51" s="376">
        <v>14215</v>
      </c>
      <c r="F51" s="376">
        <v>15882</v>
      </c>
      <c r="G51" s="373"/>
    </row>
    <row r="52" spans="1:7" ht="12.75" customHeight="1">
      <c r="A52" s="370" t="s">
        <v>141</v>
      </c>
      <c r="B52" s="377">
        <v>305</v>
      </c>
      <c r="C52" s="377">
        <v>327</v>
      </c>
      <c r="D52" s="377">
        <v>345</v>
      </c>
      <c r="E52" s="377">
        <v>368</v>
      </c>
      <c r="F52" s="377">
        <v>418</v>
      </c>
      <c r="G52" s="373"/>
    </row>
    <row r="53" spans="1:7" ht="12.75" customHeight="1">
      <c r="A53" s="370" t="s">
        <v>143</v>
      </c>
      <c r="B53" s="377">
        <v>423</v>
      </c>
      <c r="C53" s="377">
        <v>444</v>
      </c>
      <c r="D53" s="377">
        <v>454</v>
      </c>
      <c r="E53" s="377">
        <v>481</v>
      </c>
      <c r="F53" s="377">
        <v>484</v>
      </c>
      <c r="G53" s="373"/>
    </row>
    <row r="54" spans="1:7" ht="12.75" customHeight="1">
      <c r="A54" s="370" t="s">
        <v>144</v>
      </c>
      <c r="B54" s="377">
        <v>408</v>
      </c>
      <c r="C54" s="377">
        <v>447</v>
      </c>
      <c r="D54" s="377">
        <v>414</v>
      </c>
      <c r="E54" s="377">
        <v>478</v>
      </c>
      <c r="F54" s="377">
        <v>581</v>
      </c>
      <c r="G54" s="373"/>
    </row>
    <row r="55" spans="1:7" ht="12.75" customHeight="1">
      <c r="A55" s="370" t="s">
        <v>145</v>
      </c>
      <c r="B55" s="376">
        <v>6591</v>
      </c>
      <c r="C55" s="376">
        <v>8358</v>
      </c>
      <c r="D55" s="376">
        <v>8569</v>
      </c>
      <c r="E55" s="376">
        <v>8939</v>
      </c>
      <c r="F55" s="376">
        <v>9833</v>
      </c>
      <c r="G55" s="373"/>
    </row>
    <row r="56" spans="1:7" ht="12.75" customHeight="1">
      <c r="A56" s="370" t="s">
        <v>146</v>
      </c>
      <c r="B56" s="376">
        <v>11707</v>
      </c>
      <c r="C56" s="376">
        <v>12729</v>
      </c>
      <c r="D56" s="376">
        <v>12983</v>
      </c>
      <c r="E56" s="376">
        <v>13399</v>
      </c>
      <c r="F56" s="376">
        <v>23859</v>
      </c>
      <c r="G56" s="373"/>
    </row>
    <row r="57" spans="1:7" ht="12.75" customHeight="1">
      <c r="A57" s="370" t="s">
        <v>147</v>
      </c>
      <c r="B57" s="376">
        <v>38707</v>
      </c>
      <c r="C57" s="376">
        <v>43100</v>
      </c>
      <c r="D57" s="376">
        <v>44320</v>
      </c>
      <c r="E57" s="376">
        <v>45950</v>
      </c>
      <c r="F57" s="376">
        <v>60321</v>
      </c>
      <c r="G57" s="373"/>
    </row>
    <row r="58" spans="1:7" ht="12.75" customHeight="1">
      <c r="A58" s="370" t="s">
        <v>148</v>
      </c>
      <c r="B58" s="376">
        <v>16042</v>
      </c>
      <c r="C58" s="376">
        <v>19035</v>
      </c>
      <c r="D58" s="376">
        <v>21072</v>
      </c>
      <c r="E58" s="376">
        <v>23363</v>
      </c>
      <c r="F58" s="376">
        <v>27499</v>
      </c>
      <c r="G58" s="373"/>
    </row>
    <row r="59" spans="1:7" ht="12.75" customHeight="1">
      <c r="A59" s="370" t="s">
        <v>149</v>
      </c>
      <c r="B59" s="374">
        <v>1287</v>
      </c>
      <c r="C59" s="374">
        <v>4973</v>
      </c>
      <c r="D59" s="374">
        <v>5354</v>
      </c>
      <c r="E59" s="374">
        <v>6644</v>
      </c>
      <c r="F59" s="374">
        <v>3052</v>
      </c>
      <c r="G59" s="373"/>
    </row>
    <row r="60" spans="1:7" ht="12.75" customHeight="1">
      <c r="A60" s="370" t="s">
        <v>150</v>
      </c>
      <c r="B60" s="376">
        <v>12849</v>
      </c>
      <c r="C60" s="376">
        <v>14824</v>
      </c>
      <c r="D60" s="376">
        <v>15026</v>
      </c>
      <c r="E60" s="376">
        <v>18354</v>
      </c>
      <c r="F60" s="376">
        <v>24723</v>
      </c>
      <c r="G60" s="373"/>
    </row>
    <row r="61" spans="1:7" ht="12.75" customHeight="1">
      <c r="A61" s="369" t="s">
        <v>151</v>
      </c>
      <c r="B61" s="374">
        <v>32975</v>
      </c>
      <c r="C61" s="374">
        <v>36849</v>
      </c>
      <c r="D61" s="374">
        <v>41700</v>
      </c>
      <c r="E61" s="374">
        <v>44324</v>
      </c>
      <c r="F61" s="374">
        <v>47811</v>
      </c>
      <c r="G61" s="373"/>
    </row>
    <row r="62" spans="1:7" ht="12.75" customHeight="1">
      <c r="A62" s="370" t="s">
        <v>152</v>
      </c>
      <c r="B62" s="374">
        <v>8925</v>
      </c>
      <c r="C62" s="374">
        <v>10513</v>
      </c>
      <c r="D62" s="374">
        <v>9868</v>
      </c>
      <c r="E62" s="374">
        <v>10243</v>
      </c>
      <c r="F62" s="374">
        <v>11493</v>
      </c>
      <c r="G62" s="373"/>
    </row>
    <row r="63" spans="1:7" ht="12.75" customHeight="1">
      <c r="A63" s="370" t="s">
        <v>153</v>
      </c>
      <c r="B63" s="374">
        <v>10485</v>
      </c>
      <c r="C63" s="374">
        <v>11439</v>
      </c>
      <c r="D63" s="374">
        <v>11249</v>
      </c>
      <c r="E63" s="374">
        <v>13046</v>
      </c>
      <c r="F63" s="374">
        <v>15510</v>
      </c>
      <c r="G63" s="373"/>
    </row>
    <row r="64" spans="1:7" ht="12.75" customHeight="1">
      <c r="A64" s="370" t="s">
        <v>154</v>
      </c>
      <c r="B64" s="380">
        <v>5033</v>
      </c>
      <c r="C64" s="374">
        <v>5770</v>
      </c>
      <c r="D64" s="374">
        <v>10521</v>
      </c>
      <c r="E64" s="374">
        <v>11332</v>
      </c>
      <c r="F64" s="374">
        <v>11603</v>
      </c>
      <c r="G64" s="373"/>
    </row>
    <row r="65" spans="1:7" ht="12.75" customHeight="1">
      <c r="A65" s="370" t="s">
        <v>155</v>
      </c>
      <c r="B65" s="375">
        <v>720</v>
      </c>
      <c r="C65" s="375">
        <v>818</v>
      </c>
      <c r="D65" s="375">
        <v>855</v>
      </c>
      <c r="E65" s="375">
        <v>785</v>
      </c>
      <c r="F65" s="375">
        <v>923</v>
      </c>
      <c r="G65" s="373"/>
    </row>
    <row r="66" spans="1:7" ht="12.75" customHeight="1">
      <c r="A66" s="370" t="s">
        <v>156</v>
      </c>
      <c r="B66" s="374">
        <v>7812</v>
      </c>
      <c r="C66" s="374">
        <v>8309</v>
      </c>
      <c r="D66" s="374">
        <v>9206</v>
      </c>
      <c r="E66" s="374">
        <v>8918</v>
      </c>
      <c r="F66" s="374">
        <v>8282</v>
      </c>
      <c r="G66" s="373"/>
    </row>
    <row r="67" spans="1:7" ht="12.75" customHeight="1">
      <c r="A67" s="370" t="s">
        <v>157</v>
      </c>
      <c r="B67" s="376">
        <v>69776</v>
      </c>
      <c r="C67" s="376">
        <v>80712</v>
      </c>
      <c r="D67" s="376">
        <v>85328</v>
      </c>
      <c r="E67" s="376">
        <v>91908</v>
      </c>
      <c r="F67" s="376">
        <v>108407</v>
      </c>
      <c r="G67" s="373"/>
    </row>
    <row r="69" spans="1:7" ht="16.5" customHeight="1">
      <c r="A69" s="368" t="s">
        <v>201</v>
      </c>
      <c r="B69" s="80"/>
      <c r="C69" s="80"/>
      <c r="D69" s="80"/>
      <c r="E69" s="80"/>
      <c r="F69" s="80"/>
      <c r="G69" s="80"/>
    </row>
    <row r="70" spans="1:7" ht="12.75" customHeight="1">
      <c r="A70" s="190"/>
      <c r="B70" s="372">
        <v>44621</v>
      </c>
      <c r="C70" s="372">
        <v>44986</v>
      </c>
      <c r="D70" s="372">
        <v>45352</v>
      </c>
      <c r="E70" s="372">
        <v>45717</v>
      </c>
      <c r="F70" s="372">
        <v>46082</v>
      </c>
      <c r="G70" s="373"/>
    </row>
    <row r="71" spans="1:7" ht="12.75" customHeight="1">
      <c r="A71" s="369" t="s">
        <v>158</v>
      </c>
      <c r="B71" s="374">
        <v>8985</v>
      </c>
      <c r="C71" s="374">
        <v>4959</v>
      </c>
      <c r="D71" s="374">
        <v>12135</v>
      </c>
      <c r="E71" s="374">
        <v>14072</v>
      </c>
      <c r="F71" s="374">
        <v>12419</v>
      </c>
      <c r="G71" s="373"/>
    </row>
    <row r="72" spans="1:7" ht="12.75" customHeight="1">
      <c r="A72" s="370" t="s">
        <v>159</v>
      </c>
      <c r="B72" s="374">
        <v>6456</v>
      </c>
      <c r="C72" s="374">
        <v>12131</v>
      </c>
      <c r="D72" s="374">
        <v>12642</v>
      </c>
      <c r="E72" s="374">
        <v>14872</v>
      </c>
      <c r="F72" s="374">
        <v>16001</v>
      </c>
      <c r="G72" s="373"/>
    </row>
    <row r="73" spans="1:7" ht="12.75" customHeight="1">
      <c r="A73" s="370" t="s">
        <v>160</v>
      </c>
      <c r="B73" s="374">
        <v>-1342</v>
      </c>
      <c r="C73" s="375">
        <v>-953</v>
      </c>
      <c r="D73" s="375">
        <v>353</v>
      </c>
      <c r="E73" s="374">
        <v>-1602</v>
      </c>
      <c r="F73" s="374">
        <v>-2009</v>
      </c>
      <c r="G73" s="373"/>
    </row>
    <row r="74" spans="1:7" ht="12.75" customHeight="1">
      <c r="A74" s="370" t="s">
        <v>161</v>
      </c>
      <c r="B74" s="375">
        <v>307</v>
      </c>
      <c r="C74" s="374">
        <v>-1202</v>
      </c>
      <c r="D74" s="375">
        <v>599</v>
      </c>
      <c r="E74" s="375">
        <v>-184</v>
      </c>
      <c r="F74" s="375">
        <v>-52</v>
      </c>
      <c r="G74" s="373"/>
    </row>
    <row r="75" spans="1:7" ht="12.75" customHeight="1">
      <c r="A75" s="370" t="s">
        <v>162</v>
      </c>
      <c r="B75" s="375">
        <v>370</v>
      </c>
      <c r="C75" s="374">
        <v>1182</v>
      </c>
      <c r="D75" s="375">
        <v>250</v>
      </c>
      <c r="E75" s="375">
        <v>528</v>
      </c>
      <c r="F75" s="374">
        <v>1057</v>
      </c>
      <c r="G75" s="373"/>
    </row>
    <row r="76" spans="1:7" ht="12.75" customHeight="1">
      <c r="A76" s="370" t="s">
        <v>163</v>
      </c>
      <c r="B76" s="375">
        <v>0</v>
      </c>
      <c r="C76" s="375">
        <v>0</v>
      </c>
      <c r="D76" s="375">
        <v>0</v>
      </c>
      <c r="E76" s="375">
        <v>0</v>
      </c>
      <c r="F76" s="375">
        <v>0</v>
      </c>
      <c r="G76" s="373"/>
    </row>
    <row r="77" spans="1:7" ht="12.75" customHeight="1">
      <c r="A77" s="370" t="s">
        <v>164</v>
      </c>
      <c r="B77" s="374">
        <v>2224</v>
      </c>
      <c r="C77" s="374">
        <v>-4689</v>
      </c>
      <c r="D77" s="375">
        <v>-139</v>
      </c>
      <c r="E77" s="375">
        <v>934</v>
      </c>
      <c r="F77" s="375">
        <v>-264</v>
      </c>
      <c r="G77" s="373"/>
    </row>
    <row r="78" spans="1:7" ht="12.75" customHeight="1">
      <c r="A78" s="370" t="s">
        <v>165</v>
      </c>
      <c r="B78" s="374">
        <v>1559</v>
      </c>
      <c r="C78" s="374">
        <v>-5662</v>
      </c>
      <c r="D78" s="374">
        <v>1062</v>
      </c>
      <c r="E78" s="375">
        <v>-324</v>
      </c>
      <c r="F78" s="374">
        <v>-1268</v>
      </c>
      <c r="G78" s="373"/>
    </row>
    <row r="79" spans="1:7" ht="12.75" customHeight="1">
      <c r="A79" s="370" t="s">
        <v>166</v>
      </c>
      <c r="B79" s="375">
        <v>969</v>
      </c>
      <c r="C79" s="374">
        <v>-1510</v>
      </c>
      <c r="D79" s="374">
        <v>-1569</v>
      </c>
      <c r="E79" s="375">
        <v>-477</v>
      </c>
      <c r="F79" s="374">
        <v>-2314</v>
      </c>
      <c r="G79" s="373"/>
    </row>
    <row r="80" spans="1:7" ht="12.75" customHeight="1">
      <c r="A80" s="369" t="s">
        <v>167</v>
      </c>
      <c r="B80" s="376">
        <v>-5556</v>
      </c>
      <c r="C80" s="376">
        <v>-7220</v>
      </c>
      <c r="D80" s="377">
        <v>-763</v>
      </c>
      <c r="E80" s="376">
        <v>-5183</v>
      </c>
      <c r="F80" s="376">
        <v>-10405</v>
      </c>
      <c r="G80" s="373"/>
    </row>
    <row r="81" spans="1:7" ht="12.75" customHeight="1">
      <c r="A81" s="370" t="s">
        <v>168</v>
      </c>
      <c r="B81" s="376">
        <v>-1495</v>
      </c>
      <c r="C81" s="376">
        <v>-2086</v>
      </c>
      <c r="D81" s="376">
        <v>-2202</v>
      </c>
      <c r="E81" s="376">
        <v>-2129</v>
      </c>
      <c r="F81" s="376">
        <v>-3609</v>
      </c>
      <c r="G81" s="373"/>
    </row>
    <row r="82" spans="1:7" ht="12.75" customHeight="1">
      <c r="A82" s="370" t="s">
        <v>169</v>
      </c>
      <c r="B82" s="377">
        <v>61</v>
      </c>
      <c r="C82" s="377">
        <v>21</v>
      </c>
      <c r="D82" s="377">
        <v>31</v>
      </c>
      <c r="E82" s="377">
        <v>61</v>
      </c>
      <c r="F82" s="377">
        <v>96</v>
      </c>
      <c r="G82" s="373"/>
    </row>
    <row r="83" spans="1:7" ht="12.75" customHeight="1">
      <c r="A83" s="370" t="s">
        <v>170</v>
      </c>
      <c r="B83" s="376">
        <v>-24135</v>
      </c>
      <c r="C83" s="376">
        <v>-21809</v>
      </c>
      <c r="D83" s="376">
        <v>-29004</v>
      </c>
      <c r="E83" s="376">
        <v>-32263</v>
      </c>
      <c r="F83" s="376">
        <v>-30632</v>
      </c>
      <c r="G83" s="373"/>
    </row>
    <row r="84" spans="1:7" ht="12.75" customHeight="1">
      <c r="A84" s="370" t="s">
        <v>171</v>
      </c>
      <c r="B84" s="376">
        <v>20702</v>
      </c>
      <c r="C84" s="376">
        <v>20897</v>
      </c>
      <c r="D84" s="376">
        <v>30094</v>
      </c>
      <c r="E84" s="376">
        <v>29418</v>
      </c>
      <c r="F84" s="376">
        <v>26167</v>
      </c>
      <c r="G84" s="373"/>
    </row>
    <row r="85" spans="1:7" ht="12.75" customHeight="1">
      <c r="A85" s="370" t="s">
        <v>172</v>
      </c>
      <c r="B85" s="377">
        <v>76</v>
      </c>
      <c r="C85" s="377">
        <v>318</v>
      </c>
      <c r="D85" s="377">
        <v>613</v>
      </c>
      <c r="E85" s="377">
        <v>804</v>
      </c>
      <c r="F85" s="377">
        <v>705</v>
      </c>
      <c r="G85" s="373"/>
    </row>
    <row r="86" spans="1:7" ht="12.75" customHeight="1">
      <c r="A86" s="370" t="s">
        <v>190</v>
      </c>
      <c r="B86" s="377">
        <v>134</v>
      </c>
      <c r="C86" s="377">
        <v>132</v>
      </c>
      <c r="D86" s="377">
        <v>99</v>
      </c>
      <c r="E86" s="377">
        <v>66</v>
      </c>
      <c r="F86" s="377">
        <v>59</v>
      </c>
      <c r="G86" s="373"/>
    </row>
    <row r="87" spans="1:7" ht="12.75" customHeight="1">
      <c r="A87" s="370" t="s">
        <v>191</v>
      </c>
      <c r="B87" s="377">
        <v>-15</v>
      </c>
      <c r="C87" s="377">
        <v>-155</v>
      </c>
      <c r="D87" s="377">
        <v>-87</v>
      </c>
      <c r="E87" s="377">
        <v>-46</v>
      </c>
      <c r="F87" s="377">
        <v>-172</v>
      </c>
      <c r="G87" s="373"/>
    </row>
    <row r="88" spans="1:7" ht="12.75" customHeight="1">
      <c r="A88" s="370" t="s">
        <v>196</v>
      </c>
      <c r="B88" s="377">
        <v>24</v>
      </c>
      <c r="C88" s="377">
        <v>0</v>
      </c>
      <c r="D88" s="377">
        <v>0</v>
      </c>
      <c r="E88" s="377">
        <v>0</v>
      </c>
      <c r="F88" s="377">
        <v>0</v>
      </c>
      <c r="G88" s="373"/>
    </row>
    <row r="89" spans="1:7" ht="12.75" customHeight="1">
      <c r="A89" s="370" t="s">
        <v>173</v>
      </c>
      <c r="B89" s="377">
        <v>-740</v>
      </c>
      <c r="C89" s="376">
        <v>-4686</v>
      </c>
      <c r="D89" s="377">
        <v>-143</v>
      </c>
      <c r="E89" s="377">
        <v>-273</v>
      </c>
      <c r="F89" s="376">
        <v>-3405</v>
      </c>
      <c r="G89" s="373"/>
    </row>
    <row r="90" spans="1:7" ht="12.75" customHeight="1">
      <c r="A90" s="370" t="s">
        <v>175</v>
      </c>
      <c r="B90" s="377">
        <v>-167</v>
      </c>
      <c r="C90" s="377">
        <v>148</v>
      </c>
      <c r="D90" s="377">
        <v>-164</v>
      </c>
      <c r="E90" s="377">
        <v>-821</v>
      </c>
      <c r="F90" s="377">
        <v>386</v>
      </c>
      <c r="G90" s="373"/>
    </row>
    <row r="91" spans="1:7" ht="12.75" customHeight="1">
      <c r="A91" s="369" t="s">
        <v>176</v>
      </c>
      <c r="B91" s="374">
        <v>-5193</v>
      </c>
      <c r="C91" s="374">
        <v>2376</v>
      </c>
      <c r="D91" s="374">
        <v>-6710</v>
      </c>
      <c r="E91" s="374">
        <v>-7906</v>
      </c>
      <c r="F91" s="374">
        <v>-2513</v>
      </c>
      <c r="G91" s="373"/>
    </row>
    <row r="92" spans="1:7" ht="12.75" customHeight="1">
      <c r="A92" s="370" t="s">
        <v>192</v>
      </c>
      <c r="B92" s="375">
        <v>0</v>
      </c>
      <c r="C92" s="375">
        <v>0</v>
      </c>
      <c r="D92" s="375">
        <v>0</v>
      </c>
      <c r="E92" s="375">
        <v>0</v>
      </c>
      <c r="F92" s="375">
        <v>0</v>
      </c>
      <c r="G92" s="373"/>
    </row>
    <row r="93" spans="1:7" ht="12.75" customHeight="1">
      <c r="A93" s="370" t="s">
        <v>177</v>
      </c>
      <c r="B93" s="374">
        <v>1763</v>
      </c>
      <c r="C93" s="374">
        <v>8160</v>
      </c>
      <c r="D93" s="374">
        <v>4573</v>
      </c>
      <c r="E93" s="374">
        <v>3362</v>
      </c>
      <c r="F93" s="374">
        <v>5322</v>
      </c>
      <c r="G93" s="373"/>
    </row>
    <row r="94" spans="1:7" ht="12.75" customHeight="1">
      <c r="A94" s="370" t="s">
        <v>178</v>
      </c>
      <c r="B94" s="374">
        <v>-4400</v>
      </c>
      <c r="C94" s="374">
        <v>-3030</v>
      </c>
      <c r="D94" s="374">
        <v>-7963</v>
      </c>
      <c r="E94" s="374">
        <v>-4392</v>
      </c>
      <c r="F94" s="374">
        <v>-3410</v>
      </c>
      <c r="G94" s="373"/>
    </row>
    <row r="95" spans="1:7" ht="12.75" customHeight="1">
      <c r="A95" s="370" t="s">
        <v>180</v>
      </c>
      <c r="B95" s="375">
        <v>-73</v>
      </c>
      <c r="C95" s="375">
        <v>-132</v>
      </c>
      <c r="D95" s="375">
        <v>-219</v>
      </c>
      <c r="E95" s="375">
        <v>-224</v>
      </c>
      <c r="F95" s="375">
        <v>-331</v>
      </c>
      <c r="G95" s="373"/>
    </row>
    <row r="96" spans="1:7" ht="12.75" customHeight="1">
      <c r="A96" s="370" t="s">
        <v>181</v>
      </c>
      <c r="B96" s="374">
        <v>-2169</v>
      </c>
      <c r="C96" s="374">
        <v>-2520</v>
      </c>
      <c r="D96" s="374">
        <v>-2901</v>
      </c>
      <c r="E96" s="374">
        <v>-3617</v>
      </c>
      <c r="F96" s="374">
        <v>-3938</v>
      </c>
      <c r="G96" s="373"/>
    </row>
    <row r="97" spans="1:7" ht="12.75" customHeight="1">
      <c r="A97" s="370" t="s">
        <v>182</v>
      </c>
      <c r="B97" s="375">
        <v>-129</v>
      </c>
      <c r="C97" s="375">
        <v>-101</v>
      </c>
      <c r="D97" s="375">
        <v>-123</v>
      </c>
      <c r="E97" s="375">
        <v>-135</v>
      </c>
      <c r="F97" s="375">
        <v>-151</v>
      </c>
      <c r="G97" s="373"/>
    </row>
    <row r="98" spans="1:7" ht="12.75" customHeight="1">
      <c r="A98" s="370" t="s">
        <v>194</v>
      </c>
      <c r="B98" s="375">
        <v>-186</v>
      </c>
      <c r="C98" s="375">
        <v>0</v>
      </c>
      <c r="D98" s="375">
        <v>-77</v>
      </c>
      <c r="E98" s="374">
        <v>-2900</v>
      </c>
      <c r="F98" s="375">
        <v>-4</v>
      </c>
      <c r="G98" s="373"/>
    </row>
    <row r="99" spans="1:7" ht="12.75" customHeight="1">
      <c r="A99" s="370" t="s">
        <v>183</v>
      </c>
      <c r="B99" s="376">
        <v>-1765</v>
      </c>
      <c r="C99" s="377">
        <v>115</v>
      </c>
      <c r="D99" s="376">
        <v>4662</v>
      </c>
      <c r="E99" s="377">
        <v>983</v>
      </c>
      <c r="F99" s="377">
        <v>-498</v>
      </c>
      <c r="G99" s="373"/>
    </row>
    <row r="100" spans="1:7" ht="12.75" customHeight="1">
      <c r="A100" s="371" t="s">
        <v>184</v>
      </c>
      <c r="B100" s="378">
        <v>7550</v>
      </c>
      <c r="C100" s="378">
        <v>2895</v>
      </c>
      <c r="D100" s="378">
        <v>9964</v>
      </c>
      <c r="E100" s="378">
        <v>12005</v>
      </c>
      <c r="F100" s="378">
        <v>8906</v>
      </c>
      <c r="G100" s="373"/>
    </row>
    <row r="101" spans="1:7" ht="12.75" customHeight="1">
      <c r="A101" s="371" t="s">
        <v>185</v>
      </c>
      <c r="B101" s="379">
        <v>0.78</v>
      </c>
      <c r="C101" s="379">
        <v>0.56000000000000005</v>
      </c>
      <c r="D101" s="379">
        <v>1.05</v>
      </c>
      <c r="E101" s="379">
        <v>0.96</v>
      </c>
      <c r="F101" s="379">
        <v>0.89</v>
      </c>
      <c r="G101" s="373"/>
    </row>
    <row r="102" spans="1:7">
      <c r="A102" s="80"/>
      <c r="B102" s="80"/>
      <c r="C102" s="80"/>
      <c r="D102" s="80"/>
      <c r="E102" s="80"/>
      <c r="F102" s="80"/>
      <c r="G102" s="80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7"/>
  <sheetViews>
    <sheetView zoomScaleNormal="100" workbookViewId="0">
      <selection activeCell="J18" sqref="J18"/>
    </sheetView>
  </sheetViews>
  <sheetFormatPr defaultColWidth="12.6640625" defaultRowHeight="13.2"/>
  <cols>
    <col min="1" max="1" width="27.6640625" customWidth="1"/>
  </cols>
  <sheetData>
    <row r="1" spans="1:10" ht="16.2" customHeight="1" thickBot="1">
      <c r="A1" s="448" t="s">
        <v>28</v>
      </c>
      <c r="B1" s="449"/>
      <c r="C1" s="449"/>
      <c r="D1" s="449"/>
      <c r="E1" s="449"/>
      <c r="F1" s="449"/>
      <c r="G1" s="450"/>
    </row>
    <row r="2" spans="1:10" ht="15.75" customHeight="1">
      <c r="A2" s="20" t="s">
        <v>199</v>
      </c>
      <c r="B2" s="9"/>
      <c r="C2" s="9"/>
      <c r="D2" s="9"/>
      <c r="E2" s="9"/>
      <c r="F2" s="9"/>
      <c r="G2" s="21"/>
    </row>
    <row r="3" spans="1:10" ht="12.75" customHeight="1">
      <c r="A3" s="180"/>
      <c r="B3" s="175">
        <v>44621</v>
      </c>
      <c r="C3" s="175">
        <v>44986</v>
      </c>
      <c r="D3" s="175">
        <v>45352</v>
      </c>
      <c r="E3" s="175">
        <v>45717</v>
      </c>
      <c r="F3" s="175">
        <v>46082</v>
      </c>
      <c r="G3" s="300"/>
    </row>
    <row r="4" spans="1:10" ht="12.75" customHeight="1">
      <c r="A4" s="177" t="s">
        <v>97</v>
      </c>
      <c r="B4" s="182">
        <v>21545</v>
      </c>
      <c r="C4" s="182">
        <v>24670</v>
      </c>
      <c r="D4" s="182">
        <v>28011</v>
      </c>
      <c r="E4" s="182">
        <v>32644</v>
      </c>
      <c r="F4" s="182">
        <v>33700</v>
      </c>
      <c r="G4" s="182"/>
    </row>
    <row r="5" spans="1:10" ht="12.75" customHeight="1">
      <c r="A5" s="178" t="s">
        <v>98</v>
      </c>
      <c r="B5" s="183">
        <v>0.13109999999999999</v>
      </c>
      <c r="C5" s="183">
        <v>0.14499999999999999</v>
      </c>
      <c r="D5" s="183">
        <v>0.13539999999999999</v>
      </c>
      <c r="E5" s="183">
        <v>0.16539999999999999</v>
      </c>
      <c r="F5" s="183">
        <v>3.2399999999999998E-2</v>
      </c>
      <c r="G5" s="188"/>
    </row>
    <row r="6" spans="1:10" ht="12.75" customHeight="1">
      <c r="A6" s="177" t="s">
        <v>99</v>
      </c>
      <c r="B6" s="184">
        <v>17778</v>
      </c>
      <c r="C6" s="184">
        <v>18200</v>
      </c>
      <c r="D6" s="184">
        <v>20078</v>
      </c>
      <c r="E6" s="184">
        <v>24097</v>
      </c>
      <c r="F6" s="184">
        <v>27247</v>
      </c>
      <c r="G6" s="184"/>
    </row>
    <row r="7" spans="1:10" ht="12.75" customHeight="1">
      <c r="A7" s="177" t="s">
        <v>186</v>
      </c>
      <c r="B7" s="185">
        <v>0.34539999999999998</v>
      </c>
      <c r="C7" s="185">
        <v>0.31040000000000001</v>
      </c>
      <c r="D7" s="185">
        <v>0.29310000000000003</v>
      </c>
      <c r="E7" s="185">
        <v>0.30570000000000003</v>
      </c>
      <c r="F7" s="185">
        <v>0.36320000000000002</v>
      </c>
      <c r="G7" s="186"/>
    </row>
    <row r="8" spans="1:10" ht="12.75" customHeight="1">
      <c r="A8" s="178" t="s">
        <v>103</v>
      </c>
      <c r="B8" s="185">
        <v>9.2499999999999999E-2</v>
      </c>
      <c r="C8" s="185">
        <v>8.9800000000000005E-2</v>
      </c>
      <c r="D8" s="185">
        <v>9.3600000000000003E-2</v>
      </c>
      <c r="E8" s="185">
        <v>9.5799999999999996E-2</v>
      </c>
      <c r="F8" s="185">
        <v>8.3099999999999993E-2</v>
      </c>
      <c r="G8" s="186"/>
    </row>
    <row r="9" spans="1:10" ht="12.75" customHeight="1">
      <c r="A9" s="178" t="s">
        <v>104</v>
      </c>
      <c r="B9" s="185">
        <v>0.18090000000000001</v>
      </c>
      <c r="C9" s="185">
        <v>0.1888</v>
      </c>
      <c r="D9" s="185">
        <v>0.18010000000000001</v>
      </c>
      <c r="E9" s="185">
        <v>0.1714</v>
      </c>
      <c r="F9" s="185">
        <v>0.1782</v>
      </c>
      <c r="G9" s="186"/>
    </row>
    <row r="10" spans="1:10" ht="12.75" customHeight="1">
      <c r="A10" s="178" t="s">
        <v>105</v>
      </c>
      <c r="B10" s="185">
        <v>0.20630000000000001</v>
      </c>
      <c r="C10" s="185">
        <v>0.1487</v>
      </c>
      <c r="D10" s="185">
        <v>0.15010000000000001</v>
      </c>
      <c r="E10" s="185">
        <v>0.1653</v>
      </c>
      <c r="F10" s="185">
        <v>0.184</v>
      </c>
      <c r="G10" s="186"/>
      <c r="J10" s="80"/>
    </row>
    <row r="11" spans="1:10" ht="12.75" customHeight="1">
      <c r="A11" s="178" t="s">
        <v>106</v>
      </c>
      <c r="B11" s="182">
        <v>3768</v>
      </c>
      <c r="C11" s="182">
        <v>6470</v>
      </c>
      <c r="D11" s="182">
        <v>7933</v>
      </c>
      <c r="E11" s="182">
        <v>8547</v>
      </c>
      <c r="F11" s="182">
        <v>6454</v>
      </c>
      <c r="G11" s="182"/>
    </row>
    <row r="12" spans="1:10" ht="12.75" customHeight="1">
      <c r="A12" s="178" t="s">
        <v>107</v>
      </c>
      <c r="B12" s="187">
        <v>0.17</v>
      </c>
      <c r="C12" s="187">
        <v>0.26</v>
      </c>
      <c r="D12" s="187">
        <v>0.28000000000000003</v>
      </c>
      <c r="E12" s="187">
        <v>0.26</v>
      </c>
      <c r="F12" s="187">
        <v>0.19</v>
      </c>
      <c r="G12" s="187"/>
    </row>
    <row r="13" spans="1:10" ht="12.75" customHeight="1">
      <c r="A13" s="177" t="s">
        <v>108</v>
      </c>
      <c r="B13" s="188">
        <v>555</v>
      </c>
      <c r="C13" s="188">
        <v>971</v>
      </c>
      <c r="D13" s="188">
        <v>909</v>
      </c>
      <c r="E13" s="182">
        <v>1119</v>
      </c>
      <c r="F13" s="182">
        <v>1372</v>
      </c>
      <c r="G13" s="182"/>
    </row>
    <row r="14" spans="1:10" ht="12.75" customHeight="1">
      <c r="A14" s="178" t="s">
        <v>109</v>
      </c>
      <c r="B14" s="188">
        <v>112</v>
      </c>
      <c r="C14" s="188">
        <v>-121</v>
      </c>
      <c r="D14" s="188">
        <v>90</v>
      </c>
      <c r="E14" s="188">
        <v>151</v>
      </c>
      <c r="F14" s="188">
        <v>255</v>
      </c>
      <c r="G14" s="188"/>
    </row>
    <row r="15" spans="1:10" ht="12.75" customHeight="1">
      <c r="A15" s="178" t="s">
        <v>110</v>
      </c>
      <c r="B15" s="188">
        <v>443</v>
      </c>
      <c r="C15" s="182">
        <v>1092</v>
      </c>
      <c r="D15" s="188">
        <v>819</v>
      </c>
      <c r="E15" s="188">
        <v>968</v>
      </c>
      <c r="F15" s="182">
        <v>1117</v>
      </c>
      <c r="G15" s="188"/>
    </row>
    <row r="16" spans="1:10" ht="12.75" customHeight="1">
      <c r="A16" s="178" t="s">
        <v>111</v>
      </c>
      <c r="B16" s="186">
        <v>96</v>
      </c>
      <c r="C16" s="186">
        <v>143</v>
      </c>
      <c r="D16" s="186">
        <v>171</v>
      </c>
      <c r="E16" s="186">
        <v>283</v>
      </c>
      <c r="F16" s="186">
        <v>374</v>
      </c>
      <c r="G16" s="186"/>
    </row>
    <row r="17" spans="1:7" ht="12.75" customHeight="1">
      <c r="A17" s="178" t="s">
        <v>112</v>
      </c>
      <c r="B17" s="182">
        <v>1165</v>
      </c>
      <c r="C17" s="182">
        <v>1250</v>
      </c>
      <c r="D17" s="182">
        <v>1470</v>
      </c>
      <c r="E17" s="182">
        <v>1704</v>
      </c>
      <c r="F17" s="182">
        <v>2059</v>
      </c>
      <c r="G17" s="182"/>
    </row>
    <row r="18" spans="1:7" ht="12.75" customHeight="1">
      <c r="A18" s="178" t="s">
        <v>113</v>
      </c>
      <c r="B18" s="184">
        <v>3061</v>
      </c>
      <c r="C18" s="184">
        <v>6048</v>
      </c>
      <c r="D18" s="184">
        <v>7201</v>
      </c>
      <c r="E18" s="184">
        <v>7680</v>
      </c>
      <c r="F18" s="184">
        <v>5393</v>
      </c>
      <c r="G18" s="184"/>
    </row>
    <row r="19" spans="1:7" ht="12.75" customHeight="1">
      <c r="A19" s="178" t="s">
        <v>114</v>
      </c>
      <c r="B19" s="189">
        <v>0.28999999999999998</v>
      </c>
      <c r="C19" s="189">
        <v>0.25</v>
      </c>
      <c r="D19" s="189">
        <v>0.23</v>
      </c>
      <c r="E19" s="189">
        <v>0.25</v>
      </c>
      <c r="F19" s="189">
        <v>0.23</v>
      </c>
      <c r="G19" s="188"/>
    </row>
    <row r="20" spans="1:7" ht="12.75" customHeight="1">
      <c r="A20" s="177" t="s">
        <v>115</v>
      </c>
      <c r="B20" s="184">
        <v>2182</v>
      </c>
      <c r="C20" s="184">
        <v>4507</v>
      </c>
      <c r="D20" s="184">
        <v>5578</v>
      </c>
      <c r="E20" s="184">
        <v>5725</v>
      </c>
      <c r="F20" s="184">
        <v>4158</v>
      </c>
      <c r="G20" s="184"/>
    </row>
    <row r="21" spans="1:7" ht="12.75" customHeight="1">
      <c r="A21" s="178" t="s">
        <v>187</v>
      </c>
      <c r="B21" s="186">
        <v>0</v>
      </c>
      <c r="C21" s="186">
        <v>0</v>
      </c>
      <c r="D21" s="186">
        <v>0</v>
      </c>
      <c r="E21" s="186">
        <v>0</v>
      </c>
      <c r="F21" s="186">
        <v>0</v>
      </c>
      <c r="G21" s="186"/>
    </row>
    <row r="22" spans="1:7" ht="12.75" customHeight="1">
      <c r="A22" s="178" t="s">
        <v>116</v>
      </c>
      <c r="B22" s="186">
        <v>0</v>
      </c>
      <c r="C22" s="186">
        <v>0</v>
      </c>
      <c r="D22" s="186">
        <v>0</v>
      </c>
      <c r="E22" s="186">
        <v>-70</v>
      </c>
      <c r="F22" s="186">
        <v>38</v>
      </c>
      <c r="G22" s="186"/>
    </row>
    <row r="23" spans="1:7" ht="12.75" customHeight="1">
      <c r="A23" s="178" t="s">
        <v>117</v>
      </c>
      <c r="B23" s="186">
        <v>72</v>
      </c>
      <c r="C23" s="186">
        <v>-90</v>
      </c>
      <c r="D23" s="186">
        <v>66</v>
      </c>
      <c r="E23" s="186">
        <v>107</v>
      </c>
      <c r="F23" s="186">
        <v>189</v>
      </c>
      <c r="G23" s="186"/>
    </row>
    <row r="24" spans="1:7" ht="12.75" customHeight="1">
      <c r="A24" s="178" t="s">
        <v>118</v>
      </c>
      <c r="B24" s="184">
        <v>2111</v>
      </c>
      <c r="C24" s="184">
        <v>4598</v>
      </c>
      <c r="D24" s="184">
        <v>5512</v>
      </c>
      <c r="E24" s="184">
        <v>5618</v>
      </c>
      <c r="F24" s="184">
        <v>3969</v>
      </c>
      <c r="G24" s="186"/>
    </row>
    <row r="25" spans="1:7" ht="12.75" customHeight="1">
      <c r="A25" s="178" t="s">
        <v>119</v>
      </c>
      <c r="B25" s="184">
        <v>2111</v>
      </c>
      <c r="C25" s="184">
        <v>4598</v>
      </c>
      <c r="D25" s="184">
        <v>5512</v>
      </c>
      <c r="E25" s="184">
        <v>5550</v>
      </c>
      <c r="F25" s="184">
        <v>4007</v>
      </c>
      <c r="G25" s="186"/>
    </row>
    <row r="26" spans="1:7" ht="12.75" customHeight="1">
      <c r="A26" s="178" t="s">
        <v>120</v>
      </c>
      <c r="B26" s="184">
        <v>2182</v>
      </c>
      <c r="C26" s="184">
        <v>4507</v>
      </c>
      <c r="D26" s="184">
        <v>5578</v>
      </c>
      <c r="E26" s="184">
        <v>5655</v>
      </c>
      <c r="F26" s="184">
        <v>4196</v>
      </c>
      <c r="G26" s="186"/>
    </row>
    <row r="27" spans="1:7" ht="12.75" customHeight="1">
      <c r="A27" s="178" t="s">
        <v>121</v>
      </c>
      <c r="B27" s="187">
        <v>0.08</v>
      </c>
      <c r="C27" s="187">
        <v>1.18</v>
      </c>
      <c r="D27" s="187">
        <v>0.2</v>
      </c>
      <c r="E27" s="187">
        <v>0.01</v>
      </c>
      <c r="F27" s="187">
        <v>-0.28000000000000003</v>
      </c>
      <c r="G27" s="186"/>
    </row>
    <row r="28" spans="1:7" ht="12.75" customHeight="1">
      <c r="A28" s="178" t="s">
        <v>122</v>
      </c>
      <c r="B28" s="188">
        <v>26.23</v>
      </c>
      <c r="C28" s="188">
        <v>54.14</v>
      </c>
      <c r="D28" s="188">
        <v>66.87</v>
      </c>
      <c r="E28" s="188">
        <v>67.77</v>
      </c>
      <c r="F28" s="188">
        <v>50.27</v>
      </c>
      <c r="G28" s="188"/>
    </row>
    <row r="29" spans="1:7" ht="12.75" customHeight="1">
      <c r="A29" s="178" t="s">
        <v>123</v>
      </c>
      <c r="B29" s="187">
        <v>0.23</v>
      </c>
      <c r="C29" s="187">
        <v>0.15</v>
      </c>
      <c r="D29" s="187">
        <v>0.12</v>
      </c>
      <c r="E29" s="187">
        <v>0.12</v>
      </c>
      <c r="F29" s="187">
        <v>0.16</v>
      </c>
      <c r="G29" s="121"/>
    </row>
    <row r="31" spans="1:7" ht="16.5" customHeight="1">
      <c r="A31" s="22" t="s">
        <v>200</v>
      </c>
    </row>
    <row r="32" spans="1:7" ht="12.75" customHeight="1">
      <c r="A32" s="179"/>
      <c r="B32" s="175">
        <v>42064</v>
      </c>
      <c r="C32" s="175">
        <v>44986</v>
      </c>
      <c r="D32" s="175">
        <v>45352</v>
      </c>
      <c r="E32" s="175">
        <v>45717</v>
      </c>
      <c r="F32" s="175">
        <v>46082</v>
      </c>
      <c r="G32" s="80"/>
    </row>
    <row r="33" spans="1:7" ht="12.75" customHeight="1">
      <c r="A33" s="178" t="s">
        <v>124</v>
      </c>
      <c r="B33" s="188">
        <v>83</v>
      </c>
      <c r="C33" s="188">
        <v>83</v>
      </c>
      <c r="D33" s="188">
        <v>83</v>
      </c>
      <c r="E33" s="188">
        <v>83</v>
      </c>
      <c r="F33" s="188">
        <v>84</v>
      </c>
      <c r="G33" s="121"/>
    </row>
    <row r="34" spans="1:7" ht="12.75" customHeight="1">
      <c r="A34" s="178" t="s">
        <v>125</v>
      </c>
      <c r="B34" s="184">
        <v>19129</v>
      </c>
      <c r="C34" s="184">
        <v>23203</v>
      </c>
      <c r="D34" s="184">
        <v>28171</v>
      </c>
      <c r="E34" s="184">
        <v>33466</v>
      </c>
      <c r="F34" s="184">
        <v>37808</v>
      </c>
      <c r="G34" s="121"/>
    </row>
    <row r="35" spans="1:7" ht="12.75" customHeight="1">
      <c r="A35" s="177" t="s">
        <v>126</v>
      </c>
      <c r="B35" s="182">
        <v>3384</v>
      </c>
      <c r="C35" s="182">
        <v>1347</v>
      </c>
      <c r="D35" s="182">
        <v>2002</v>
      </c>
      <c r="E35" s="182">
        <v>4677</v>
      </c>
      <c r="F35" s="182">
        <v>7734</v>
      </c>
      <c r="G35" s="121"/>
    </row>
    <row r="36" spans="1:7" ht="12.75" customHeight="1">
      <c r="A36" s="178" t="s">
        <v>127</v>
      </c>
      <c r="B36" s="188">
        <v>380</v>
      </c>
      <c r="C36" s="188">
        <v>0</v>
      </c>
      <c r="D36" s="188">
        <v>380</v>
      </c>
      <c r="E36" s="188">
        <v>380</v>
      </c>
      <c r="F36" s="188">
        <v>0</v>
      </c>
      <c r="G36" s="121"/>
    </row>
    <row r="37" spans="1:7" ht="12.75" customHeight="1">
      <c r="A37" s="178" t="s">
        <v>128</v>
      </c>
      <c r="B37" s="182">
        <v>2708</v>
      </c>
      <c r="C37" s="182">
        <v>1119</v>
      </c>
      <c r="D37" s="182">
        <v>1272</v>
      </c>
      <c r="E37" s="182">
        <v>3804</v>
      </c>
      <c r="F37" s="182">
        <v>6294</v>
      </c>
      <c r="G37" s="121"/>
    </row>
    <row r="38" spans="1:7" ht="12.75" customHeight="1">
      <c r="A38" s="178" t="s">
        <v>129</v>
      </c>
      <c r="B38" s="188">
        <v>296</v>
      </c>
      <c r="C38" s="188">
        <v>228</v>
      </c>
      <c r="D38" s="188">
        <v>350</v>
      </c>
      <c r="E38" s="188">
        <v>492</v>
      </c>
      <c r="F38" s="182">
        <v>1441</v>
      </c>
      <c r="G38" s="121"/>
    </row>
    <row r="39" spans="1:7" ht="12.75" customHeight="1">
      <c r="A39" s="178" t="s">
        <v>130</v>
      </c>
      <c r="B39" s="188">
        <v>0</v>
      </c>
      <c r="C39" s="188">
        <v>0</v>
      </c>
      <c r="D39" s="188">
        <v>0</v>
      </c>
      <c r="E39" s="188">
        <v>0</v>
      </c>
      <c r="F39" s="188">
        <v>0</v>
      </c>
      <c r="G39" s="121"/>
    </row>
    <row r="40" spans="1:7" ht="12.75" customHeight="1">
      <c r="A40" s="177" t="s">
        <v>131</v>
      </c>
      <c r="B40" s="184">
        <v>7149</v>
      </c>
      <c r="C40" s="184">
        <v>7576</v>
      </c>
      <c r="D40" s="184">
        <v>8523</v>
      </c>
      <c r="E40" s="184">
        <v>9797</v>
      </c>
      <c r="F40" s="184">
        <v>10951</v>
      </c>
      <c r="G40" s="121"/>
    </row>
    <row r="41" spans="1:7" ht="12.75" customHeight="1">
      <c r="A41" s="178" t="s">
        <v>132</v>
      </c>
      <c r="B41" s="186">
        <v>0</v>
      </c>
      <c r="C41" s="186">
        <v>0</v>
      </c>
      <c r="D41" s="186">
        <v>0</v>
      </c>
      <c r="E41" s="186">
        <v>378</v>
      </c>
      <c r="F41" s="186">
        <v>339</v>
      </c>
      <c r="G41" s="121"/>
    </row>
    <row r="42" spans="1:7" ht="12.75" customHeight="1">
      <c r="A42" s="178" t="s">
        <v>133</v>
      </c>
      <c r="B42" s="184">
        <v>2266</v>
      </c>
      <c r="C42" s="184">
        <v>2268</v>
      </c>
      <c r="D42" s="184">
        <v>2614</v>
      </c>
      <c r="E42" s="184">
        <v>2648</v>
      </c>
      <c r="F42" s="184">
        <v>3038</v>
      </c>
      <c r="G42" s="121"/>
    </row>
    <row r="43" spans="1:7" ht="12.75" customHeight="1">
      <c r="A43" s="178" t="s">
        <v>134</v>
      </c>
      <c r="B43" s="186">
        <v>134</v>
      </c>
      <c r="C43" s="186">
        <v>117</v>
      </c>
      <c r="D43" s="186">
        <v>106</v>
      </c>
      <c r="E43" s="186">
        <v>156</v>
      </c>
      <c r="F43" s="186">
        <v>132</v>
      </c>
      <c r="G43" s="121"/>
    </row>
    <row r="44" spans="1:7" ht="12.75" customHeight="1">
      <c r="A44" s="178" t="s">
        <v>135</v>
      </c>
      <c r="B44" s="184">
        <v>4748</v>
      </c>
      <c r="C44" s="184">
        <v>5190</v>
      </c>
      <c r="D44" s="184">
        <v>5802</v>
      </c>
      <c r="E44" s="184">
        <v>6615</v>
      </c>
      <c r="F44" s="184">
        <v>7442</v>
      </c>
      <c r="G44" s="121"/>
    </row>
    <row r="45" spans="1:7" ht="12.75" customHeight="1">
      <c r="A45" s="178" t="s">
        <v>136</v>
      </c>
      <c r="B45" s="182">
        <v>29746</v>
      </c>
      <c r="C45" s="182">
        <v>32209</v>
      </c>
      <c r="D45" s="182">
        <v>38780</v>
      </c>
      <c r="E45" s="182">
        <v>48023</v>
      </c>
      <c r="F45" s="182">
        <v>56577</v>
      </c>
      <c r="G45" s="121"/>
    </row>
    <row r="46" spans="1:7" ht="12.75" customHeight="1">
      <c r="A46" s="177" t="s">
        <v>137</v>
      </c>
      <c r="B46" s="184">
        <v>8122</v>
      </c>
      <c r="C46" s="184">
        <v>9219</v>
      </c>
      <c r="D46" s="184">
        <v>10426</v>
      </c>
      <c r="E46" s="184">
        <v>18226</v>
      </c>
      <c r="F46" s="184">
        <v>22063</v>
      </c>
      <c r="G46" s="121"/>
    </row>
    <row r="47" spans="1:7" ht="12.75" customHeight="1">
      <c r="A47" s="178" t="s">
        <v>138</v>
      </c>
      <c r="B47" s="186">
        <v>428</v>
      </c>
      <c r="C47" s="186">
        <v>438</v>
      </c>
      <c r="D47" s="186">
        <v>439</v>
      </c>
      <c r="E47" s="186">
        <v>430</v>
      </c>
      <c r="F47" s="186">
        <v>444</v>
      </c>
      <c r="G47" s="121"/>
    </row>
    <row r="48" spans="1:7" ht="12.75" customHeight="1">
      <c r="A48" s="178" t="s">
        <v>139</v>
      </c>
      <c r="B48" s="184">
        <v>2837</v>
      </c>
      <c r="C48" s="184">
        <v>2965</v>
      </c>
      <c r="D48" s="184">
        <v>3295</v>
      </c>
      <c r="E48" s="184">
        <v>3459</v>
      </c>
      <c r="F48" s="184">
        <v>4475</v>
      </c>
      <c r="G48" s="121"/>
    </row>
    <row r="49" spans="1:7" ht="12.75" customHeight="1">
      <c r="A49" s="178" t="s">
        <v>140</v>
      </c>
      <c r="B49" s="184">
        <v>8715</v>
      </c>
      <c r="C49" s="184">
        <v>9809</v>
      </c>
      <c r="D49" s="184">
        <v>10709</v>
      </c>
      <c r="E49" s="184">
        <v>11502</v>
      </c>
      <c r="F49" s="184">
        <v>14133</v>
      </c>
      <c r="G49" s="121"/>
    </row>
    <row r="50" spans="1:7" ht="12.75" customHeight="1">
      <c r="A50" s="178" t="s">
        <v>141</v>
      </c>
      <c r="B50" s="186">
        <v>0</v>
      </c>
      <c r="C50" s="186">
        <v>0</v>
      </c>
      <c r="D50" s="186">
        <v>0</v>
      </c>
      <c r="E50" s="186">
        <v>0</v>
      </c>
      <c r="F50" s="186">
        <v>0</v>
      </c>
      <c r="G50" s="121"/>
    </row>
    <row r="51" spans="1:7" ht="12.75" customHeight="1">
      <c r="A51" s="178" t="s">
        <v>143</v>
      </c>
      <c r="B51" s="186">
        <v>682</v>
      </c>
      <c r="C51" s="186">
        <v>766</v>
      </c>
      <c r="D51" s="186">
        <v>837</v>
      </c>
      <c r="E51" s="186">
        <v>824</v>
      </c>
      <c r="F51" s="186">
        <v>949</v>
      </c>
      <c r="G51" s="121"/>
    </row>
    <row r="52" spans="1:7" ht="12.75" customHeight="1">
      <c r="A52" s="178" t="s">
        <v>144</v>
      </c>
      <c r="B52" s="186">
        <v>145</v>
      </c>
      <c r="C52" s="186">
        <v>198</v>
      </c>
      <c r="D52" s="186">
        <v>226</v>
      </c>
      <c r="E52" s="186">
        <v>286</v>
      </c>
      <c r="F52" s="186">
        <v>373</v>
      </c>
      <c r="G52" s="121"/>
    </row>
    <row r="53" spans="1:7" ht="12.75" customHeight="1">
      <c r="A53" s="178" t="s">
        <v>145</v>
      </c>
      <c r="B53" s="184">
        <v>3858</v>
      </c>
      <c r="C53" s="184">
        <v>4066</v>
      </c>
      <c r="D53" s="184">
        <v>4085</v>
      </c>
      <c r="E53" s="184">
        <v>4928</v>
      </c>
      <c r="F53" s="184">
        <v>5684</v>
      </c>
      <c r="G53" s="121"/>
    </row>
    <row r="54" spans="1:7" ht="12.75" customHeight="1">
      <c r="A54" s="178" t="s">
        <v>146</v>
      </c>
      <c r="B54" s="184">
        <v>6432</v>
      </c>
      <c r="C54" s="184">
        <v>7324</v>
      </c>
      <c r="D54" s="184">
        <v>8470</v>
      </c>
      <c r="E54" s="184">
        <v>15330</v>
      </c>
      <c r="F54" s="184">
        <v>17796</v>
      </c>
      <c r="G54" s="121"/>
    </row>
    <row r="55" spans="1:7" ht="12.75" customHeight="1">
      <c r="A55" s="178" t="s">
        <v>147</v>
      </c>
      <c r="B55" s="184">
        <v>23096</v>
      </c>
      <c r="C55" s="184">
        <v>25567</v>
      </c>
      <c r="D55" s="184">
        <v>28062</v>
      </c>
      <c r="E55" s="184">
        <v>36760</v>
      </c>
      <c r="F55" s="184">
        <v>43854</v>
      </c>
      <c r="G55" s="121"/>
    </row>
    <row r="56" spans="1:7" ht="12.75" customHeight="1">
      <c r="A56" s="178" t="s">
        <v>148</v>
      </c>
      <c r="B56" s="184">
        <v>14975</v>
      </c>
      <c r="C56" s="184">
        <v>16348</v>
      </c>
      <c r="D56" s="184">
        <v>17637</v>
      </c>
      <c r="E56" s="184">
        <v>18533</v>
      </c>
      <c r="F56" s="184">
        <v>21791</v>
      </c>
      <c r="G56" s="121"/>
    </row>
    <row r="57" spans="1:7" ht="12.75" customHeight="1">
      <c r="A57" s="178" t="s">
        <v>149</v>
      </c>
      <c r="B57" s="182">
        <v>1293</v>
      </c>
      <c r="C57" s="182">
        <v>1030</v>
      </c>
      <c r="D57" s="182">
        <v>1419</v>
      </c>
      <c r="E57" s="182">
        <v>2466</v>
      </c>
      <c r="F57" s="182">
        <v>1460</v>
      </c>
      <c r="G57" s="121"/>
    </row>
    <row r="58" spans="1:7" ht="12.75" customHeight="1">
      <c r="A58" s="178" t="s">
        <v>150</v>
      </c>
      <c r="B58" s="184">
        <v>2616</v>
      </c>
      <c r="C58" s="184">
        <v>4986</v>
      </c>
      <c r="D58" s="184">
        <v>4930</v>
      </c>
      <c r="E58" s="184">
        <v>4051</v>
      </c>
      <c r="F58" s="184">
        <v>5285</v>
      </c>
      <c r="G58" s="121"/>
    </row>
    <row r="59" spans="1:7" ht="12.75" customHeight="1">
      <c r="A59" s="177" t="s">
        <v>151</v>
      </c>
      <c r="B59" s="182">
        <v>17715</v>
      </c>
      <c r="C59" s="182">
        <v>16974</v>
      </c>
      <c r="D59" s="182">
        <v>22004</v>
      </c>
      <c r="E59" s="182">
        <v>23280</v>
      </c>
      <c r="F59" s="182">
        <v>27768</v>
      </c>
      <c r="G59" s="121"/>
    </row>
    <row r="60" spans="1:7" ht="12.75" customHeight="1">
      <c r="A60" s="178" t="s">
        <v>152</v>
      </c>
      <c r="B60" s="182">
        <v>5088</v>
      </c>
      <c r="C60" s="182">
        <v>4867</v>
      </c>
      <c r="D60" s="182">
        <v>6355</v>
      </c>
      <c r="E60" s="182">
        <v>7108</v>
      </c>
      <c r="F60" s="182">
        <v>7653</v>
      </c>
      <c r="G60" s="121"/>
    </row>
    <row r="61" spans="1:7" ht="12.75" customHeight="1">
      <c r="A61" s="178" t="s">
        <v>153</v>
      </c>
      <c r="B61" s="182">
        <v>6676</v>
      </c>
      <c r="C61" s="182">
        <v>7248</v>
      </c>
      <c r="D61" s="182">
        <v>8030</v>
      </c>
      <c r="E61" s="182">
        <v>9042</v>
      </c>
      <c r="F61" s="182">
        <v>10123</v>
      </c>
      <c r="G61" s="121"/>
    </row>
    <row r="62" spans="1:7" ht="12.75" customHeight="1">
      <c r="A62" s="178" t="s">
        <v>154</v>
      </c>
      <c r="B62" s="182">
        <v>2419</v>
      </c>
      <c r="C62" s="182">
        <v>1730</v>
      </c>
      <c r="D62" s="182">
        <v>1728</v>
      </c>
      <c r="E62" s="182">
        <v>2460</v>
      </c>
      <c r="F62" s="182">
        <v>3349</v>
      </c>
      <c r="G62" s="121"/>
    </row>
    <row r="63" spans="1:7" ht="12.75" customHeight="1">
      <c r="A63" s="178" t="s">
        <v>155</v>
      </c>
      <c r="B63" s="188">
        <v>99</v>
      </c>
      <c r="C63" s="188">
        <v>118</v>
      </c>
      <c r="D63" s="188">
        <v>215</v>
      </c>
      <c r="E63" s="188">
        <v>473</v>
      </c>
      <c r="F63" s="188">
        <v>524</v>
      </c>
      <c r="G63" s="121"/>
    </row>
    <row r="64" spans="1:7" ht="12.75" customHeight="1">
      <c r="A64" s="178" t="s">
        <v>156</v>
      </c>
      <c r="B64" s="182">
        <v>3431</v>
      </c>
      <c r="C64" s="182">
        <v>3010</v>
      </c>
      <c r="D64" s="182">
        <v>5677</v>
      </c>
      <c r="E64" s="182">
        <v>4196</v>
      </c>
      <c r="F64" s="182">
        <v>6119</v>
      </c>
      <c r="G64" s="121"/>
    </row>
    <row r="65" spans="1:7" ht="12.75" customHeight="1">
      <c r="A65" s="178" t="s">
        <v>157</v>
      </c>
      <c r="B65" s="184">
        <v>29746</v>
      </c>
      <c r="C65" s="184">
        <v>32209</v>
      </c>
      <c r="D65" s="184">
        <v>38780</v>
      </c>
      <c r="E65" s="184">
        <v>48023</v>
      </c>
      <c r="F65" s="184">
        <v>56577</v>
      </c>
      <c r="G65" s="121"/>
    </row>
    <row r="67" spans="1:7" ht="16.5" customHeight="1">
      <c r="A67" s="22" t="s">
        <v>201</v>
      </c>
    </row>
    <row r="68" spans="1:7" ht="12.75" customHeight="1">
      <c r="A68" s="179"/>
      <c r="B68" s="175">
        <v>42064</v>
      </c>
      <c r="C68" s="175">
        <v>44986</v>
      </c>
      <c r="D68" s="175">
        <v>45352</v>
      </c>
      <c r="E68" s="175">
        <v>45717</v>
      </c>
      <c r="F68" s="175">
        <v>46082</v>
      </c>
      <c r="G68" s="80"/>
    </row>
    <row r="69" spans="1:7" ht="12.75" customHeight="1">
      <c r="A69" s="177" t="s">
        <v>158</v>
      </c>
      <c r="B69" s="182">
        <v>2811</v>
      </c>
      <c r="C69" s="182">
        <v>5888</v>
      </c>
      <c r="D69" s="182">
        <v>4543</v>
      </c>
      <c r="E69" s="182">
        <v>4643</v>
      </c>
      <c r="F69" s="182">
        <v>5674</v>
      </c>
      <c r="G69" s="121"/>
    </row>
    <row r="70" spans="1:7" ht="12.75" customHeight="1">
      <c r="A70" s="178" t="s">
        <v>159</v>
      </c>
      <c r="B70" s="182">
        <v>5395</v>
      </c>
      <c r="C70" s="182">
        <v>7744</v>
      </c>
      <c r="D70" s="182">
        <v>8566</v>
      </c>
      <c r="E70" s="182">
        <v>9641</v>
      </c>
      <c r="F70" s="182">
        <v>8101</v>
      </c>
      <c r="G70" s="121"/>
    </row>
    <row r="71" spans="1:7" ht="12.75" customHeight="1">
      <c r="A71" s="178" t="s">
        <v>160</v>
      </c>
      <c r="B71" s="182">
        <v>-1701</v>
      </c>
      <c r="C71" s="188">
        <v>-575</v>
      </c>
      <c r="D71" s="188">
        <v>-805</v>
      </c>
      <c r="E71" s="182">
        <v>-1028</v>
      </c>
      <c r="F71" s="188">
        <v>-672</v>
      </c>
      <c r="G71" s="121"/>
    </row>
    <row r="72" spans="1:7" ht="12.75" customHeight="1">
      <c r="A72" s="178" t="s">
        <v>161</v>
      </c>
      <c r="B72" s="188">
        <v>-991</v>
      </c>
      <c r="C72" s="188">
        <v>-265</v>
      </c>
      <c r="D72" s="182">
        <v>-1844</v>
      </c>
      <c r="E72" s="182">
        <v>-1275</v>
      </c>
      <c r="F72" s="188">
        <v>-860</v>
      </c>
      <c r="G72" s="121"/>
    </row>
    <row r="73" spans="1:7" ht="12.75" customHeight="1">
      <c r="A73" s="178" t="s">
        <v>162</v>
      </c>
      <c r="B73" s="188">
        <v>441</v>
      </c>
      <c r="C73" s="188">
        <v>2</v>
      </c>
      <c r="D73" s="188">
        <v>346</v>
      </c>
      <c r="E73" s="188">
        <v>34</v>
      </c>
      <c r="F73" s="188">
        <v>279</v>
      </c>
      <c r="G73" s="121"/>
    </row>
    <row r="74" spans="1:7" ht="12.75" customHeight="1">
      <c r="A74" s="178" t="s">
        <v>164</v>
      </c>
      <c r="B74" s="188">
        <v>410</v>
      </c>
      <c r="C74" s="188">
        <v>53</v>
      </c>
      <c r="D74" s="188">
        <v>286</v>
      </c>
      <c r="E74" s="188">
        <v>-729</v>
      </c>
      <c r="F74" s="188">
        <v>179</v>
      </c>
      <c r="G74" s="121"/>
    </row>
    <row r="75" spans="1:7" ht="12.75" customHeight="1">
      <c r="A75" s="178" t="s">
        <v>165</v>
      </c>
      <c r="B75" s="182">
        <v>-1841</v>
      </c>
      <c r="C75" s="188">
        <v>-786</v>
      </c>
      <c r="D75" s="182">
        <v>-2018</v>
      </c>
      <c r="E75" s="182">
        <v>-2999</v>
      </c>
      <c r="F75" s="182">
        <v>-1075</v>
      </c>
      <c r="G75" s="121"/>
    </row>
    <row r="76" spans="1:7" ht="12.75" customHeight="1">
      <c r="A76" s="178" t="s">
        <v>166</v>
      </c>
      <c r="B76" s="188">
        <v>-744</v>
      </c>
      <c r="C76" s="182">
        <v>-1071</v>
      </c>
      <c r="D76" s="182">
        <v>-2005</v>
      </c>
      <c r="E76" s="182">
        <v>-1999</v>
      </c>
      <c r="F76" s="182">
        <v>-1353</v>
      </c>
      <c r="G76" s="121"/>
    </row>
    <row r="77" spans="1:7" ht="12.75" customHeight="1">
      <c r="A77" s="177" t="s">
        <v>167</v>
      </c>
      <c r="B77" s="184">
        <v>-2565</v>
      </c>
      <c r="C77" s="184">
        <v>-4109</v>
      </c>
      <c r="D77" s="184">
        <v>-4034</v>
      </c>
      <c r="E77" s="184">
        <v>-5785</v>
      </c>
      <c r="F77" s="184">
        <v>-6425</v>
      </c>
      <c r="G77" s="121"/>
    </row>
    <row r="78" spans="1:7" ht="12.75" customHeight="1">
      <c r="A78" s="178" t="s">
        <v>168</v>
      </c>
      <c r="B78" s="184">
        <v>-1905</v>
      </c>
      <c r="C78" s="184">
        <v>-1887</v>
      </c>
      <c r="D78" s="184">
        <v>-2744</v>
      </c>
      <c r="E78" s="184">
        <v>-3440</v>
      </c>
      <c r="F78" s="184">
        <v>-3840</v>
      </c>
      <c r="G78" s="121"/>
    </row>
    <row r="79" spans="1:7" ht="12.75" customHeight="1">
      <c r="A79" s="178" t="s">
        <v>169</v>
      </c>
      <c r="B79" s="186">
        <v>332</v>
      </c>
      <c r="C79" s="186">
        <v>8</v>
      </c>
      <c r="D79" s="186">
        <v>108</v>
      </c>
      <c r="E79" s="186">
        <v>124</v>
      </c>
      <c r="F79" s="186">
        <v>171</v>
      </c>
      <c r="G79" s="121"/>
    </row>
    <row r="80" spans="1:7" ht="12.75" customHeight="1">
      <c r="A80" s="178" t="s">
        <v>170</v>
      </c>
      <c r="B80" s="184">
        <v>-8897</v>
      </c>
      <c r="C80" s="184">
        <v>-13617</v>
      </c>
      <c r="D80" s="184">
        <v>-14549</v>
      </c>
      <c r="E80" s="184">
        <v>-2849</v>
      </c>
      <c r="F80" s="184">
        <v>-4672</v>
      </c>
      <c r="G80" s="121"/>
    </row>
    <row r="81" spans="1:7" ht="12.75" customHeight="1">
      <c r="A81" s="178" t="s">
        <v>171</v>
      </c>
      <c r="B81" s="184">
        <v>7777</v>
      </c>
      <c r="C81" s="184">
        <v>11280</v>
      </c>
      <c r="D81" s="184">
        <v>12978</v>
      </c>
      <c r="E81" s="184">
        <v>5361</v>
      </c>
      <c r="F81" s="184">
        <v>1960</v>
      </c>
      <c r="G81" s="121"/>
    </row>
    <row r="82" spans="1:7" ht="12.75" customHeight="1">
      <c r="A82" s="178" t="s">
        <v>172</v>
      </c>
      <c r="B82" s="186">
        <v>87</v>
      </c>
      <c r="C82" s="186">
        <v>78</v>
      </c>
      <c r="D82" s="186">
        <v>134</v>
      </c>
      <c r="E82" s="186">
        <v>337</v>
      </c>
      <c r="F82" s="186">
        <v>152</v>
      </c>
      <c r="G82" s="121"/>
    </row>
    <row r="83" spans="1:7" ht="12.75" customHeight="1">
      <c r="A83" s="178" t="s">
        <v>190</v>
      </c>
      <c r="B83" s="186">
        <v>0</v>
      </c>
      <c r="C83" s="186">
        <v>0</v>
      </c>
      <c r="D83" s="186">
        <v>44</v>
      </c>
      <c r="E83" s="186">
        <v>0</v>
      </c>
      <c r="F83" s="186">
        <v>0</v>
      </c>
      <c r="G83" s="121"/>
    </row>
    <row r="84" spans="1:7" ht="12.75" customHeight="1">
      <c r="A84" s="178" t="s">
        <v>191</v>
      </c>
      <c r="B84" s="186">
        <v>0</v>
      </c>
      <c r="C84" s="186">
        <v>0</v>
      </c>
      <c r="D84" s="186">
        <v>-1</v>
      </c>
      <c r="E84" s="186">
        <v>-32</v>
      </c>
      <c r="F84" s="186">
        <v>-5</v>
      </c>
      <c r="G84" s="121"/>
    </row>
    <row r="85" spans="1:7" ht="12.75" customHeight="1">
      <c r="A85" s="178" t="s">
        <v>173</v>
      </c>
      <c r="B85" s="186">
        <v>0</v>
      </c>
      <c r="C85" s="186">
        <v>0</v>
      </c>
      <c r="D85" s="186">
        <v>0</v>
      </c>
      <c r="E85" s="186">
        <v>0</v>
      </c>
      <c r="F85" s="186">
        <v>0</v>
      </c>
      <c r="G85" s="121"/>
    </row>
    <row r="86" spans="1:7" ht="12.75" customHeight="1">
      <c r="A86" s="178" t="s">
        <v>175</v>
      </c>
      <c r="B86" s="186">
        <v>41</v>
      </c>
      <c r="C86" s="186">
        <v>29</v>
      </c>
      <c r="D86" s="186">
        <v>-6</v>
      </c>
      <c r="E86" s="184">
        <v>-5287</v>
      </c>
      <c r="F86" s="186">
        <v>-191</v>
      </c>
      <c r="G86" s="121"/>
    </row>
    <row r="87" spans="1:7" ht="12.75" customHeight="1">
      <c r="A87" s="177" t="s">
        <v>176</v>
      </c>
      <c r="B87" s="188">
        <v>-242</v>
      </c>
      <c r="C87" s="182">
        <v>-2686</v>
      </c>
      <c r="D87" s="188">
        <v>-376</v>
      </c>
      <c r="E87" s="182">
        <v>1891</v>
      </c>
      <c r="F87" s="188">
        <v>829</v>
      </c>
      <c r="G87" s="121"/>
    </row>
    <row r="88" spans="1:7" ht="12.75" customHeight="1">
      <c r="A88" s="178" t="s">
        <v>192</v>
      </c>
      <c r="B88" s="188">
        <v>33</v>
      </c>
      <c r="C88" s="188">
        <v>37</v>
      </c>
      <c r="D88" s="188">
        <v>80</v>
      </c>
      <c r="E88" s="188">
        <v>19</v>
      </c>
      <c r="F88" s="188">
        <v>40</v>
      </c>
      <c r="G88" s="121"/>
    </row>
    <row r="89" spans="1:7" ht="12.75" customHeight="1">
      <c r="A89" s="178" t="s">
        <v>177</v>
      </c>
      <c r="B89" s="188">
        <v>352</v>
      </c>
      <c r="C89" s="188">
        <v>0</v>
      </c>
      <c r="D89" s="188">
        <v>929</v>
      </c>
      <c r="E89" s="182">
        <v>2449</v>
      </c>
      <c r="F89" s="182">
        <v>2026</v>
      </c>
      <c r="G89" s="121"/>
    </row>
    <row r="90" spans="1:7" ht="12.75" customHeight="1">
      <c r="A90" s="178" t="s">
        <v>178</v>
      </c>
      <c r="B90" s="188">
        <v>0</v>
      </c>
      <c r="C90" s="182">
        <v>-1938</v>
      </c>
      <c r="D90" s="188">
        <v>-380</v>
      </c>
      <c r="E90" s="188">
        <v>0</v>
      </c>
      <c r="F90" s="188">
        <v>0</v>
      </c>
      <c r="G90" s="121"/>
    </row>
    <row r="91" spans="1:7" ht="12.75" customHeight="1">
      <c r="A91" s="178" t="s">
        <v>180</v>
      </c>
      <c r="B91" s="188">
        <v>-134</v>
      </c>
      <c r="C91" s="188">
        <v>-185</v>
      </c>
      <c r="D91" s="188">
        <v>-227</v>
      </c>
      <c r="E91" s="188">
        <v>-348</v>
      </c>
      <c r="F91" s="188">
        <v>-444</v>
      </c>
      <c r="G91" s="121"/>
    </row>
    <row r="92" spans="1:7" ht="12.75" customHeight="1">
      <c r="A92" s="178" t="s">
        <v>181</v>
      </c>
      <c r="B92" s="188">
        <v>-415</v>
      </c>
      <c r="C92" s="188">
        <v>-498</v>
      </c>
      <c r="D92" s="188">
        <v>-665</v>
      </c>
      <c r="E92" s="188">
        <v>-666</v>
      </c>
      <c r="F92" s="188">
        <v>-666</v>
      </c>
      <c r="G92" s="121"/>
    </row>
    <row r="93" spans="1:7" ht="12.75" customHeight="1">
      <c r="A93" s="178" t="s">
        <v>182</v>
      </c>
      <c r="B93" s="188">
        <v>-78</v>
      </c>
      <c r="C93" s="188">
        <v>-102</v>
      </c>
      <c r="D93" s="188">
        <v>-115</v>
      </c>
      <c r="E93" s="188">
        <v>-129</v>
      </c>
      <c r="F93" s="188">
        <v>-126</v>
      </c>
      <c r="G93" s="121"/>
    </row>
    <row r="94" spans="1:7" ht="12.75" customHeight="1">
      <c r="A94" s="178" t="s">
        <v>194</v>
      </c>
      <c r="B94" s="188">
        <v>0</v>
      </c>
      <c r="C94" s="188">
        <v>0</v>
      </c>
      <c r="D94" s="188">
        <v>0</v>
      </c>
      <c r="E94" s="188">
        <v>567</v>
      </c>
      <c r="F94" s="188">
        <v>0</v>
      </c>
      <c r="G94" s="121"/>
    </row>
    <row r="95" spans="1:7" ht="12.75" customHeight="1">
      <c r="A95" s="178" t="s">
        <v>183</v>
      </c>
      <c r="B95" s="186">
        <v>3</v>
      </c>
      <c r="C95" s="186">
        <v>-907</v>
      </c>
      <c r="D95" s="186">
        <v>133</v>
      </c>
      <c r="E95" s="186">
        <v>749</v>
      </c>
      <c r="F95" s="186">
        <v>78</v>
      </c>
      <c r="G95" s="121"/>
    </row>
    <row r="96" spans="1:7" ht="12.75" customHeight="1">
      <c r="A96" s="180" t="s">
        <v>184</v>
      </c>
      <c r="B96" s="191">
        <v>1238</v>
      </c>
      <c r="C96" s="191">
        <v>4009</v>
      </c>
      <c r="D96" s="191">
        <v>1908</v>
      </c>
      <c r="E96" s="191">
        <v>1327</v>
      </c>
      <c r="F96" s="191">
        <v>2004</v>
      </c>
      <c r="G96" s="121"/>
    </row>
    <row r="97" spans="1:7" ht="12.75" customHeight="1">
      <c r="A97" s="180" t="s">
        <v>185</v>
      </c>
      <c r="B97" s="192">
        <v>0.94</v>
      </c>
      <c r="C97" s="192">
        <v>1.08</v>
      </c>
      <c r="D97" s="192">
        <v>0.83</v>
      </c>
      <c r="E97" s="192">
        <v>0.78</v>
      </c>
      <c r="F97" s="192">
        <v>1.0900000000000001</v>
      </c>
      <c r="G97" s="121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3"/>
  <sheetViews>
    <sheetView zoomScale="69" zoomScaleNormal="100" workbookViewId="0">
      <selection activeCell="C2" sqref="C2"/>
    </sheetView>
  </sheetViews>
  <sheetFormatPr defaultColWidth="12.6640625" defaultRowHeight="13.2"/>
  <cols>
    <col min="1" max="1" width="30.109375" customWidth="1"/>
  </cols>
  <sheetData>
    <row r="1" spans="1:9" ht="21.6" customHeight="1">
      <c r="A1" s="451" t="s">
        <v>210</v>
      </c>
      <c r="B1" s="452"/>
      <c r="C1" s="452"/>
      <c r="D1" s="452"/>
      <c r="E1" s="452"/>
      <c r="F1" s="452"/>
      <c r="G1" s="452"/>
    </row>
    <row r="2" spans="1:9" ht="15.75" customHeight="1">
      <c r="A2" s="20" t="s">
        <v>199</v>
      </c>
    </row>
    <row r="3" spans="1:9" ht="12.75" customHeight="1">
      <c r="A3" s="351"/>
      <c r="B3" s="349">
        <v>44621</v>
      </c>
      <c r="C3" s="349">
        <v>44986</v>
      </c>
      <c r="D3" s="349">
        <v>45352</v>
      </c>
      <c r="E3" s="349">
        <v>45717</v>
      </c>
      <c r="F3" s="349">
        <v>46082</v>
      </c>
      <c r="G3" s="350"/>
    </row>
    <row r="4" spans="1:9" ht="12.75" customHeight="1">
      <c r="A4" s="352" t="s">
        <v>97</v>
      </c>
      <c r="B4" s="393">
        <v>8960</v>
      </c>
      <c r="C4" s="393">
        <v>7768</v>
      </c>
      <c r="D4" s="393">
        <v>7845</v>
      </c>
      <c r="E4" s="393">
        <v>9360</v>
      </c>
      <c r="F4" s="393">
        <v>10560</v>
      </c>
      <c r="G4" s="393"/>
    </row>
    <row r="5" spans="1:9" ht="12.75" customHeight="1">
      <c r="A5" s="353" t="s">
        <v>98</v>
      </c>
      <c r="B5" s="394">
        <v>0.28560000000000002</v>
      </c>
      <c r="C5" s="394">
        <v>-0.1331</v>
      </c>
      <c r="D5" s="394">
        <v>0.01</v>
      </c>
      <c r="E5" s="394">
        <v>0.19309999999999999</v>
      </c>
      <c r="F5" s="394">
        <v>0.12820000000000001</v>
      </c>
      <c r="G5" s="395"/>
    </row>
    <row r="6" spans="1:9" ht="12.75" customHeight="1">
      <c r="A6" s="352" t="s">
        <v>99</v>
      </c>
      <c r="B6" s="396">
        <v>5075</v>
      </c>
      <c r="C6" s="396">
        <v>5397</v>
      </c>
      <c r="D6" s="396">
        <v>5635</v>
      </c>
      <c r="E6" s="396">
        <v>6387</v>
      </c>
      <c r="F6" s="396">
        <v>7118</v>
      </c>
      <c r="G6" s="396"/>
    </row>
    <row r="7" spans="1:9" ht="12.75" customHeight="1">
      <c r="A7" s="352" t="s">
        <v>186</v>
      </c>
      <c r="B7" s="397">
        <v>0.33800000000000002</v>
      </c>
      <c r="C7" s="397">
        <v>0.40050000000000002</v>
      </c>
      <c r="D7" s="397">
        <v>0.40679999999999999</v>
      </c>
      <c r="E7" s="397">
        <v>0.40529999999999999</v>
      </c>
      <c r="F7" s="397">
        <v>0.3952</v>
      </c>
      <c r="G7" s="398"/>
      <c r="I7" t="s">
        <v>209</v>
      </c>
    </row>
    <row r="8" spans="1:9" ht="12.75" customHeight="1">
      <c r="A8" s="353" t="s">
        <v>103</v>
      </c>
      <c r="B8" s="397">
        <v>7.5399999999999995E-2</v>
      </c>
      <c r="C8" s="397">
        <v>0.1041</v>
      </c>
      <c r="D8" s="397">
        <v>0.1104</v>
      </c>
      <c r="E8" s="397">
        <v>8.3699999999999997E-2</v>
      </c>
      <c r="F8" s="397">
        <v>8.43E-2</v>
      </c>
      <c r="G8" s="398"/>
    </row>
    <row r="9" spans="1:9" ht="12.75" customHeight="1">
      <c r="A9" s="353" t="s">
        <v>104</v>
      </c>
      <c r="B9" s="397">
        <v>0.10580000000000001</v>
      </c>
      <c r="C9" s="397">
        <v>0.1258</v>
      </c>
      <c r="D9" s="397">
        <v>0.13969999999999999</v>
      </c>
      <c r="E9" s="397">
        <v>0.13300000000000001</v>
      </c>
      <c r="F9" s="397">
        <v>0.13669999999999999</v>
      </c>
      <c r="G9" s="398"/>
    </row>
    <row r="10" spans="1:9" ht="12.75" customHeight="1">
      <c r="A10" s="353" t="s">
        <v>105</v>
      </c>
      <c r="B10" s="397">
        <v>4.7199999999999999E-2</v>
      </c>
      <c r="C10" s="397">
        <v>6.4399999999999999E-2</v>
      </c>
      <c r="D10" s="397">
        <v>6.1400000000000003E-2</v>
      </c>
      <c r="E10" s="397">
        <v>6.0400000000000002E-2</v>
      </c>
      <c r="F10" s="397">
        <v>5.79E-2</v>
      </c>
      <c r="G10" s="398"/>
    </row>
    <row r="11" spans="1:9" ht="12.75" customHeight="1">
      <c r="A11" s="353" t="s">
        <v>106</v>
      </c>
      <c r="B11" s="393">
        <v>3885</v>
      </c>
      <c r="C11" s="393">
        <v>2370</v>
      </c>
      <c r="D11" s="393">
        <v>2210</v>
      </c>
      <c r="E11" s="393">
        <v>2973</v>
      </c>
      <c r="F11" s="393">
        <v>3442</v>
      </c>
      <c r="G11" s="393"/>
    </row>
    <row r="12" spans="1:9" ht="12.75" customHeight="1">
      <c r="A12" s="353" t="s">
        <v>107</v>
      </c>
      <c r="B12" s="399">
        <v>0.43</v>
      </c>
      <c r="C12" s="399">
        <v>0.31</v>
      </c>
      <c r="D12" s="399">
        <v>0.28000000000000003</v>
      </c>
      <c r="E12" s="399">
        <v>0.32</v>
      </c>
      <c r="F12" s="399">
        <v>0.33</v>
      </c>
      <c r="G12" s="399"/>
    </row>
    <row r="13" spans="1:9" ht="12.75" customHeight="1">
      <c r="A13" s="352" t="s">
        <v>108</v>
      </c>
      <c r="B13" s="395">
        <v>112</v>
      </c>
      <c r="C13" s="395">
        <v>344</v>
      </c>
      <c r="D13" s="395">
        <v>335</v>
      </c>
      <c r="E13" s="395">
        <v>348</v>
      </c>
      <c r="F13" s="395">
        <v>433</v>
      </c>
      <c r="G13" s="395"/>
    </row>
    <row r="14" spans="1:9" ht="12.75" customHeight="1">
      <c r="A14" s="353" t="s">
        <v>109</v>
      </c>
      <c r="B14" s="395">
        <v>-2</v>
      </c>
      <c r="C14" s="395">
        <v>-1</v>
      </c>
      <c r="D14" s="395">
        <v>-4</v>
      </c>
      <c r="E14" s="395">
        <v>0</v>
      </c>
      <c r="F14" s="395">
        <v>-74</v>
      </c>
      <c r="G14" s="395"/>
    </row>
    <row r="15" spans="1:9" ht="12.75" customHeight="1">
      <c r="A15" s="353" t="s">
        <v>110</v>
      </c>
      <c r="B15" s="395">
        <v>114</v>
      </c>
      <c r="C15" s="395">
        <v>345</v>
      </c>
      <c r="D15" s="395">
        <v>339</v>
      </c>
      <c r="E15" s="395">
        <v>348</v>
      </c>
      <c r="F15" s="395">
        <v>507</v>
      </c>
      <c r="G15" s="395"/>
    </row>
    <row r="16" spans="1:9" ht="12.75" customHeight="1">
      <c r="A16" s="353" t="s">
        <v>111</v>
      </c>
      <c r="B16" s="398">
        <v>2</v>
      </c>
      <c r="C16" s="398">
        <v>2</v>
      </c>
      <c r="D16" s="398">
        <v>4</v>
      </c>
      <c r="E16" s="398">
        <v>3</v>
      </c>
      <c r="F16" s="398">
        <v>24</v>
      </c>
      <c r="G16" s="398"/>
    </row>
    <row r="17" spans="1:11" ht="12.75" customHeight="1">
      <c r="A17" s="353" t="s">
        <v>112</v>
      </c>
      <c r="B17" s="395">
        <v>312</v>
      </c>
      <c r="C17" s="395">
        <v>343</v>
      </c>
      <c r="D17" s="395">
        <v>378</v>
      </c>
      <c r="E17" s="395">
        <v>402</v>
      </c>
      <c r="F17" s="395">
        <v>463</v>
      </c>
      <c r="G17" s="395"/>
    </row>
    <row r="18" spans="1:11" ht="12.75" customHeight="1">
      <c r="A18" s="353" t="s">
        <v>113</v>
      </c>
      <c r="B18" s="396">
        <v>3684</v>
      </c>
      <c r="C18" s="396">
        <v>2369</v>
      </c>
      <c r="D18" s="396">
        <v>2163</v>
      </c>
      <c r="E18" s="396">
        <v>2916</v>
      </c>
      <c r="F18" s="396">
        <v>3388</v>
      </c>
      <c r="G18" s="396"/>
    </row>
    <row r="19" spans="1:11" ht="12.75" customHeight="1">
      <c r="A19" s="353" t="s">
        <v>114</v>
      </c>
      <c r="B19" s="400">
        <v>0.2</v>
      </c>
      <c r="C19" s="400">
        <v>0.23</v>
      </c>
      <c r="D19" s="400">
        <v>0.26</v>
      </c>
      <c r="E19" s="400">
        <v>0.25</v>
      </c>
      <c r="F19" s="400">
        <v>0.24</v>
      </c>
      <c r="G19" s="395"/>
    </row>
    <row r="20" spans="1:11" ht="12.75" customHeight="1">
      <c r="A20" s="352" t="s">
        <v>115</v>
      </c>
      <c r="B20" s="396">
        <v>2960</v>
      </c>
      <c r="C20" s="396">
        <v>1823</v>
      </c>
      <c r="D20" s="396">
        <v>1600</v>
      </c>
      <c r="E20" s="396">
        <v>2191</v>
      </c>
      <c r="F20" s="396">
        <v>2568</v>
      </c>
      <c r="G20" s="396"/>
    </row>
    <row r="21" spans="1:11" ht="12.75" customHeight="1">
      <c r="A21" s="353" t="s">
        <v>117</v>
      </c>
      <c r="B21" s="398">
        <v>-2</v>
      </c>
      <c r="C21" s="398">
        <v>-1</v>
      </c>
      <c r="D21" s="398">
        <v>-3</v>
      </c>
      <c r="E21" s="398">
        <v>0</v>
      </c>
      <c r="F21" s="398">
        <v>-55</v>
      </c>
      <c r="G21" s="398"/>
    </row>
    <row r="22" spans="1:11" ht="12.75" customHeight="1">
      <c r="A22" s="353" t="s">
        <v>118</v>
      </c>
      <c r="B22" s="396">
        <v>2962</v>
      </c>
      <c r="C22" s="396">
        <v>1824</v>
      </c>
      <c r="D22" s="396">
        <v>1603</v>
      </c>
      <c r="E22" s="396">
        <v>2191</v>
      </c>
      <c r="F22" s="396">
        <v>2623</v>
      </c>
      <c r="G22" s="398"/>
    </row>
    <row r="23" spans="1:11" ht="12.75" customHeight="1">
      <c r="A23" s="353" t="s">
        <v>119</v>
      </c>
      <c r="B23" s="396">
        <v>2962</v>
      </c>
      <c r="C23" s="396">
        <v>1824</v>
      </c>
      <c r="D23" s="396">
        <v>1603</v>
      </c>
      <c r="E23" s="396">
        <v>2191</v>
      </c>
      <c r="F23" s="396">
        <v>2623</v>
      </c>
      <c r="G23" s="398"/>
    </row>
    <row r="24" spans="1:11" ht="12.75" customHeight="1">
      <c r="A24" s="353" t="s">
        <v>120</v>
      </c>
      <c r="B24" s="396">
        <v>2960</v>
      </c>
      <c r="C24" s="396">
        <v>1823</v>
      </c>
      <c r="D24" s="396">
        <v>1600</v>
      </c>
      <c r="E24" s="396">
        <v>2191</v>
      </c>
      <c r="F24" s="396">
        <v>2568</v>
      </c>
      <c r="G24" s="398"/>
    </row>
    <row r="25" spans="1:11" ht="12.75" customHeight="1">
      <c r="A25" s="353" t="s">
        <v>121</v>
      </c>
      <c r="B25" s="399">
        <v>0.49</v>
      </c>
      <c r="C25" s="399">
        <v>-0.38</v>
      </c>
      <c r="D25" s="399">
        <v>-0.12</v>
      </c>
      <c r="E25" s="399">
        <v>0.37</v>
      </c>
      <c r="F25" s="399">
        <v>0.2</v>
      </c>
      <c r="G25" s="398"/>
      <c r="K25" s="154"/>
    </row>
    <row r="26" spans="1:11" ht="12.75" customHeight="1">
      <c r="A26" s="353" t="s">
        <v>122</v>
      </c>
      <c r="B26" s="395">
        <v>111.52</v>
      </c>
      <c r="C26" s="395">
        <v>68.69</v>
      </c>
      <c r="D26" s="395">
        <v>60.27</v>
      </c>
      <c r="E26" s="395">
        <v>82.53</v>
      </c>
      <c r="F26" s="395">
        <v>96.73</v>
      </c>
      <c r="G26" s="395"/>
    </row>
    <row r="27" spans="1:11" ht="12.75" customHeight="1">
      <c r="A27" s="353" t="s">
        <v>123</v>
      </c>
      <c r="B27" s="399">
        <v>0.27</v>
      </c>
      <c r="C27" s="399">
        <v>0.44</v>
      </c>
      <c r="D27" s="399">
        <v>0.5</v>
      </c>
      <c r="E27" s="399">
        <v>0.36</v>
      </c>
      <c r="F27" s="399">
        <v>0.31</v>
      </c>
      <c r="G27" s="398"/>
    </row>
    <row r="28" spans="1:11" ht="12.75" customHeight="1">
      <c r="A28" s="19"/>
    </row>
    <row r="29" spans="1:11" ht="16.5" customHeight="1">
      <c r="A29" s="22" t="s">
        <v>200</v>
      </c>
    </row>
    <row r="30" spans="1:11" ht="12.75" customHeight="1">
      <c r="A30" s="351"/>
      <c r="B30" s="349">
        <v>44621</v>
      </c>
      <c r="C30" s="349">
        <v>44986</v>
      </c>
      <c r="D30" s="349">
        <v>45352</v>
      </c>
      <c r="E30" s="349">
        <v>45717</v>
      </c>
      <c r="F30" s="349">
        <v>46082</v>
      </c>
      <c r="G30" s="80"/>
    </row>
    <row r="31" spans="1:11" ht="12.75" customHeight="1">
      <c r="A31" s="353" t="s">
        <v>124</v>
      </c>
      <c r="B31" s="395">
        <v>53</v>
      </c>
      <c r="C31" s="395">
        <v>53</v>
      </c>
      <c r="D31" s="395">
        <v>53</v>
      </c>
      <c r="E31" s="395">
        <v>53</v>
      </c>
      <c r="F31" s="395">
        <v>53</v>
      </c>
      <c r="G31" s="373"/>
    </row>
    <row r="32" spans="1:11" ht="12.75" customHeight="1">
      <c r="A32" s="353" t="s">
        <v>125</v>
      </c>
      <c r="B32" s="396">
        <v>11675</v>
      </c>
      <c r="C32" s="396">
        <v>12714</v>
      </c>
      <c r="D32" s="396">
        <v>13518</v>
      </c>
      <c r="E32" s="396">
        <v>14916</v>
      </c>
      <c r="F32" s="396">
        <v>16708</v>
      </c>
      <c r="G32" s="373"/>
    </row>
    <row r="33" spans="1:7" ht="12.75" customHeight="1">
      <c r="A33" s="352" t="s">
        <v>126</v>
      </c>
      <c r="B33" s="395">
        <v>4</v>
      </c>
      <c r="C33" s="395">
        <v>3</v>
      </c>
      <c r="D33" s="395">
        <v>3</v>
      </c>
      <c r="E33" s="395">
        <v>4</v>
      </c>
      <c r="F33" s="395">
        <v>7</v>
      </c>
      <c r="G33" s="373"/>
    </row>
    <row r="34" spans="1:7" ht="12.75" customHeight="1">
      <c r="A34" s="353" t="s">
        <v>127</v>
      </c>
      <c r="B34" s="395">
        <v>0</v>
      </c>
      <c r="C34" s="395">
        <v>0</v>
      </c>
      <c r="D34" s="395">
        <v>0</v>
      </c>
      <c r="E34" s="395">
        <v>0</v>
      </c>
      <c r="F34" s="395">
        <v>0</v>
      </c>
      <c r="G34" s="373"/>
    </row>
    <row r="35" spans="1:7" ht="12.75" customHeight="1">
      <c r="A35" s="353" t="s">
        <v>128</v>
      </c>
      <c r="B35" s="395">
        <v>0</v>
      </c>
      <c r="C35" s="395">
        <v>0</v>
      </c>
      <c r="D35" s="395">
        <v>0</v>
      </c>
      <c r="E35" s="395">
        <v>2</v>
      </c>
      <c r="F35" s="395">
        <v>0</v>
      </c>
      <c r="G35" s="373"/>
    </row>
    <row r="36" spans="1:7" ht="12.75" customHeight="1">
      <c r="A36" s="353" t="s">
        <v>129</v>
      </c>
      <c r="B36" s="395">
        <v>3.69</v>
      </c>
      <c r="C36" s="395">
        <v>3.26</v>
      </c>
      <c r="D36" s="395">
        <v>3</v>
      </c>
      <c r="E36" s="395">
        <v>2</v>
      </c>
      <c r="F36" s="395">
        <v>7</v>
      </c>
      <c r="G36" s="373"/>
    </row>
    <row r="37" spans="1:7" ht="12.75" customHeight="1">
      <c r="A37" s="353" t="s">
        <v>130</v>
      </c>
      <c r="B37" s="395">
        <v>0</v>
      </c>
      <c r="C37" s="395">
        <v>0</v>
      </c>
      <c r="D37" s="395">
        <v>0</v>
      </c>
      <c r="E37" s="395">
        <v>0</v>
      </c>
      <c r="F37" s="395">
        <v>0</v>
      </c>
      <c r="G37" s="373"/>
    </row>
    <row r="38" spans="1:7" ht="12.75" customHeight="1">
      <c r="A38" s="352" t="s">
        <v>131</v>
      </c>
      <c r="B38" s="396">
        <v>1628</v>
      </c>
      <c r="C38" s="396">
        <v>1654</v>
      </c>
      <c r="D38" s="396">
        <v>1886</v>
      </c>
      <c r="E38" s="396">
        <v>1948</v>
      </c>
      <c r="F38" s="396">
        <v>3251</v>
      </c>
      <c r="G38" s="373"/>
    </row>
    <row r="39" spans="1:7" ht="12.75" customHeight="1">
      <c r="A39" s="353" t="s">
        <v>133</v>
      </c>
      <c r="B39" s="398">
        <v>796</v>
      </c>
      <c r="C39" s="398">
        <v>763</v>
      </c>
      <c r="D39" s="398">
        <v>824</v>
      </c>
      <c r="E39" s="398">
        <v>910</v>
      </c>
      <c r="F39" s="396">
        <v>1211</v>
      </c>
      <c r="G39" s="373"/>
    </row>
    <row r="40" spans="1:7" ht="12.75" customHeight="1">
      <c r="A40" s="353" t="s">
        <v>134</v>
      </c>
      <c r="B40" s="398">
        <v>17</v>
      </c>
      <c r="C40" s="398">
        <v>33</v>
      </c>
      <c r="D40" s="398">
        <v>34</v>
      </c>
      <c r="E40" s="398">
        <v>40</v>
      </c>
      <c r="F40" s="398">
        <v>83</v>
      </c>
      <c r="G40" s="373"/>
    </row>
    <row r="41" spans="1:7" ht="12.75" customHeight="1">
      <c r="A41" s="353" t="s">
        <v>135</v>
      </c>
      <c r="B41" s="398">
        <v>816</v>
      </c>
      <c r="C41" s="398">
        <v>859</v>
      </c>
      <c r="D41" s="396">
        <v>1028</v>
      </c>
      <c r="E41" s="398">
        <v>998</v>
      </c>
      <c r="F41" s="396">
        <v>1957</v>
      </c>
      <c r="G41" s="373"/>
    </row>
    <row r="42" spans="1:7" ht="12.75" customHeight="1">
      <c r="A42" s="353" t="s">
        <v>136</v>
      </c>
      <c r="B42" s="393">
        <v>13360</v>
      </c>
      <c r="C42" s="393">
        <v>14425</v>
      </c>
      <c r="D42" s="393">
        <v>15460</v>
      </c>
      <c r="E42" s="393">
        <v>16921</v>
      </c>
      <c r="F42" s="393">
        <v>20019</v>
      </c>
      <c r="G42" s="373"/>
    </row>
    <row r="43" spans="1:7" ht="12.75" customHeight="1">
      <c r="A43" s="352" t="s">
        <v>137</v>
      </c>
      <c r="B43" s="396">
        <v>4325</v>
      </c>
      <c r="C43" s="396">
        <v>4723</v>
      </c>
      <c r="D43" s="396">
        <v>4739</v>
      </c>
      <c r="E43" s="396">
        <v>5442</v>
      </c>
      <c r="F43" s="396">
        <v>6528</v>
      </c>
      <c r="G43" s="373"/>
    </row>
    <row r="44" spans="1:7" ht="12.75" customHeight="1">
      <c r="A44" s="353" t="s">
        <v>138</v>
      </c>
      <c r="B44" s="398">
        <v>173</v>
      </c>
      <c r="C44" s="398">
        <v>194</v>
      </c>
      <c r="D44" s="398">
        <v>195</v>
      </c>
      <c r="E44" s="398">
        <v>202</v>
      </c>
      <c r="F44" s="398">
        <v>306</v>
      </c>
      <c r="G44" s="373"/>
    </row>
    <row r="45" spans="1:7" ht="12.75" customHeight="1">
      <c r="A45" s="353" t="s">
        <v>139</v>
      </c>
      <c r="B45" s="396">
        <v>1435</v>
      </c>
      <c r="C45" s="396">
        <v>1559</v>
      </c>
      <c r="D45" s="396">
        <v>1667</v>
      </c>
      <c r="E45" s="396">
        <v>2128</v>
      </c>
      <c r="F45" s="396">
        <v>2428</v>
      </c>
      <c r="G45" s="373"/>
    </row>
    <row r="46" spans="1:7" ht="12.75" customHeight="1">
      <c r="A46" s="353" t="s">
        <v>140</v>
      </c>
      <c r="B46" s="396">
        <v>3629</v>
      </c>
      <c r="C46" s="396">
        <v>4178</v>
      </c>
      <c r="D46" s="396">
        <v>4438</v>
      </c>
      <c r="E46" s="396">
        <v>4992</v>
      </c>
      <c r="F46" s="396">
        <v>5947</v>
      </c>
      <c r="G46" s="373"/>
    </row>
    <row r="47" spans="1:7" ht="12.75" customHeight="1">
      <c r="A47" s="353" t="s">
        <v>141</v>
      </c>
      <c r="B47" s="398">
        <v>256</v>
      </c>
      <c r="C47" s="398">
        <v>288</v>
      </c>
      <c r="D47" s="398">
        <v>307</v>
      </c>
      <c r="E47" s="398">
        <v>369</v>
      </c>
      <c r="F47" s="398">
        <v>515</v>
      </c>
      <c r="G47" s="373"/>
    </row>
    <row r="48" spans="1:7" ht="12.75" customHeight="1">
      <c r="A48" s="353" t="s">
        <v>142</v>
      </c>
      <c r="B48" s="398">
        <v>25</v>
      </c>
      <c r="C48" s="398">
        <v>28</v>
      </c>
      <c r="D48" s="398">
        <v>30</v>
      </c>
      <c r="E48" s="398">
        <v>34</v>
      </c>
      <c r="F48" s="398">
        <v>44</v>
      </c>
      <c r="G48" s="373"/>
    </row>
    <row r="49" spans="1:7" ht="12.75" customHeight="1">
      <c r="A49" s="353" t="s">
        <v>143</v>
      </c>
      <c r="B49" s="398">
        <v>50</v>
      </c>
      <c r="C49" s="398">
        <v>57</v>
      </c>
      <c r="D49" s="398">
        <v>61</v>
      </c>
      <c r="E49" s="398">
        <v>71</v>
      </c>
      <c r="F49" s="398">
        <v>85</v>
      </c>
      <c r="G49" s="373"/>
    </row>
    <row r="50" spans="1:7" ht="12.75" customHeight="1">
      <c r="A50" s="353" t="s">
        <v>144</v>
      </c>
      <c r="B50" s="398">
        <v>26</v>
      </c>
      <c r="C50" s="398">
        <v>27</v>
      </c>
      <c r="D50" s="398">
        <v>27</v>
      </c>
      <c r="E50" s="398">
        <v>34</v>
      </c>
      <c r="F50" s="398">
        <v>40</v>
      </c>
      <c r="G50" s="373"/>
    </row>
    <row r="51" spans="1:7" ht="12.75" customHeight="1">
      <c r="A51" s="353" t="s">
        <v>146</v>
      </c>
      <c r="B51" s="398">
        <v>30</v>
      </c>
      <c r="C51" s="398">
        <v>33</v>
      </c>
      <c r="D51" s="398">
        <v>35</v>
      </c>
      <c r="E51" s="398">
        <v>38</v>
      </c>
      <c r="F51" s="398">
        <v>48</v>
      </c>
      <c r="G51" s="373"/>
    </row>
    <row r="52" spans="1:7" ht="12.75" customHeight="1">
      <c r="A52" s="353" t="s">
        <v>147</v>
      </c>
      <c r="B52" s="396">
        <v>5624</v>
      </c>
      <c r="C52" s="396">
        <v>6365</v>
      </c>
      <c r="D52" s="396">
        <v>6760</v>
      </c>
      <c r="E52" s="396">
        <v>7868</v>
      </c>
      <c r="F52" s="396">
        <v>9413</v>
      </c>
      <c r="G52" s="373"/>
    </row>
    <row r="53" spans="1:7" ht="12.75" customHeight="1">
      <c r="A53" s="353" t="s">
        <v>148</v>
      </c>
      <c r="B53" s="396">
        <v>1299</v>
      </c>
      <c r="C53" s="396">
        <v>1642</v>
      </c>
      <c r="D53" s="396">
        <v>2021</v>
      </c>
      <c r="E53" s="396">
        <v>2426</v>
      </c>
      <c r="F53" s="396">
        <v>2885</v>
      </c>
      <c r="G53" s="373"/>
    </row>
    <row r="54" spans="1:7" ht="12.75" customHeight="1">
      <c r="A54" s="353" t="s">
        <v>149</v>
      </c>
      <c r="B54" s="395">
        <v>470</v>
      </c>
      <c r="C54" s="395">
        <v>212</v>
      </c>
      <c r="D54" s="395">
        <v>778</v>
      </c>
      <c r="E54" s="393">
        <v>1022</v>
      </c>
      <c r="F54" s="393">
        <v>2113</v>
      </c>
      <c r="G54" s="373"/>
    </row>
    <row r="55" spans="1:7" ht="12.75" customHeight="1">
      <c r="A55" s="353" t="s">
        <v>150</v>
      </c>
      <c r="B55" s="398">
        <v>72</v>
      </c>
      <c r="C55" s="398">
        <v>77</v>
      </c>
      <c r="D55" s="398">
        <v>82</v>
      </c>
      <c r="E55" s="398">
        <v>65</v>
      </c>
      <c r="F55" s="398">
        <v>69</v>
      </c>
      <c r="G55" s="373"/>
    </row>
    <row r="56" spans="1:7" ht="12.75" customHeight="1">
      <c r="A56" s="352" t="s">
        <v>151</v>
      </c>
      <c r="B56" s="393">
        <v>8493</v>
      </c>
      <c r="C56" s="393">
        <v>9413</v>
      </c>
      <c r="D56" s="393">
        <v>9861</v>
      </c>
      <c r="E56" s="393">
        <v>10392</v>
      </c>
      <c r="F56" s="393">
        <v>11309</v>
      </c>
      <c r="G56" s="373"/>
    </row>
    <row r="57" spans="1:7" ht="12.75" customHeight="1">
      <c r="A57" s="353" t="s">
        <v>152</v>
      </c>
      <c r="B57" s="393">
        <v>2829</v>
      </c>
      <c r="C57" s="393">
        <v>3000</v>
      </c>
      <c r="D57" s="393">
        <v>3184</v>
      </c>
      <c r="E57" s="393">
        <v>3236</v>
      </c>
      <c r="F57" s="393">
        <v>3954</v>
      </c>
      <c r="G57" s="373"/>
    </row>
    <row r="58" spans="1:7" ht="12.75" customHeight="1">
      <c r="A58" s="353" t="s">
        <v>153</v>
      </c>
      <c r="B58" s="393">
        <v>2424</v>
      </c>
      <c r="C58" s="393">
        <v>1793</v>
      </c>
      <c r="D58" s="393">
        <v>2156</v>
      </c>
      <c r="E58" s="393">
        <v>2731</v>
      </c>
      <c r="F58" s="393">
        <v>2984</v>
      </c>
      <c r="G58" s="373"/>
    </row>
    <row r="59" spans="1:7" ht="12.75" customHeight="1">
      <c r="A59" s="353" t="s">
        <v>154</v>
      </c>
      <c r="B59" s="393">
        <v>2819</v>
      </c>
      <c r="C59" s="393">
        <v>4213</v>
      </c>
      <c r="D59" s="393">
        <v>3980</v>
      </c>
      <c r="E59" s="393">
        <v>3715</v>
      </c>
      <c r="F59" s="393">
        <v>3414</v>
      </c>
      <c r="G59" s="373"/>
    </row>
    <row r="60" spans="1:7" ht="12.75" customHeight="1">
      <c r="A60" s="353" t="s">
        <v>155</v>
      </c>
      <c r="B60" s="395">
        <v>172</v>
      </c>
      <c r="C60" s="395">
        <v>159</v>
      </c>
      <c r="D60" s="395">
        <v>144</v>
      </c>
      <c r="E60" s="395">
        <v>137</v>
      </c>
      <c r="F60" s="395">
        <v>156</v>
      </c>
      <c r="G60" s="373"/>
    </row>
    <row r="61" spans="1:7" ht="12.75" customHeight="1">
      <c r="A61" s="353" t="s">
        <v>156</v>
      </c>
      <c r="B61" s="395">
        <v>250</v>
      </c>
      <c r="C61" s="395">
        <v>248</v>
      </c>
      <c r="D61" s="395">
        <v>397</v>
      </c>
      <c r="E61" s="395">
        <v>573</v>
      </c>
      <c r="F61" s="395">
        <v>801</v>
      </c>
      <c r="G61" s="373"/>
    </row>
    <row r="62" spans="1:7" ht="12.75" customHeight="1">
      <c r="A62" s="353" t="s">
        <v>157</v>
      </c>
      <c r="B62" s="396">
        <v>13360</v>
      </c>
      <c r="C62" s="396">
        <v>14425</v>
      </c>
      <c r="D62" s="396">
        <v>15460</v>
      </c>
      <c r="E62" s="396">
        <v>16921</v>
      </c>
      <c r="F62" s="396">
        <v>20019</v>
      </c>
      <c r="G62" s="373"/>
    </row>
    <row r="64" spans="1:7" ht="16.5" customHeight="1">
      <c r="A64" s="22" t="s">
        <v>201</v>
      </c>
    </row>
    <row r="65" spans="1:12" ht="12.75" customHeight="1">
      <c r="A65" s="351"/>
      <c r="B65" s="349">
        <v>44621</v>
      </c>
      <c r="C65" s="349">
        <v>44986</v>
      </c>
      <c r="D65" s="349">
        <v>45352</v>
      </c>
      <c r="E65" s="349">
        <v>45717</v>
      </c>
      <c r="F65" s="349">
        <v>46082</v>
      </c>
      <c r="G65" s="80"/>
    </row>
    <row r="66" spans="1:12" ht="12.75" customHeight="1">
      <c r="A66" s="352" t="s">
        <v>158</v>
      </c>
      <c r="B66" s="393">
        <v>1912</v>
      </c>
      <c r="C66" s="393">
        <v>2460</v>
      </c>
      <c r="D66" s="393">
        <v>1261</v>
      </c>
      <c r="E66" s="393">
        <v>1653</v>
      </c>
      <c r="F66" s="393">
        <v>2738</v>
      </c>
      <c r="G66" s="373"/>
    </row>
    <row r="67" spans="1:12" ht="12.75" customHeight="1">
      <c r="A67" s="353" t="s">
        <v>159</v>
      </c>
      <c r="B67" s="393">
        <v>3923</v>
      </c>
      <c r="C67" s="393">
        <v>2514</v>
      </c>
      <c r="D67" s="393">
        <v>2244</v>
      </c>
      <c r="E67" s="393">
        <v>3031</v>
      </c>
      <c r="F67" s="393">
        <v>3501</v>
      </c>
      <c r="G67" s="373"/>
    </row>
    <row r="68" spans="1:12" ht="12.75" customHeight="1">
      <c r="A68" s="353" t="s">
        <v>160</v>
      </c>
      <c r="B68" s="395">
        <v>-742</v>
      </c>
      <c r="C68" s="395">
        <v>650</v>
      </c>
      <c r="D68" s="395">
        <v>-361</v>
      </c>
      <c r="E68" s="395">
        <v>-582</v>
      </c>
      <c r="F68" s="395">
        <v>-141</v>
      </c>
      <c r="G68" s="373"/>
    </row>
    <row r="69" spans="1:12" ht="12.75" customHeight="1">
      <c r="A69" s="353" t="s">
        <v>161</v>
      </c>
      <c r="B69" s="395">
        <v>-683</v>
      </c>
      <c r="C69" s="395">
        <v>-172</v>
      </c>
      <c r="D69" s="395">
        <v>-184</v>
      </c>
      <c r="E69" s="395">
        <v>-52</v>
      </c>
      <c r="F69" s="395">
        <v>-718</v>
      </c>
      <c r="G69" s="373"/>
    </row>
    <row r="70" spans="1:12" ht="12.75" customHeight="1">
      <c r="A70" s="353" t="s">
        <v>162</v>
      </c>
      <c r="B70" s="395">
        <v>34</v>
      </c>
      <c r="C70" s="395">
        <v>-34</v>
      </c>
      <c r="D70" s="395">
        <v>62</v>
      </c>
      <c r="E70" s="395">
        <v>95</v>
      </c>
      <c r="F70" s="395">
        <v>294</v>
      </c>
      <c r="G70" s="373"/>
    </row>
    <row r="71" spans="1:12" ht="12.75" customHeight="1">
      <c r="A71" s="353" t="s">
        <v>163</v>
      </c>
      <c r="B71" s="395">
        <v>0</v>
      </c>
      <c r="C71" s="395">
        <v>0</v>
      </c>
      <c r="D71" s="395">
        <v>0</v>
      </c>
      <c r="E71" s="395">
        <v>0</v>
      </c>
      <c r="F71" s="395">
        <v>0</v>
      </c>
      <c r="G71" s="373"/>
    </row>
    <row r="72" spans="1:12" ht="12.75" customHeight="1">
      <c r="A72" s="353" t="s">
        <v>164</v>
      </c>
      <c r="B72" s="395">
        <v>20</v>
      </c>
      <c r="C72" s="395">
        <v>-26</v>
      </c>
      <c r="D72" s="395">
        <v>-124</v>
      </c>
      <c r="E72" s="395">
        <v>-15</v>
      </c>
      <c r="F72" s="395">
        <v>664</v>
      </c>
      <c r="G72" s="373"/>
    </row>
    <row r="73" spans="1:12" ht="12.75" customHeight="1">
      <c r="A73" s="353" t="s">
        <v>165</v>
      </c>
      <c r="B73" s="393">
        <v>-1370</v>
      </c>
      <c r="C73" s="395">
        <v>419</v>
      </c>
      <c r="D73" s="395">
        <v>-607</v>
      </c>
      <c r="E73" s="395">
        <v>-554</v>
      </c>
      <c r="F73" s="395">
        <v>99</v>
      </c>
      <c r="G73" s="373"/>
    </row>
    <row r="74" spans="1:12" ht="12.75" customHeight="1">
      <c r="A74" s="353" t="s">
        <v>166</v>
      </c>
      <c r="B74" s="395">
        <v>-641</v>
      </c>
      <c r="C74" s="395">
        <v>-473</v>
      </c>
      <c r="D74" s="395">
        <v>-376</v>
      </c>
      <c r="E74" s="395">
        <v>-824</v>
      </c>
      <c r="F74" s="395">
        <v>-862</v>
      </c>
      <c r="G74" s="373"/>
    </row>
    <row r="75" spans="1:12" ht="12.75" customHeight="1">
      <c r="A75" s="352" t="s">
        <v>167</v>
      </c>
      <c r="B75" s="396">
        <v>-2195</v>
      </c>
      <c r="C75" s="396">
        <v>-2708</v>
      </c>
      <c r="D75" s="398">
        <v>-269</v>
      </c>
      <c r="E75" s="398">
        <v>-804</v>
      </c>
      <c r="F75" s="396">
        <v>-2219</v>
      </c>
      <c r="G75" s="373"/>
    </row>
    <row r="76" spans="1:12" ht="12.75" customHeight="1">
      <c r="A76" s="353" t="s">
        <v>168</v>
      </c>
      <c r="B76" s="398">
        <v>-713</v>
      </c>
      <c r="C76" s="398">
        <v>-473</v>
      </c>
      <c r="D76" s="396">
        <v>-1003</v>
      </c>
      <c r="E76" s="396">
        <v>-1438</v>
      </c>
      <c r="F76" s="396">
        <v>-2520</v>
      </c>
      <c r="G76" s="373"/>
    </row>
    <row r="77" spans="1:12" ht="12.75" customHeight="1">
      <c r="A77" s="353" t="s">
        <v>169</v>
      </c>
      <c r="B77" s="398">
        <v>0</v>
      </c>
      <c r="C77" s="398">
        <v>0</v>
      </c>
      <c r="D77" s="398">
        <v>0</v>
      </c>
      <c r="E77" s="398">
        <v>0</v>
      </c>
      <c r="F77" s="398">
        <v>3</v>
      </c>
      <c r="G77" s="373"/>
    </row>
    <row r="78" spans="1:12" ht="12.75" customHeight="1">
      <c r="A78" s="353" t="s">
        <v>170</v>
      </c>
      <c r="B78" s="398">
        <v>-72</v>
      </c>
      <c r="C78" s="398">
        <v>0</v>
      </c>
      <c r="D78" s="398">
        <v>0</v>
      </c>
      <c r="E78" s="398">
        <v>0</v>
      </c>
      <c r="F78" s="398">
        <v>0</v>
      </c>
      <c r="G78" s="373"/>
    </row>
    <row r="79" spans="1:12" ht="12.75" customHeight="1">
      <c r="A79" s="353" t="s">
        <v>171</v>
      </c>
      <c r="B79" s="398">
        <v>0</v>
      </c>
      <c r="C79" s="398">
        <v>0</v>
      </c>
      <c r="D79" s="398">
        <v>0</v>
      </c>
      <c r="E79" s="398">
        <v>22</v>
      </c>
      <c r="F79" s="398">
        <v>0</v>
      </c>
      <c r="G79" s="373"/>
      <c r="L79" s="392"/>
    </row>
    <row r="80" spans="1:12" ht="12.75" customHeight="1">
      <c r="A80" s="353" t="s">
        <v>172</v>
      </c>
      <c r="B80" s="398">
        <v>67</v>
      </c>
      <c r="C80" s="398">
        <v>205</v>
      </c>
      <c r="D80" s="398">
        <v>300</v>
      </c>
      <c r="E80" s="398">
        <v>295</v>
      </c>
      <c r="F80" s="398">
        <v>284</v>
      </c>
      <c r="G80" s="373"/>
    </row>
    <row r="81" spans="1:7" ht="12.75" customHeight="1">
      <c r="A81" s="353" t="s">
        <v>190</v>
      </c>
      <c r="B81" s="398">
        <v>0</v>
      </c>
      <c r="C81" s="398">
        <v>0</v>
      </c>
      <c r="D81" s="398">
        <v>0</v>
      </c>
      <c r="E81" s="398">
        <v>0</v>
      </c>
      <c r="F81" s="398">
        <v>0</v>
      </c>
      <c r="G81" s="373"/>
    </row>
    <row r="82" spans="1:7" ht="12.75" customHeight="1">
      <c r="A82" s="353" t="s">
        <v>175</v>
      </c>
      <c r="B82" s="396">
        <v>-1477</v>
      </c>
      <c r="C82" s="396">
        <v>-2439</v>
      </c>
      <c r="D82" s="398">
        <v>434</v>
      </c>
      <c r="E82" s="398">
        <v>317</v>
      </c>
      <c r="F82" s="398">
        <v>14</v>
      </c>
      <c r="G82" s="373"/>
    </row>
    <row r="83" spans="1:7" ht="12.75" customHeight="1">
      <c r="A83" s="352" t="s">
        <v>176</v>
      </c>
      <c r="B83" s="395">
        <v>-532</v>
      </c>
      <c r="C83" s="395">
        <v>-797</v>
      </c>
      <c r="D83" s="395">
        <v>-799</v>
      </c>
      <c r="E83" s="395">
        <v>-799</v>
      </c>
      <c r="F83" s="395">
        <v>-804</v>
      </c>
      <c r="G83" s="373"/>
    </row>
    <row r="84" spans="1:7" ht="12.75" customHeight="1">
      <c r="A84" s="353" t="s">
        <v>177</v>
      </c>
      <c r="B84" s="395">
        <v>0</v>
      </c>
      <c r="C84" s="395">
        <v>0</v>
      </c>
      <c r="D84" s="395">
        <v>0</v>
      </c>
      <c r="E84" s="395">
        <v>0</v>
      </c>
      <c r="F84" s="395">
        <v>0</v>
      </c>
      <c r="G84" s="373"/>
    </row>
    <row r="85" spans="1:7" ht="12.75" customHeight="1">
      <c r="A85" s="353" t="s">
        <v>178</v>
      </c>
      <c r="B85" s="395">
        <v>0</v>
      </c>
      <c r="C85" s="395">
        <v>0</v>
      </c>
      <c r="D85" s="395">
        <v>0</v>
      </c>
      <c r="E85" s="395">
        <v>0</v>
      </c>
      <c r="F85" s="395">
        <v>0</v>
      </c>
      <c r="G85" s="373"/>
    </row>
    <row r="86" spans="1:7" ht="12.75" customHeight="1">
      <c r="A86" s="353" t="s">
        <v>180</v>
      </c>
      <c r="B86" s="395">
        <v>0</v>
      </c>
      <c r="C86" s="395">
        <v>0</v>
      </c>
      <c r="D86" s="395">
        <v>-2</v>
      </c>
      <c r="E86" s="395">
        <v>-2</v>
      </c>
      <c r="F86" s="395">
        <v>-5</v>
      </c>
      <c r="G86" s="373"/>
    </row>
    <row r="87" spans="1:7" ht="12.75" customHeight="1">
      <c r="A87" s="353" t="s">
        <v>181</v>
      </c>
      <c r="B87" s="395">
        <v>-531</v>
      </c>
      <c r="C87" s="395">
        <v>-796</v>
      </c>
      <c r="D87" s="395">
        <v>-796</v>
      </c>
      <c r="E87" s="395">
        <v>-796</v>
      </c>
      <c r="F87" s="395">
        <v>-797</v>
      </c>
      <c r="G87" s="373"/>
    </row>
    <row r="88" spans="1:7" ht="12.75" customHeight="1">
      <c r="A88" s="353" t="s">
        <v>182</v>
      </c>
      <c r="B88" s="395">
        <v>-1</v>
      </c>
      <c r="C88" s="395">
        <v>0</v>
      </c>
      <c r="D88" s="395">
        <v>-1</v>
      </c>
      <c r="E88" s="395">
        <v>-1</v>
      </c>
      <c r="F88" s="395">
        <v>-2</v>
      </c>
      <c r="G88" s="373"/>
    </row>
    <row r="89" spans="1:7" ht="12.75" customHeight="1">
      <c r="A89" s="353" t="s">
        <v>194</v>
      </c>
      <c r="B89" s="395">
        <v>0</v>
      </c>
      <c r="C89" s="395">
        <v>0</v>
      </c>
      <c r="D89" s="395">
        <v>0</v>
      </c>
      <c r="E89" s="395">
        <v>0</v>
      </c>
      <c r="F89" s="395">
        <v>0</v>
      </c>
      <c r="G89" s="373"/>
    </row>
    <row r="90" spans="1:7" ht="12.75" customHeight="1">
      <c r="A90" s="353" t="s">
        <v>183</v>
      </c>
      <c r="B90" s="398">
        <v>-816</v>
      </c>
      <c r="C90" s="396">
        <v>-1045</v>
      </c>
      <c r="D90" s="398">
        <v>193</v>
      </c>
      <c r="E90" s="398">
        <v>50</v>
      </c>
      <c r="F90" s="398">
        <v>-285</v>
      </c>
      <c r="G90" s="373"/>
    </row>
    <row r="91" spans="1:7" ht="12.75" customHeight="1">
      <c r="A91" s="354" t="s">
        <v>184</v>
      </c>
      <c r="B91" s="401">
        <v>1199</v>
      </c>
      <c r="C91" s="401">
        <v>1987</v>
      </c>
      <c r="D91" s="402">
        <v>258</v>
      </c>
      <c r="E91" s="402">
        <v>215</v>
      </c>
      <c r="F91" s="402">
        <v>221</v>
      </c>
      <c r="G91" s="373"/>
    </row>
    <row r="92" spans="1:7" ht="12.75" customHeight="1">
      <c r="A92" s="354" t="s">
        <v>185</v>
      </c>
      <c r="B92" s="403">
        <v>0.66</v>
      </c>
      <c r="C92" s="403">
        <v>1.24</v>
      </c>
      <c r="D92" s="403">
        <v>0.74</v>
      </c>
      <c r="E92" s="403">
        <v>0.83</v>
      </c>
      <c r="F92" s="403">
        <v>1.05</v>
      </c>
      <c r="G92" s="373"/>
    </row>
    <row r="93" spans="1:7" ht="15" customHeight="1">
      <c r="A93" s="391"/>
      <c r="B93" s="373"/>
      <c r="C93" s="373"/>
      <c r="D93" s="373"/>
      <c r="E93" s="373"/>
      <c r="F93" s="373"/>
      <c r="G93" s="373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1"/>
  <sheetViews>
    <sheetView topLeftCell="A2" zoomScale="67" zoomScaleNormal="100" workbookViewId="0">
      <selection activeCell="G51" sqref="G50:G51"/>
    </sheetView>
  </sheetViews>
  <sheetFormatPr defaultColWidth="12.6640625" defaultRowHeight="13.2"/>
  <cols>
    <col min="1" max="1" width="29.5546875" customWidth="1"/>
    <col min="5" max="5" width="12.6640625" customWidth="1"/>
  </cols>
  <sheetData>
    <row r="1" spans="1:9" ht="24" customHeight="1">
      <c r="A1" s="453" t="s">
        <v>30</v>
      </c>
      <c r="B1" s="444"/>
      <c r="C1" s="444"/>
      <c r="D1" s="444"/>
      <c r="E1" s="444"/>
      <c r="F1" s="444"/>
      <c r="G1" s="444"/>
    </row>
    <row r="2" spans="1:9" ht="15.75" customHeight="1">
      <c r="A2" s="388" t="s">
        <v>199</v>
      </c>
      <c r="B2" s="80"/>
      <c r="C2" s="80"/>
      <c r="D2" s="80"/>
      <c r="E2" s="80"/>
      <c r="F2" s="80"/>
      <c r="G2" s="80"/>
    </row>
    <row r="3" spans="1:9" ht="12.75" customHeight="1">
      <c r="A3" s="179"/>
      <c r="B3" s="175">
        <v>44621</v>
      </c>
      <c r="C3" s="175">
        <v>44986</v>
      </c>
      <c r="D3" s="175">
        <v>45352</v>
      </c>
      <c r="E3" s="175">
        <v>45717</v>
      </c>
      <c r="F3" s="175">
        <v>46082</v>
      </c>
      <c r="G3" s="300"/>
    </row>
    <row r="4" spans="1:9" ht="12.75" customHeight="1">
      <c r="A4" s="177" t="s">
        <v>97</v>
      </c>
      <c r="B4" s="374">
        <v>21763</v>
      </c>
      <c r="C4" s="374">
        <v>22753</v>
      </c>
      <c r="D4" s="374">
        <v>25774</v>
      </c>
      <c r="E4" s="374">
        <v>27548</v>
      </c>
      <c r="F4" s="374">
        <v>28163</v>
      </c>
      <c r="G4" s="374"/>
    </row>
    <row r="5" spans="1:9" ht="12.75" customHeight="1">
      <c r="A5" s="178" t="s">
        <v>98</v>
      </c>
      <c r="B5" s="382">
        <v>0.13589999999999999</v>
      </c>
      <c r="C5" s="382">
        <v>4.5499999999999999E-2</v>
      </c>
      <c r="D5" s="382">
        <v>0.1328</v>
      </c>
      <c r="E5" s="382">
        <v>6.88E-2</v>
      </c>
      <c r="F5" s="382">
        <v>2.23E-2</v>
      </c>
      <c r="G5" s="375"/>
    </row>
    <row r="6" spans="1:9" ht="12.75" customHeight="1">
      <c r="A6" s="177" t="s">
        <v>99</v>
      </c>
      <c r="B6" s="376">
        <v>17211</v>
      </c>
      <c r="C6" s="376">
        <v>17726</v>
      </c>
      <c r="D6" s="376">
        <v>19483</v>
      </c>
      <c r="E6" s="376">
        <v>20420</v>
      </c>
      <c r="F6" s="376">
        <v>22280</v>
      </c>
      <c r="G6" s="376"/>
    </row>
    <row r="7" spans="1:9" ht="12.75" customHeight="1">
      <c r="A7" s="177" t="s">
        <v>186</v>
      </c>
      <c r="B7" s="383">
        <v>0.39040000000000002</v>
      </c>
      <c r="C7" s="383">
        <v>0.36270000000000002</v>
      </c>
      <c r="D7" s="383">
        <v>0.3422</v>
      </c>
      <c r="E7" s="383">
        <v>0.3241</v>
      </c>
      <c r="F7" s="383">
        <v>0.33910000000000001</v>
      </c>
      <c r="G7" s="377"/>
    </row>
    <row r="8" spans="1:9" ht="12.75" customHeight="1">
      <c r="A8" s="178" t="s">
        <v>103</v>
      </c>
      <c r="B8" s="383">
        <v>6.9800000000000001E-2</v>
      </c>
      <c r="C8" s="383">
        <v>6.8500000000000005E-2</v>
      </c>
      <c r="D8" s="383">
        <v>6.6500000000000004E-2</v>
      </c>
      <c r="E8" s="383">
        <v>6.9500000000000006E-2</v>
      </c>
      <c r="F8" s="383">
        <v>7.3499999999999996E-2</v>
      </c>
      <c r="G8" s="377"/>
    </row>
    <row r="9" spans="1:9" ht="12.75" customHeight="1">
      <c r="A9" s="178" t="s">
        <v>104</v>
      </c>
      <c r="B9" s="383">
        <v>0.1628</v>
      </c>
      <c r="C9" s="383">
        <v>0.16889999999999999</v>
      </c>
      <c r="D9" s="383">
        <v>0.1678</v>
      </c>
      <c r="E9" s="383">
        <v>0.17610000000000001</v>
      </c>
      <c r="F9" s="383">
        <v>0.1905</v>
      </c>
      <c r="G9" s="377"/>
    </row>
    <row r="10" spans="1:9" ht="12.75" customHeight="1">
      <c r="A10" s="178" t="s">
        <v>105</v>
      </c>
      <c r="B10" s="383">
        <v>0.16789999999999999</v>
      </c>
      <c r="C10" s="383">
        <v>0.17899999999999999</v>
      </c>
      <c r="D10" s="383">
        <v>0.1794</v>
      </c>
      <c r="E10" s="383">
        <v>0.17150000000000001</v>
      </c>
      <c r="F10" s="383">
        <v>0.188</v>
      </c>
      <c r="G10" s="377"/>
    </row>
    <row r="11" spans="1:9" ht="12.75" customHeight="1">
      <c r="A11" s="178" t="s">
        <v>106</v>
      </c>
      <c r="B11" s="374">
        <v>4553</v>
      </c>
      <c r="C11" s="374">
        <v>5027</v>
      </c>
      <c r="D11" s="374">
        <v>6291</v>
      </c>
      <c r="E11" s="374">
        <v>7128</v>
      </c>
      <c r="F11" s="374">
        <v>5883</v>
      </c>
      <c r="G11" s="374"/>
    </row>
    <row r="12" spans="1:9" ht="12.75" customHeight="1">
      <c r="A12" s="178" t="s">
        <v>107</v>
      </c>
      <c r="B12" s="384">
        <v>0.21</v>
      </c>
      <c r="C12" s="384">
        <v>0.22</v>
      </c>
      <c r="D12" s="384">
        <v>0.24</v>
      </c>
      <c r="E12" s="384">
        <v>0.26</v>
      </c>
      <c r="F12" s="384">
        <v>0.21</v>
      </c>
      <c r="G12" s="384"/>
    </row>
    <row r="13" spans="1:9" ht="12.75" customHeight="1">
      <c r="A13" s="177" t="s">
        <v>108</v>
      </c>
      <c r="B13" s="375">
        <v>99</v>
      </c>
      <c r="C13" s="375">
        <v>293</v>
      </c>
      <c r="D13" s="375">
        <v>552</v>
      </c>
      <c r="E13" s="375">
        <v>862</v>
      </c>
      <c r="F13" s="375">
        <v>606</v>
      </c>
      <c r="G13" s="375"/>
    </row>
    <row r="14" spans="1:9" ht="12.75" customHeight="1">
      <c r="A14" s="178" t="s">
        <v>109</v>
      </c>
      <c r="B14" s="375">
        <v>-96</v>
      </c>
      <c r="C14" s="375">
        <v>-58</v>
      </c>
      <c r="D14" s="375">
        <v>-122</v>
      </c>
      <c r="E14" s="375">
        <v>169</v>
      </c>
      <c r="F14" s="375">
        <v>101</v>
      </c>
      <c r="G14" s="375"/>
    </row>
    <row r="15" spans="1:9" ht="12.75" customHeight="1">
      <c r="A15" s="178" t="s">
        <v>110</v>
      </c>
      <c r="B15" s="375">
        <v>195</v>
      </c>
      <c r="C15" s="375">
        <v>351</v>
      </c>
      <c r="D15" s="375">
        <v>674</v>
      </c>
      <c r="E15" s="375">
        <v>693</v>
      </c>
      <c r="F15" s="375">
        <v>505</v>
      </c>
      <c r="G15" s="375"/>
    </row>
    <row r="16" spans="1:9" ht="12.75" customHeight="1">
      <c r="A16" s="178" t="s">
        <v>111</v>
      </c>
      <c r="B16" s="377">
        <v>106</v>
      </c>
      <c r="C16" s="377">
        <v>110</v>
      </c>
      <c r="D16" s="377">
        <v>90</v>
      </c>
      <c r="E16" s="377">
        <v>62</v>
      </c>
      <c r="F16" s="377">
        <v>54</v>
      </c>
      <c r="G16" s="377"/>
      <c r="I16" s="156"/>
    </row>
    <row r="17" spans="1:12" ht="12.75" customHeight="1">
      <c r="A17" s="178" t="s">
        <v>112</v>
      </c>
      <c r="B17" s="374">
        <v>1052</v>
      </c>
      <c r="C17" s="374">
        <v>1172</v>
      </c>
      <c r="D17" s="374">
        <v>1051</v>
      </c>
      <c r="E17" s="374">
        <v>1107</v>
      </c>
      <c r="F17" s="374">
        <v>1211</v>
      </c>
      <c r="G17" s="374"/>
    </row>
    <row r="18" spans="1:12" ht="12.75" customHeight="1">
      <c r="A18" s="178" t="s">
        <v>113</v>
      </c>
      <c r="B18" s="376">
        <v>3493</v>
      </c>
      <c r="C18" s="376">
        <v>4038</v>
      </c>
      <c r="D18" s="376">
        <v>5702</v>
      </c>
      <c r="E18" s="376">
        <v>6821</v>
      </c>
      <c r="F18" s="376">
        <v>5224</v>
      </c>
      <c r="G18" s="376"/>
      <c r="L18" s="390" t="s">
        <v>209</v>
      </c>
    </row>
    <row r="19" spans="1:12" ht="12.75" customHeight="1">
      <c r="A19" s="178" t="s">
        <v>114</v>
      </c>
      <c r="B19" s="385">
        <v>0.27</v>
      </c>
      <c r="C19" s="385">
        <v>0.3</v>
      </c>
      <c r="D19" s="385">
        <v>0.27</v>
      </c>
      <c r="E19" s="385">
        <v>0.22</v>
      </c>
      <c r="F19" s="385">
        <v>0.26</v>
      </c>
      <c r="G19" s="375"/>
    </row>
    <row r="20" spans="1:12" ht="12.75" customHeight="1">
      <c r="A20" s="177" t="s">
        <v>115</v>
      </c>
      <c r="B20" s="376">
        <v>2547</v>
      </c>
      <c r="C20" s="376">
        <v>2833</v>
      </c>
      <c r="D20" s="376">
        <v>4154</v>
      </c>
      <c r="E20" s="376">
        <v>5269</v>
      </c>
      <c r="F20" s="376">
        <v>3862</v>
      </c>
      <c r="G20" s="376"/>
    </row>
    <row r="21" spans="1:12" ht="12.75" customHeight="1">
      <c r="A21" s="178" t="s">
        <v>187</v>
      </c>
      <c r="B21" s="377">
        <v>-13</v>
      </c>
      <c r="C21" s="377">
        <v>-3</v>
      </c>
      <c r="D21" s="377">
        <v>-2</v>
      </c>
      <c r="E21" s="377">
        <v>-22</v>
      </c>
      <c r="F21" s="377">
        <v>-8</v>
      </c>
      <c r="G21" s="377"/>
    </row>
    <row r="22" spans="1:12" ht="12.75" customHeight="1">
      <c r="A22" s="178" t="s">
        <v>116</v>
      </c>
      <c r="B22" s="377">
        <v>-30</v>
      </c>
      <c r="C22" s="377">
        <v>-31</v>
      </c>
      <c r="D22" s="377">
        <v>-32</v>
      </c>
      <c r="E22" s="377">
        <v>3</v>
      </c>
      <c r="F22" s="377">
        <v>17</v>
      </c>
      <c r="G22" s="377"/>
    </row>
    <row r="23" spans="1:12" ht="12.75" customHeight="1">
      <c r="A23" s="178" t="s">
        <v>117</v>
      </c>
      <c r="B23" s="377">
        <v>-65</v>
      </c>
      <c r="C23" s="377">
        <v>-40</v>
      </c>
      <c r="D23" s="377">
        <v>-86</v>
      </c>
      <c r="E23" s="377">
        <v>127</v>
      </c>
      <c r="F23" s="377">
        <v>73</v>
      </c>
      <c r="G23" s="377"/>
    </row>
    <row r="24" spans="1:12" ht="12.75" customHeight="1">
      <c r="A24" s="178" t="s">
        <v>118</v>
      </c>
      <c r="B24" s="376">
        <v>2612</v>
      </c>
      <c r="C24" s="376">
        <v>2873</v>
      </c>
      <c r="D24" s="376">
        <v>4239</v>
      </c>
      <c r="E24" s="376">
        <v>5142</v>
      </c>
      <c r="F24" s="376">
        <v>3789</v>
      </c>
      <c r="G24" s="377"/>
    </row>
    <row r="25" spans="1:12" ht="12.75" customHeight="1">
      <c r="A25" s="178" t="s">
        <v>119</v>
      </c>
      <c r="B25" s="376">
        <v>2581</v>
      </c>
      <c r="C25" s="376">
        <v>2842</v>
      </c>
      <c r="D25" s="376">
        <v>4207</v>
      </c>
      <c r="E25" s="376">
        <v>5146</v>
      </c>
      <c r="F25" s="376">
        <v>3806</v>
      </c>
      <c r="G25" s="377"/>
    </row>
    <row r="26" spans="1:12" ht="12.75" customHeight="1">
      <c r="A26" s="178" t="s">
        <v>120</v>
      </c>
      <c r="B26" s="376">
        <v>2517</v>
      </c>
      <c r="C26" s="376">
        <v>2802</v>
      </c>
      <c r="D26" s="376">
        <v>4122</v>
      </c>
      <c r="E26" s="376">
        <v>5273</v>
      </c>
      <c r="F26" s="376">
        <v>3879</v>
      </c>
      <c r="G26" s="377"/>
    </row>
    <row r="27" spans="1:12" ht="12.75" customHeight="1">
      <c r="A27" s="178" t="s">
        <v>121</v>
      </c>
      <c r="B27" s="384">
        <v>0.09</v>
      </c>
      <c r="C27" s="384">
        <v>0.1</v>
      </c>
      <c r="D27" s="384">
        <v>0.48</v>
      </c>
      <c r="E27" s="384">
        <v>0.22</v>
      </c>
      <c r="F27" s="384">
        <v>-0.26</v>
      </c>
      <c r="G27" s="377"/>
    </row>
    <row r="28" spans="1:12" ht="12.75" customHeight="1">
      <c r="A28" s="178" t="s">
        <v>122</v>
      </c>
      <c r="B28" s="375">
        <v>31.19</v>
      </c>
      <c r="C28" s="375">
        <v>34.71</v>
      </c>
      <c r="D28" s="375">
        <v>51.05</v>
      </c>
      <c r="E28" s="375">
        <v>65.28</v>
      </c>
      <c r="F28" s="375">
        <v>48.02</v>
      </c>
      <c r="G28" s="375"/>
    </row>
    <row r="29" spans="1:12" ht="12.75" customHeight="1">
      <c r="A29" s="178" t="s">
        <v>123</v>
      </c>
      <c r="B29" s="384">
        <v>0.16</v>
      </c>
      <c r="C29" s="384">
        <v>0.24</v>
      </c>
      <c r="D29" s="384">
        <v>0.25</v>
      </c>
      <c r="E29" s="384">
        <v>0.25</v>
      </c>
      <c r="F29" s="384">
        <v>0.27</v>
      </c>
      <c r="G29" s="377"/>
    </row>
    <row r="31" spans="1:12" ht="16.5" customHeight="1">
      <c r="A31" s="22" t="s">
        <v>200</v>
      </c>
    </row>
    <row r="32" spans="1:12" ht="12.75" customHeight="1">
      <c r="A32" s="179"/>
      <c r="B32" s="175">
        <v>44621</v>
      </c>
      <c r="C32" s="175">
        <v>44986</v>
      </c>
      <c r="D32" s="175">
        <v>45352</v>
      </c>
      <c r="E32" s="175">
        <v>45717</v>
      </c>
      <c r="F32" s="175">
        <v>46082</v>
      </c>
      <c r="G32" s="80"/>
    </row>
    <row r="33" spans="1:7" ht="12.75" customHeight="1">
      <c r="A33" s="178" t="s">
        <v>124</v>
      </c>
      <c r="B33" s="375">
        <v>161</v>
      </c>
      <c r="C33" s="375">
        <v>161</v>
      </c>
      <c r="D33" s="375">
        <v>161</v>
      </c>
      <c r="E33" s="375">
        <v>162</v>
      </c>
      <c r="F33" s="375">
        <v>162</v>
      </c>
      <c r="G33" s="373"/>
    </row>
    <row r="34" spans="1:7" ht="12.75" customHeight="1">
      <c r="A34" s="178" t="s">
        <v>125</v>
      </c>
      <c r="B34" s="376">
        <v>20680</v>
      </c>
      <c r="C34" s="376">
        <v>23246</v>
      </c>
      <c r="D34" s="376">
        <v>26545</v>
      </c>
      <c r="E34" s="376">
        <v>31032</v>
      </c>
      <c r="F34" s="376">
        <v>34270</v>
      </c>
      <c r="G34" s="373"/>
    </row>
    <row r="35" spans="1:7" ht="12.75" customHeight="1">
      <c r="A35" s="177" t="s">
        <v>126</v>
      </c>
      <c r="B35" s="374">
        <v>1056</v>
      </c>
      <c r="C35" s="375">
        <v>803</v>
      </c>
      <c r="D35" s="375">
        <v>559</v>
      </c>
      <c r="E35" s="375">
        <v>438</v>
      </c>
      <c r="F35" s="375">
        <v>614</v>
      </c>
      <c r="G35" s="373"/>
    </row>
    <row r="36" spans="1:7" ht="12.75" customHeight="1">
      <c r="A36" s="178" t="s">
        <v>127</v>
      </c>
      <c r="B36" s="375">
        <v>416</v>
      </c>
      <c r="C36" s="375">
        <v>0</v>
      </c>
      <c r="D36" s="375">
        <v>0</v>
      </c>
      <c r="E36" s="375">
        <v>12</v>
      </c>
      <c r="F36" s="375">
        <v>117</v>
      </c>
      <c r="G36" s="373"/>
    </row>
    <row r="37" spans="1:7" ht="12.75" customHeight="1">
      <c r="A37" s="178" t="s">
        <v>128</v>
      </c>
      <c r="B37" s="375">
        <v>408</v>
      </c>
      <c r="C37" s="375">
        <v>520</v>
      </c>
      <c r="D37" s="375">
        <v>247</v>
      </c>
      <c r="E37" s="375">
        <v>80</v>
      </c>
      <c r="F37" s="375">
        <v>140</v>
      </c>
      <c r="G37" s="373"/>
    </row>
    <row r="38" spans="1:7" ht="12.75" customHeight="1">
      <c r="A38" s="178" t="s">
        <v>129</v>
      </c>
      <c r="B38" s="375">
        <v>232</v>
      </c>
      <c r="C38" s="375">
        <v>283</v>
      </c>
      <c r="D38" s="375">
        <v>312</v>
      </c>
      <c r="E38" s="375">
        <v>346</v>
      </c>
      <c r="F38" s="375">
        <v>356</v>
      </c>
      <c r="G38" s="373"/>
    </row>
    <row r="39" spans="1:7" ht="12.75" customHeight="1">
      <c r="A39" s="178" t="s">
        <v>130</v>
      </c>
      <c r="B39" s="375">
        <v>0</v>
      </c>
      <c r="C39" s="375">
        <v>0</v>
      </c>
      <c r="D39" s="375">
        <v>0</v>
      </c>
      <c r="E39" s="375">
        <v>0</v>
      </c>
      <c r="F39" s="375">
        <v>0</v>
      </c>
      <c r="G39" s="373"/>
    </row>
    <row r="40" spans="1:7" ht="12.75" customHeight="1">
      <c r="A40" s="177" t="s">
        <v>131</v>
      </c>
      <c r="B40" s="376">
        <v>4960</v>
      </c>
      <c r="C40" s="376">
        <v>5089</v>
      </c>
      <c r="D40" s="376">
        <v>5267</v>
      </c>
      <c r="E40" s="376">
        <v>5702</v>
      </c>
      <c r="F40" s="376">
        <v>7297</v>
      </c>
      <c r="G40" s="373"/>
    </row>
    <row r="41" spans="1:7" ht="12.75" customHeight="1">
      <c r="A41" s="178" t="s">
        <v>132</v>
      </c>
      <c r="B41" s="377">
        <v>276</v>
      </c>
      <c r="C41" s="377">
        <v>306</v>
      </c>
      <c r="D41" s="377">
        <v>96</v>
      </c>
      <c r="E41" s="377">
        <v>96</v>
      </c>
      <c r="F41" s="377">
        <v>88</v>
      </c>
      <c r="G41" s="373"/>
    </row>
    <row r="42" spans="1:7" ht="12.75" customHeight="1">
      <c r="A42" s="178" t="s">
        <v>133</v>
      </c>
      <c r="B42" s="376">
        <v>2508</v>
      </c>
      <c r="C42" s="376">
        <v>2535</v>
      </c>
      <c r="D42" s="376">
        <v>2474</v>
      </c>
      <c r="E42" s="376">
        <v>2837</v>
      </c>
      <c r="F42" s="376">
        <v>3230</v>
      </c>
      <c r="G42" s="373"/>
    </row>
    <row r="43" spans="1:7" ht="12.75" customHeight="1">
      <c r="A43" s="178" t="s">
        <v>134</v>
      </c>
      <c r="B43" s="377">
        <v>74</v>
      </c>
      <c r="C43" s="377">
        <v>63</v>
      </c>
      <c r="D43" s="377">
        <v>14</v>
      </c>
      <c r="E43" s="377">
        <v>16</v>
      </c>
      <c r="F43" s="377">
        <v>0</v>
      </c>
      <c r="G43" s="373"/>
    </row>
    <row r="44" spans="1:7" ht="12.75" customHeight="1">
      <c r="A44" s="178" t="s">
        <v>135</v>
      </c>
      <c r="B44" s="376">
        <v>2102</v>
      </c>
      <c r="C44" s="376">
        <v>2186</v>
      </c>
      <c r="D44" s="376">
        <v>2683</v>
      </c>
      <c r="E44" s="376">
        <v>2752</v>
      </c>
      <c r="F44" s="376">
        <v>3979</v>
      </c>
      <c r="G44" s="373"/>
    </row>
    <row r="45" spans="1:7" ht="12.75" customHeight="1">
      <c r="A45" s="178" t="s">
        <v>136</v>
      </c>
      <c r="B45" s="374">
        <v>26857</v>
      </c>
      <c r="C45" s="374">
        <v>29300</v>
      </c>
      <c r="D45" s="374">
        <v>32533</v>
      </c>
      <c r="E45" s="374">
        <v>37334</v>
      </c>
      <c r="F45" s="374">
        <v>42343</v>
      </c>
      <c r="G45" s="373"/>
    </row>
    <row r="46" spans="1:7" ht="12.75" customHeight="1">
      <c r="A46" s="177" t="s">
        <v>137</v>
      </c>
      <c r="B46" s="376">
        <v>9683</v>
      </c>
      <c r="C46" s="376">
        <v>9160</v>
      </c>
      <c r="D46" s="376">
        <v>9607</v>
      </c>
      <c r="E46" s="376">
        <v>10006</v>
      </c>
      <c r="F46" s="376">
        <v>12434</v>
      </c>
      <c r="G46" s="373"/>
    </row>
    <row r="47" spans="1:7" ht="12.75" customHeight="1">
      <c r="A47" s="178" t="s">
        <v>138</v>
      </c>
      <c r="B47" s="377">
        <v>219</v>
      </c>
      <c r="C47" s="377">
        <v>251</v>
      </c>
      <c r="D47" s="377">
        <v>243</v>
      </c>
      <c r="E47" s="377">
        <v>243</v>
      </c>
      <c r="F47" s="377">
        <v>244</v>
      </c>
      <c r="G47" s="373"/>
    </row>
    <row r="48" spans="1:7" ht="12.75" customHeight="1">
      <c r="A48" s="178" t="s">
        <v>139</v>
      </c>
      <c r="B48" s="376">
        <v>3051</v>
      </c>
      <c r="C48" s="376">
        <v>3116</v>
      </c>
      <c r="D48" s="376">
        <v>3158</v>
      </c>
      <c r="E48" s="376">
        <v>3254</v>
      </c>
      <c r="F48" s="376">
        <v>3589</v>
      </c>
      <c r="G48" s="373"/>
    </row>
    <row r="49" spans="1:7" ht="12.75" customHeight="1">
      <c r="A49" s="178" t="s">
        <v>140</v>
      </c>
      <c r="B49" s="376">
        <v>5811</v>
      </c>
      <c r="C49" s="376">
        <v>5931</v>
      </c>
      <c r="D49" s="376">
        <v>6305</v>
      </c>
      <c r="E49" s="376">
        <v>6954</v>
      </c>
      <c r="F49" s="376">
        <v>7970</v>
      </c>
      <c r="G49" s="373"/>
    </row>
    <row r="50" spans="1:7" ht="12.75" customHeight="1">
      <c r="A50" s="178" t="s">
        <v>141</v>
      </c>
      <c r="B50" s="377">
        <v>99</v>
      </c>
      <c r="C50" s="377">
        <v>109</v>
      </c>
      <c r="D50" s="377">
        <v>131</v>
      </c>
      <c r="E50" s="377">
        <v>153</v>
      </c>
      <c r="F50" s="377">
        <v>195</v>
      </c>
      <c r="G50" s="373"/>
    </row>
    <row r="51" spans="1:7" ht="12.75" customHeight="1">
      <c r="A51" s="178" t="s">
        <v>142</v>
      </c>
      <c r="B51" s="377">
        <v>1</v>
      </c>
      <c r="C51" s="377">
        <v>0</v>
      </c>
      <c r="D51" s="377">
        <v>0</v>
      </c>
      <c r="E51" s="377">
        <v>0</v>
      </c>
      <c r="F51" s="377">
        <v>0</v>
      </c>
      <c r="G51" s="373"/>
    </row>
    <row r="52" spans="1:7" ht="12.75" customHeight="1">
      <c r="A52" s="178" t="s">
        <v>143</v>
      </c>
      <c r="B52" s="377">
        <v>156</v>
      </c>
      <c r="C52" s="377">
        <v>159</v>
      </c>
      <c r="D52" s="377">
        <v>164</v>
      </c>
      <c r="E52" s="377">
        <v>176</v>
      </c>
      <c r="F52" s="377">
        <v>209</v>
      </c>
      <c r="G52" s="373"/>
    </row>
    <row r="53" spans="1:7" ht="12.75" customHeight="1">
      <c r="A53" s="178" t="s">
        <v>144</v>
      </c>
      <c r="B53" s="377">
        <v>14</v>
      </c>
      <c r="C53" s="377">
        <v>10</v>
      </c>
      <c r="D53" s="377">
        <v>10</v>
      </c>
      <c r="E53" s="377">
        <v>11</v>
      </c>
      <c r="F53" s="377">
        <v>13</v>
      </c>
      <c r="G53" s="373"/>
    </row>
    <row r="54" spans="1:7" ht="12.75" customHeight="1">
      <c r="A54" s="178" t="s">
        <v>145</v>
      </c>
      <c r="B54" s="376">
        <v>3951</v>
      </c>
      <c r="C54" s="376">
        <v>3825</v>
      </c>
      <c r="D54" s="376">
        <v>4155</v>
      </c>
      <c r="E54" s="376">
        <v>4475</v>
      </c>
      <c r="F54" s="376">
        <v>6327</v>
      </c>
      <c r="G54" s="373"/>
    </row>
    <row r="55" spans="1:7" ht="12.75" customHeight="1">
      <c r="A55" s="178" t="s">
        <v>146</v>
      </c>
      <c r="B55" s="376">
        <v>3666</v>
      </c>
      <c r="C55" s="376">
        <v>3721</v>
      </c>
      <c r="D55" s="376">
        <v>3980</v>
      </c>
      <c r="E55" s="376">
        <v>4287</v>
      </c>
      <c r="F55" s="376">
        <v>4875</v>
      </c>
      <c r="G55" s="373"/>
    </row>
    <row r="56" spans="1:7" ht="12.75" customHeight="1">
      <c r="A56" s="178" t="s">
        <v>147</v>
      </c>
      <c r="B56" s="376">
        <v>16968</v>
      </c>
      <c r="C56" s="376">
        <v>17122</v>
      </c>
      <c r="D56" s="376">
        <v>18146</v>
      </c>
      <c r="E56" s="376">
        <v>19553</v>
      </c>
      <c r="F56" s="376">
        <v>23422</v>
      </c>
      <c r="G56" s="373"/>
    </row>
    <row r="57" spans="1:7" ht="12.75" customHeight="1">
      <c r="A57" s="178" t="s">
        <v>148</v>
      </c>
      <c r="B57" s="376">
        <v>7285</v>
      </c>
      <c r="C57" s="376">
        <v>7962</v>
      </c>
      <c r="D57" s="376">
        <v>8539</v>
      </c>
      <c r="E57" s="376">
        <v>9546</v>
      </c>
      <c r="F57" s="376">
        <v>10987</v>
      </c>
      <c r="G57" s="373"/>
    </row>
    <row r="58" spans="1:7" ht="12.75" customHeight="1">
      <c r="A58" s="178" t="s">
        <v>149</v>
      </c>
      <c r="B58" s="375">
        <v>766</v>
      </c>
      <c r="C58" s="374">
        <v>1093</v>
      </c>
      <c r="D58" s="374">
        <v>1153</v>
      </c>
      <c r="E58" s="374">
        <v>1566</v>
      </c>
      <c r="F58" s="374">
        <v>2042</v>
      </c>
      <c r="G58" s="373"/>
    </row>
    <row r="59" spans="1:7" ht="12.75" customHeight="1">
      <c r="A59" s="178" t="s">
        <v>150</v>
      </c>
      <c r="B59" s="376">
        <v>2551</v>
      </c>
      <c r="C59" s="376">
        <v>3662</v>
      </c>
      <c r="D59" s="376">
        <v>5449</v>
      </c>
      <c r="E59" s="376">
        <v>7933</v>
      </c>
      <c r="F59" s="376">
        <v>8223</v>
      </c>
      <c r="G59" s="373"/>
    </row>
    <row r="60" spans="1:7" ht="12.75" customHeight="1">
      <c r="A60" s="177" t="s">
        <v>151</v>
      </c>
      <c r="B60" s="374">
        <v>13857</v>
      </c>
      <c r="C60" s="374">
        <v>15384</v>
      </c>
      <c r="D60" s="374">
        <v>16323</v>
      </c>
      <c r="E60" s="374">
        <v>17828</v>
      </c>
      <c r="F60" s="374">
        <v>19643</v>
      </c>
      <c r="G60" s="373"/>
    </row>
    <row r="61" spans="1:7" ht="12.75" customHeight="1">
      <c r="A61" s="178" t="s">
        <v>152</v>
      </c>
      <c r="B61" s="374">
        <v>5350</v>
      </c>
      <c r="C61" s="374">
        <v>5156</v>
      </c>
      <c r="D61" s="374">
        <v>5238</v>
      </c>
      <c r="E61" s="374">
        <v>5642</v>
      </c>
      <c r="F61" s="374">
        <v>6597</v>
      </c>
      <c r="G61" s="373"/>
    </row>
    <row r="62" spans="1:7" ht="12.75" customHeight="1">
      <c r="A62" s="178" t="s">
        <v>153</v>
      </c>
      <c r="B62" s="374">
        <v>3424</v>
      </c>
      <c r="C62" s="374">
        <v>4057</v>
      </c>
      <c r="D62" s="374">
        <v>4771</v>
      </c>
      <c r="E62" s="374">
        <v>5506</v>
      </c>
      <c r="F62" s="374">
        <v>5620</v>
      </c>
      <c r="G62" s="373"/>
    </row>
    <row r="63" spans="1:7" ht="12.75" customHeight="1">
      <c r="A63" s="178" t="s">
        <v>154</v>
      </c>
      <c r="B63" s="374">
        <v>1928</v>
      </c>
      <c r="C63" s="374">
        <v>1565</v>
      </c>
      <c r="D63" s="375">
        <v>875</v>
      </c>
      <c r="E63" s="375">
        <v>800</v>
      </c>
      <c r="F63" s="374">
        <v>1307</v>
      </c>
      <c r="G63" s="373"/>
    </row>
    <row r="64" spans="1:7" ht="12.75" customHeight="1">
      <c r="A64" s="178" t="s">
        <v>155</v>
      </c>
      <c r="B64" s="375">
        <v>316</v>
      </c>
      <c r="C64" s="375">
        <v>332</v>
      </c>
      <c r="D64" s="375">
        <v>345</v>
      </c>
      <c r="E64" s="375">
        <v>357</v>
      </c>
      <c r="F64" s="375">
        <v>367</v>
      </c>
      <c r="G64" s="373"/>
    </row>
    <row r="65" spans="1:7" ht="12.75" customHeight="1">
      <c r="A65" s="178" t="s">
        <v>156</v>
      </c>
      <c r="B65" s="374">
        <v>2838</v>
      </c>
      <c r="C65" s="374">
        <v>4274</v>
      </c>
      <c r="D65" s="374">
        <v>5095</v>
      </c>
      <c r="E65" s="374">
        <v>5523</v>
      </c>
      <c r="F65" s="374">
        <v>5752</v>
      </c>
      <c r="G65" s="373"/>
    </row>
    <row r="66" spans="1:7" ht="12.75" customHeight="1">
      <c r="A66" s="178" t="s">
        <v>157</v>
      </c>
      <c r="B66" s="376">
        <v>26857</v>
      </c>
      <c r="C66" s="376">
        <v>29300</v>
      </c>
      <c r="D66" s="376">
        <v>32533</v>
      </c>
      <c r="E66" s="376">
        <v>37334</v>
      </c>
      <c r="F66" s="376">
        <v>42343</v>
      </c>
      <c r="G66" s="373"/>
    </row>
    <row r="68" spans="1:7" ht="16.5" customHeight="1">
      <c r="A68" s="22" t="s">
        <v>201</v>
      </c>
    </row>
    <row r="69" spans="1:7" ht="12.75" customHeight="1">
      <c r="A69" s="179"/>
      <c r="B69" s="175">
        <v>44621</v>
      </c>
      <c r="C69" s="175">
        <v>44986</v>
      </c>
      <c r="D69" s="175">
        <v>45352</v>
      </c>
      <c r="E69" s="175">
        <v>45717</v>
      </c>
      <c r="F69" s="175">
        <v>46082</v>
      </c>
      <c r="G69" s="80"/>
    </row>
    <row r="70" spans="1:7" ht="12.75" customHeight="1">
      <c r="A70" s="177" t="s">
        <v>158</v>
      </c>
      <c r="B70" s="374">
        <v>3326</v>
      </c>
      <c r="C70" s="374">
        <v>3238</v>
      </c>
      <c r="D70" s="374">
        <v>4134</v>
      </c>
      <c r="E70" s="374">
        <v>5005</v>
      </c>
      <c r="F70" s="374">
        <v>3940</v>
      </c>
      <c r="G70" s="373"/>
    </row>
    <row r="71" spans="1:7" ht="12.75" customHeight="1">
      <c r="A71" s="178" t="s">
        <v>159</v>
      </c>
      <c r="B71" s="374">
        <v>4643</v>
      </c>
      <c r="C71" s="374">
        <v>5099</v>
      </c>
      <c r="D71" s="374">
        <v>6537</v>
      </c>
      <c r="E71" s="374">
        <v>7339</v>
      </c>
      <c r="F71" s="374">
        <v>5751</v>
      </c>
      <c r="G71" s="373"/>
    </row>
    <row r="72" spans="1:7" ht="12.75" customHeight="1">
      <c r="A72" s="178" t="s">
        <v>160</v>
      </c>
      <c r="B72" s="375">
        <v>81</v>
      </c>
      <c r="C72" s="375">
        <v>-652</v>
      </c>
      <c r="D72" s="375">
        <v>-907</v>
      </c>
      <c r="E72" s="375">
        <v>-802</v>
      </c>
      <c r="F72" s="375">
        <v>465</v>
      </c>
      <c r="G72" s="373"/>
    </row>
    <row r="73" spans="1:7" ht="12.75" customHeight="1">
      <c r="A73" s="178" t="s">
        <v>161</v>
      </c>
      <c r="B73" s="375">
        <v>-621</v>
      </c>
      <c r="C73" s="375">
        <v>111</v>
      </c>
      <c r="D73" s="375">
        <v>-62</v>
      </c>
      <c r="E73" s="375">
        <v>-323</v>
      </c>
      <c r="F73" s="375">
        <v>-642</v>
      </c>
      <c r="G73" s="373"/>
    </row>
    <row r="74" spans="1:7" ht="12.75" customHeight="1">
      <c r="A74" s="178" t="s">
        <v>162</v>
      </c>
      <c r="B74" s="375">
        <v>362</v>
      </c>
      <c r="C74" s="375">
        <v>-18</v>
      </c>
      <c r="D74" s="375">
        <v>163</v>
      </c>
      <c r="E74" s="375">
        <v>459</v>
      </c>
      <c r="F74" s="375">
        <v>253</v>
      </c>
      <c r="G74" s="373"/>
    </row>
    <row r="75" spans="1:7" ht="12.75" customHeight="1">
      <c r="A75" s="178" t="s">
        <v>164</v>
      </c>
      <c r="B75" s="375">
        <v>0</v>
      </c>
      <c r="C75" s="375">
        <v>0</v>
      </c>
      <c r="D75" s="375">
        <v>0</v>
      </c>
      <c r="E75" s="375">
        <v>0</v>
      </c>
      <c r="F75" s="375">
        <v>-301</v>
      </c>
      <c r="G75" s="373"/>
    </row>
    <row r="76" spans="1:7" ht="12.75" customHeight="1">
      <c r="A76" s="178" t="s">
        <v>165</v>
      </c>
      <c r="B76" s="375">
        <v>-177</v>
      </c>
      <c r="C76" s="375">
        <v>-559</v>
      </c>
      <c r="D76" s="375">
        <v>-806</v>
      </c>
      <c r="E76" s="375">
        <v>-665</v>
      </c>
      <c r="F76" s="375">
        <v>-225</v>
      </c>
      <c r="G76" s="373"/>
    </row>
    <row r="77" spans="1:7" ht="12.75" customHeight="1">
      <c r="A77" s="178" t="s">
        <v>166</v>
      </c>
      <c r="B77" s="374">
        <v>-1140</v>
      </c>
      <c r="C77" s="374">
        <v>-1302</v>
      </c>
      <c r="D77" s="374">
        <v>-1597</v>
      </c>
      <c r="E77" s="374">
        <v>-1668</v>
      </c>
      <c r="F77" s="374">
        <v>-1586</v>
      </c>
      <c r="G77" s="373"/>
    </row>
    <row r="78" spans="1:7" ht="12.75" customHeight="1">
      <c r="A78" s="177" t="s">
        <v>167</v>
      </c>
      <c r="B78" s="376">
        <v>-1858</v>
      </c>
      <c r="C78" s="376">
        <v>-2376</v>
      </c>
      <c r="D78" s="376">
        <v>-2982</v>
      </c>
      <c r="E78" s="376">
        <v>-3682</v>
      </c>
      <c r="F78" s="376">
        <v>-2234</v>
      </c>
      <c r="G78" s="373"/>
    </row>
    <row r="79" spans="1:7" ht="12.75" customHeight="1">
      <c r="A79" s="178" t="s">
        <v>168</v>
      </c>
      <c r="B79" s="377">
        <v>-701</v>
      </c>
      <c r="C79" s="376">
        <v>-1183</v>
      </c>
      <c r="D79" s="376">
        <v>-1349</v>
      </c>
      <c r="E79" s="376">
        <v>-1548</v>
      </c>
      <c r="F79" s="376">
        <v>-3079</v>
      </c>
      <c r="G79" s="373"/>
    </row>
    <row r="80" spans="1:7" ht="12.75" customHeight="1">
      <c r="A80" s="178" t="s">
        <v>169</v>
      </c>
      <c r="B80" s="377">
        <v>20</v>
      </c>
      <c r="C80" s="377">
        <v>47</v>
      </c>
      <c r="D80" s="377">
        <v>34</v>
      </c>
      <c r="E80" s="377">
        <v>33</v>
      </c>
      <c r="F80" s="377">
        <v>68</v>
      </c>
      <c r="G80" s="373"/>
    </row>
    <row r="81" spans="1:7" ht="12.75" customHeight="1">
      <c r="A81" s="178" t="s">
        <v>170</v>
      </c>
      <c r="B81" s="377">
        <v>0</v>
      </c>
      <c r="C81" s="377">
        <v>-888</v>
      </c>
      <c r="D81" s="376">
        <v>-1432</v>
      </c>
      <c r="E81" s="376">
        <v>-2095</v>
      </c>
      <c r="F81" s="377">
        <v>-17</v>
      </c>
      <c r="G81" s="373"/>
    </row>
    <row r="82" spans="1:7" ht="12.75" customHeight="1">
      <c r="A82" s="178" t="s">
        <v>171</v>
      </c>
      <c r="B82" s="377">
        <v>171</v>
      </c>
      <c r="C82" s="377">
        <v>0</v>
      </c>
      <c r="D82" s="377">
        <v>1</v>
      </c>
      <c r="E82" s="377">
        <v>0</v>
      </c>
      <c r="F82" s="377">
        <v>87</v>
      </c>
      <c r="G82" s="373"/>
    </row>
    <row r="83" spans="1:7" ht="12.75" customHeight="1">
      <c r="A83" s="178" t="s">
        <v>172</v>
      </c>
      <c r="B83" s="377">
        <v>47</v>
      </c>
      <c r="C83" s="377">
        <v>114</v>
      </c>
      <c r="D83" s="377">
        <v>208</v>
      </c>
      <c r="E83" s="377">
        <v>260</v>
      </c>
      <c r="F83" s="377">
        <v>223</v>
      </c>
      <c r="G83" s="373"/>
    </row>
    <row r="84" spans="1:7" ht="12.75" customHeight="1">
      <c r="A84" s="178" t="s">
        <v>190</v>
      </c>
      <c r="B84" s="377">
        <v>0</v>
      </c>
      <c r="C84" s="377">
        <v>0</v>
      </c>
      <c r="D84" s="377">
        <v>0</v>
      </c>
      <c r="E84" s="377">
        <v>0</v>
      </c>
      <c r="F84" s="377">
        <v>0</v>
      </c>
      <c r="G84" s="373"/>
    </row>
    <row r="85" spans="1:7" ht="12.75" customHeight="1">
      <c r="A85" s="178" t="s">
        <v>191</v>
      </c>
      <c r="B85" s="377">
        <v>-18</v>
      </c>
      <c r="C85" s="377">
        <v>-51</v>
      </c>
      <c r="D85" s="377">
        <v>-42</v>
      </c>
      <c r="E85" s="377">
        <v>-31</v>
      </c>
      <c r="F85" s="377">
        <v>-16</v>
      </c>
      <c r="G85" s="373"/>
    </row>
    <row r="86" spans="1:7" ht="12.75" customHeight="1">
      <c r="A86" s="178" t="s">
        <v>196</v>
      </c>
      <c r="B86" s="377">
        <v>0</v>
      </c>
      <c r="C86" s="377">
        <v>26</v>
      </c>
      <c r="D86" s="377">
        <v>120</v>
      </c>
      <c r="E86" s="377">
        <v>0</v>
      </c>
      <c r="F86" s="377">
        <v>0</v>
      </c>
      <c r="G86" s="373"/>
    </row>
    <row r="87" spans="1:7" ht="12.75" customHeight="1">
      <c r="A87" s="178" t="s">
        <v>173</v>
      </c>
      <c r="B87" s="377">
        <v>0</v>
      </c>
      <c r="C87" s="377">
        <v>0</v>
      </c>
      <c r="D87" s="377">
        <v>-301</v>
      </c>
      <c r="E87" s="377">
        <v>-75</v>
      </c>
      <c r="F87" s="377">
        <v>-111</v>
      </c>
      <c r="G87" s="373"/>
    </row>
    <row r="88" spans="1:7" ht="12.75" customHeight="1">
      <c r="A88" s="178" t="s">
        <v>174</v>
      </c>
      <c r="B88" s="377">
        <v>0</v>
      </c>
      <c r="C88" s="377">
        <v>0</v>
      </c>
      <c r="D88" s="377">
        <v>0</v>
      </c>
      <c r="E88" s="377">
        <v>0</v>
      </c>
      <c r="F88" s="377">
        <v>0</v>
      </c>
      <c r="G88" s="373"/>
    </row>
    <row r="89" spans="1:7" ht="12.75" customHeight="1">
      <c r="A89" s="178" t="s">
        <v>175</v>
      </c>
      <c r="B89" s="376">
        <v>-1377</v>
      </c>
      <c r="C89" s="377">
        <v>-442</v>
      </c>
      <c r="D89" s="377">
        <v>-222</v>
      </c>
      <c r="E89" s="377">
        <v>-226</v>
      </c>
      <c r="F89" s="377">
        <v>612</v>
      </c>
      <c r="G89" s="373"/>
    </row>
    <row r="90" spans="1:7" ht="12.75" customHeight="1">
      <c r="A90" s="177" t="s">
        <v>176</v>
      </c>
      <c r="B90" s="374">
        <v>-1600</v>
      </c>
      <c r="C90" s="375">
        <v>-958</v>
      </c>
      <c r="D90" s="374">
        <v>-1200</v>
      </c>
      <c r="E90" s="374">
        <v>-1293</v>
      </c>
      <c r="F90" s="374">
        <v>-1234</v>
      </c>
      <c r="G90" s="373"/>
    </row>
    <row r="91" spans="1:7" ht="12.75" customHeight="1">
      <c r="A91" s="178" t="s">
        <v>192</v>
      </c>
      <c r="B91" s="375">
        <v>0</v>
      </c>
      <c r="C91" s="375">
        <v>0</v>
      </c>
      <c r="D91" s="375">
        <v>0</v>
      </c>
      <c r="E91" s="375">
        <v>0</v>
      </c>
      <c r="F91" s="375">
        <v>0</v>
      </c>
      <c r="G91" s="373"/>
    </row>
    <row r="92" spans="1:7" ht="12.75" customHeight="1">
      <c r="A92" s="178" t="s">
        <v>177</v>
      </c>
      <c r="B92" s="375">
        <v>35</v>
      </c>
      <c r="C92" s="375">
        <v>0</v>
      </c>
      <c r="D92" s="375">
        <v>0</v>
      </c>
      <c r="E92" s="375">
        <v>12</v>
      </c>
      <c r="F92" s="375">
        <v>188</v>
      </c>
      <c r="G92" s="373"/>
    </row>
    <row r="93" spans="1:7" ht="12.75" customHeight="1">
      <c r="A93" s="178" t="s">
        <v>178</v>
      </c>
      <c r="B93" s="374">
        <v>-1041</v>
      </c>
      <c r="C93" s="375">
        <v>-352</v>
      </c>
      <c r="D93" s="375">
        <v>-300</v>
      </c>
      <c r="E93" s="375">
        <v>-98</v>
      </c>
      <c r="F93" s="375">
        <v>0</v>
      </c>
      <c r="G93" s="373"/>
    </row>
    <row r="94" spans="1:7" ht="12.75" customHeight="1">
      <c r="A94" s="178" t="s">
        <v>180</v>
      </c>
      <c r="B94" s="375">
        <v>-76</v>
      </c>
      <c r="C94" s="375">
        <v>-65</v>
      </c>
      <c r="D94" s="375">
        <v>-65</v>
      </c>
      <c r="E94" s="375">
        <v>-36</v>
      </c>
      <c r="F94" s="375">
        <v>-37</v>
      </c>
      <c r="G94" s="373"/>
    </row>
    <row r="95" spans="1:7" ht="12.75" customHeight="1">
      <c r="A95" s="178" t="s">
        <v>181</v>
      </c>
      <c r="B95" s="375">
        <v>-403</v>
      </c>
      <c r="C95" s="375">
        <v>-404</v>
      </c>
      <c r="D95" s="375">
        <v>-686</v>
      </c>
      <c r="E95" s="374">
        <v>-1050</v>
      </c>
      <c r="F95" s="374">
        <v>-1292</v>
      </c>
      <c r="G95" s="373"/>
    </row>
    <row r="96" spans="1:7" ht="12.75" customHeight="1">
      <c r="A96" s="178" t="s">
        <v>182</v>
      </c>
      <c r="B96" s="375">
        <v>-92</v>
      </c>
      <c r="C96" s="375">
        <v>-134</v>
      </c>
      <c r="D96" s="375">
        <v>-77</v>
      </c>
      <c r="E96" s="375">
        <v>-80</v>
      </c>
      <c r="F96" s="375">
        <v>-108</v>
      </c>
      <c r="G96" s="373"/>
    </row>
    <row r="97" spans="1:7" ht="12.75" customHeight="1">
      <c r="A97" s="178" t="s">
        <v>202</v>
      </c>
      <c r="B97" s="375">
        <v>0</v>
      </c>
      <c r="C97" s="375">
        <v>0</v>
      </c>
      <c r="D97" s="375">
        <v>0</v>
      </c>
      <c r="E97" s="375">
        <v>0</v>
      </c>
      <c r="F97" s="375">
        <v>0</v>
      </c>
      <c r="G97" s="373"/>
    </row>
    <row r="98" spans="1:7" ht="12.75" customHeight="1">
      <c r="A98" s="178" t="s">
        <v>194</v>
      </c>
      <c r="B98" s="375">
        <v>-23</v>
      </c>
      <c r="C98" s="375">
        <v>-4</v>
      </c>
      <c r="D98" s="375">
        <v>-72</v>
      </c>
      <c r="E98" s="375">
        <v>-40</v>
      </c>
      <c r="F98" s="375">
        <v>16</v>
      </c>
      <c r="G98" s="373"/>
    </row>
    <row r="99" spans="1:7" ht="12.75" customHeight="1">
      <c r="A99" s="178" t="s">
        <v>183</v>
      </c>
      <c r="B99" s="377">
        <v>-132</v>
      </c>
      <c r="C99" s="377">
        <v>-97</v>
      </c>
      <c r="D99" s="377">
        <v>-49</v>
      </c>
      <c r="E99" s="377">
        <v>30</v>
      </c>
      <c r="F99" s="377">
        <v>473</v>
      </c>
      <c r="G99" s="373"/>
    </row>
    <row r="100" spans="1:7" ht="12.75" customHeight="1">
      <c r="A100" s="180" t="s">
        <v>184</v>
      </c>
      <c r="B100" s="378">
        <v>2645</v>
      </c>
      <c r="C100" s="378">
        <v>2102</v>
      </c>
      <c r="D100" s="378">
        <v>2819</v>
      </c>
      <c r="E100" s="378">
        <v>3490</v>
      </c>
      <c r="F100" s="389">
        <v>928</v>
      </c>
      <c r="G100" s="373"/>
    </row>
    <row r="101" spans="1:7" ht="12.75" customHeight="1">
      <c r="A101" s="180" t="s">
        <v>185</v>
      </c>
      <c r="B101" s="379">
        <v>0.98</v>
      </c>
      <c r="C101" s="379">
        <v>0.9</v>
      </c>
      <c r="D101" s="379">
        <v>0.91</v>
      </c>
      <c r="E101" s="379">
        <v>0.94</v>
      </c>
      <c r="F101" s="379">
        <v>0.94</v>
      </c>
      <c r="G101" s="373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Ratios</vt:lpstr>
      <vt:lpstr>Return</vt:lpstr>
      <vt:lpstr>Stock Statistics</vt:lpstr>
      <vt:lpstr>Dashboard_Data</vt:lpstr>
      <vt:lpstr>Return Long</vt:lpstr>
      <vt:lpstr>Portfolio 2 &amp; 3</vt:lpstr>
      <vt:lpstr>Portfolio 4-6</vt:lpstr>
      <vt:lpstr>Torrent Pharma</vt:lpstr>
      <vt:lpstr>Alkem Labs</vt:lpstr>
      <vt:lpstr>Abbott India</vt:lpstr>
      <vt:lpstr>Aurobindo Pharma Ltd</vt:lpstr>
      <vt:lpstr>Zydus Lifesciences Ltd</vt:lpstr>
      <vt:lpstr>Lupin</vt:lpstr>
      <vt:lpstr>Sun Pharmaceutical </vt:lpstr>
      <vt:lpstr>Dr Reddy</vt:lpstr>
      <vt:lpstr>Divis Laboratories</vt:lpstr>
      <vt:lpstr>Cipla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Kumar</cp:lastModifiedBy>
  <cp:revision>0</cp:revision>
  <dcterms:created xsi:type="dcterms:W3CDTF">2026-09-19T14:03:33Z</dcterms:created>
  <dcterms:modified xsi:type="dcterms:W3CDTF">2026-09-20T11:21:08Z</dcterms:modified>
  <dc:language>en-US</dc:language>
</cp:coreProperties>
</file>